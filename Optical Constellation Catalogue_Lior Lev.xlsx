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ticalCapableSatellites" sheetId="1" r:id="rId5"/>
    <sheet state="visible" name="Starlink Launches" sheetId="2" r:id="rId6"/>
    <sheet state="visible" name="Leo Launches" sheetId="3" r:id="rId7"/>
    <sheet state="visible" name="SATCAT_DECAY" sheetId="4" r:id="rId8"/>
  </sheets>
  <definedNames>
    <definedName hidden="1" localSheetId="0" name="_xlnm._FilterDatabase">OpticalCapableSatellites!$A$1:$G$7855</definedName>
    <definedName hidden="1" localSheetId="1" name="_xlnm._FilterDatabase">'Starlink Launches'!$A$1:$G$315</definedName>
  </definedNames>
  <calcPr/>
</workbook>
</file>

<file path=xl/sharedStrings.xml><?xml version="1.0" encoding="utf-8"?>
<sst xmlns="http://schemas.openxmlformats.org/spreadsheetml/2006/main" count="13636" uniqueCount="6465">
  <si>
    <t>Constellation Name</t>
  </si>
  <si>
    <t>Operator</t>
  </si>
  <si>
    <t>Satellite Name</t>
  </si>
  <si>
    <t>NORAD ID</t>
  </si>
  <si>
    <t>Launch Date</t>
  </si>
  <si>
    <t>Decay Date</t>
  </si>
  <si>
    <t>Status</t>
  </si>
  <si>
    <t>AETHER</t>
  </si>
  <si>
    <t>Kepler Communications</t>
  </si>
  <si>
    <t>AETHER-8</t>
  </si>
  <si>
    <t>AETHER-12</t>
  </si>
  <si>
    <t>Total optical link capable satellites</t>
  </si>
  <si>
    <t>AETHER-11</t>
  </si>
  <si>
    <t>Total Kepler Satellites</t>
  </si>
  <si>
    <t>AETHER-5</t>
  </si>
  <si>
    <t>Total Starlink v2 mini Satellites</t>
  </si>
  <si>
    <t>AETHER-9</t>
  </si>
  <si>
    <t>Total Space Development Agency Satellites</t>
  </si>
  <si>
    <t>AETHER-6</t>
  </si>
  <si>
    <t>AETHER-4</t>
  </si>
  <si>
    <t>AETHER-3</t>
  </si>
  <si>
    <t>AETHER-7</t>
  </si>
  <si>
    <t>AETHER-10</t>
  </si>
  <si>
    <t>AETHER-1</t>
  </si>
  <si>
    <t>AETHER-2</t>
  </si>
  <si>
    <t>SpaceX v2 mini</t>
  </si>
  <si>
    <t>STARLINK-30096</t>
  </si>
  <si>
    <t>STARLINK-30107</t>
  </si>
  <si>
    <t>STARLINK-30106</t>
  </si>
  <si>
    <t>STARLINK-30095</t>
  </si>
  <si>
    <t>STARLINK-30103</t>
  </si>
  <si>
    <t>STARLINK-30113</t>
  </si>
  <si>
    <t>STARLINK-30098</t>
  </si>
  <si>
    <t>STARLINK-30090</t>
  </si>
  <si>
    <t>STARLINK-30049</t>
  </si>
  <si>
    <t>STARLINK-30083</t>
  </si>
  <si>
    <t>STARLINK-30089</t>
  </si>
  <si>
    <t>STARLINK-30086</t>
  </si>
  <si>
    <t>STARLINK-30109</t>
  </si>
  <si>
    <t>STARLINK-30108</t>
  </si>
  <si>
    <t>STARLINK-30104</t>
  </si>
  <si>
    <t>STARLINK-30101</t>
  </si>
  <si>
    <t>STARLINK-30111</t>
  </si>
  <si>
    <t>STARLINK-30097</t>
  </si>
  <si>
    <t>STARLINK-30099</t>
  </si>
  <si>
    <t>STARLINK-30094</t>
  </si>
  <si>
    <t>STARLINK-30112</t>
  </si>
  <si>
    <t>STARLINK-30122</t>
  </si>
  <si>
    <t>STARLINK-30129</t>
  </si>
  <si>
    <t>STARLINK-30124</t>
  </si>
  <si>
    <t>STARLINK-30087</t>
  </si>
  <si>
    <t>STARLINK-30036</t>
  </si>
  <si>
    <t>STARLINK-30067</t>
  </si>
  <si>
    <t>STARLINK-30126</t>
  </si>
  <si>
    <t>STARLINK-30121</t>
  </si>
  <si>
    <t>STARLINK-30118</t>
  </si>
  <si>
    <t>STARLINK-30130</t>
  </si>
  <si>
    <t>STARLINK-30068</t>
  </si>
  <si>
    <t>STARLINK-30127</t>
  </si>
  <si>
    <t>STARLINK-30053</t>
  </si>
  <si>
    <t>STARLINK-30125</t>
  </si>
  <si>
    <t>STARLINK-30117</t>
  </si>
  <si>
    <t>STARLINK-30132</t>
  </si>
  <si>
    <t>STARLINK-30066</t>
  </si>
  <si>
    <t>STARLINK-30080</t>
  </si>
  <si>
    <t>STARLINK-30079</t>
  </si>
  <si>
    <t>STARLINK-30070</t>
  </si>
  <si>
    <t>STARLINK-30071</t>
  </si>
  <si>
    <t>STARLINK-30085</t>
  </si>
  <si>
    <t>STARLINK-30119</t>
  </si>
  <si>
    <t>STARLINK-30120</t>
  </si>
  <si>
    <t>STARLINK-30084</t>
  </si>
  <si>
    <t>STARLINK-30114</t>
  </si>
  <si>
    <t>STARLINK-30151</t>
  </si>
  <si>
    <t>STARLINK-30152</t>
  </si>
  <si>
    <t>STARLINK-30139</t>
  </si>
  <si>
    <t>STARLINK-30134</t>
  </si>
  <si>
    <t>STARLINK-30143</t>
  </si>
  <si>
    <t>STARLINK-30128</t>
  </si>
  <si>
    <t>STARLINK-30131</t>
  </si>
  <si>
    <t>STARLINK-30069</t>
  </si>
  <si>
    <t>STARLINK-30144</t>
  </si>
  <si>
    <t>STARLINK-30142</t>
  </si>
  <si>
    <t>STARLINK-30133</t>
  </si>
  <si>
    <t>STARLINK-30123</t>
  </si>
  <si>
    <t>STARLINK-30076</t>
  </si>
  <si>
    <t>STARLINK-30073</t>
  </si>
  <si>
    <t>STARLINK-30078</t>
  </si>
  <si>
    <t>STARLINK-30135</t>
  </si>
  <si>
    <t>STARLINK-30137</t>
  </si>
  <si>
    <t>STARLINK-30136</t>
  </si>
  <si>
    <t>STARLINK-30198</t>
  </si>
  <si>
    <t>STARLINK-30239</t>
  </si>
  <si>
    <t>STARLINK-30210</t>
  </si>
  <si>
    <t>STARLINK-30235</t>
  </si>
  <si>
    <t>STARLINK-30238</t>
  </si>
  <si>
    <t>STARLINK-30241</t>
  </si>
  <si>
    <t>STARLINK-30236</t>
  </si>
  <si>
    <t>STARLINK-30201</t>
  </si>
  <si>
    <t>STARLINK-30233</t>
  </si>
  <si>
    <t>STARLINK-30232</t>
  </si>
  <si>
    <t>STARLINK-30177</t>
  </si>
  <si>
    <t>STARLINK-30200</t>
  </si>
  <si>
    <t>STARLINK-30209</t>
  </si>
  <si>
    <t>STARLINK-30184</t>
  </si>
  <si>
    <t>STARLINK-30175</t>
  </si>
  <si>
    <t>STARLINK-30240</t>
  </si>
  <si>
    <t>STARLINK-30195</t>
  </si>
  <si>
    <t>STARLINK-30207</t>
  </si>
  <si>
    <t>STARLINK-30205</t>
  </si>
  <si>
    <t>STARLINK-30222</t>
  </si>
  <si>
    <t>STARLINK-30172</t>
  </si>
  <si>
    <t>STARLINK-30214</t>
  </si>
  <si>
    <t>STARLINK-30182</t>
  </si>
  <si>
    <t>STARLINK-30191</t>
  </si>
  <si>
    <t>STARLINK-30193</t>
  </si>
  <si>
    <t>STARLINK-30208</t>
  </si>
  <si>
    <t>STARLINK-30224</t>
  </si>
  <si>
    <t>STARLINK-30043</t>
  </si>
  <si>
    <t>STARLINK-30221</t>
  </si>
  <si>
    <t>STARLINK-30189</t>
  </si>
  <si>
    <t>STARLINK-30188</t>
  </si>
  <si>
    <t>STARLINK-30105</t>
  </si>
  <si>
    <t>STARLINK-30102</t>
  </si>
  <si>
    <t>STARLINK-30237</t>
  </si>
  <si>
    <t>STARLINK-30158</t>
  </si>
  <si>
    <t>STARLINK-30160</t>
  </si>
  <si>
    <t>STARLINK-30146</t>
  </si>
  <si>
    <t>STARLINK-30197</t>
  </si>
  <si>
    <t>STARLINK-30181</t>
  </si>
  <si>
    <t>STARLINK-30215</t>
  </si>
  <si>
    <t>STARLINK-30162</t>
  </si>
  <si>
    <t>STARLINK-30178</t>
  </si>
  <si>
    <t>STARLINK-30196</t>
  </si>
  <si>
    <t>STARLINK-30225</t>
  </si>
  <si>
    <t>STARLINK-30217</t>
  </si>
  <si>
    <t>STARLINK-30216</t>
  </si>
  <si>
    <t>STARLINK-30165</t>
  </si>
  <si>
    <t>STARLINK-30140</t>
  </si>
  <si>
    <t>STARLINK-30185</t>
  </si>
  <si>
    <t>STARLINK-30077</t>
  </si>
  <si>
    <t>STARLINK-30229</t>
  </si>
  <si>
    <t>STARLINK-30088</t>
  </si>
  <si>
    <t>STARLINK-30091</t>
  </si>
  <si>
    <t>STARLINK-30115</t>
  </si>
  <si>
    <t>STARLINK-30116</t>
  </si>
  <si>
    <t>STARLINK-30156</t>
  </si>
  <si>
    <t>STARLINK-30092</t>
  </si>
  <si>
    <t>STARLINK-30039</t>
  </si>
  <si>
    <t>STARLINK-30171</t>
  </si>
  <si>
    <t>STARLINK-30186</t>
  </si>
  <si>
    <t>STARLINK-30190</t>
  </si>
  <si>
    <t>STARLINK-30204</t>
  </si>
  <si>
    <t>STARLINK-30187</t>
  </si>
  <si>
    <t>STARLINK-30110</t>
  </si>
  <si>
    <t>STARLINK-30155</t>
  </si>
  <si>
    <t>STARLINK-30161</t>
  </si>
  <si>
    <t>STARLINK-30176</t>
  </si>
  <si>
    <t>STARLINK-30167</t>
  </si>
  <si>
    <t>STARLINK-30154</t>
  </si>
  <si>
    <t>STARLINK-30145</t>
  </si>
  <si>
    <t>STARLINK-30226</t>
  </si>
  <si>
    <t>STARLINK-30203</t>
  </si>
  <si>
    <t>STARLINK-30169</t>
  </si>
  <si>
    <t>STARLINK-30164</t>
  </si>
  <si>
    <t>STARLINK-30072</t>
  </si>
  <si>
    <t>STARLINK-30230</t>
  </si>
  <si>
    <t>STARLINK-30213</t>
  </si>
  <si>
    <t>STARLINK-30227</t>
  </si>
  <si>
    <t>STARLINK-30212</t>
  </si>
  <si>
    <t>STARLINK-30219</t>
  </si>
  <si>
    <t>STARLINK-30074</t>
  </si>
  <si>
    <t>STARLINK-30082</t>
  </si>
  <si>
    <t>STARLINK-30153</t>
  </si>
  <si>
    <t>STARLINK-30147</t>
  </si>
  <si>
    <t>STARLINK-30157</t>
  </si>
  <si>
    <t>STARLINK-30168</t>
  </si>
  <si>
    <t>STARLINK-30231</t>
  </si>
  <si>
    <t>STARLINK-30081</t>
  </si>
  <si>
    <t>STARLINK-30149</t>
  </si>
  <si>
    <t>STARLINK-30259</t>
  </si>
  <si>
    <t>STARLINK-30256</t>
  </si>
  <si>
    <t>STARLINK-30261</t>
  </si>
  <si>
    <t>STARLINK-30260</t>
  </si>
  <si>
    <t>STARLINK-30253</t>
  </si>
  <si>
    <t>STARLINK-30257</t>
  </si>
  <si>
    <t>STARLINK-30250</t>
  </si>
  <si>
    <t>STARLINK-30269</t>
  </si>
  <si>
    <t>STARLINK-30266</t>
  </si>
  <si>
    <t>STARLINK-30270</t>
  </si>
  <si>
    <t>STARLINK-30268</t>
  </si>
  <si>
    <t>STARLINK-30251</t>
  </si>
  <si>
    <t>STARLINK-30254</t>
  </si>
  <si>
    <t>STARLINK-30264</t>
  </si>
  <si>
    <t>STARLINK-30166</t>
  </si>
  <si>
    <t>STARLINK-30223</t>
  </si>
  <si>
    <t>STARLINK-30218</t>
  </si>
  <si>
    <t>STARLINK-30138</t>
  </si>
  <si>
    <t>STARLINK-30255</t>
  </si>
  <si>
    <t>STARLINK-30252</t>
  </si>
  <si>
    <t>STARLINK-30258</t>
  </si>
  <si>
    <t>STARLINK-30174</t>
  </si>
  <si>
    <t>STARLINK-30248</t>
  </si>
  <si>
    <t>STARLINK-30052</t>
  </si>
  <si>
    <t>STARLINK-30245</t>
  </si>
  <si>
    <t>STARLINK-30041</t>
  </si>
  <si>
    <t>STARLINK-30244</t>
  </si>
  <si>
    <t>STARLINK-30246</t>
  </si>
  <si>
    <t>STARLINK-30075</t>
  </si>
  <si>
    <t>STARLINK-30148</t>
  </si>
  <si>
    <t>STARLINK-30249</t>
  </si>
  <si>
    <t>STARLINK-30220</t>
  </si>
  <si>
    <t>STARLINK-30141</t>
  </si>
  <si>
    <t>STARLINK-30150</t>
  </si>
  <si>
    <t>STARLINK-30056</t>
  </si>
  <si>
    <t>STARLINK-30100</t>
  </si>
  <si>
    <t>STARLINK-30309</t>
  </si>
  <si>
    <t>STARLINK-30306</t>
  </si>
  <si>
    <t>STARLINK-30323</t>
  </si>
  <si>
    <t>STARLINK-30329</t>
  </si>
  <si>
    <t>STARLINK-30330</t>
  </si>
  <si>
    <t>STARLINK-30311</t>
  </si>
  <si>
    <t>STARLINK-30328</t>
  </si>
  <si>
    <t>STARLINK-30326</t>
  </si>
  <si>
    <t>STARLINK-30324</t>
  </si>
  <si>
    <t>STARLINK-30312</t>
  </si>
  <si>
    <t>STARLINK-30263</t>
  </si>
  <si>
    <t>STARLINK-30280</t>
  </si>
  <si>
    <t>STARLINK-30247</t>
  </si>
  <si>
    <t>STARLINK-30277</t>
  </si>
  <si>
    <t>STARLINK-30265</t>
  </si>
  <si>
    <t>STARLINK-30286</t>
  </si>
  <si>
    <t>STARLINK-30243</t>
  </si>
  <si>
    <t>STARLINK-30299</t>
  </si>
  <si>
    <t>STARLINK-30294</t>
  </si>
  <si>
    <t>STARLINK-30276</t>
  </si>
  <si>
    <t>STARLINK-30289</t>
  </si>
  <si>
    <t>STARLINK-30288</t>
  </si>
  <si>
    <t>STARLINK-30347</t>
  </si>
  <si>
    <t>STARLINK-30332</t>
  </si>
  <si>
    <t>STARLINK-30345</t>
  </si>
  <si>
    <t>STARLINK-30333</t>
  </si>
  <si>
    <t>STARLINK-30336</t>
  </si>
  <si>
    <t>STARLINK-30346</t>
  </si>
  <si>
    <t>STARLINK-30342</t>
  </si>
  <si>
    <t>STARLINK-30337</t>
  </si>
  <si>
    <t>STARLINK-30327</t>
  </si>
  <si>
    <t>STARLINK-30315</t>
  </si>
  <si>
    <t>STARLINK-30287</t>
  </si>
  <si>
    <t>STARLINK-30335</t>
  </si>
  <si>
    <t>STARLINK-30318</t>
  </si>
  <si>
    <t>STARLINK-30348</t>
  </si>
  <si>
    <t>STARLINK-30349</t>
  </si>
  <si>
    <t>STARLINK-30341</t>
  </si>
  <si>
    <t>STARLINK-30300</t>
  </si>
  <si>
    <t>STARLINK-30281</t>
  </si>
  <si>
    <t>STARLINK-30325</t>
  </si>
  <si>
    <t>STARLINK-30338</t>
  </si>
  <si>
    <t>STARLINK-30334</t>
  </si>
  <si>
    <t>STARLINK-30375</t>
  </si>
  <si>
    <t>STARLINK-30310</t>
  </si>
  <si>
    <t>STARLINK-30365</t>
  </si>
  <si>
    <t>STARLINK-30371</t>
  </si>
  <si>
    <t>STARLINK-30352</t>
  </si>
  <si>
    <t>STARLINK-30344</t>
  </si>
  <si>
    <t>STARLINK-30351</t>
  </si>
  <si>
    <t>STARLINK-30242</t>
  </si>
  <si>
    <t>STARLINK-30331</t>
  </si>
  <si>
    <t>STARLINK-30364</t>
  </si>
  <si>
    <t>STARLINK-30308</t>
  </si>
  <si>
    <t>STARLINK-30361</t>
  </si>
  <si>
    <t>STARLINK-30363</t>
  </si>
  <si>
    <t>STARLINK-30362</t>
  </si>
  <si>
    <t>STARLINK-30350</t>
  </si>
  <si>
    <t>STARLINK-30307</t>
  </si>
  <si>
    <t>STARLINK-30356</t>
  </si>
  <si>
    <t>STARLINK-30366</t>
  </si>
  <si>
    <t>STARLINK-30357</t>
  </si>
  <si>
    <t>STARLINK-30370</t>
  </si>
  <si>
    <t>STARLINK-30368</t>
  </si>
  <si>
    <t>STARLINK-30343</t>
  </si>
  <si>
    <t>STARLINK-30397</t>
  </si>
  <si>
    <t>STARLINK-30354</t>
  </si>
  <si>
    <t>STARLINK-30383</t>
  </si>
  <si>
    <t>STARLINK-30384</t>
  </si>
  <si>
    <t>STARLINK-30305</t>
  </si>
  <si>
    <t>STARLINK-30360</t>
  </si>
  <si>
    <t>STARLINK-30355</t>
  </si>
  <si>
    <t>STARLINK-30385</t>
  </si>
  <si>
    <t>STARLINK-30359</t>
  </si>
  <si>
    <t>STARLINK-30380</t>
  </si>
  <si>
    <t>STARLINK-30369</t>
  </si>
  <si>
    <t>STARLINK-30376</t>
  </si>
  <si>
    <t>STARLINK-30389</t>
  </si>
  <si>
    <t>STARLINK-30388</t>
  </si>
  <si>
    <t>STARLINK-30381</t>
  </si>
  <si>
    <t>STARLINK-30382</t>
  </si>
  <si>
    <t>STARLINK-30378</t>
  </si>
  <si>
    <t>STARLINK-30387</t>
  </si>
  <si>
    <t>STARLINK-30372</t>
  </si>
  <si>
    <t>STARLINK-30373</t>
  </si>
  <si>
    <t>STARLINK-30367</t>
  </si>
  <si>
    <t>STARLINK-30374</t>
  </si>
  <si>
    <t>STARLINK-30394</t>
  </si>
  <si>
    <t>STARLINK-30379</t>
  </si>
  <si>
    <t>STARLINK-30395</t>
  </si>
  <si>
    <t>STARLINK-30403</t>
  </si>
  <si>
    <t>STARLINK-30413</t>
  </si>
  <si>
    <t>STARLINK-30398</t>
  </si>
  <si>
    <t>STARLINK-30386</t>
  </si>
  <si>
    <t>STARLINK-30391</t>
  </si>
  <si>
    <t>STARLINK-30401</t>
  </si>
  <si>
    <t>STARLINK-30390</t>
  </si>
  <si>
    <t>STARLINK-30409</t>
  </si>
  <si>
    <t>STARLINK-30415</t>
  </si>
  <si>
    <t>STARLINK-30407</t>
  </si>
  <si>
    <t>STARLINK-30408</t>
  </si>
  <si>
    <t>STARLINK-30377</t>
  </si>
  <si>
    <t>STARLINK-30422</t>
  </si>
  <si>
    <t>STARLINK-30402</t>
  </si>
  <si>
    <t>STARLINK-30411</t>
  </si>
  <si>
    <t>STARLINK-30418</t>
  </si>
  <si>
    <t>STARLINK-30432</t>
  </si>
  <si>
    <t>STARLINK-30427</t>
  </si>
  <si>
    <t>STARLINK-30393</t>
  </si>
  <si>
    <t>STARLINK-30439</t>
  </si>
  <si>
    <t>STARLINK-30442</t>
  </si>
  <si>
    <t>STARLINK-30441</t>
  </si>
  <si>
    <t>STARLINK-30460</t>
  </si>
  <si>
    <t>STARLINK-30444</t>
  </si>
  <si>
    <t>STARLINK-30446</t>
  </si>
  <si>
    <t>STARLINK-30445</t>
  </si>
  <si>
    <t>STARLINK-30447</t>
  </si>
  <si>
    <t>STARLINK-30434</t>
  </si>
  <si>
    <t>STARLINK-30429</t>
  </si>
  <si>
    <t>STARLINK-30284</t>
  </si>
  <si>
    <t>STARLINK-30433</t>
  </si>
  <si>
    <t>STARLINK-30358</t>
  </si>
  <si>
    <t>STARLINK-30436</t>
  </si>
  <si>
    <t>STARLINK-30339</t>
  </si>
  <si>
    <t>STARLINK-30282</t>
  </si>
  <si>
    <t>STARLINK-30340</t>
  </si>
  <si>
    <t>STARLINK-30279</t>
  </si>
  <si>
    <t>STARLINK-30465</t>
  </si>
  <si>
    <t>STARLINK-30470</t>
  </si>
  <si>
    <t>STARLINK-30473</t>
  </si>
  <si>
    <t>STARLINK-30443</t>
  </si>
  <si>
    <t>STARLINK-30467</t>
  </si>
  <si>
    <t>STARLINK-30469</t>
  </si>
  <si>
    <t>STARLINK-30474</t>
  </si>
  <si>
    <t>STARLINK-30479</t>
  </si>
  <si>
    <t>STARLINK-30481</t>
  </si>
  <si>
    <t>STARLINK-30457</t>
  </si>
  <si>
    <t>STARLINK-30472</t>
  </si>
  <si>
    <t>STARLINK-30462</t>
  </si>
  <si>
    <t>STARLINK-30449</t>
  </si>
  <si>
    <t>STARLINK-30466</t>
  </si>
  <si>
    <t>STARLINK-30451</t>
  </si>
  <si>
    <t>STARLINK-30428</t>
  </si>
  <si>
    <t>STARLINK-30482</t>
  </si>
  <si>
    <t>STARLINK-30464</t>
  </si>
  <si>
    <t>STARLINK-30463</t>
  </si>
  <si>
    <t>STARLINK-30453</t>
  </si>
  <si>
    <t>STARLINK-30478</t>
  </si>
  <si>
    <t>STARLINK-30477</t>
  </si>
  <si>
    <t>STARLINK-30450</t>
  </si>
  <si>
    <t>STARLINK-30483</t>
  </si>
  <si>
    <t>STARLINK-30454</t>
  </si>
  <si>
    <t>STARLINK-30491</t>
  </si>
  <si>
    <t>STARLINK-30501</t>
  </si>
  <si>
    <t>STARLINK-30499</t>
  </si>
  <si>
    <t>STARLINK-30496</t>
  </si>
  <si>
    <t>STARLINK-30485</t>
  </si>
  <si>
    <t>STARLINK-30492</t>
  </si>
  <si>
    <t>STARLINK-30490</t>
  </si>
  <si>
    <t>STARLINK-30440</t>
  </si>
  <si>
    <t>STARLINK-30487</t>
  </si>
  <si>
    <t>STARLINK-30452</t>
  </si>
  <si>
    <t>STARLINK-30468</t>
  </si>
  <si>
    <t>STARLINK-30459</t>
  </si>
  <si>
    <t>STARLINK-30448</t>
  </si>
  <si>
    <t>STARLINK-30475</t>
  </si>
  <si>
    <t>STARLINK-30476</t>
  </si>
  <si>
    <t>STARLINK-30488</t>
  </si>
  <si>
    <t>STARLINK-30471</t>
  </si>
  <si>
    <t>STARLINK-30461</t>
  </si>
  <si>
    <t>STARLINK-30458</t>
  </si>
  <si>
    <t>STARLINK-30396</t>
  </si>
  <si>
    <t>STARLINK-30524</t>
  </si>
  <si>
    <t>STARLINK-30521</t>
  </si>
  <si>
    <t>STARLINK-30528</t>
  </si>
  <si>
    <t>STARLINK-30495</t>
  </si>
  <si>
    <t>STARLINK-30494</t>
  </si>
  <si>
    <t>STARLINK-30498</t>
  </si>
  <si>
    <t>STARLINK-30505</t>
  </si>
  <si>
    <t>STARLINK-30502</t>
  </si>
  <si>
    <t>STARLINK-30489</t>
  </si>
  <si>
    <t>STARLINK-30503</t>
  </si>
  <si>
    <t>STARLINK-30512</t>
  </si>
  <si>
    <t>STARLINK-30509</t>
  </si>
  <si>
    <t>STARLINK-30511</t>
  </si>
  <si>
    <t>STARLINK-30508</t>
  </si>
  <si>
    <t>STARLINK-30504</t>
  </si>
  <si>
    <t>STARLINK-30510</t>
  </si>
  <si>
    <t>STARLINK-30507</t>
  </si>
  <si>
    <t>STARLINK-30515</t>
  </si>
  <si>
    <t>STARLINK-30516</t>
  </si>
  <si>
    <t>STARLINK-30519</t>
  </si>
  <si>
    <t>STARLINK-30537</t>
  </si>
  <si>
    <t>STARLINK-30534</t>
  </si>
  <si>
    <t>STARLINK-30536</t>
  </si>
  <si>
    <t>STARLINK-30538</t>
  </si>
  <si>
    <t>STARLINK-30517</t>
  </si>
  <si>
    <t>STARLINK-30523</t>
  </si>
  <si>
    <t>STARLINK-30531</t>
  </si>
  <si>
    <t>STARLINK-30552</t>
  </si>
  <si>
    <t>STARLINK-30545</t>
  </si>
  <si>
    <t>STARLINK-30535</t>
  </si>
  <si>
    <t>STARLINK-30540</t>
  </si>
  <si>
    <t>STARLINK-30546</t>
  </si>
  <si>
    <t>STARLINK-30539</t>
  </si>
  <si>
    <t>STARLINK-30530</t>
  </si>
  <si>
    <t>STARLINK-30526</t>
  </si>
  <si>
    <t>STARLINK-30527</t>
  </si>
  <si>
    <t>STARLINK-30522</t>
  </si>
  <si>
    <t>STARLINK-30486</t>
  </si>
  <si>
    <t>STARLINK-30520</t>
  </si>
  <si>
    <t>STARLINK-30497</t>
  </si>
  <si>
    <t>STARLINK-30525</t>
  </si>
  <si>
    <t>STARLINK-30568</t>
  </si>
  <si>
    <t>STARLINK-30575</t>
  </si>
  <si>
    <t>STARLINK-30577</t>
  </si>
  <si>
    <t>STARLINK-30566</t>
  </si>
  <si>
    <t>STARLINK-30544</t>
  </si>
  <si>
    <t>STARLINK-30553</t>
  </si>
  <si>
    <t>STARLINK-30541</t>
  </si>
  <si>
    <t>STARLINK-30573</t>
  </si>
  <si>
    <t>STARLINK-30582</t>
  </si>
  <si>
    <t>STARLINK-30558</t>
  </si>
  <si>
    <t>STARLINK-30579</t>
  </si>
  <si>
    <t>STARLINK-30588</t>
  </si>
  <si>
    <t>STARLINK-30585</t>
  </si>
  <si>
    <t>STARLINK-30587</t>
  </si>
  <si>
    <t>STARLINK-30576</t>
  </si>
  <si>
    <t>STARLINK-30571</t>
  </si>
  <si>
    <t>STARLINK-30567</t>
  </si>
  <si>
    <t>STARLINK-30569</t>
  </si>
  <si>
    <t>STARLINK-30480</t>
  </si>
  <si>
    <t>STARLINK-30532</t>
  </si>
  <si>
    <t>STARLINK-30513</t>
  </si>
  <si>
    <t>STARLINK-30506</t>
  </si>
  <si>
    <t>STARLINK-30604</t>
  </si>
  <si>
    <t>STARLINK-30500</t>
  </si>
  <si>
    <t>STARLINK-30613</t>
  </si>
  <si>
    <t>STARLINK-30597</t>
  </si>
  <si>
    <t>STARLINK-30598</t>
  </si>
  <si>
    <t>STARLINK-30603</t>
  </si>
  <si>
    <t>STARLINK-30602</t>
  </si>
  <si>
    <t>STARLINK-30610</t>
  </si>
  <si>
    <t>STARLINK-30551</t>
  </si>
  <si>
    <t>STARLINK-30586</t>
  </si>
  <si>
    <t>STARLINK-30609</t>
  </si>
  <si>
    <t>STARLINK-30583</t>
  </si>
  <si>
    <t>STARLINK-30557</t>
  </si>
  <si>
    <t>STARLINK-30591</t>
  </si>
  <si>
    <t>STARLINK-30584</t>
  </si>
  <si>
    <t>STARLINK-30590</t>
  </si>
  <si>
    <t>STARLINK-30608</t>
  </si>
  <si>
    <t>STARLINK-30615</t>
  </si>
  <si>
    <t>STARLINK-30578</t>
  </si>
  <si>
    <t>STARLINK-30574</t>
  </si>
  <si>
    <t>STARLINK-30570</t>
  </si>
  <si>
    <t>STARLINK-30581</t>
  </si>
  <si>
    <t>STARLINK-30795</t>
  </si>
  <si>
    <t>STARLINK-30765</t>
  </si>
  <si>
    <t>STARLINK-30768</t>
  </si>
  <si>
    <t>STARLINK-30799</t>
  </si>
  <si>
    <t>STARLINK-30759</t>
  </si>
  <si>
    <t>STARLINK-30781</t>
  </si>
  <si>
    <t>STARLINK-30754</t>
  </si>
  <si>
    <t>STARLINK-30766</t>
  </si>
  <si>
    <t>STARLINK-30767</t>
  </si>
  <si>
    <t>STARLINK-30790</t>
  </si>
  <si>
    <t>STARLINK-30787</t>
  </si>
  <si>
    <t>STARLINK-30756</t>
  </si>
  <si>
    <t>STARLINK-30783</t>
  </si>
  <si>
    <t>STARLINK-30757</t>
  </si>
  <si>
    <t>STARLINK-30770</t>
  </si>
  <si>
    <t>STARLINK-30758</t>
  </si>
  <si>
    <t>STARLINK-30761</t>
  </si>
  <si>
    <t>STARLINK-30772</t>
  </si>
  <si>
    <t>STARLINK-30776</t>
  </si>
  <si>
    <t>STARLINK-30782</t>
  </si>
  <si>
    <t>STARLINK-30769</t>
  </si>
  <si>
    <t>STARLINK-30775</t>
  </si>
  <si>
    <t>STARLINK-30780</t>
  </si>
  <si>
    <t>STARLINK-30753</t>
  </si>
  <si>
    <t>STARLINK-30824</t>
  </si>
  <si>
    <t>STARLINK-30791</t>
  </si>
  <si>
    <t>STARLINK-30810</t>
  </si>
  <si>
    <t>STARLINK-30819</t>
  </si>
  <si>
    <t>STARLINK-30806</t>
  </si>
  <si>
    <t>STARLINK-30821</t>
  </si>
  <si>
    <t>STARLINK-30778</t>
  </si>
  <si>
    <t>STARLINK-30809</t>
  </si>
  <si>
    <t>STARLINK-30801</t>
  </si>
  <si>
    <t>STARLINK-30793</t>
  </si>
  <si>
    <t>STARLINK-30755</t>
  </si>
  <si>
    <t>STARLINK-30760</t>
  </si>
  <si>
    <t>STARLINK-30826</t>
  </si>
  <si>
    <t>STARLINK-30796</t>
  </si>
  <si>
    <t>STARLINK-30820</t>
  </si>
  <si>
    <t>STARLINK-30785</t>
  </si>
  <si>
    <t>STARLINK-30807</t>
  </si>
  <si>
    <t>STARLINK-30822</t>
  </si>
  <si>
    <t>STARLINK-30830</t>
  </si>
  <si>
    <t>STARLINK-30827</t>
  </si>
  <si>
    <t>STARLINK-30798</t>
  </si>
  <si>
    <t>STARLINK-30762</t>
  </si>
  <si>
    <t>STARLINK-30800</t>
  </si>
  <si>
    <t>STARLINK-30845</t>
  </si>
  <si>
    <t>STARLINK-30841</t>
  </si>
  <si>
    <t>STARLINK-30839</t>
  </si>
  <si>
    <t>STARLINK-30846</t>
  </si>
  <si>
    <t>STARLINK-30838</t>
  </si>
  <si>
    <t>STARLINK-30837</t>
  </si>
  <si>
    <t>STARLINK-30813</t>
  </si>
  <si>
    <t>STARLINK-30805</t>
  </si>
  <si>
    <t>STARLINK-30851</t>
  </si>
  <si>
    <t>STARLINK-30818</t>
  </si>
  <si>
    <t>STARLINK-30794</t>
  </si>
  <si>
    <t>STARLINK-30835</t>
  </si>
  <si>
    <t>STARLINK-30792</t>
  </si>
  <si>
    <t>STARLINK-30836</t>
  </si>
  <si>
    <t>STARLINK-30855</t>
  </si>
  <si>
    <t>STARLINK-30840</t>
  </si>
  <si>
    <t>STARLINK-30875</t>
  </si>
  <si>
    <t>STARLINK-30872</t>
  </si>
  <si>
    <t>STARLINK-30865</t>
  </si>
  <si>
    <t>STARLINK-30874</t>
  </si>
  <si>
    <t>STARLINK-30871</t>
  </si>
  <si>
    <t>STARLINK-30861</t>
  </si>
  <si>
    <t>STARLINK-30867</t>
  </si>
  <si>
    <t>STARLINK-30880</t>
  </si>
  <si>
    <t>STARLINK-30777</t>
  </si>
  <si>
    <t>STARLINK-30860</t>
  </si>
  <si>
    <t>STARLINK-30853</t>
  </si>
  <si>
    <t>STARLINK-30866</t>
  </si>
  <si>
    <t>STARLINK-30817</t>
  </si>
  <si>
    <t>STARLINK-30847</t>
  </si>
  <si>
    <t>STARLINK-30848</t>
  </si>
  <si>
    <t>STARLINK-30843</t>
  </si>
  <si>
    <t>STARLINK-30877</t>
  </si>
  <si>
    <t>STARLINK-30864</t>
  </si>
  <si>
    <t>STARLINK-30854</t>
  </si>
  <si>
    <t>STARLINK-30849</t>
  </si>
  <si>
    <t>STARLINK-30886</t>
  </si>
  <si>
    <t>STARLINK-30850</t>
  </si>
  <si>
    <t>STARLINK-30823</t>
  </si>
  <si>
    <t>STARLINK-30873</t>
  </si>
  <si>
    <t>STARLINK-30808</t>
  </si>
  <si>
    <t>STARLINK-30881</t>
  </si>
  <si>
    <t>STARLINK-30883</t>
  </si>
  <si>
    <t>STARLINK-30907</t>
  </si>
  <si>
    <t>STARLINK-30896</t>
  </si>
  <si>
    <t>STARLINK-30832</t>
  </si>
  <si>
    <t>STARLINK-30903</t>
  </si>
  <si>
    <t>STARLINK-30905</t>
  </si>
  <si>
    <t>STARLINK-30842</t>
  </si>
  <si>
    <t>STARLINK-30858</t>
  </si>
  <si>
    <t>STARLINK-30878</t>
  </si>
  <si>
    <t>STARLINK-30897</t>
  </si>
  <si>
    <t>STARLINK-30885</t>
  </si>
  <si>
    <t>STARLINK-30890</t>
  </si>
  <si>
    <t>STARLINK-30909</t>
  </si>
  <si>
    <t>STARLINK-30904</t>
  </si>
  <si>
    <t>STARLINK-30918</t>
  </si>
  <si>
    <t>STARLINK-30892</t>
  </si>
  <si>
    <t>STARLINK-30891</t>
  </si>
  <si>
    <t>STARLINK-30889</t>
  </si>
  <si>
    <t>STARLINK-30870</t>
  </si>
  <si>
    <t>STARLINK-30888</t>
  </si>
  <si>
    <t>STARLINK-30859</t>
  </si>
  <si>
    <t>STARLINK-30884</t>
  </si>
  <si>
    <t>STARLINK-30852</t>
  </si>
  <si>
    <t>STARLINK-30964</t>
  </si>
  <si>
    <t>STARLINK-30844</t>
  </si>
  <si>
    <t>STARLINK-30876</t>
  </si>
  <si>
    <t>STARLINK-30952</t>
  </si>
  <si>
    <t>STARLINK-30925</t>
  </si>
  <si>
    <t>STARLINK-30954</t>
  </si>
  <si>
    <t>STARLINK-30906</t>
  </si>
  <si>
    <t>STARLINK-30940</t>
  </si>
  <si>
    <t>STARLINK-30933</t>
  </si>
  <si>
    <t>STARLINK-30919</t>
  </si>
  <si>
    <t>STARLINK-30924</t>
  </si>
  <si>
    <t>STARLINK-30931</t>
  </si>
  <si>
    <t>STARLINK-30922</t>
  </si>
  <si>
    <t>STARLINK-30949</t>
  </si>
  <si>
    <t>STARLINK-30967</t>
  </si>
  <si>
    <t>STARLINK-30955</t>
  </si>
  <si>
    <t>STARLINK-30895</t>
  </si>
  <si>
    <t>STARLINK-30917</t>
  </si>
  <si>
    <t>STARLINK-30899</t>
  </si>
  <si>
    <t>STARLINK-30902</t>
  </si>
  <si>
    <t>STARLINK-30912</t>
  </si>
  <si>
    <t>STARLINK-30900</t>
  </si>
  <si>
    <t>STARLINK-30908</t>
  </si>
  <si>
    <t>STARLINK-30869</t>
  </si>
  <si>
    <t>STARLINK-30969</t>
  </si>
  <si>
    <t>STARLINK-30951</t>
  </si>
  <si>
    <t>STARLINK-30950</t>
  </si>
  <si>
    <t>STARLINK-30942</t>
  </si>
  <si>
    <t>STARLINK-30959</t>
  </si>
  <si>
    <t>STARLINK-30971</t>
  </si>
  <si>
    <t>STARLINK-30963</t>
  </si>
  <si>
    <t>STARLINK-30961</t>
  </si>
  <si>
    <t>STARLINK-30975</t>
  </si>
  <si>
    <t>STARLINK-30976</t>
  </si>
  <si>
    <t>STARLINK-30926</t>
  </si>
  <si>
    <t>STARLINK-30943</t>
  </si>
  <si>
    <t>STARLINK-30946</t>
  </si>
  <si>
    <t>STARLINK-30944</t>
  </si>
  <si>
    <t>STARLINK-30928</t>
  </si>
  <si>
    <t>STARLINK-30957</t>
  </si>
  <si>
    <t>STARLINK-30966</t>
  </si>
  <si>
    <t>STARLINK-30935</t>
  </si>
  <si>
    <t>STARLINK-30960</t>
  </si>
  <si>
    <t>STARLINK-30958</t>
  </si>
  <si>
    <t>STARLINK-30962</t>
  </si>
  <si>
    <t>STARLINK-30977</t>
  </si>
  <si>
    <t>STARLINK-30947</t>
  </si>
  <si>
    <t>STARLINK-30995</t>
  </si>
  <si>
    <t>STARLINK-30941</t>
  </si>
  <si>
    <t>STARLINK-30980</t>
  </si>
  <si>
    <t>STARLINK-30965</t>
  </si>
  <si>
    <t>STARLINK-30990</t>
  </si>
  <si>
    <t>STARLINK-30984</t>
  </si>
  <si>
    <t>STARLINK-30956</t>
  </si>
  <si>
    <t>STARLINK-30997</t>
  </si>
  <si>
    <t>STARLINK-30994</t>
  </si>
  <si>
    <t>STARLINK-30991</t>
  </si>
  <si>
    <t>STARLINK-30979</t>
  </si>
  <si>
    <t>STARLINK-31005</t>
  </si>
  <si>
    <t>STARLINK-30987</t>
  </si>
  <si>
    <t>STARLINK-31000</t>
  </si>
  <si>
    <t>STARLINK-30993</t>
  </si>
  <si>
    <t>STARLINK-30978</t>
  </si>
  <si>
    <t>STARLINK-30953</t>
  </si>
  <si>
    <t>STARLINK-30986</t>
  </si>
  <si>
    <t>STARLINK-30985</t>
  </si>
  <si>
    <t>STARLINK-30981</t>
  </si>
  <si>
    <t>STARLINK-31002</t>
  </si>
  <si>
    <t>STARLINK-31026</t>
  </si>
  <si>
    <t>STARLINK-31020</t>
  </si>
  <si>
    <t>STARLINK-30989</t>
  </si>
  <si>
    <t>STARLINK-30968</t>
  </si>
  <si>
    <t>STARLINK-30982</t>
  </si>
  <si>
    <t>STARLINK-30998</t>
  </si>
  <si>
    <t>STARLINK-30983</t>
  </si>
  <si>
    <t>STARLINK-31017</t>
  </si>
  <si>
    <t>STARLINK-31028</t>
  </si>
  <si>
    <t>STARLINK-31011</t>
  </si>
  <si>
    <t>STARLINK-31021</t>
  </si>
  <si>
    <t>STARLINK-31010</t>
  </si>
  <si>
    <t>STARLINK-31003</t>
  </si>
  <si>
    <t>STARLINK-31015</t>
  </si>
  <si>
    <t>STARLINK-31023</t>
  </si>
  <si>
    <t>STARLINK-30932</t>
  </si>
  <si>
    <t>STARLINK-30992</t>
  </si>
  <si>
    <t>STARLINK-30948</t>
  </si>
  <si>
    <t>STARLINK-31013</t>
  </si>
  <si>
    <t>STARLINK-31001</t>
  </si>
  <si>
    <t>STARLINK-31004</t>
  </si>
  <si>
    <t>STARLINK-30988</t>
  </si>
  <si>
    <t>STARLINK-31009</t>
  </si>
  <si>
    <t>STARLINK-31044</t>
  </si>
  <si>
    <t>STARLINK-31062</t>
  </si>
  <si>
    <t>STARLINK-31096</t>
  </si>
  <si>
    <t>STARLINK-31094</t>
  </si>
  <si>
    <t>STARLINK-31075</t>
  </si>
  <si>
    <t>STARLINK-30857</t>
  </si>
  <si>
    <t>STARLINK-31059</t>
  </si>
  <si>
    <t>STARLINK-31087</t>
  </si>
  <si>
    <t>STARLINK-31079</t>
  </si>
  <si>
    <t>STARLINK-31052</t>
  </si>
  <si>
    <t>STARLINK-31074</t>
  </si>
  <si>
    <t>STARLINK-31071</t>
  </si>
  <si>
    <t>STARLINK-31080</t>
  </si>
  <si>
    <t>STARLINK-31088</t>
  </si>
  <si>
    <t>STARLINK-31038</t>
  </si>
  <si>
    <t>STARLINK-31082</t>
  </si>
  <si>
    <t>STARLINK-31069</t>
  </si>
  <si>
    <t>STARLINK-31067</t>
  </si>
  <si>
    <t>STARLINK-31085</t>
  </si>
  <si>
    <t>STARLINK-31089</t>
  </si>
  <si>
    <t>STARLINK-31061</t>
  </si>
  <si>
    <t>STARLINK-31119</t>
  </si>
  <si>
    <t>STARLINK-31054</t>
  </si>
  <si>
    <t>STARLINK-31118</t>
  </si>
  <si>
    <t>STARLINK-31134</t>
  </si>
  <si>
    <t>STARLINK-31133</t>
  </si>
  <si>
    <t>STARLINK-31068</t>
  </si>
  <si>
    <t>STARLINK-31129</t>
  </si>
  <si>
    <t>STARLINK-30774</t>
  </si>
  <si>
    <t>STARLINK-31086</t>
  </si>
  <si>
    <t>STARLINK-31065</t>
  </si>
  <si>
    <t>STARLINK-31092</t>
  </si>
  <si>
    <t>STARLINK-31091</t>
  </si>
  <si>
    <t>STARLINK-31084</t>
  </si>
  <si>
    <t>STARLINK-31064</t>
  </si>
  <si>
    <t>STARLINK-31081</t>
  </si>
  <si>
    <t>STARLINK-31022</t>
  </si>
  <si>
    <t>STARLINK-31025</t>
  </si>
  <si>
    <t>STARLINK-31018</t>
  </si>
  <si>
    <t>STARLINK-31008</t>
  </si>
  <si>
    <t>STARLINK-31077</t>
  </si>
  <si>
    <t>STARLINK-31078</t>
  </si>
  <si>
    <t>STARLINK-31070</t>
  </si>
  <si>
    <t>STARLINK-31090</t>
  </si>
  <si>
    <t>STARLINK-31130</t>
  </si>
  <si>
    <t>STARLINK-31113</t>
  </si>
  <si>
    <t>STARLINK-31128</t>
  </si>
  <si>
    <t>STARLINK-31083</t>
  </si>
  <si>
    <t>STARLINK-30828</t>
  </si>
  <si>
    <t>STARLINK-31104</t>
  </si>
  <si>
    <t>STARLINK-31131</t>
  </si>
  <si>
    <t>STARLINK-31124</t>
  </si>
  <si>
    <t>STARLINK-31126</t>
  </si>
  <si>
    <t>STARLINK-31066</t>
  </si>
  <si>
    <t>STARLINK-31058</t>
  </si>
  <si>
    <t>STARLINK-31125</t>
  </si>
  <si>
    <t>STARLINK-31110</t>
  </si>
  <si>
    <t>STARLINK-31112</t>
  </si>
  <si>
    <t>STARLINK-31147</t>
  </si>
  <si>
    <t>STARLINK-31144</t>
  </si>
  <si>
    <t>STARLINK-31095</t>
  </si>
  <si>
    <t>STARLINK-31107</t>
  </si>
  <si>
    <t>STARLINK-31121</t>
  </si>
  <si>
    <t>STARLINK-31137</t>
  </si>
  <si>
    <t>STARLINK-31109</t>
  </si>
  <si>
    <t>STARLINK-31139</t>
  </si>
  <si>
    <t>STARLINK-31106</t>
  </si>
  <si>
    <t>STARLINK-31115</t>
  </si>
  <si>
    <t>STARLINK-31180</t>
  </si>
  <si>
    <t>STARLINK-31164</t>
  </si>
  <si>
    <t>STARLINK-31152</t>
  </si>
  <si>
    <t>STARLINK-31157</t>
  </si>
  <si>
    <t>STARLINK-31076</t>
  </si>
  <si>
    <t>STARLINK-31101</t>
  </si>
  <si>
    <t>STARLINK-31108</t>
  </si>
  <si>
    <t>STARLINK-31042</t>
  </si>
  <si>
    <t>STARLINK-31159</t>
  </si>
  <si>
    <t>STARLINK-31148</t>
  </si>
  <si>
    <t>STARLINK-31151</t>
  </si>
  <si>
    <t>STARLINK-31156</t>
  </si>
  <si>
    <t>STARLINK-31167</t>
  </si>
  <si>
    <t>STARLINK-31176</t>
  </si>
  <si>
    <t>STARLINK-31181</t>
  </si>
  <si>
    <t>STARLINK-31183</t>
  </si>
  <si>
    <t>STARLINK-31165</t>
  </si>
  <si>
    <t>STARLINK-31160</t>
  </si>
  <si>
    <t>STARLINK-31179</t>
  </si>
  <si>
    <t>STARLINK-31189</t>
  </si>
  <si>
    <t>STARLINK-31185</t>
  </si>
  <si>
    <t>STARLINK-31166</t>
  </si>
  <si>
    <t>STARLINK-31187</t>
  </si>
  <si>
    <t>STARLINK-31162</t>
  </si>
  <si>
    <t>STARLINK-31184</t>
  </si>
  <si>
    <t>STARLINK-31192</t>
  </si>
  <si>
    <t>STARLINK-31161</t>
  </si>
  <si>
    <t>STARLINK-31195</t>
  </si>
  <si>
    <t>STARLINK-31193</t>
  </si>
  <si>
    <t>STARLINK-31168</t>
  </si>
  <si>
    <t>STARLINK-31191</t>
  </si>
  <si>
    <t>STARLINK-31170</t>
  </si>
  <si>
    <t>STARLINK-31141</t>
  </si>
  <si>
    <t>STARLINK-31188</t>
  </si>
  <si>
    <t>STARLINK-31138</t>
  </si>
  <si>
    <t>STARLINK-31163</t>
  </si>
  <si>
    <t>STARLINK-31174</t>
  </si>
  <si>
    <t>STARLINK-31169</t>
  </si>
  <si>
    <t>STARLINK-31238</t>
  </si>
  <si>
    <t>STARLINK-31158</t>
  </si>
  <si>
    <t>STARLINK-31237</t>
  </si>
  <si>
    <t>STARLINK-31244</t>
  </si>
  <si>
    <t>STARLINK-31216</t>
  </si>
  <si>
    <t>STARLINK-31226</t>
  </si>
  <si>
    <t>STARLINK-31197</t>
  </si>
  <si>
    <t>STARLINK-31213</t>
  </si>
  <si>
    <t>STARLINK-31199</t>
  </si>
  <si>
    <t>STARLINK-31200</t>
  </si>
  <si>
    <t>STARLINK-31149</t>
  </si>
  <si>
    <t>STARLINK-31242</t>
  </si>
  <si>
    <t>STARLINK-31223</t>
  </si>
  <si>
    <t>STARLINK-31219</t>
  </si>
  <si>
    <t>STARLINK-31198</t>
  </si>
  <si>
    <t>STARLINK-31196</t>
  </si>
  <si>
    <t>STARLINK-31203</t>
  </si>
  <si>
    <t>STARLINK-31201</t>
  </si>
  <si>
    <t>STARLINK-31214</t>
  </si>
  <si>
    <t>STARLINK-31215</t>
  </si>
  <si>
    <t>STARLINK-31177</t>
  </si>
  <si>
    <t>STARLINK-30945</t>
  </si>
  <si>
    <t>STARLINK-31212</t>
  </si>
  <si>
    <t>STARLINK-30996</t>
  </si>
  <si>
    <t>STARLINK-31006</t>
  </si>
  <si>
    <t>STARLINK-31178</t>
  </si>
  <si>
    <t>STARLINK-30863</t>
  </si>
  <si>
    <t>STARLINK-31206</t>
  </si>
  <si>
    <t>STARLINK-31224</t>
  </si>
  <si>
    <t>STARLINK-31186</t>
  </si>
  <si>
    <t>STARLINK-31211</t>
  </si>
  <si>
    <t>STARLINK-30862</t>
  </si>
  <si>
    <t>STARLINK-31210</t>
  </si>
  <si>
    <t>STARLINK-31231</t>
  </si>
  <si>
    <t>STARLINK-31207</t>
  </si>
  <si>
    <t>STARLINK-31217</t>
  </si>
  <si>
    <t>STARLINK-31208</t>
  </si>
  <si>
    <t>STARLINK-31235</t>
  </si>
  <si>
    <t>STARLINK-31220</t>
  </si>
  <si>
    <t>STARLINK-31225</t>
  </si>
  <si>
    <t>STARLINK-31240</t>
  </si>
  <si>
    <t>STARLINK-31202</t>
  </si>
  <si>
    <t>STARLINK-31234</t>
  </si>
  <si>
    <t>STARLINK-31153</t>
  </si>
  <si>
    <t>STARLINK-31241</t>
  </si>
  <si>
    <t>STARLINK-31205</t>
  </si>
  <si>
    <t>STARLINK-31265</t>
  </si>
  <si>
    <t>STARLINK-31276</t>
  </si>
  <si>
    <t>STARLINK-31259</t>
  </si>
  <si>
    <t>STARLINK-31281</t>
  </si>
  <si>
    <t>STARLINK-31274</t>
  </si>
  <si>
    <t>STARLINK-31257</t>
  </si>
  <si>
    <t>STARLINK-31299</t>
  </si>
  <si>
    <t>STARLINK-31292</t>
  </si>
  <si>
    <t>STARLINK-31286</t>
  </si>
  <si>
    <t>STARLINK-31252</t>
  </si>
  <si>
    <t>STARLINK-31261</t>
  </si>
  <si>
    <t>STARLINK-31290</t>
  </si>
  <si>
    <t>STARLINK-31279</t>
  </si>
  <si>
    <t>STARLINK-31266</t>
  </si>
  <si>
    <t>STARLINK-31313</t>
  </si>
  <si>
    <t>STARLINK-31307</t>
  </si>
  <si>
    <t>STARLINK-31316</t>
  </si>
  <si>
    <t>STARLINK-31352</t>
  </si>
  <si>
    <t>STARLINK-31310</t>
  </si>
  <si>
    <t>STARLINK-31343</t>
  </si>
  <si>
    <t>STARLINK-31302</t>
  </si>
  <si>
    <t>STARLINK-31295</t>
  </si>
  <si>
    <t>STARLINK-31291</t>
  </si>
  <si>
    <t>STARLINK-31312</t>
  </si>
  <si>
    <t>STARLINK-31308</t>
  </si>
  <si>
    <t>STARLINK-31270</t>
  </si>
  <si>
    <t>STARLINK-31341</t>
  </si>
  <si>
    <t>STARLINK-31338</t>
  </si>
  <si>
    <t>STARLINK-31334</t>
  </si>
  <si>
    <t>STARLINK-31297</t>
  </si>
  <si>
    <t>STARLINK-31182</t>
  </si>
  <si>
    <t>STARLINK-31327</t>
  </si>
  <si>
    <t>STARLINK-31256</t>
  </si>
  <si>
    <t>STARLINK-31272</t>
  </si>
  <si>
    <t>STARLINK-31278</t>
  </si>
  <si>
    <t>STARLINK-31309</t>
  </si>
  <si>
    <t>STARLINK-31325</t>
  </si>
  <si>
    <t>STARLINK-31342</t>
  </si>
  <si>
    <t>STARLINK-31298</t>
  </si>
  <si>
    <t>STARLINK-31322</t>
  </si>
  <si>
    <t>STARLINK-31329</t>
  </si>
  <si>
    <t>STARLINK-31340</t>
  </si>
  <si>
    <t>STARLINK-31344</t>
  </si>
  <si>
    <t>STARLINK-31348</t>
  </si>
  <si>
    <t>STARLINK-31289</t>
  </si>
  <si>
    <t>STARLINK-31283</t>
  </si>
  <si>
    <t>STARLINK-31439</t>
  </si>
  <si>
    <t>STARLINK-31410</t>
  </si>
  <si>
    <t>STARLINK-31395</t>
  </si>
  <si>
    <t>STARLINK-31486</t>
  </si>
  <si>
    <t>STARLINK-31411</t>
  </si>
  <si>
    <t>STARLINK-31347</t>
  </si>
  <si>
    <t>STARLINK-31382</t>
  </si>
  <si>
    <t>STARLINK-31394</t>
  </si>
  <si>
    <t>STARLINK-31403</t>
  </si>
  <si>
    <t>STARLINK-31514</t>
  </si>
  <si>
    <t>STARLINK-31478</t>
  </si>
  <si>
    <t>STARLINK-31498</t>
  </si>
  <si>
    <t>STARLINK-31563</t>
  </si>
  <si>
    <t>STARLINK-31551</t>
  </si>
  <si>
    <t>STARLINK-31536</t>
  </si>
  <si>
    <t>STARLINK-31548</t>
  </si>
  <si>
    <t>STARLINK-31542</t>
  </si>
  <si>
    <t>STARLINK-31554</t>
  </si>
  <si>
    <t>STARLINK-31558</t>
  </si>
  <si>
    <t>STARLINK-31275</t>
  </si>
  <si>
    <t>STARLINK-31590</t>
  </si>
  <si>
    <t>STARLINK-31567</t>
  </si>
  <si>
    <t>STARLINK-31503</t>
  </si>
  <si>
    <t>STARLINK-31304</t>
  </si>
  <si>
    <t>STARLINK-31305</t>
  </si>
  <si>
    <t>STARLINK-31459</t>
  </si>
  <si>
    <t>STARLINK-31438</t>
  </si>
  <si>
    <t>STARLINK-31467</t>
  </si>
  <si>
    <t>STARLINK-31444</t>
  </si>
  <si>
    <t>STARLINK-31505</t>
  </si>
  <si>
    <t>STARLINK-31494</t>
  </si>
  <si>
    <t>STARLINK-31303</t>
  </si>
  <si>
    <t>STARLINK-31408</t>
  </si>
  <si>
    <t>STARLINK-31427</t>
  </si>
  <si>
    <t>STARLINK-31423</t>
  </si>
  <si>
    <t>STARLINK-31433</t>
  </si>
  <si>
    <t>STARLINK-31285</t>
  </si>
  <si>
    <t>STARLINK-31268</t>
  </si>
  <si>
    <t>STARLINK-31284</t>
  </si>
  <si>
    <t>STARLINK-31424</t>
  </si>
  <si>
    <t>STARLINK-31405</t>
  </si>
  <si>
    <t>STARLINK-31426</t>
  </si>
  <si>
    <t>STARLINK-31407</t>
  </si>
  <si>
    <t>STARLINK-31393</t>
  </si>
  <si>
    <t>STARLINK-31425</t>
  </si>
  <si>
    <t>STARLINK-31463</t>
  </si>
  <si>
    <t>STARLINK-31487</t>
  </si>
  <si>
    <t>STARLINK-31386</t>
  </si>
  <si>
    <t>STARLINK-31409</t>
  </si>
  <si>
    <t>STARLINK-31489</t>
  </si>
  <si>
    <t>STARLINK-31502</t>
  </si>
  <si>
    <t>STARLINK-31447</t>
  </si>
  <si>
    <t>STARLINK-31504</t>
  </si>
  <si>
    <t>STARLINK-31474</t>
  </si>
  <si>
    <t>STARLINK-31500</t>
  </si>
  <si>
    <t>STARLINK-31480</t>
  </si>
  <si>
    <t>STARLINK-31282</t>
  </si>
  <si>
    <t>STARLINK-31485</t>
  </si>
  <si>
    <t>STARLINK-31455</t>
  </si>
  <si>
    <t>STARLINK-31475</t>
  </si>
  <si>
    <t>STARLINK-31445</t>
  </si>
  <si>
    <t>STARLINK-31495</t>
  </si>
  <si>
    <t>STARLINK-31477</t>
  </si>
  <si>
    <t>STARLINK-31446</t>
  </si>
  <si>
    <t>STARLINK-31479</t>
  </si>
  <si>
    <t>STARLINK-31349</t>
  </si>
  <si>
    <t>STARLINK-31464</t>
  </si>
  <si>
    <t>STARLINK-31402</t>
  </si>
  <si>
    <t>STARLINK-31578</t>
  </si>
  <si>
    <t>STARLINK-31530</t>
  </si>
  <si>
    <t>STARLINK-31565</t>
  </si>
  <si>
    <t>STARLINK-31570</t>
  </si>
  <si>
    <t>STARLINK-31611</t>
  </si>
  <si>
    <t>STARLINK-31632</t>
  </si>
  <si>
    <t>STARLINK-31599</t>
  </si>
  <si>
    <t>STARLINK-31614</t>
  </si>
  <si>
    <t>STARLINK-31493</t>
  </si>
  <si>
    <t>STARLINK-31634</t>
  </si>
  <si>
    <t>STARLINK-31633</t>
  </si>
  <si>
    <t>STARLINK-31594</t>
  </si>
  <si>
    <t>STARLINK-31572</t>
  </si>
  <si>
    <t>STARLINK-31573</t>
  </si>
  <si>
    <t>STARLINK-31588</t>
  </si>
  <si>
    <t>STARLINK-31596</t>
  </si>
  <si>
    <t>STARLINK-31612</t>
  </si>
  <si>
    <t>STARLINK-31550</t>
  </si>
  <si>
    <t>STARLINK-31473</t>
  </si>
  <si>
    <t>STARLINK-31562</t>
  </si>
  <si>
    <t>STARLINK-31600</t>
  </si>
  <si>
    <t>STARLINK-31628</t>
  </si>
  <si>
    <t>STARLINK-31605</t>
  </si>
  <si>
    <t>STARLINK-31532</t>
  </si>
  <si>
    <t>STARLINK-31593</t>
  </si>
  <si>
    <t>STARLINK-31555</t>
  </si>
  <si>
    <t>STARLINK-31561</t>
  </si>
  <si>
    <t>STARLINK-31413</t>
  </si>
  <si>
    <t>STARLINK-31422</t>
  </si>
  <si>
    <t>STARLINK-31416</t>
  </si>
  <si>
    <t>STARLINK-31552</t>
  </si>
  <si>
    <t>STARLINK-31557</t>
  </si>
  <si>
    <t>STARLINK-31559</t>
  </si>
  <si>
    <t>STARLINK-31501</t>
  </si>
  <si>
    <t>STARLINK-31549</t>
  </si>
  <si>
    <t>STARLINK-31560</t>
  </si>
  <si>
    <t>STARLINK-31571</t>
  </si>
  <si>
    <t>STARLINK-31553</t>
  </si>
  <si>
    <t>STARLINK-31547</t>
  </si>
  <si>
    <t>STARLINK-31537</t>
  </si>
  <si>
    <t>STARLINK-31451</t>
  </si>
  <si>
    <t>STARLINK-31428</t>
  </si>
  <si>
    <t>STARLINK-31419</t>
  </si>
  <si>
    <t>STARLINK-31583</t>
  </si>
  <si>
    <t>STARLINK-31461</t>
  </si>
  <si>
    <t>STARLINK-31534</t>
  </si>
  <si>
    <t>STARLINK-31544</t>
  </si>
  <si>
    <t>STARLINK-31545</t>
  </si>
  <si>
    <t>STARLINK-31507</t>
  </si>
  <si>
    <t>STARLINK-31543</t>
  </si>
  <si>
    <t>STARLINK-31366</t>
  </si>
  <si>
    <t>STARLINK-31374</t>
  </si>
  <si>
    <t>STARLINK-31400</t>
  </si>
  <si>
    <t>STARLINK-31391</t>
  </si>
  <si>
    <t>STARLINK-31387</t>
  </si>
  <si>
    <t>STARLINK-31396</t>
  </si>
  <si>
    <t>STARLINK-31412</t>
  </si>
  <si>
    <t>STARLINK-31483</t>
  </si>
  <si>
    <t>STARLINK-31568</t>
  </si>
  <si>
    <t>STARLINK-31615</t>
  </si>
  <si>
    <t>STARLINK-31457</t>
  </si>
  <si>
    <t>STARLINK-31398</t>
  </si>
  <si>
    <t>STARLINK-31399</t>
  </si>
  <si>
    <t>STARLINK-31401</t>
  </si>
  <si>
    <t>STARLINK-31414</t>
  </si>
  <si>
    <t>STARLINK-31415</t>
  </si>
  <si>
    <t>STARLINK-31466</t>
  </si>
  <si>
    <t>STARLINK-31622</t>
  </si>
  <si>
    <t>STARLINK-31319</t>
  </si>
  <si>
    <t>STARLINK-31625</t>
  </si>
  <si>
    <t>STARLINK-31631</t>
  </si>
  <si>
    <t>STARLINK-31620</t>
  </si>
  <si>
    <t>STARLINK-31511</t>
  </si>
  <si>
    <t>STARLINK-31364</t>
  </si>
  <si>
    <t>STARLINK-31597</t>
  </si>
  <si>
    <t>STARLINK-31621</t>
  </si>
  <si>
    <t>STARLINK-31462</t>
  </si>
  <si>
    <t>STARLINK-31592</t>
  </si>
  <si>
    <t>STARLINK-31267</t>
  </si>
  <si>
    <t>STARLINK-31381</t>
  </si>
  <si>
    <t>STARLINK-31546</t>
  </si>
  <si>
    <t>STARLINK-31575</t>
  </si>
  <si>
    <t>STARLINK-31610</t>
  </si>
  <si>
    <t>STARLINK-31581</t>
  </si>
  <si>
    <t>STARLINK-31566</t>
  </si>
  <si>
    <t>STARLINK-31515</t>
  </si>
  <si>
    <t>STARLINK-31531</t>
  </si>
  <si>
    <t>STARLINK-31753</t>
  </si>
  <si>
    <t>STARLINK-31733</t>
  </si>
  <si>
    <t>STARLINK-31657</t>
  </si>
  <si>
    <t>STARLINK-31754</t>
  </si>
  <si>
    <t>STARLINK-31638</t>
  </si>
  <si>
    <t>STARLINK-31670</t>
  </si>
  <si>
    <t>STARLINK-31712</t>
  </si>
  <si>
    <t>STARLINK-31684</t>
  </si>
  <si>
    <t>STARLINK-31678</t>
  </si>
  <si>
    <t>STARLINK-31744</t>
  </si>
  <si>
    <t>STARLINK-31719</t>
  </si>
  <si>
    <t>STARLINK-31728</t>
  </si>
  <si>
    <t>STARLINK-31720</t>
  </si>
  <si>
    <t>STARLINK-31731</t>
  </si>
  <si>
    <t>STARLINK-31742</t>
  </si>
  <si>
    <t>STARLINK-31512</t>
  </si>
  <si>
    <t>STARLINK-31458</t>
  </si>
  <si>
    <t>STARLINK-31357</t>
  </si>
  <si>
    <t>STARLINK-31508</t>
  </si>
  <si>
    <t>STARLINK-31535</t>
  </si>
  <si>
    <t>STARLINK-31533</t>
  </si>
  <si>
    <t>STARLINK-31524</t>
  </si>
  <si>
    <t>STARLINK-31635</t>
  </si>
  <si>
    <t>STARLINK-31650</t>
  </si>
  <si>
    <t>STARLINK-31658</t>
  </si>
  <si>
    <t>STARLINK-31669</t>
  </si>
  <si>
    <t>STARLINK-31671</t>
  </si>
  <si>
    <t>STARLINK-31674</t>
  </si>
  <si>
    <t>STARLINK-31679</t>
  </si>
  <si>
    <t>STARLINK-31370</t>
  </si>
  <si>
    <t>STARLINK-31404</t>
  </si>
  <si>
    <t>STARLINK-31453</t>
  </si>
  <si>
    <t>STARLINK-31476</t>
  </si>
  <si>
    <t>STARLINK-31538</t>
  </si>
  <si>
    <t>STARLINK-31564</t>
  </si>
  <si>
    <t>STARLINK-31452</t>
  </si>
  <si>
    <t>STARLINK-31513</t>
  </si>
  <si>
    <t>STARLINK-31392</t>
  </si>
  <si>
    <t>STARLINK-31619</t>
  </si>
  <si>
    <t>STARLINK-31509</t>
  </si>
  <si>
    <t>STARLINK-31734</t>
  </si>
  <si>
    <t>STARLINK-31738</t>
  </si>
  <si>
    <t>STARLINK-31721</t>
  </si>
  <si>
    <t>STARLINK-31737</t>
  </si>
  <si>
    <t>STARLINK-31725</t>
  </si>
  <si>
    <t>STARLINK-31539</t>
  </si>
  <si>
    <t>STARLINK-31397</t>
  </si>
  <si>
    <t>STARLINK-31481</t>
  </si>
  <si>
    <t>STARLINK-31540</t>
  </si>
  <si>
    <t>STARLINK-31574</t>
  </si>
  <si>
    <t>STARLINK-31556</t>
  </si>
  <si>
    <t>STARLINK-31582</t>
  </si>
  <si>
    <t>STARLINK-31519</t>
  </si>
  <si>
    <t>STARLINK-31736</t>
  </si>
  <si>
    <t>STARLINK-31675</t>
  </si>
  <si>
    <t>STARLINK-31722</t>
  </si>
  <si>
    <t>STARLINK-31741</t>
  </si>
  <si>
    <t>STARLINK-31699</t>
  </si>
  <si>
    <t>STARLINK-31750</t>
  </si>
  <si>
    <t>STARLINK-31723</t>
  </si>
  <si>
    <t>STARLINK-31724</t>
  </si>
  <si>
    <t>STARLINK-31730</t>
  </si>
  <si>
    <t>STARLINK-31718</t>
  </si>
  <si>
    <t>STARLINK-31747</t>
  </si>
  <si>
    <t>STARLINK-31388</t>
  </si>
  <si>
    <t>STARLINK-31332</t>
  </si>
  <si>
    <t>STARLINK-31689</t>
  </si>
  <si>
    <t>STARLINK-31471</t>
  </si>
  <si>
    <t>STARLINK-31470</t>
  </si>
  <si>
    <t>STARLINK-31587</t>
  </si>
  <si>
    <t>STARLINK-31606</t>
  </si>
  <si>
    <t>STARLINK-31666</t>
  </si>
  <si>
    <t>STARLINK-31683</t>
  </si>
  <si>
    <t>STARLINK-31751</t>
  </si>
  <si>
    <t>STARLINK-31510</t>
  </si>
  <si>
    <t>STARLINK-31663</t>
  </si>
  <si>
    <t>STARLINK-31692</t>
  </si>
  <si>
    <t>STARLINK-31685</t>
  </si>
  <si>
    <t>STARLINK-31686</t>
  </si>
  <si>
    <t>STARLINK-31668</t>
  </si>
  <si>
    <t>STARLINK-31690</t>
  </si>
  <si>
    <t>STARLINK-31701</t>
  </si>
  <si>
    <t>STARLINK-31697</t>
  </si>
  <si>
    <t>STARLINK-31662</t>
  </si>
  <si>
    <t>STARLINK-31702</t>
  </si>
  <si>
    <t>STARLINK-31704</t>
  </si>
  <si>
    <t>STARLINK-31770</t>
  </si>
  <si>
    <t>STARLINK-31778</t>
  </si>
  <si>
    <t>STARLINK-31776</t>
  </si>
  <si>
    <t>STARLINK-31765</t>
  </si>
  <si>
    <t>STARLINK-31767</t>
  </si>
  <si>
    <t>STARLINK-31782</t>
  </si>
  <si>
    <t>STARLINK-31755</t>
  </si>
  <si>
    <t>STARLINK-31585</t>
  </si>
  <si>
    <t>STARLINK-31667</t>
  </si>
  <si>
    <t>STARLINK-31729</t>
  </si>
  <si>
    <t>STARLINK-31448</t>
  </si>
  <si>
    <t>STARLINK-31748</t>
  </si>
  <si>
    <t>STARLINK-31746</t>
  </si>
  <si>
    <t>STARLINK-31762</t>
  </si>
  <si>
    <t>STARLINK-31761</t>
  </si>
  <si>
    <t>STARLINK-31768</t>
  </si>
  <si>
    <t>STARLINK-31769</t>
  </si>
  <si>
    <t>STARLINK-31784</t>
  </si>
  <si>
    <t>STARLINK-31777</t>
  </si>
  <si>
    <t>STARLINK-31758</t>
  </si>
  <si>
    <t>STARLINK-31774</t>
  </si>
  <si>
    <t>STARLINK-31763</t>
  </si>
  <si>
    <t>STARLINK-31749</t>
  </si>
  <si>
    <t>STARLINK-31781</t>
  </si>
  <si>
    <t>STARLINK-31541</t>
  </si>
  <si>
    <t>STARLINK-31797</t>
  </si>
  <si>
    <t>STARLINK-31798</t>
  </si>
  <si>
    <t>STARLINK-31802</t>
  </si>
  <si>
    <t>STARLINK-31791</t>
  </si>
  <si>
    <t>STARLINK-31727</t>
  </si>
  <si>
    <t>STARLINK-31807</t>
  </si>
  <si>
    <t>STARLINK-31806</t>
  </si>
  <si>
    <t>STARLINK-31804</t>
  </si>
  <si>
    <t>STARLINK-31660</t>
  </si>
  <si>
    <t>STARLINK-31800</t>
  </si>
  <si>
    <t>STARLINK-31789</t>
  </si>
  <si>
    <t>STARLINK-31795</t>
  </si>
  <si>
    <t>STARLINK-31796</t>
  </si>
  <si>
    <t>STARLINK-31801</t>
  </si>
  <si>
    <t>STARLINK-31787</t>
  </si>
  <si>
    <t>STARLINK-31277</t>
  </si>
  <si>
    <t>STARLINK-31799</t>
  </si>
  <si>
    <t>STARLINK-31764</t>
  </si>
  <si>
    <t>STARLINK-31589</t>
  </si>
  <si>
    <t>STARLINK-31665</t>
  </si>
  <si>
    <t>STARLINK-31912</t>
  </si>
  <si>
    <t>STARLINK-31904</t>
  </si>
  <si>
    <t>STARLINK-31858</t>
  </si>
  <si>
    <t>STARLINK-31881</t>
  </si>
  <si>
    <t>STARLINK-31885</t>
  </si>
  <si>
    <t>STARLINK-31880</t>
  </si>
  <si>
    <t>STARLINK-31886</t>
  </si>
  <si>
    <t>STARLINK-31909</t>
  </si>
  <si>
    <t>STARLINK-31910</t>
  </si>
  <si>
    <t>STARLINK-31902</t>
  </si>
  <si>
    <t>STARLINK-31913</t>
  </si>
  <si>
    <t>STARLINK-31866</t>
  </si>
  <si>
    <t>STARLINK-31917</t>
  </si>
  <si>
    <t>STARLINK-31860</t>
  </si>
  <si>
    <t>STARLINK-31854</t>
  </si>
  <si>
    <t>STARLINK-31842</t>
  </si>
  <si>
    <t>STARLINK-31871</t>
  </si>
  <si>
    <t>STARLINK-31875</t>
  </si>
  <si>
    <t>STARLINK-31877</t>
  </si>
  <si>
    <t>STARLINK-31884</t>
  </si>
  <si>
    <t>STARLINK-32108</t>
  </si>
  <si>
    <t>STARLINK-32080</t>
  </si>
  <si>
    <t>STARLINK-32091</t>
  </si>
  <si>
    <t>STARLINK-32085</t>
  </si>
  <si>
    <t>STARLINK-32100</t>
  </si>
  <si>
    <t>STARLINK-32089</t>
  </si>
  <si>
    <t>STARLINK-32103</t>
  </si>
  <si>
    <t>STARLINK-32105</t>
  </si>
  <si>
    <t>STARLINK-32106</t>
  </si>
  <si>
    <t>STARLINK-32090</t>
  </si>
  <si>
    <t>STARLINK-32088</t>
  </si>
  <si>
    <t>STARLINK-32107</t>
  </si>
  <si>
    <t>STARLINK-32104</t>
  </si>
  <si>
    <t>STARLINK-32094</t>
  </si>
  <si>
    <t>STARLINK-32099</t>
  </si>
  <si>
    <t>STARLINK-32096</t>
  </si>
  <si>
    <t>STARLINK-32102</t>
  </si>
  <si>
    <t>STARLINK-32092</t>
  </si>
  <si>
    <t>STARLINK-32093</t>
  </si>
  <si>
    <t>STARLINK-32087</t>
  </si>
  <si>
    <t>STARLINK-32086</t>
  </si>
  <si>
    <t>STARLINK-32098</t>
  </si>
  <si>
    <t>STARLINK-31472</t>
  </si>
  <si>
    <t>STARLINK-31817</t>
  </si>
  <si>
    <t>STARLINK-31833</t>
  </si>
  <si>
    <t>STARLINK-31849</t>
  </si>
  <si>
    <t>STARLINK-31661</t>
  </si>
  <si>
    <t>STARLINK-31707</t>
  </si>
  <si>
    <t>STARLINK-31821</t>
  </si>
  <si>
    <t>STARLINK-31819</t>
  </si>
  <si>
    <t>STARLINK-31726</t>
  </si>
  <si>
    <t>STARLINK-31759</t>
  </si>
  <si>
    <t>STARLINK-31818</t>
  </si>
  <si>
    <t>STARLINK-31816</t>
  </si>
  <si>
    <t>STARLINK-31809</t>
  </si>
  <si>
    <t>STARLINK-31779</t>
  </si>
  <si>
    <t>STARLINK-31805</t>
  </si>
  <si>
    <t>STARLINK-31681</t>
  </si>
  <si>
    <t>STARLINK-31636</t>
  </si>
  <si>
    <t>STARLINK-31640</t>
  </si>
  <si>
    <t>STARLINK-31677</t>
  </si>
  <si>
    <t>STARLINK-31783</t>
  </si>
  <si>
    <t>STARLINK-31808</t>
  </si>
  <si>
    <t>STARLINK-31822</t>
  </si>
  <si>
    <t>STARLINK-31363</t>
  </si>
  <si>
    <t>STARLINK-31868</t>
  </si>
  <si>
    <t>STARLINK-31848</t>
  </si>
  <si>
    <t>STARLINK-31890</t>
  </si>
  <si>
    <t>STARLINK-31862</t>
  </si>
  <si>
    <t>STARLINK-31870</t>
  </si>
  <si>
    <t>STARLINK-31888</t>
  </si>
  <si>
    <t>STARLINK-31863</t>
  </si>
  <si>
    <t>STARLINK-31873</t>
  </si>
  <si>
    <t>STARLINK-31865</t>
  </si>
  <si>
    <t>STARLINK-31823</t>
  </si>
  <si>
    <t>STARLINK-31916</t>
  </si>
  <si>
    <t>STARLINK-31907</t>
  </si>
  <si>
    <t>STARLINK-31687</t>
  </si>
  <si>
    <t>STARLINK-31810</t>
  </si>
  <si>
    <t>STARLINK-31812</t>
  </si>
  <si>
    <t>STARLINK-31815</t>
  </si>
  <si>
    <t>STARLINK-31814</t>
  </si>
  <si>
    <t>STARLINK-31794</t>
  </si>
  <si>
    <t>STARLINK-31824</t>
  </si>
  <si>
    <t>STARLINK-31947</t>
  </si>
  <si>
    <t>STARLINK-31929</t>
  </si>
  <si>
    <t>STARLINK-31927</t>
  </si>
  <si>
    <t>STARLINK-31855</t>
  </si>
  <si>
    <t>STARLINK-31887</t>
  </si>
  <si>
    <t>STARLINK-31852</t>
  </si>
  <si>
    <t>STARLINK-31906</t>
  </si>
  <si>
    <t>STARLINK-31857</t>
  </si>
  <si>
    <t>STARLINK-31851</t>
  </si>
  <si>
    <t>STARLINK-31903</t>
  </si>
  <si>
    <t>STARLINK-31922</t>
  </si>
  <si>
    <t>STARLINK-31889</t>
  </si>
  <si>
    <t>STARLINK-31859</t>
  </si>
  <si>
    <t>STARLINK-31895</t>
  </si>
  <si>
    <t>STARLINK-31899</t>
  </si>
  <si>
    <t>STARLINK-31896</t>
  </si>
  <si>
    <t>STARLINK-31892</t>
  </si>
  <si>
    <t>STARLINK-31891</t>
  </si>
  <si>
    <t>STARLINK-31882</t>
  </si>
  <si>
    <t>STARLINK-31691</t>
  </si>
  <si>
    <t>STARLINK-31569</t>
  </si>
  <si>
    <t>STARLINK-31654</t>
  </si>
  <si>
    <t>STARLINK-31442</t>
  </si>
  <si>
    <t>STARLINK-31651</t>
  </si>
  <si>
    <t>STARLINK-31584</t>
  </si>
  <si>
    <t>STARLINK-31950</t>
  </si>
  <si>
    <t>STARLINK-31931</t>
  </si>
  <si>
    <t>STARLINK-31938</t>
  </si>
  <si>
    <t>STARLINK-31941</t>
  </si>
  <si>
    <t>STARLINK-31952</t>
  </si>
  <si>
    <t>STARLINK-31921</t>
  </si>
  <si>
    <t>STARLINK-31760</t>
  </si>
  <si>
    <t>STARLINK-31945</t>
  </si>
  <si>
    <t>STARLINK-31937</t>
  </si>
  <si>
    <t>STARLINK-31940</t>
  </si>
  <si>
    <t>STARLINK-31933</t>
  </si>
  <si>
    <t>STARLINK-31936</t>
  </si>
  <si>
    <t>STARLINK-31935</t>
  </si>
  <si>
    <t>STARLINK-31934</t>
  </si>
  <si>
    <t>STARLINK-31943</t>
  </si>
  <si>
    <t>STARLINK-31926</t>
  </si>
  <si>
    <t>STARLINK-31919</t>
  </si>
  <si>
    <t>STARLINK-31974</t>
  </si>
  <si>
    <t>STARLINK-31975</t>
  </si>
  <si>
    <t>STARLINK-31976</t>
  </si>
  <si>
    <t>STARLINK-31965</t>
  </si>
  <si>
    <t>STARLINK-31969</t>
  </si>
  <si>
    <t>STARLINK-31951</t>
  </si>
  <si>
    <t>STARLINK-31949</t>
  </si>
  <si>
    <t>STARLINK-31977</t>
  </si>
  <si>
    <t>STARLINK-31963</t>
  </si>
  <si>
    <t>STARLINK-31961</t>
  </si>
  <si>
    <t>STARLINK-31964</t>
  </si>
  <si>
    <t>STARLINK-31905</t>
  </si>
  <si>
    <t>STARLINK-31928</t>
  </si>
  <si>
    <t>STARLINK-31953</t>
  </si>
  <si>
    <t>STARLINK-31942</t>
  </si>
  <si>
    <t>STARLINK-31676</t>
  </si>
  <si>
    <t>STARLINK-31908</t>
  </si>
  <si>
    <t>STARLINK-31914</t>
  </si>
  <si>
    <t>STARLINK-31850</t>
  </si>
  <si>
    <t>STARLINK-31924</t>
  </si>
  <si>
    <t>STARLINK-31898</t>
  </si>
  <si>
    <t>STARLINK-31861</t>
  </si>
  <si>
    <t>STARLINK-31920</t>
  </si>
  <si>
    <t>STARLINK-31872</t>
  </si>
  <si>
    <t>STARLINK-31972</t>
  </si>
  <si>
    <t>STARLINK-31958</t>
  </si>
  <si>
    <t>STARLINK-31959</t>
  </si>
  <si>
    <t>STARLINK-31957</t>
  </si>
  <si>
    <t>STARLINK-31968</t>
  </si>
  <si>
    <t>STARLINK-31970</t>
  </si>
  <si>
    <t>STARLINK-31932</t>
  </si>
  <si>
    <t>STARLINK-31956</t>
  </si>
  <si>
    <t>STARLINK-31960</t>
  </si>
  <si>
    <t>STARLINK-31432</t>
  </si>
  <si>
    <t>STARLINK-31853</t>
  </si>
  <si>
    <t>STARLINK-31971</t>
  </si>
  <si>
    <t>STARLINK-31962</t>
  </si>
  <si>
    <t>STARLINK-31879</t>
  </si>
  <si>
    <t>STARLINK-31876</t>
  </si>
  <si>
    <t>STARLINK-31955</t>
  </si>
  <si>
    <t>STARLINK-31946</t>
  </si>
  <si>
    <t>STARLINK-31948</t>
  </si>
  <si>
    <t>STARLINK-31900</t>
  </si>
  <si>
    <t>STARLINK-31973</t>
  </si>
  <si>
    <t>STARLINK-31966</t>
  </si>
  <si>
    <t>STARLINK-32302</t>
  </si>
  <si>
    <t>STARLINK-32364</t>
  </si>
  <si>
    <t>STARLINK-32331</t>
  </si>
  <si>
    <t>STARLINK-32398</t>
  </si>
  <si>
    <t>STARLINK-32365</t>
  </si>
  <si>
    <t>STARLINK-32333</t>
  </si>
  <si>
    <t>STARLINK-32399</t>
  </si>
  <si>
    <t>STARLINK-32421</t>
  </si>
  <si>
    <t>STARLINK-32403</t>
  </si>
  <si>
    <t>STARLINK-32390</t>
  </si>
  <si>
    <t>STARLINK-32348</t>
  </si>
  <si>
    <t>STARLINK-32455</t>
  </si>
  <si>
    <t>STARLINK-32396</t>
  </si>
  <si>
    <t>STARLINK-32355</t>
  </si>
  <si>
    <t>STARLINK-32370</t>
  </si>
  <si>
    <t>STARLINK-32405</t>
  </si>
  <si>
    <t>STARLINK-32419</t>
  </si>
  <si>
    <t>STARLINK-32320</t>
  </si>
  <si>
    <t>STARLINK-32341</t>
  </si>
  <si>
    <t>STARLINK-32339</t>
  </si>
  <si>
    <t>STARLINK-32327</t>
  </si>
  <si>
    <t>STARLINK-32264</t>
  </si>
  <si>
    <t>STARLINK-32337</t>
  </si>
  <si>
    <t>STARLINK-32362</t>
  </si>
  <si>
    <t>STARLINK-32472</t>
  </si>
  <si>
    <t>STARLINK-32352</t>
  </si>
  <si>
    <t>STARLINK-32427</t>
  </si>
  <si>
    <t>STARLINK-32346</t>
  </si>
  <si>
    <t>STARLINK-32330</t>
  </si>
  <si>
    <t>STARLINK-32379</t>
  </si>
  <si>
    <t>STARLINK-32433</t>
  </si>
  <si>
    <t>STARLINK-32394</t>
  </si>
  <si>
    <t>STARLINK-32486</t>
  </si>
  <si>
    <t>STARLINK-32391</t>
  </si>
  <si>
    <t>STARLINK-32483</t>
  </si>
  <si>
    <t>STARLINK-32451</t>
  </si>
  <si>
    <t>STARLINK-32556</t>
  </si>
  <si>
    <t>STARLINK-32466</t>
  </si>
  <si>
    <t>STARLINK-32316</t>
  </si>
  <si>
    <t>STARLINK-32415</t>
  </si>
  <si>
    <t>STARLINK-32393</t>
  </si>
  <si>
    <t>STARLINK-32324</t>
  </si>
  <si>
    <t>STARLINK-32318</t>
  </si>
  <si>
    <t>STARLINK-32401</t>
  </si>
  <si>
    <t>STARLINK-32588</t>
  </si>
  <si>
    <t>STARLINK-32569</t>
  </si>
  <si>
    <t>STARLINK-32303</t>
  </si>
  <si>
    <t>STARLINK-32434</t>
  </si>
  <si>
    <t>STARLINK-32460</t>
  </si>
  <si>
    <t>STARLINK-32559</t>
  </si>
  <si>
    <t>STARLINK-32541</t>
  </si>
  <si>
    <t>STARLINK-32544</t>
  </si>
  <si>
    <t>STARLINK-32555</t>
  </si>
  <si>
    <t>STARLINK-32547</t>
  </si>
  <si>
    <t>STARLINK-32616</t>
  </si>
  <si>
    <t>STARLINK-32605</t>
  </si>
  <si>
    <t>STARLINK-32579</t>
  </si>
  <si>
    <t>STARLINK-32537</t>
  </si>
  <si>
    <t>STARLINK-32564</t>
  </si>
  <si>
    <t>STARLINK-32536</t>
  </si>
  <si>
    <t>STARLINK-32624</t>
  </si>
  <si>
    <t>STARLINK-32622</t>
  </si>
  <si>
    <t>STARLINK-32620</t>
  </si>
  <si>
    <t>STARLINK-32609</t>
  </si>
  <si>
    <t>STARLINK-32567</t>
  </si>
  <si>
    <t>STARLINK-32420</t>
  </si>
  <si>
    <t>STARLINK-32354</t>
  </si>
  <si>
    <t>STARLINK-32361</t>
  </si>
  <si>
    <t>STARLINK-32500</t>
  </si>
  <si>
    <t>STARLINK-32499</t>
  </si>
  <si>
    <t>STARLINK-32372</t>
  </si>
  <si>
    <t>STARLINK-32452</t>
  </si>
  <si>
    <t>STARLINK-32458</t>
  </si>
  <si>
    <t>STARLINK-32487</t>
  </si>
  <si>
    <t>STARLINK-32513</t>
  </si>
  <si>
    <t>STARLINK-32514</t>
  </si>
  <si>
    <t>STARLINK-32498</t>
  </si>
  <si>
    <t>STARLINK-32518</t>
  </si>
  <si>
    <t>STARLINK-32471</t>
  </si>
  <si>
    <t>STARLINK-32450</t>
  </si>
  <si>
    <t>STARLINK-32613</t>
  </si>
  <si>
    <t>STARLINK-32610</t>
  </si>
  <si>
    <t>STARLINK-32612</t>
  </si>
  <si>
    <t>STARLINK-32601</t>
  </si>
  <si>
    <t>STARLINK-32593</t>
  </si>
  <si>
    <t>STARLINK-32586</t>
  </si>
  <si>
    <t>STARLINK-32611</t>
  </si>
  <si>
    <t>STARLINK-32607</t>
  </si>
  <si>
    <t>STARLINK-32606</t>
  </si>
  <si>
    <t>STARLINK-32578</t>
  </si>
  <si>
    <t>STARLINK-32517</t>
  </si>
  <si>
    <t>STARLINK-32522</t>
  </si>
  <si>
    <t>STARLINK-32560</t>
  </si>
  <si>
    <t>STARLINK-32637</t>
  </si>
  <si>
    <t>STARLINK-32582</t>
  </si>
  <si>
    <t>STARLINK-32615</t>
  </si>
  <si>
    <t>STARLINK-32592</t>
  </si>
  <si>
    <t>STARLINK-32225</t>
  </si>
  <si>
    <t>STARLINK-32595</t>
  </si>
  <si>
    <t>STARLINK-32477</t>
  </si>
  <si>
    <t>STARLINK-32480</t>
  </si>
  <si>
    <t>STARLINK-32510</t>
  </si>
  <si>
    <t>STARLINK-32456</t>
  </si>
  <si>
    <t>STARLINK-32509</t>
  </si>
  <si>
    <t>STARLINK-32491</t>
  </si>
  <si>
    <t>STARLINK-32577</t>
  </si>
  <si>
    <t>STARLINK-32618</t>
  </si>
  <si>
    <t>STARLINK-32598</t>
  </si>
  <si>
    <t>STARLINK-32630</t>
  </si>
  <si>
    <t>STARLINK-32599</t>
  </si>
  <si>
    <t>STARLINK-32473</t>
  </si>
  <si>
    <t>STARLINK-32492</t>
  </si>
  <si>
    <t>STARLINK-32496</t>
  </si>
  <si>
    <t>STARLINK-32495</t>
  </si>
  <si>
    <t>STARLINK-32494</t>
  </si>
  <si>
    <t>STARLINK-32408</t>
  </si>
  <si>
    <t>STARLINK-32571</t>
  </si>
  <si>
    <t>STARLINK-32311</t>
  </si>
  <si>
    <t>STARLINK-32470</t>
  </si>
  <si>
    <t>STARLINK-32502</t>
  </si>
  <si>
    <t>STARLINK-32521</t>
  </si>
  <si>
    <t>STARLINK-32549</t>
  </si>
  <si>
    <t>STARLINK-32535</t>
  </si>
  <si>
    <t>STARLINK-32548</t>
  </si>
  <si>
    <t>STARLINK-32525</t>
  </si>
  <si>
    <t>STARLINK-32628</t>
  </si>
  <si>
    <t>STARLINK-32626</t>
  </si>
  <si>
    <t>STARLINK-32608</t>
  </si>
  <si>
    <t>STARLINK-32488</t>
  </si>
  <si>
    <t>STARLINK-32490</t>
  </si>
  <si>
    <t>STARLINK-32557</t>
  </si>
  <si>
    <t>STARLINK-32568</t>
  </si>
  <si>
    <t>STARLINK-32462</t>
  </si>
  <si>
    <t>STARLINK-32463</t>
  </si>
  <si>
    <t>STARLINK-32550</t>
  </si>
  <si>
    <t>STARLINK-32507</t>
  </si>
  <si>
    <t>STARLINK-32245</t>
  </si>
  <si>
    <t>STARLINK-32546</t>
  </si>
  <si>
    <t>STARLINK-32545</t>
  </si>
  <si>
    <t>STARLINK-32554</t>
  </si>
  <si>
    <t>STARLINK-32570</t>
  </si>
  <si>
    <t>STARLINK-32529</t>
  </si>
  <si>
    <t>STARLINK-32464</t>
  </si>
  <si>
    <t>STARLINK-32482</t>
  </si>
  <si>
    <t>STARLINK-32454</t>
  </si>
  <si>
    <t>STARLINK-32485</t>
  </si>
  <si>
    <t>STARLINK-32388</t>
  </si>
  <si>
    <t>STARLINK-32374</t>
  </si>
  <si>
    <t>STARLINK-32384</t>
  </si>
  <si>
    <t>STARLINK-32295</t>
  </si>
  <si>
    <t>STARLINK-32479</t>
  </si>
  <si>
    <t>STARLINK-32468</t>
  </si>
  <si>
    <t>STARLINK-32629</t>
  </si>
  <si>
    <t>STARLINK-32644</t>
  </si>
  <si>
    <t>STARLINK-32623</t>
  </si>
  <si>
    <t>STARLINK-32639</t>
  </si>
  <si>
    <t>STARLINK-32625</t>
  </si>
  <si>
    <t>STARLINK-32635</t>
  </si>
  <si>
    <t>STARLINK-32532</t>
  </si>
  <si>
    <t>STARLINK-32503</t>
  </si>
  <si>
    <t>STARLINK-32508</t>
  </si>
  <si>
    <t>STARLINK-32524</t>
  </si>
  <si>
    <t>STARLINK-32484</t>
  </si>
  <si>
    <t>STARLINK-32497</t>
  </si>
  <si>
    <t>STARLINK-32526</t>
  </si>
  <si>
    <t>STARLINK-32523</t>
  </si>
  <si>
    <t>STARLINK-32551</t>
  </si>
  <si>
    <t>STARLINK-32506</t>
  </si>
  <si>
    <t>STARLINK-32562</t>
  </si>
  <si>
    <t>STARLINK-32558</t>
  </si>
  <si>
    <t>STARLINK-32538</t>
  </si>
  <si>
    <t>STARLINK-32257</t>
  </si>
  <si>
    <t>STARLINK-32407</t>
  </si>
  <si>
    <t>STARLINK-32575</t>
  </si>
  <si>
    <t>STARLINK-32552</t>
  </si>
  <si>
    <t>STARLINK-32534</t>
  </si>
  <si>
    <t>STARLINK-32516</t>
  </si>
  <si>
    <t>STARLINK-32542</t>
  </si>
  <si>
    <t>STARLINK-32600</t>
  </si>
  <si>
    <t>STARLINK-32584</t>
  </si>
  <si>
    <t>STARLINK-32587</t>
  </si>
  <si>
    <t>STARLINK-32602</t>
  </si>
  <si>
    <t>STARLINK-32565</t>
  </si>
  <si>
    <t>STARLINK-32589</t>
  </si>
  <si>
    <t>STARLINK-32581</t>
  </si>
  <si>
    <t>STARLINK-32686</t>
  </si>
  <si>
    <t>STARLINK-32688</t>
  </si>
  <si>
    <t>STARLINK-32684</t>
  </si>
  <si>
    <t>STARLINK-32672</t>
  </si>
  <si>
    <t>STARLINK-32682</t>
  </si>
  <si>
    <t>STARLINK-32663</t>
  </si>
  <si>
    <t>STARLINK-32640</t>
  </si>
  <si>
    <t>STARLINK-32653</t>
  </si>
  <si>
    <t>STARLINK-32647</t>
  </si>
  <si>
    <t>STARLINK-32667</t>
  </si>
  <si>
    <t>STARLINK-32655</t>
  </si>
  <si>
    <t>STARLINK-32665</t>
  </si>
  <si>
    <t>STARLINK-32664</t>
  </si>
  <si>
    <t>STARLINK-32660</t>
  </si>
  <si>
    <t>STARLINK-32448</t>
  </si>
  <si>
    <t>STARLINK-32430</t>
  </si>
  <si>
    <t>STARLINK-32675</t>
  </si>
  <si>
    <t>STARLINK-32671</t>
  </si>
  <si>
    <t>STARLINK-32670</t>
  </si>
  <si>
    <t>STARLINK-32642</t>
  </si>
  <si>
    <t>STARLINK-32668</t>
  </si>
  <si>
    <t>STARLINK-32669</t>
  </si>
  <si>
    <t>STARLINK-32666</t>
  </si>
  <si>
    <t>STARLINK-32662</t>
  </si>
  <si>
    <t>STARLINK-32713</t>
  </si>
  <si>
    <t>STARLINK-32732</t>
  </si>
  <si>
    <t>STARLINK-32328</t>
  </si>
  <si>
    <t>STARLINK-32332</t>
  </si>
  <si>
    <t>STARLINK-32717</t>
  </si>
  <si>
    <t>STARLINK-32757</t>
  </si>
  <si>
    <t>STARLINK-32731</t>
  </si>
  <si>
    <t>STARLINK-32694</t>
  </si>
  <si>
    <t>STARLINK-32708</t>
  </si>
  <si>
    <t>STARLINK-32718</t>
  </si>
  <si>
    <t>STARLINK-32729</t>
  </si>
  <si>
    <t>STARLINK-32739</t>
  </si>
  <si>
    <t>STARLINK-32714</t>
  </si>
  <si>
    <t>STARLINK-32685</t>
  </si>
  <si>
    <t>STARLINK-32691</t>
  </si>
  <si>
    <t>STARLINK-32788</t>
  </si>
  <si>
    <t>STARLINK-32768</t>
  </si>
  <si>
    <t>STARLINK-32792</t>
  </si>
  <si>
    <t>STARLINK-32725</t>
  </si>
  <si>
    <t>STARLINK-32681</t>
  </si>
  <si>
    <t>STARLINK-32679</t>
  </si>
  <si>
    <t>STARLINK-32749</t>
  </si>
  <si>
    <t>STARLINK-32744</t>
  </si>
  <si>
    <t>STARLINK-32701</t>
  </si>
  <si>
    <t>STARLINK-33531</t>
  </si>
  <si>
    <t>STARLINK-33652</t>
  </si>
  <si>
    <t>STARLINK-33707</t>
  </si>
  <si>
    <t>STARLINK-33668</t>
  </si>
  <si>
    <t>STARLINK-33676</t>
  </si>
  <si>
    <t>STARLINK-33711</t>
  </si>
  <si>
    <t>STARLINK-33708</t>
  </si>
  <si>
    <t>STARLINK-33690</t>
  </si>
  <si>
    <t>STARLINK-33694</t>
  </si>
  <si>
    <t>STARLINK-33692</t>
  </si>
  <si>
    <t>STARLINK-33693</t>
  </si>
  <si>
    <t>STARLINK-33677</t>
  </si>
  <si>
    <t>STARLINK-33647</t>
  </si>
  <si>
    <t>STARLINK-33645</t>
  </si>
  <si>
    <t>STARLINK-33670</t>
  </si>
  <si>
    <t>STARLINK-33644</t>
  </si>
  <si>
    <t>STARLINK-33664</t>
  </si>
  <si>
    <t>STARLINK-33649</t>
  </si>
  <si>
    <t>STARLINK-33535</t>
  </si>
  <si>
    <t>STARLINK-33703</t>
  </si>
  <si>
    <t>STARLINK-33709</t>
  </si>
  <si>
    <t>STARLINK-33698</t>
  </si>
  <si>
    <t>STARLINK-33606</t>
  </si>
  <si>
    <t>STARLINK-33686</t>
  </si>
  <si>
    <t>STARLINK-33675</t>
  </si>
  <si>
    <t>STARLINK-33655</t>
  </si>
  <si>
    <t>STARLINK-33608</t>
  </si>
  <si>
    <t>STARLINK-33615</t>
  </si>
  <si>
    <t>STARLINK-33679</t>
  </si>
  <si>
    <t>STARLINK-33706</t>
  </si>
  <si>
    <t>STARLINK-33691</t>
  </si>
  <si>
    <t>STARLINK-33696</t>
  </si>
  <si>
    <t>STARLINK-33701</t>
  </si>
  <si>
    <t>STARLINK-33685</t>
  </si>
  <si>
    <t>STARLINK-33654</t>
  </si>
  <si>
    <t>STARLINK-33697</t>
  </si>
  <si>
    <t>STARLINK-33720</t>
  </si>
  <si>
    <t>STARLINK-33587</t>
  </si>
  <si>
    <t>STARLINK-33637</t>
  </si>
  <si>
    <t>STARLINK-33744</t>
  </si>
  <si>
    <t>STARLINK-33766</t>
  </si>
  <si>
    <t>STARLINK-33765</t>
  </si>
  <si>
    <t>STARLINK-33735</t>
  </si>
  <si>
    <t>STARLINK-33731</t>
  </si>
  <si>
    <t>STARLINK-33718</t>
  </si>
  <si>
    <t>STARLINK-33630</t>
  </si>
  <si>
    <t>STARLINK-33695</t>
  </si>
  <si>
    <t>STARLINK-33713</t>
  </si>
  <si>
    <t>STARLINK-33721</t>
  </si>
  <si>
    <t>STARLINK-33639</t>
  </si>
  <si>
    <t>STARLINK-33688</t>
  </si>
  <si>
    <t>STARLINK-33700</t>
  </si>
  <si>
    <t>STARLINK-33687</t>
  </si>
  <si>
    <t>STARLINK-33716</t>
  </si>
  <si>
    <t>STARLINK-33754</t>
  </si>
  <si>
    <t>STARLINK-32959</t>
  </si>
  <si>
    <t>STARLINK-32956</t>
  </si>
  <si>
    <t>STARLINK-33722</t>
  </si>
  <si>
    <t>STARLINK-33739</t>
  </si>
  <si>
    <t>STARLINK-33683</t>
  </si>
  <si>
    <t>STARLINK-33732</t>
  </si>
  <si>
    <t>STARLINK-33800</t>
  </si>
  <si>
    <t>STARLINK-33632</t>
  </si>
  <si>
    <t>STARLINK-33719</t>
  </si>
  <si>
    <t>STARLINK-33755</t>
  </si>
  <si>
    <t>STARLINK-33752</t>
  </si>
  <si>
    <t>STARLINK-33714</t>
  </si>
  <si>
    <t>STARLINK-33814</t>
  </si>
  <si>
    <t>STARLINK-33817</t>
  </si>
  <si>
    <t>STARLINK-33820</t>
  </si>
  <si>
    <t>STARLINK-33813</t>
  </si>
  <si>
    <t>STARLINK-33834</t>
  </si>
  <si>
    <t>STARLINK-33830</t>
  </si>
  <si>
    <t>STARLINK-33651</t>
  </si>
  <si>
    <t>STARLINK-33788</t>
  </si>
  <si>
    <t>STARLINK-33805</t>
  </si>
  <si>
    <t>STARLINK-33702</t>
  </si>
  <si>
    <t>STARLINK-33666</t>
  </si>
  <si>
    <t>STARLINK-33723</t>
  </si>
  <si>
    <t>STARLINK-33791</t>
  </si>
  <si>
    <t>STARLINK-33831</t>
  </si>
  <si>
    <t>STARLINK-33879</t>
  </si>
  <si>
    <t>STARLINK-33854</t>
  </si>
  <si>
    <t>STARLINK-33864</t>
  </si>
  <si>
    <t>STARLINK-33832</t>
  </si>
  <si>
    <t>STARLINK-33856</t>
  </si>
  <si>
    <t>STARLINK-33876</t>
  </si>
  <si>
    <t>STARLINK-33859</t>
  </si>
  <si>
    <t>STARLINK-33826</t>
  </si>
  <si>
    <t>STARLINK-33836</t>
  </si>
  <si>
    <t>STARLINK-33558</t>
  </si>
  <si>
    <t>STARLINK-33852</t>
  </si>
  <si>
    <t>STARLINK-33835</t>
  </si>
  <si>
    <t>STARLINK-33661</t>
  </si>
  <si>
    <t>STARLINK-33729</t>
  </si>
  <si>
    <t>STARLINK-33717</t>
  </si>
  <si>
    <t>STARLINK-33684</t>
  </si>
  <si>
    <t>STARLINK-33704</t>
  </si>
  <si>
    <t>STARLINK-33705</t>
  </si>
  <si>
    <t>STARLINK-33663</t>
  </si>
  <si>
    <t>STARLINK-33866</t>
  </si>
  <si>
    <t>STARLINK-33849</t>
  </si>
  <si>
    <t>STARLINK-33873</t>
  </si>
  <si>
    <t>STARLINK-33772</t>
  </si>
  <si>
    <t>STARLINK-33789</t>
  </si>
  <si>
    <t>STARLINK-33822</t>
  </si>
  <si>
    <t>STARLINK-33771</t>
  </si>
  <si>
    <t>STARLINK-33810</t>
  </si>
  <si>
    <t>STARLINK-33823</t>
  </si>
  <si>
    <t>STARLINK-33932</t>
  </si>
  <si>
    <t>STARLINK-33930</t>
  </si>
  <si>
    <t>STARLINK-33911</t>
  </si>
  <si>
    <t>STARLINK-33938</t>
  </si>
  <si>
    <t>STARLINK-33881</t>
  </si>
  <si>
    <t>STARLINK-33846</t>
  </si>
  <si>
    <t>STARLINK-33883</t>
  </si>
  <si>
    <t>STARLINK-33842</t>
  </si>
  <si>
    <t>STARLINK-33892</t>
  </si>
  <si>
    <t>STARLINK-33933</t>
  </si>
  <si>
    <t>STARLINK-33906</t>
  </si>
  <si>
    <t>STARLINK-33923</t>
  </si>
  <si>
    <t>STARLINK-33947</t>
  </si>
  <si>
    <t>STARLINK-33882</t>
  </si>
  <si>
    <t>STARLINK-33875</t>
  </si>
  <si>
    <t>STARLINK-33869</t>
  </si>
  <si>
    <t>STARLINK-33935</t>
  </si>
  <si>
    <t>STARLINK-33916</t>
  </si>
  <si>
    <t>STARLINK-33925</t>
  </si>
  <si>
    <t>STARLINK-33870</t>
  </si>
  <si>
    <t>STARLINK-33867</t>
  </si>
  <si>
    <t>STARLINK-33918</t>
  </si>
  <si>
    <t>STARLINK-33712</t>
  </si>
  <si>
    <t>STARLINK-33827</t>
  </si>
  <si>
    <t>STARLINK-33899</t>
  </si>
  <si>
    <t>STARLINK-33900</t>
  </si>
  <si>
    <t>STARLINK-33975</t>
  </si>
  <si>
    <t>STARLINK-33951</t>
  </si>
  <si>
    <t>STARLINK-33909</t>
  </si>
  <si>
    <t>STARLINK-34029</t>
  </si>
  <si>
    <t>STARLINK-34102</t>
  </si>
  <si>
    <t>STARLINK-34109</t>
  </si>
  <si>
    <t>STARLINK-34091</t>
  </si>
  <si>
    <t>STARLINK-34095</t>
  </si>
  <si>
    <t>STARLINK-34127</t>
  </si>
  <si>
    <t>STARLINK-34110</t>
  </si>
  <si>
    <t>STARLINK-34101</t>
  </si>
  <si>
    <t>STARLINK-34065</t>
  </si>
  <si>
    <t>STARLINK-34057</t>
  </si>
  <si>
    <t>STARLINK-34060</t>
  </si>
  <si>
    <t>STARLINK-34048</t>
  </si>
  <si>
    <t>STARLINK-33959</t>
  </si>
  <si>
    <t>STARLINK-34058</t>
  </si>
  <si>
    <t>STARLINK-34055</t>
  </si>
  <si>
    <t>STARLINK-33794</t>
  </si>
  <si>
    <t>STARLINK-34047</t>
  </si>
  <si>
    <t>STARLINK-34094</t>
  </si>
  <si>
    <t>STARLINK-34043</t>
  </si>
  <si>
    <t>STARLINK-34025</t>
  </si>
  <si>
    <t>STARLINK-33874</t>
  </si>
  <si>
    <t>STARLINK-33781</t>
  </si>
  <si>
    <t>STARLINK-33891</t>
  </si>
  <si>
    <t>STARLINK-33903</t>
  </si>
  <si>
    <t>STARLINK-33889</t>
  </si>
  <si>
    <t>STARLINK-33984</t>
  </si>
  <si>
    <t>STARLINK-33940</t>
  </si>
  <si>
    <t>STARLINK-33978</t>
  </si>
  <si>
    <t>STARLINK-34018</t>
  </si>
  <si>
    <t>STARLINK-34053</t>
  </si>
  <si>
    <t>STARLINK-34042</t>
  </si>
  <si>
    <t>STARLINK-34040</t>
  </si>
  <si>
    <t>STARLINK-33990</t>
  </si>
  <si>
    <t>STARLINK-34056</t>
  </si>
  <si>
    <t>STARLINK-34026</t>
  </si>
  <si>
    <t>STARLINK-33777</t>
  </si>
  <si>
    <t>STARLINK-34041</t>
  </si>
  <si>
    <t>STARLINK-34011</t>
  </si>
  <si>
    <t>STARLINK-34044</t>
  </si>
  <si>
    <t>STARLINK-34037</t>
  </si>
  <si>
    <t>STARLINK-34010</t>
  </si>
  <si>
    <t>STARLINK-34009</t>
  </si>
  <si>
    <t>STARLINK-33958</t>
  </si>
  <si>
    <t>STARLINK-33776</t>
  </si>
  <si>
    <t>STARLINK-34032</t>
  </si>
  <si>
    <t>STARLINK-34015</t>
  </si>
  <si>
    <t>STARLINK-33969</t>
  </si>
  <si>
    <t>STARLINK-34002</t>
  </si>
  <si>
    <t>STARLINK-33999</t>
  </si>
  <si>
    <t>STARLINK-33976</t>
  </si>
  <si>
    <t>STARLINK-33821</t>
  </si>
  <si>
    <t>STARLINK-33888</t>
  </si>
  <si>
    <t>STARLINK-33896</t>
  </si>
  <si>
    <t>STARLINK-33878</t>
  </si>
  <si>
    <t>STARLINK-33954</t>
  </si>
  <si>
    <t>STARLINK-34116</t>
  </si>
  <si>
    <t>STARLINK-34123</t>
  </si>
  <si>
    <t>STARLINK-34128</t>
  </si>
  <si>
    <t>STARLINK-33972</t>
  </si>
  <si>
    <t>STARLINK-33973</t>
  </si>
  <si>
    <t>STARLINK-34119</t>
  </si>
  <si>
    <t>STARLINK-34143</t>
  </si>
  <si>
    <t>STARLINK-33957</t>
  </si>
  <si>
    <t>STARLINK-34120</t>
  </si>
  <si>
    <t>STARLINK-34134</t>
  </si>
  <si>
    <t>STARLINK-34118</t>
  </si>
  <si>
    <t>STARLINK-34125</t>
  </si>
  <si>
    <t>STARLINK-33955</t>
  </si>
  <si>
    <t>STARLINK-34097</t>
  </si>
  <si>
    <t>STARLINK-34092</t>
  </si>
  <si>
    <t>STARLINK-34114</t>
  </si>
  <si>
    <t>STARLINK-33770</t>
  </si>
  <si>
    <t>STARLINK-34106</t>
  </si>
  <si>
    <t>STARLINK-34083</t>
  </si>
  <si>
    <t>STARLINK-34066</t>
  </si>
  <si>
    <t>STARLINK-34071</t>
  </si>
  <si>
    <t>STARLINK-34038</t>
  </si>
  <si>
    <t>STARLINK-34031</t>
  </si>
  <si>
    <t>STARLINK-34070</t>
  </si>
  <si>
    <t>STARLINK-34068</t>
  </si>
  <si>
    <t>STARLINK-34076</t>
  </si>
  <si>
    <t>STARLINK-33910</t>
  </si>
  <si>
    <t>STARLINK-34075</t>
  </si>
  <si>
    <t>STARLINK-34159</t>
  </si>
  <si>
    <t>STARLINK-34137</t>
  </si>
  <si>
    <t>STARLINK-33974</t>
  </si>
  <si>
    <t>STARLINK-34170</t>
  </si>
  <si>
    <t>STARLINK-34187</t>
  </si>
  <si>
    <t>STARLINK-34142</t>
  </si>
  <si>
    <t>STARLINK-34144</t>
  </si>
  <si>
    <t>STARLINK-34099</t>
  </si>
  <si>
    <t>STARLINK-34107</t>
  </si>
  <si>
    <t>STARLINK-34121</t>
  </si>
  <si>
    <t>STARLINK-34103</t>
  </si>
  <si>
    <t>STARLINK-33801</t>
  </si>
  <si>
    <t>STARLINK-34135</t>
  </si>
  <si>
    <t>STARLINK-34147</t>
  </si>
  <si>
    <t>STARLINK-33960</t>
  </si>
  <si>
    <t>STARLINK-34153</t>
  </si>
  <si>
    <t>STARLINK-33963</t>
  </si>
  <si>
    <t>STARLINK-34112</t>
  </si>
  <si>
    <t>STARLINK-34084</t>
  </si>
  <si>
    <t>STARLINK-34138</t>
  </si>
  <si>
    <t>STARLINK-34115</t>
  </si>
  <si>
    <t>STARLINK-34028</t>
  </si>
  <si>
    <t>STARLINK-33942</t>
  </si>
  <si>
    <t>STARLINK-34139</t>
  </si>
  <si>
    <t>STARLINK-34090</t>
  </si>
  <si>
    <t>STARLINK-34105</t>
  </si>
  <si>
    <t>STARLINK-33642</t>
  </si>
  <si>
    <t>STARLINK-34045</t>
  </si>
  <si>
    <t>STARLINK-33871</t>
  </si>
  <si>
    <t>STARLINK-34154</t>
  </si>
  <si>
    <t>STARLINK-34158</t>
  </si>
  <si>
    <t>STARLINK-34165</t>
  </si>
  <si>
    <t>STARLINK-34150</t>
  </si>
  <si>
    <t>STARLINK-34169</t>
  </si>
  <si>
    <t>STARLINK-34152</t>
  </si>
  <si>
    <t>STARLINK-33927</t>
  </si>
  <si>
    <t>STARLINK-33898</t>
  </si>
  <si>
    <t>STARLINK-33928</t>
  </si>
  <si>
    <t>STARLINK-33758</t>
  </si>
  <si>
    <t>STARLINK-33936</t>
  </si>
  <si>
    <t>STARLINK-33931</t>
  </si>
  <si>
    <t>STARLINK-33759</t>
  </si>
  <si>
    <t>STARLINK-34163</t>
  </si>
  <si>
    <t>STARLINK-34077</t>
  </si>
  <si>
    <t>STARLINK-34113</t>
  </si>
  <si>
    <t>STARLINK-34193</t>
  </si>
  <si>
    <t>STARLINK-34078</t>
  </si>
  <si>
    <t>STARLINK-34182</t>
  </si>
  <si>
    <t>STARLINK-34192</t>
  </si>
  <si>
    <t>STARLINK-34093</t>
  </si>
  <si>
    <t>STARLINK-34016</t>
  </si>
  <si>
    <t>STARLINK-34161</t>
  </si>
  <si>
    <t>STARLINK-34162</t>
  </si>
  <si>
    <t>STARLINK-34155</t>
  </si>
  <si>
    <t>STARLINK-34141</t>
  </si>
  <si>
    <t>STARLINK-34062</t>
  </si>
  <si>
    <t>STARLINK-35442</t>
  </si>
  <si>
    <t>STARLINK-34616</t>
  </si>
  <si>
    <t>STARLINK-34615</t>
  </si>
  <si>
    <t>STARLINK-35292</t>
  </si>
  <si>
    <t>STARLINK-35309</t>
  </si>
  <si>
    <t>STARLINK-35506</t>
  </si>
  <si>
    <t>STARLINK-35504</t>
  </si>
  <si>
    <t>STARLINK-35479</t>
  </si>
  <si>
    <t>STARLINK-35507</t>
  </si>
  <si>
    <t>STARLINK-35460</t>
  </si>
  <si>
    <t>STARLINK-35505</t>
  </si>
  <si>
    <t>STARLINK-35512</t>
  </si>
  <si>
    <t>STARLINK-35257</t>
  </si>
  <si>
    <t>STARLINK-35322</t>
  </si>
  <si>
    <t>STARLINK-35400</t>
  </si>
  <si>
    <t>STARLINK-35407</t>
  </si>
  <si>
    <t>STARLINK-35417</t>
  </si>
  <si>
    <t>STARLINK-35404</t>
  </si>
  <si>
    <t>STARLINK-34783</t>
  </si>
  <si>
    <t>STARLINK-35477</t>
  </si>
  <si>
    <t>STARLINK-35443</t>
  </si>
  <si>
    <t>STARLINK-35218</t>
  </si>
  <si>
    <t>STARLINK-35522</t>
  </si>
  <si>
    <t>STARLINK-35535</t>
  </si>
  <si>
    <t>STARLINK-35467</t>
  </si>
  <si>
    <t>STARLINK-35511</t>
  </si>
  <si>
    <t>STARLINK-35440</t>
  </si>
  <si>
    <t>STARLINK-35482</t>
  </si>
  <si>
    <t>STARLINK-35438</t>
  </si>
  <si>
    <t>STARLINK-35617</t>
  </si>
  <si>
    <t>STARLINK-35618</t>
  </si>
  <si>
    <t>STARLINK-35588</t>
  </si>
  <si>
    <t>STARLINK-35555</t>
  </si>
  <si>
    <t>STARLINK-35589</t>
  </si>
  <si>
    <t>STARLINK-35611</t>
  </si>
  <si>
    <t>STARLINK-35610</t>
  </si>
  <si>
    <t>STARLINK-35533</t>
  </si>
  <si>
    <t>STARLINK-35470</t>
  </si>
  <si>
    <t>STARLINK-35439</t>
  </si>
  <si>
    <t>STARLINK-35446</t>
  </si>
  <si>
    <t>STARLINK-35457</t>
  </si>
  <si>
    <t>STARLINK-35389</t>
  </si>
  <si>
    <t>STARLINK-35502</t>
  </si>
  <si>
    <t>STARLINK-35501</t>
  </si>
  <si>
    <t>STARLINK-35474</t>
  </si>
  <si>
    <t>STARLINK-34681</t>
  </si>
  <si>
    <t>STARLINK-35327</t>
  </si>
  <si>
    <t>STARLINK-35405</t>
  </si>
  <si>
    <t>STARLINK-35426</t>
  </si>
  <si>
    <t>STARLINK-34724</t>
  </si>
  <si>
    <t>STARLINK-35219</t>
  </si>
  <si>
    <t>STARLINK-35360</t>
  </si>
  <si>
    <t>STARLINK-34698</t>
  </si>
  <si>
    <t>STARLINK-34986</t>
  </si>
  <si>
    <t>STARLINK-34851</t>
  </si>
  <si>
    <t>STARLINK-35355</t>
  </si>
  <si>
    <t>STARLINK-34720</t>
  </si>
  <si>
    <t>STARLINK-35334</t>
  </si>
  <si>
    <t>STARLINK-35643</t>
  </si>
  <si>
    <t>STARLINK-35466</t>
  </si>
  <si>
    <t>STARLINK-35684</t>
  </si>
  <si>
    <t>STARLINK-35449</t>
  </si>
  <si>
    <t>STARLINK-35424</t>
  </si>
  <si>
    <t>STARLINK-35132</t>
  </si>
  <si>
    <t>STARLINK-35499</t>
  </si>
  <si>
    <t>STARLINK-35463</t>
  </si>
  <si>
    <t>STARLINK-35435</t>
  </si>
  <si>
    <t>STARLINK-35448</t>
  </si>
  <si>
    <t>STARLINK-35388</t>
  </si>
  <si>
    <t>STARLINK-35682</t>
  </si>
  <si>
    <t>STARLINK-35331</t>
  </si>
  <si>
    <t>STARLINK-35451</t>
  </si>
  <si>
    <t>STARLINK-35655</t>
  </si>
  <si>
    <t>STARLINK-35569</t>
  </si>
  <si>
    <t>STARLINK-35567</t>
  </si>
  <si>
    <t>STARLINK-35568</t>
  </si>
  <si>
    <t>STARLINK-35620</t>
  </si>
  <si>
    <t>STARLINK-35538</t>
  </si>
  <si>
    <t>STARLINK-35372</t>
  </si>
  <si>
    <t>STARLINK-35354</t>
  </si>
  <si>
    <t>STARLINK-35283</t>
  </si>
  <si>
    <t>STARLINK-35581</t>
  </si>
  <si>
    <t>STARLINK-35670</t>
  </si>
  <si>
    <t>STARLINK-35698</t>
  </si>
  <si>
    <t>STARLINK-35648</t>
  </si>
  <si>
    <t>STARLINK-35654</t>
  </si>
  <si>
    <t>STARLINK-35371</t>
  </si>
  <si>
    <t>STARLINK-34774</t>
  </si>
  <si>
    <t>STARLINK-34844</t>
  </si>
  <si>
    <t>STARLINK-34733</t>
  </si>
  <si>
    <t>STARLINK-35515</t>
  </si>
  <si>
    <t>STARLINK-35696</t>
  </si>
  <si>
    <t>STARLINK-35693</t>
  </si>
  <si>
    <t>STARLINK-35663</t>
  </si>
  <si>
    <t>STARLINK-35673</t>
  </si>
  <si>
    <t>STARLINK-35597</t>
  </si>
  <si>
    <t>STARLINK-35689</t>
  </si>
  <si>
    <t>STARLINK-35832</t>
  </si>
  <si>
    <t>STARLINK-35909</t>
  </si>
  <si>
    <t>STARLINK-35899</t>
  </si>
  <si>
    <t>STARLINK-35907</t>
  </si>
  <si>
    <t>STARLINK-35816</t>
  </si>
  <si>
    <t>STARLINK-35894</t>
  </si>
  <si>
    <t>STARLINK-35897</t>
  </si>
  <si>
    <t>STARLINK-35922</t>
  </si>
  <si>
    <t>STARLINK-35917</t>
  </si>
  <si>
    <t>STARLINK-35916</t>
  </si>
  <si>
    <t>STARLINK-34766</t>
  </si>
  <si>
    <t>STARLINK-34765</t>
  </si>
  <si>
    <t>STARLINK-34767</t>
  </si>
  <si>
    <t>STARLINK-35608</t>
  </si>
  <si>
    <t>STARLINK-35598</t>
  </si>
  <si>
    <t>STARLINK-35600</t>
  </si>
  <si>
    <t>STARLINK-35444</t>
  </si>
  <si>
    <t>STARLINK-35366</t>
  </si>
  <si>
    <t>STARLINK-35692</t>
  </si>
  <si>
    <t>STARLINK-35924</t>
  </si>
  <si>
    <t>STARLINK-35937</t>
  </si>
  <si>
    <t>STARLINK-35962</t>
  </si>
  <si>
    <t>STARLINK-35931</t>
  </si>
  <si>
    <t>STARLINK-35952</t>
  </si>
  <si>
    <t>STARLINK-35915</t>
  </si>
  <si>
    <t>STARLINK-35946</t>
  </si>
  <si>
    <t>STARLINK-35969</t>
  </si>
  <si>
    <t>STARLINK-35687</t>
  </si>
  <si>
    <t>STARLINK-35975</t>
  </si>
  <si>
    <t>STARLINK-35932</t>
  </si>
  <si>
    <t>STARLINK-35935</t>
  </si>
  <si>
    <t>STARLINK-35928</t>
  </si>
  <si>
    <t>STARLINK-35933</t>
  </si>
  <si>
    <t>STARLINK-35961</t>
  </si>
  <si>
    <t>STARLINK-35960</t>
  </si>
  <si>
    <t>STARLINK-35914</t>
  </si>
  <si>
    <t>STARLINK-35707</t>
  </si>
  <si>
    <t>STARLINK-35976</t>
  </si>
  <si>
    <t>STARLINK-35514</t>
  </si>
  <si>
    <t>STARLINK-35640</t>
  </si>
  <si>
    <t>STARLINK-35582</t>
  </si>
  <si>
    <t>STARLINK-35577</t>
  </si>
  <si>
    <t>STARLINK-35697</t>
  </si>
  <si>
    <t>STARLINK-35818</t>
  </si>
  <si>
    <t>STARLINK-35796</t>
  </si>
  <si>
    <t>STARLINK-35833</t>
  </si>
  <si>
    <t>STARLINK-35315</t>
  </si>
  <si>
    <t>STARLINK-35728</t>
  </si>
  <si>
    <t>STARLINK-35699</t>
  </si>
  <si>
    <t>STARLINK-35695</t>
  </si>
  <si>
    <t>STARLINK-35419</t>
  </si>
  <si>
    <t>STARLINK-35411</t>
  </si>
  <si>
    <t>STARLINK-35305</t>
  </si>
  <si>
    <t>STARLINK-35579</t>
  </si>
  <si>
    <t>STARLINK-35437</t>
  </si>
  <si>
    <t>STARLINK-35358</t>
  </si>
  <si>
    <t>STARLINK-35893</t>
  </si>
  <si>
    <t>STARLINK-35871</t>
  </si>
  <si>
    <t>STARLINK-35825</t>
  </si>
  <si>
    <t>STARLINK-35803</t>
  </si>
  <si>
    <t>STARLINK-35835</t>
  </si>
  <si>
    <t>STARLINK-35834</t>
  </si>
  <si>
    <t>STARLINK-35836</t>
  </si>
  <si>
    <t>STARLINK-35870</t>
  </si>
  <si>
    <t>STARLINK-35650</t>
  </si>
  <si>
    <t>STARLINK-35812</t>
  </si>
  <si>
    <t>STARLINK-35810</t>
  </si>
  <si>
    <t>STARLINK-35814</t>
  </si>
  <si>
    <t>STARLINK-35815</t>
  </si>
  <si>
    <t>STARLINK-35743</t>
  </si>
  <si>
    <t>STARLINK-35868</t>
  </si>
  <si>
    <t>STARLINK-35872</t>
  </si>
  <si>
    <t>STARLINK-35744</t>
  </si>
  <si>
    <t>STARLINK-35746</t>
  </si>
  <si>
    <t>STARLINK-35941</t>
  </si>
  <si>
    <t>STARLINK-35939</t>
  </si>
  <si>
    <t>STARLINK-35963</t>
  </si>
  <si>
    <t>STARLINK-36076</t>
  </si>
  <si>
    <t>STARLINK-35447</t>
  </si>
  <si>
    <t>STARLINK-35429</t>
  </si>
  <si>
    <t>STARLINK-36058</t>
  </si>
  <si>
    <t>STARLINK-36066</t>
  </si>
  <si>
    <t>STARLINK-36031</t>
  </si>
  <si>
    <t>STARLINK-36032</t>
  </si>
  <si>
    <t>STARLINK-35711</t>
  </si>
  <si>
    <t>STARLINK-35811</t>
  </si>
  <si>
    <t>STARLINK-35820</t>
  </si>
  <si>
    <t>STARLINK-35981</t>
  </si>
  <si>
    <t>STARLINK-35930</t>
  </si>
  <si>
    <t>STARLINK-35980</t>
  </si>
  <si>
    <t>STARLINK-35978</t>
  </si>
  <si>
    <t>STARLINK-36050</t>
  </si>
  <si>
    <t>STARLINK-36048</t>
  </si>
  <si>
    <t>STARLINK-35977</t>
  </si>
  <si>
    <t>STARLINK-36052</t>
  </si>
  <si>
    <t>STARLINK-36063</t>
  </si>
  <si>
    <t>STARLINK-35993</t>
  </si>
  <si>
    <t>STARLINK-36036</t>
  </si>
  <si>
    <t>STARLINK-36034</t>
  </si>
  <si>
    <t>STARLINK-35680</t>
  </si>
  <si>
    <t>STARLINK-35583</t>
  </si>
  <si>
    <t>STARLINK-36039</t>
  </si>
  <si>
    <t>STARLINK-36037</t>
  </si>
  <si>
    <t>STARLINK-36040</t>
  </si>
  <si>
    <t>STARLINK-35988</t>
  </si>
  <si>
    <t>STARLINK-35391</t>
  </si>
  <si>
    <t>STARLINK-35867</t>
  </si>
  <si>
    <t>STARLINK-35990</t>
  </si>
  <si>
    <t>STARLINK-36051</t>
  </si>
  <si>
    <t>STARLINK-36062</t>
  </si>
  <si>
    <t>STARLINK-36047</t>
  </si>
  <si>
    <t>STARLINK-35964</t>
  </si>
  <si>
    <t>STARLINK-36099</t>
  </si>
  <si>
    <t>STARLINK-36041</t>
  </si>
  <si>
    <t>STARLINK-36044</t>
  </si>
  <si>
    <t>STARLINK-35996</t>
  </si>
  <si>
    <t>STARLINK-36080</t>
  </si>
  <si>
    <t>STARLINK-35604</t>
  </si>
  <si>
    <t>STARLINK-35565</t>
  </si>
  <si>
    <t>STARLINK-36038</t>
  </si>
  <si>
    <t>STARLINK-36049</t>
  </si>
  <si>
    <t>STARLINK-36069</t>
  </si>
  <si>
    <t>STARLINK-36000</t>
  </si>
  <si>
    <t>STARLINK-36071</t>
  </si>
  <si>
    <t>STARLINK-35979</t>
  </si>
  <si>
    <t>STARLINK-36046</t>
  </si>
  <si>
    <t>STARLINK-36045</t>
  </si>
  <si>
    <t>STARLINK-36054</t>
  </si>
  <si>
    <t>STARLINK-36042</t>
  </si>
  <si>
    <t>STARLINK-35984</t>
  </si>
  <si>
    <t>STARLINK-35985</t>
  </si>
  <si>
    <t>STARLINK-36098</t>
  </si>
  <si>
    <t>STARLINK-35995</t>
  </si>
  <si>
    <t>STARLINK-35994</t>
  </si>
  <si>
    <t>STARLINK-35989</t>
  </si>
  <si>
    <t>STARLINK-36091</t>
  </si>
  <si>
    <t>STARLINK-36102</t>
  </si>
  <si>
    <t>STARLINK-36105</t>
  </si>
  <si>
    <t>STARLINK-36094</t>
  </si>
  <si>
    <t>STARLINK-35992</t>
  </si>
  <si>
    <t>STARLINK-35986</t>
  </si>
  <si>
    <t>STARLINK-36087</t>
  </si>
  <si>
    <t>STARLINK-36090</t>
  </si>
  <si>
    <t>STARLINK-36072</t>
  </si>
  <si>
    <t>STARLINK-36083</t>
  </si>
  <si>
    <t>STARLINK-35118</t>
  </si>
  <si>
    <t>STARLINK-35646</t>
  </si>
  <si>
    <t>STARLINK-35987</t>
  </si>
  <si>
    <t>STARLINK-35991</t>
  </si>
  <si>
    <t>STARLINK-35974</t>
  </si>
  <si>
    <t>STARLINK-36134</t>
  </si>
  <si>
    <t>STARLINK-36070</t>
  </si>
  <si>
    <t>STARLINK-36117</t>
  </si>
  <si>
    <t>STARLINK-36126</t>
  </si>
  <si>
    <t>STARLINK-36101</t>
  </si>
  <si>
    <t>STARLINK-36108</t>
  </si>
  <si>
    <t>STARLINK-36092</t>
  </si>
  <si>
    <t>STARLINK-36114</t>
  </si>
  <si>
    <t>STARLINK-36095</t>
  </si>
  <si>
    <t>STARLINK-36082</t>
  </si>
  <si>
    <t>STARLINK-36128</t>
  </si>
  <si>
    <t>STARLINK-36129</t>
  </si>
  <si>
    <t>STARLINK-36053</t>
  </si>
  <si>
    <t>STARLINK-35702</t>
  </si>
  <si>
    <t>STARLINK-35887</t>
  </si>
  <si>
    <t>STARLINK-35879</t>
  </si>
  <si>
    <t>STARLINK-35761</t>
  </si>
  <si>
    <t>STARLINK-35874</t>
  </si>
  <si>
    <t>STARLINK-36133</t>
  </si>
  <si>
    <t>STARLINK-36104</t>
  </si>
  <si>
    <t>STARLINK-36067</t>
  </si>
  <si>
    <t>STARLINK-36139</t>
  </si>
  <si>
    <t>STARLINK-36136</t>
  </si>
  <si>
    <t>STARLINK-36152</t>
  </si>
  <si>
    <t>STARLINK-36149</t>
  </si>
  <si>
    <t>STARLINK-35703</t>
  </si>
  <si>
    <t>STARLINK-35678</t>
  </si>
  <si>
    <t>STARLINK-34846</t>
  </si>
  <si>
    <t>STARLINK-35778</t>
  </si>
  <si>
    <t>STARLINK-35780</t>
  </si>
  <si>
    <t>STARLINK-35777</t>
  </si>
  <si>
    <t>STARLINK-35772</t>
  </si>
  <si>
    <t>STARLINK-35770</t>
  </si>
  <si>
    <t>STARLINK-35787</t>
  </si>
  <si>
    <t>STARLINK-36107</t>
  </si>
  <si>
    <t>STARLINK-36086</t>
  </si>
  <si>
    <t>STARLINK-36142</t>
  </si>
  <si>
    <t>STARLINK-36113</t>
  </si>
  <si>
    <t>STARLINK-36145</t>
  </si>
  <si>
    <t>STARLINK-35591</t>
  </si>
  <si>
    <t>STARLINK-36103</t>
  </si>
  <si>
    <t>STARLINK-36135</t>
  </si>
  <si>
    <t>STARLINK-36147</t>
  </si>
  <si>
    <t>STARLINK-36138</t>
  </si>
  <si>
    <t>STARLINK-36150</t>
  </si>
  <si>
    <t>STARLINK-36131</t>
  </si>
  <si>
    <t>STARLINK-36137</t>
  </si>
  <si>
    <t>STARLINK-36140</t>
  </si>
  <si>
    <t>STARLINK-36085</t>
  </si>
  <si>
    <t>STARLINK-36125</t>
  </si>
  <si>
    <t>STARLINK-35732</t>
  </si>
  <si>
    <t>STARLINK-35775</t>
  </si>
  <si>
    <t>STARLINK-35705</t>
  </si>
  <si>
    <t>STARLINK-35786</t>
  </si>
  <si>
    <t>STARLINK-35765</t>
  </si>
  <si>
    <t>STARLINK-35773</t>
  </si>
  <si>
    <t>STARLINK-35901</t>
  </si>
  <si>
    <t>STARLINK-35884</t>
  </si>
  <si>
    <t>STARLINK-35891</t>
  </si>
  <si>
    <t>STARLINK-35721</t>
  </si>
  <si>
    <t>STARLINK-35779</t>
  </si>
  <si>
    <t>STARLINK-35905</t>
  </si>
  <si>
    <t>STARLINK-35877</t>
  </si>
  <si>
    <t>STARLINK-36078</t>
  </si>
  <si>
    <t>STARLINK-35706</t>
  </si>
  <si>
    <t>STARLINK-35720</t>
  </si>
  <si>
    <t>STARLINK-35739</t>
  </si>
  <si>
    <t>STARLINK-35754</t>
  </si>
  <si>
    <t>STARLINK-35790</t>
  </si>
  <si>
    <t>STARLINK-36143</t>
  </si>
  <si>
    <t>STARLINK-36141</t>
  </si>
  <si>
    <t>STARLINK-35767</t>
  </si>
  <si>
    <t>STARLINK-36255</t>
  </si>
  <si>
    <t>STARLINK-36256</t>
  </si>
  <si>
    <t>STARLINK-36258</t>
  </si>
  <si>
    <t>STARLINK-36261</t>
  </si>
  <si>
    <t>STARLINK-36259</t>
  </si>
  <si>
    <t>STARLINK-36196</t>
  </si>
  <si>
    <t>STARLINK-36208</t>
  </si>
  <si>
    <t>STARLINK-35764</t>
  </si>
  <si>
    <t>STARLINK-35781</t>
  </si>
  <si>
    <t>STARLINK-35875</t>
  </si>
  <si>
    <t>STARLINK-35906</t>
  </si>
  <si>
    <t>STARLINK-35789</t>
  </si>
  <si>
    <t>STARLINK-36180</t>
  </si>
  <si>
    <t>STARLINK-35892</t>
  </si>
  <si>
    <t>STARLINK-35738</t>
  </si>
  <si>
    <t>STARLINK-35674</t>
  </si>
  <si>
    <t>STARLINK-35701</t>
  </si>
  <si>
    <t>STARLINK-36179</t>
  </si>
  <si>
    <t>STARLINK-36217</t>
  </si>
  <si>
    <t>STARLINK-36124</t>
  </si>
  <si>
    <t>STARLINK-36188</t>
  </si>
  <si>
    <t>STARLINK-36151</t>
  </si>
  <si>
    <t>STARLINK-36195</t>
  </si>
  <si>
    <t>STARLINK-36219</t>
  </si>
  <si>
    <t>STARLINK-36223</t>
  </si>
  <si>
    <t>STARLINK-36164</t>
  </si>
  <si>
    <t>STARLINK-35685</t>
  </si>
  <si>
    <t>STARLINK-36214</t>
  </si>
  <si>
    <t>STARLINK-36194</t>
  </si>
  <si>
    <t>STARLINK-35755</t>
  </si>
  <si>
    <t>STARLINK-36201</t>
  </si>
  <si>
    <t>STARLINK-36186</t>
  </si>
  <si>
    <t>STARLINK-36174</t>
  </si>
  <si>
    <t>STARLINK-36198</t>
  </si>
  <si>
    <t>STARLINK-35903</t>
  </si>
  <si>
    <t>STARLINK-35839</t>
  </si>
  <si>
    <t>STARLINK-35863</t>
  </si>
  <si>
    <t>STARLINK-35771</t>
  </si>
  <si>
    <t>STARLINK-35762</t>
  </si>
  <si>
    <t>STARLINK-36183</t>
  </si>
  <si>
    <t>STARLINK-36210</t>
  </si>
  <si>
    <t>STARLINK-35756</t>
  </si>
  <si>
    <t>STARLINK-35785</t>
  </si>
  <si>
    <t>STARLINK-35853</t>
  </si>
  <si>
    <t>STARLINK-35878</t>
  </si>
  <si>
    <t>STARLINK-35793</t>
  </si>
  <si>
    <t>STARLINK-35876</t>
  </si>
  <si>
    <t>STARLINK-35766</t>
  </si>
  <si>
    <t>STARLINK-35782</t>
  </si>
  <si>
    <t>STARLINK-35719</t>
  </si>
  <si>
    <t>STARLINK-35910</t>
  </si>
  <si>
    <t>STARLINK-35859</t>
  </si>
  <si>
    <t>STARLINK-35857</t>
  </si>
  <si>
    <t>STARLINK-35880</t>
  </si>
  <si>
    <t>STARLINK-35675</t>
  </si>
  <si>
    <t>STARLINK-35889</t>
  </si>
  <si>
    <t>STARLINK-35888</t>
  </si>
  <si>
    <t>STARLINK-35716</t>
  </si>
  <si>
    <t>STARLINK-36490</t>
  </si>
  <si>
    <t>STARLINK-36488</t>
  </si>
  <si>
    <t>STARLINK-36481</t>
  </si>
  <si>
    <t>STARLINK-36449</t>
  </si>
  <si>
    <t>STARLINK-36482</t>
  </si>
  <si>
    <t>STARLINK-36491</t>
  </si>
  <si>
    <t>STARLINK-36495</t>
  </si>
  <si>
    <t>STARLINK-36485</t>
  </si>
  <si>
    <t>STARLINK-36445</t>
  </si>
  <si>
    <t>STARLINK-36476</t>
  </si>
  <si>
    <t>STARLINK-36463</t>
  </si>
  <si>
    <t>STARLINK-36461</t>
  </si>
  <si>
    <t>STARLINK-36450</t>
  </si>
  <si>
    <t>STARLINK-36498</t>
  </si>
  <si>
    <t>STARLINK-36470</t>
  </si>
  <si>
    <t>STARLINK-36500</t>
  </si>
  <si>
    <t>STARLINK-36462</t>
  </si>
  <si>
    <t>STARLINK-36434</t>
  </si>
  <si>
    <t>STARLINK-36497</t>
  </si>
  <si>
    <t>STARLINK-36471</t>
  </si>
  <si>
    <t>STARLINK-36473</t>
  </si>
  <si>
    <t>STARLINK-36430</t>
  </si>
  <si>
    <t>STARLINK-36501</t>
  </si>
  <si>
    <t>STARLINK-36489</t>
  </si>
  <si>
    <t>STARLINK-36496</t>
  </si>
  <si>
    <t>STARLINK-36483</t>
  </si>
  <si>
    <t>STARLINK-36494</t>
  </si>
  <si>
    <t>STARLINK-36492</t>
  </si>
  <si>
    <t>STARLINK-36427</t>
  </si>
  <si>
    <t>STARLINK-35343</t>
  </si>
  <si>
    <t>STARLINK-36486</t>
  </si>
  <si>
    <t>STARLINK-36480</t>
  </si>
  <si>
    <t>STARLINK-36410</t>
  </si>
  <si>
    <t>STARLINK-36413</t>
  </si>
  <si>
    <t>STARLINK-36451</t>
  </si>
  <si>
    <t>STARLINK-36339</t>
  </si>
  <si>
    <t>STARLINK-36453</t>
  </si>
  <si>
    <t>STARLINK-36432</t>
  </si>
  <si>
    <t>STARLINK-36458</t>
  </si>
  <si>
    <t>STARLINK-36422</t>
  </si>
  <si>
    <t>STARLINK-35676</t>
  </si>
  <si>
    <t>STARLINK-36472</t>
  </si>
  <si>
    <t>STARLINK-36420</t>
  </si>
  <si>
    <t>STARLINK-36467</t>
  </si>
  <si>
    <t>STARLINK-36457</t>
  </si>
  <si>
    <t>STARLINK-36475</t>
  </si>
  <si>
    <t>STARLINK-36478</t>
  </si>
  <si>
    <t>STARLINK-36479</t>
  </si>
  <si>
    <t>STARLINK-36474</t>
  </si>
  <si>
    <t>STARLINK-36448</t>
  </si>
  <si>
    <t>STARLINK-36477</t>
  </si>
  <si>
    <t>STARLINK-36429</t>
  </si>
  <si>
    <t>STARLINK-36456</t>
  </si>
  <si>
    <t>STARLINK-36466</t>
  </si>
  <si>
    <t>STARLINK-36499</t>
  </si>
  <si>
    <t>STARLINK-36469</t>
  </si>
  <si>
    <t>STARLINK-35306</t>
  </si>
  <si>
    <t>STARLINK-36428</t>
  </si>
  <si>
    <t>STARLINK-36484</t>
  </si>
  <si>
    <t>STARLINK-36452</t>
  </si>
  <si>
    <t>STARLINK-36409</t>
  </si>
  <si>
    <t>STARLINK-36510</t>
  </si>
  <si>
    <t>STARLINK-36509</t>
  </si>
  <si>
    <t>STARLINK-36507</t>
  </si>
  <si>
    <t>STARLINK-36508</t>
  </si>
  <si>
    <t>STARLINK-36503</t>
  </si>
  <si>
    <t>STARLINK-36446</t>
  </si>
  <si>
    <t>STARLINK-36442</t>
  </si>
  <si>
    <t>STARLINK-36506</t>
  </si>
  <si>
    <t>STARLINK-36468</t>
  </si>
  <si>
    <t>STARLINK-36487</t>
  </si>
  <si>
    <t>STARLINK-36374</t>
  </si>
  <si>
    <t>STARLINK-36455</t>
  </si>
  <si>
    <t>STARLINK-36424</t>
  </si>
  <si>
    <t>STARLINK-35564</t>
  </si>
  <si>
    <t>STARLINK-36431</t>
  </si>
  <si>
    <t>STARLINK-36418</t>
  </si>
  <si>
    <t>STARLINK-36465</t>
  </si>
  <si>
    <t>STARLINK-36362</t>
  </si>
  <si>
    <t>STARLINK-36447</t>
  </si>
  <si>
    <t>STARLINK-36146</t>
  </si>
  <si>
    <t>STARLINK-36459</t>
  </si>
  <si>
    <t>STARLINK-36464</t>
  </si>
  <si>
    <t>STARLINK-36513</t>
  </si>
  <si>
    <t>STARLINK-36515</t>
  </si>
  <si>
    <t>STARLINK-36443</t>
  </si>
  <si>
    <t>STARLINK-36460</t>
  </si>
  <si>
    <t>STARLINK-36542</t>
  </si>
  <si>
    <t>STARLINK-36539</t>
  </si>
  <si>
    <t>STARLINK-36440</t>
  </si>
  <si>
    <t>STARLINK-36423</t>
  </si>
  <si>
    <t>STARLINK-36519</t>
  </si>
  <si>
    <t>STARLINK-36525</t>
  </si>
  <si>
    <t>STARLINK-36511</t>
  </si>
  <si>
    <t>STARLINK-36524</t>
  </si>
  <si>
    <t>STARLINK-36518</t>
  </si>
  <si>
    <t>STARLINK-36517</t>
  </si>
  <si>
    <t>STARLINK-36516</t>
  </si>
  <si>
    <t>STARLINK-36493</t>
  </si>
  <si>
    <t>STARLINK-36529</t>
  </si>
  <si>
    <t>STARLINK-36528</t>
  </si>
  <si>
    <t>STARLINK-36546</t>
  </si>
  <si>
    <t>STARLINK-36523</t>
  </si>
  <si>
    <t>STARLINK-36522</t>
  </si>
  <si>
    <t>STARLINK-36504</t>
  </si>
  <si>
    <t>STARLINK-36505</t>
  </si>
  <si>
    <t>STARLINK-36421</t>
  </si>
  <si>
    <t>STARLINK-36437</t>
  </si>
  <si>
    <t>STARLINK-36520</t>
  </si>
  <si>
    <t>STARLINK-36425</t>
  </si>
  <si>
    <t>STARLINK-36414</t>
  </si>
  <si>
    <t>STARLINK-36441</t>
  </si>
  <si>
    <t>STARLINK-36454</t>
  </si>
  <si>
    <t>STARLINK-36334</t>
  </si>
  <si>
    <t>STARLINK-36269</t>
  </si>
  <si>
    <t>STARLINK-36408</t>
  </si>
  <si>
    <t>STARLINK-36551</t>
  </si>
  <si>
    <t>STARLINK-36396</t>
  </si>
  <si>
    <t>STARLINK-36550</t>
  </si>
  <si>
    <t>STARLINK-36534</t>
  </si>
  <si>
    <t>STARLINK-36555</t>
  </si>
  <si>
    <t>STARLINK-36081</t>
  </si>
  <si>
    <t>STARLINK-36558</t>
  </si>
  <si>
    <t>STARLINK-36557</t>
  </si>
  <si>
    <t>STARLINK-36433</t>
  </si>
  <si>
    <t>STARLINK-36554</t>
  </si>
  <si>
    <t>STARLINK-36552</t>
  </si>
  <si>
    <t>STARLINK-36512</t>
  </si>
  <si>
    <t>STARLINK-36545</t>
  </si>
  <si>
    <t>STARLINK-36553</t>
  </si>
  <si>
    <t>STARLINK-36521</t>
  </si>
  <si>
    <t>STARLINK-36526</t>
  </si>
  <si>
    <t>STARLINK-36541</t>
  </si>
  <si>
    <t>STARLINK-36549</t>
  </si>
  <si>
    <t>STARLINK-36540</t>
  </si>
  <si>
    <t>STARLINK-36538</t>
  </si>
  <si>
    <t>STARLINK-36531</t>
  </si>
  <si>
    <t>STARLINK-36530</t>
  </si>
  <si>
    <t>STARLINK-36543</t>
  </si>
  <si>
    <t>STARLINK-36537</t>
  </si>
  <si>
    <t>STARLINK-36544</t>
  </si>
  <si>
    <t>STARLINK-36412</t>
  </si>
  <si>
    <t>STARLINK-36415</t>
  </si>
  <si>
    <t>STARLINK-36547</t>
  </si>
  <si>
    <t>STARLINK-36444</t>
  </si>
  <si>
    <t>STARLINK-36548</t>
  </si>
  <si>
    <t>STARLINK-36601</t>
  </si>
  <si>
    <t>STARLINK-36119</t>
  </si>
  <si>
    <t>STARLINK-36607</t>
  </si>
  <si>
    <t>STARLINK-36615</t>
  </si>
  <si>
    <t>STARLINK-36614</t>
  </si>
  <si>
    <t>STARLINK-36600</t>
  </si>
  <si>
    <t>STARLINK-36439</t>
  </si>
  <si>
    <t>STARLINK-36438</t>
  </si>
  <si>
    <t>STARLINK-36436</t>
  </si>
  <si>
    <t>STARLINK-36502</t>
  </si>
  <si>
    <t>STARLINK-36532</t>
  </si>
  <si>
    <t>STARLINK-36367</t>
  </si>
  <si>
    <t>STARLINK-36416</t>
  </si>
  <si>
    <t>STARLINK-36527</t>
  </si>
  <si>
    <t>STARLINK-36633</t>
  </si>
  <si>
    <t>STARLINK-36637</t>
  </si>
  <si>
    <t>STARLINK-36617</t>
  </si>
  <si>
    <t>STARLINK-36627</t>
  </si>
  <si>
    <t>STARLINK-36624</t>
  </si>
  <si>
    <t>STARLINK-36610</t>
  </si>
  <si>
    <t>STARLINK-36599</t>
  </si>
  <si>
    <t>STARLINK-36595</t>
  </si>
  <si>
    <t>STARLINK-36570</t>
  </si>
  <si>
    <t>STARLINK-36514</t>
  </si>
  <si>
    <t>STARLINK-36556</t>
  </si>
  <si>
    <t>STARLINK-36533</t>
  </si>
  <si>
    <t>STARLINK-36623</t>
  </si>
  <si>
    <t>STARLINK-36619</t>
  </si>
  <si>
    <t>STARLINK-30267</t>
  </si>
  <si>
    <t>STARLINK-30298</t>
  </si>
  <si>
    <t>STARLINK-30301</t>
  </si>
  <si>
    <t>STARLINK-30275</t>
  </si>
  <si>
    <t>STARLINK-30278</t>
  </si>
  <si>
    <t>STARLINK-30271</t>
  </si>
  <si>
    <t>STARLINK-30322</t>
  </si>
  <si>
    <t>STARLINK-30296</t>
  </si>
  <si>
    <t>STARLINK-30274</t>
  </si>
  <si>
    <t>STARLINK-30316</t>
  </si>
  <si>
    <t>STARLINK-30313</t>
  </si>
  <si>
    <t>STARLINK-30303</t>
  </si>
  <si>
    <t>STARLINK-30320</t>
  </si>
  <si>
    <t>STARLINK-30321</t>
  </si>
  <si>
    <t>STARLINK-30283</t>
  </si>
  <si>
    <t>STARLINK-30273</t>
  </si>
  <si>
    <t>STARLINK-30297</t>
  </si>
  <si>
    <t>STARLINK-30295</t>
  </si>
  <si>
    <t>STARLINK-30285</t>
  </si>
  <si>
    <t>STARLINK-30410</t>
  </si>
  <si>
    <t>STARLINK-30435</t>
  </si>
  <si>
    <t>STARLINK-30423</t>
  </si>
  <si>
    <t>STARLINK-30292</t>
  </si>
  <si>
    <t>STARLINK-30416</t>
  </si>
  <si>
    <t>STARLINK-30426</t>
  </si>
  <si>
    <t>STARLINK-30430</t>
  </si>
  <si>
    <t>STARLINK-30425</t>
  </si>
  <si>
    <t>STARLINK-30405</t>
  </si>
  <si>
    <t>STARLINK-30431</t>
  </si>
  <si>
    <t>STARLINK-30404</t>
  </si>
  <si>
    <t>STARLINK-30412</t>
  </si>
  <si>
    <t>STARLINK-30392</t>
  </si>
  <si>
    <t>STARLINK-30291</t>
  </si>
  <si>
    <t>STARLINK-30424</t>
  </si>
  <si>
    <t>STARLINK-30290</t>
  </si>
  <si>
    <t>STARLINK-30414</t>
  </si>
  <si>
    <t>STARLINK-30272</t>
  </si>
  <si>
    <t>STARLINK-30712</t>
  </si>
  <si>
    <t>STARLINK-30716</t>
  </si>
  <si>
    <t>STARLINK-30400</t>
  </si>
  <si>
    <t>STARLINK-30710</t>
  </si>
  <si>
    <t>STARLINK-30714</t>
  </si>
  <si>
    <t>STARLINK-30711</t>
  </si>
  <si>
    <t>STARLINK-30715</t>
  </si>
  <si>
    <t>STARLINK-30455</t>
  </si>
  <si>
    <t>STARLINK-30456</t>
  </si>
  <si>
    <t>STARLINK-30708</t>
  </si>
  <si>
    <t>STARLINK-30705</t>
  </si>
  <si>
    <t>STARLINK-30704</t>
  </si>
  <si>
    <t>STARLINK-30706</t>
  </si>
  <si>
    <t>STARLINK-30707</t>
  </si>
  <si>
    <t>STARLINK-30701</t>
  </si>
  <si>
    <t>STARLINK-30399</t>
  </si>
  <si>
    <t>STARLINK-30713</t>
  </si>
  <si>
    <t>STARLINK-30700</t>
  </si>
  <si>
    <t>STARLINK-30703</t>
  </si>
  <si>
    <t>STARLINK-30702</t>
  </si>
  <si>
    <t>STARLINK-30514</t>
  </si>
  <si>
    <t>STARLINK-30518</t>
  </si>
  <si>
    <t>STARLINK-30549</t>
  </si>
  <si>
    <t>STARLINK-30556</t>
  </si>
  <si>
    <t>STARLINK-30561</t>
  </si>
  <si>
    <t>STARLINK-30562</t>
  </si>
  <si>
    <t>STARLINK-30565</t>
  </si>
  <si>
    <t>STARLINK-30438</t>
  </si>
  <si>
    <t>STARLINK-30437</t>
  </si>
  <si>
    <t>STARLINK-30533</t>
  </si>
  <si>
    <t>STARLINK-30560</t>
  </si>
  <si>
    <t>STARLINK-30559</t>
  </si>
  <si>
    <t>STARLINK-30555</t>
  </si>
  <si>
    <t>STARLINK-30542</t>
  </si>
  <si>
    <t>STARLINK-30563</t>
  </si>
  <si>
    <t>STARLINK-30564</t>
  </si>
  <si>
    <t>STARLINK-30547</t>
  </si>
  <si>
    <t>STARLINK-30550</t>
  </si>
  <si>
    <t>STARLINK-30548</t>
  </si>
  <si>
    <t>STARLINK-30529</t>
  </si>
  <si>
    <t>STARLINK-30554</t>
  </si>
  <si>
    <t>STARLINK-30594</t>
  </si>
  <si>
    <t>STARLINK-30614</t>
  </si>
  <si>
    <t>STARLINK-30607</t>
  </si>
  <si>
    <t>STARLINK-30600</t>
  </si>
  <si>
    <t>STARLINK-30605</t>
  </si>
  <si>
    <t>STARLINK-30592</t>
  </si>
  <si>
    <t>STARLINK-30589</t>
  </si>
  <si>
    <t>STARLINK-30617</t>
  </si>
  <si>
    <t>STARLINK-30616</t>
  </si>
  <si>
    <t>STARLINK-30612</t>
  </si>
  <si>
    <t>STARLINK-30421</t>
  </si>
  <si>
    <t>STARLINK-30611</t>
  </si>
  <si>
    <t>STARLINK-30606</t>
  </si>
  <si>
    <t>STARLINK-30596</t>
  </si>
  <si>
    <t>STARLINK-30595</t>
  </si>
  <si>
    <t>STARLINK-30593</t>
  </si>
  <si>
    <t>STARLINK-30353</t>
  </si>
  <si>
    <t>STARLINK-30572</t>
  </si>
  <si>
    <t>STARLINK-30580</t>
  </si>
  <si>
    <t>STARLINK-30493</t>
  </si>
  <si>
    <t>STARLINK-30601</t>
  </si>
  <si>
    <t>STARLINK-30802</t>
  </si>
  <si>
    <t>STARLINK-30834</t>
  </si>
  <si>
    <t>STARLINK-30833</t>
  </si>
  <si>
    <t>STARLINK-30831</t>
  </si>
  <si>
    <t>STARLINK-30797</t>
  </si>
  <si>
    <t>STARLINK-30804</t>
  </si>
  <si>
    <t>STARLINK-30784</t>
  </si>
  <si>
    <t>STARLINK-30803</t>
  </si>
  <si>
    <t>STARLINK-30829</t>
  </si>
  <si>
    <t>STARLINK-30788</t>
  </si>
  <si>
    <t>STARLINK-30779</t>
  </si>
  <si>
    <t>STARLINK-30773</t>
  </si>
  <si>
    <t>STARLINK-30816</t>
  </si>
  <si>
    <t>STARLINK-30763</t>
  </si>
  <si>
    <t>STARLINK-30815</t>
  </si>
  <si>
    <t>STARLINK-30814</t>
  </si>
  <si>
    <t>STARLINK-30789</t>
  </si>
  <si>
    <t>STARLINK-30811</t>
  </si>
  <si>
    <t>STARLINK-30812</t>
  </si>
  <si>
    <t>STARLINK-30771</t>
  </si>
  <si>
    <t>STARLINK-30764</t>
  </si>
  <si>
    <t>STARLINK-30752</t>
  </si>
  <si>
    <t>STARLINK-30911</t>
  </si>
  <si>
    <t>STARLINK-30894</t>
  </si>
  <si>
    <t>STARLINK-30910</t>
  </si>
  <si>
    <t>STARLINK-30914</t>
  </si>
  <si>
    <t>STARLINK-30920</t>
  </si>
  <si>
    <t>STARLINK-30882</t>
  </si>
  <si>
    <t>STARLINK-30915</t>
  </si>
  <si>
    <t>STARLINK-30923</t>
  </si>
  <si>
    <t>STARLINK-30927</t>
  </si>
  <si>
    <t>STARLINK-30921</t>
  </si>
  <si>
    <t>STARLINK-30825</t>
  </si>
  <si>
    <t>STARLINK-30930</t>
  </si>
  <si>
    <t>STARLINK-30929</t>
  </si>
  <si>
    <t>STARLINK-30898</t>
  </si>
  <si>
    <t>STARLINK-30913</t>
  </si>
  <si>
    <t>STARLINK-30938</t>
  </si>
  <si>
    <t>STARLINK-30868</t>
  </si>
  <si>
    <t>STARLINK-30916</t>
  </si>
  <si>
    <t>STARLINK-30939</t>
  </si>
  <si>
    <t>STARLINK-30887</t>
  </si>
  <si>
    <t>STARLINK-30934</t>
  </si>
  <si>
    <t>STARLINK-31012</t>
  </si>
  <si>
    <t>STARLINK-31035</t>
  </si>
  <si>
    <t>STARLINK-31036</t>
  </si>
  <si>
    <t>STARLINK-30936</t>
  </si>
  <si>
    <t>STARLINK-31032</t>
  </si>
  <si>
    <t>STARLINK-31037</t>
  </si>
  <si>
    <t>STARLINK-31041</t>
  </si>
  <si>
    <t>STARLINK-31014</t>
  </si>
  <si>
    <t>STARLINK-31055</t>
  </si>
  <si>
    <t>STARLINK-31019</t>
  </si>
  <si>
    <t>STARLINK-31045</t>
  </si>
  <si>
    <t>STARLINK-31030</t>
  </si>
  <si>
    <t>STARLINK-31049</t>
  </si>
  <si>
    <t>STARLINK-31048</t>
  </si>
  <si>
    <t>STARLINK-31057</t>
  </si>
  <si>
    <t>STARLINK-31050</t>
  </si>
  <si>
    <t>STARLINK-31063</t>
  </si>
  <si>
    <t>STARLINK-31016</t>
  </si>
  <si>
    <t>STARLINK-31053</t>
  </si>
  <si>
    <t>STARLINK-31056</t>
  </si>
  <si>
    <t>STARLINK-30999</t>
  </si>
  <si>
    <t>STARLINK-31046</t>
  </si>
  <si>
    <t>STARLINK-11072 [DTC]</t>
  </si>
  <si>
    <t>STARLINK-11075 [DTC]</t>
  </si>
  <si>
    <t>STARLINK-11077 [DTC]</t>
  </si>
  <si>
    <t>STARLINK-11079 [DTC]</t>
  </si>
  <si>
    <t>STARLINK-11076 [DTC]</t>
  </si>
  <si>
    <t>STARLINK-11078 [DTC]</t>
  </si>
  <si>
    <t>STARLINK-31031</t>
  </si>
  <si>
    <t>STARLINK-31029</t>
  </si>
  <si>
    <t>STARLINK-30973</t>
  </si>
  <si>
    <t>STARLINK-31100</t>
  </si>
  <si>
    <t>STARLINK-31102</t>
  </si>
  <si>
    <t>STARLINK-31098</t>
  </si>
  <si>
    <t>STARLINK-31093</t>
  </si>
  <si>
    <t>STARLINK-31097</t>
  </si>
  <si>
    <t>STARLINK-31051</t>
  </si>
  <si>
    <t>STARLINK-31027</t>
  </si>
  <si>
    <t>STARLINK-30972</t>
  </si>
  <si>
    <t>STARLINK-31040</t>
  </si>
  <si>
    <t>STARLINK-31033</t>
  </si>
  <si>
    <t>STARLINK-30893</t>
  </si>
  <si>
    <t>STARLINK-30856</t>
  </si>
  <si>
    <t>STARLINK-31127</t>
  </si>
  <si>
    <t>STARLINK-31114</t>
  </si>
  <si>
    <t>STARLINK-31140</t>
  </si>
  <si>
    <t>STARLINK-31145</t>
  </si>
  <si>
    <t>STARLINK-31146</t>
  </si>
  <si>
    <t>STARLINK-31143</t>
  </si>
  <si>
    <t>STARLINK-31135</t>
  </si>
  <si>
    <t>STARLINK-31136</t>
  </si>
  <si>
    <t>STARLINK-31073</t>
  </si>
  <si>
    <t>STARLINK-31122</t>
  </si>
  <si>
    <t>STARLINK-31123</t>
  </si>
  <si>
    <t>STARLINK-31117</t>
  </si>
  <si>
    <t>STARLINK-31132</t>
  </si>
  <si>
    <t>STARLINK-31120</t>
  </si>
  <si>
    <t>STARLINK-31142</t>
  </si>
  <si>
    <t>STARLINK-31099</t>
  </si>
  <si>
    <t>STARLINK-31047</t>
  </si>
  <si>
    <t>STARLINK-31039</t>
  </si>
  <si>
    <t>STARLINK-31034</t>
  </si>
  <si>
    <t>STARLINK-31024</t>
  </si>
  <si>
    <t>STARLINK-31233</t>
  </si>
  <si>
    <t>STARLINK-31271</t>
  </si>
  <si>
    <t>STARLINK-31222</t>
  </si>
  <si>
    <t>STARLINK-31258</t>
  </si>
  <si>
    <t>STARLINK-31253</t>
  </si>
  <si>
    <t>STARLINK-31232</t>
  </si>
  <si>
    <t>STARLINK-31263</t>
  </si>
  <si>
    <t>STARLINK-31171</t>
  </si>
  <si>
    <t>STARLINK-31246</t>
  </si>
  <si>
    <t>STARLINK-31251</t>
  </si>
  <si>
    <t>STARLINK-31249</t>
  </si>
  <si>
    <t>STARLINK-31250</t>
  </si>
  <si>
    <t>STARLINK-31248</t>
  </si>
  <si>
    <t>STARLINK-31236</t>
  </si>
  <si>
    <t>STARLINK-31228</t>
  </si>
  <si>
    <t>STARLINK-31280</t>
  </si>
  <si>
    <t>STARLINK-31269</t>
  </si>
  <si>
    <t>STARLINK-31264</t>
  </si>
  <si>
    <t>STARLINK-31273</t>
  </si>
  <si>
    <t>STARLINK-31262</t>
  </si>
  <si>
    <t>7-12</t>
  </si>
  <si>
    <t>STARLINK-31306</t>
  </si>
  <si>
    <t>STARLINK-31326</t>
  </si>
  <si>
    <t>STARLINK-31300</t>
  </si>
  <si>
    <t>STARLINK-31296</t>
  </si>
  <si>
    <t>STARLINK-31328</t>
  </si>
  <si>
    <t>STARLINK-31260</t>
  </si>
  <si>
    <t>STARLINK-31323</t>
  </si>
  <si>
    <t>STARLINK-31209</t>
  </si>
  <si>
    <t>STARLINK-31315</t>
  </si>
  <si>
    <t>STARLINK-31318</t>
  </si>
  <si>
    <t>STARLINK-31320</t>
  </si>
  <si>
    <t>STARLINK-31321</t>
  </si>
  <si>
    <t>STARLINK-30970</t>
  </si>
  <si>
    <t>STARLINK-31007</t>
  </si>
  <si>
    <t>STARLINK-31230</t>
  </si>
  <si>
    <t>STARLINK-31245</t>
  </si>
  <si>
    <t>STARLINK-31254</t>
  </si>
  <si>
    <t>STARLINK-31255</t>
  </si>
  <si>
    <t>STARLINK-31243</t>
  </si>
  <si>
    <t>STARLINK-31218</t>
  </si>
  <si>
    <t>STARLINK-31221</t>
  </si>
  <si>
    <t>STARLINK-31190</t>
  </si>
  <si>
    <t>STARLINK-31317</t>
  </si>
  <si>
    <t>STARLINK-31378</t>
  </si>
  <si>
    <t>STARLINK-31350</t>
  </si>
  <si>
    <t>STARLINK-31337</t>
  </si>
  <si>
    <t>STARLINK-31362</t>
  </si>
  <si>
    <t>STARLINK-31383</t>
  </si>
  <si>
    <t>STARLINK-31390</t>
  </si>
  <si>
    <t>STARLINK-31377</t>
  </si>
  <si>
    <t>STARLINK-31372</t>
  </si>
  <si>
    <t>STARLINK-31371</t>
  </si>
  <si>
    <t>STARLINK-31345</t>
  </si>
  <si>
    <t>STARLINK-31354</t>
  </si>
  <si>
    <t>STARLINK-31346</t>
  </si>
  <si>
    <t>STARLINK-31336</t>
  </si>
  <si>
    <t>STARLINK-31359</t>
  </si>
  <si>
    <t>STARLINK-31331</t>
  </si>
  <si>
    <t>STARLINK-31116</t>
  </si>
  <si>
    <t>STARLINK-31311</t>
  </si>
  <si>
    <t>STARLINK-31294</t>
  </si>
  <si>
    <t>STARLINK-31287</t>
  </si>
  <si>
    <t>STARLINK-31330</t>
  </si>
  <si>
    <t>STARLINK-31293</t>
  </si>
  <si>
    <t>STARLINK-31373</t>
  </si>
  <si>
    <t>STARLINK-31449</t>
  </si>
  <si>
    <t>STARLINK-31314</t>
  </si>
  <si>
    <t>STARLINK-31356</t>
  </si>
  <si>
    <t>STARLINK-31335</t>
  </si>
  <si>
    <t>STARLINK-31368</t>
  </si>
  <si>
    <t>STARLINK-31333</t>
  </si>
  <si>
    <t>STARLINK-31351</t>
  </si>
  <si>
    <t>STARLINK-31365</t>
  </si>
  <si>
    <t>STARLINK-31361</t>
  </si>
  <si>
    <t>STARLINK-31369</t>
  </si>
  <si>
    <t>STARLINK-31324</t>
  </si>
  <si>
    <t>STARLINK-31358</t>
  </si>
  <si>
    <t>STARLINK-31355</t>
  </si>
  <si>
    <t>STARLINK-31380</t>
  </si>
  <si>
    <t>STARLINK-31353</t>
  </si>
  <si>
    <t>STARLINK-31339</t>
  </si>
  <si>
    <t>STARLINK-31384</t>
  </si>
  <si>
    <t>STARLINK-31379</t>
  </si>
  <si>
    <t>STARLINK-31385</t>
  </si>
  <si>
    <t>STARLINK-31229</t>
  </si>
  <si>
    <t>STARLINK-31468</t>
  </si>
  <si>
    <t>STARLINK-31440</t>
  </si>
  <si>
    <t>STARLINK-31529</t>
  </si>
  <si>
    <t>STARLINK-31431</t>
  </si>
  <si>
    <t>STARLINK-31435</t>
  </si>
  <si>
    <t>STARLINK-31484</t>
  </si>
  <si>
    <t>STARLINK-31450</t>
  </si>
  <si>
    <t>STARLINK-31456</t>
  </si>
  <si>
    <t>STARLINK-31460</t>
  </si>
  <si>
    <t>STARLINK-31488</t>
  </si>
  <si>
    <t>STARLINK-31528</t>
  </si>
  <si>
    <t>STARLINK-31491</t>
  </si>
  <si>
    <t>STARLINK-31465</t>
  </si>
  <si>
    <t>STARLINK-31389</t>
  </si>
  <si>
    <t>STARLINK-31454</t>
  </si>
  <si>
    <t>STARLINK-31521</t>
  </si>
  <si>
    <t>STARLINK-31526</t>
  </si>
  <si>
    <t>STARLINK-31406</t>
  </si>
  <si>
    <t>STARLINK-31527</t>
  </si>
  <si>
    <t>STARLINK-31436</t>
  </si>
  <si>
    <t>7-17</t>
  </si>
  <si>
    <t>STARLINK-31603</t>
  </si>
  <si>
    <t>STARLINK-31602</t>
  </si>
  <si>
    <t>STARLINK-31577</t>
  </si>
  <si>
    <t>STARLINK-31522</t>
  </si>
  <si>
    <t>STARLINK-31586</t>
  </si>
  <si>
    <t>STARLINK-31247</t>
  </si>
  <si>
    <t>STARLINK-31591</t>
  </si>
  <si>
    <t>STARLINK-31576</t>
  </si>
  <si>
    <t>STARLINK-31601</t>
  </si>
  <si>
    <t>STARLINK-31520</t>
  </si>
  <si>
    <t>STARLINK-31496</t>
  </si>
  <si>
    <t>STARLINK-31492</t>
  </si>
  <si>
    <t>STARLINK-31517</t>
  </si>
  <si>
    <t>STARLINK-31604</t>
  </si>
  <si>
    <t>STARLINK-31434</t>
  </si>
  <si>
    <t>STARLINK-31417</t>
  </si>
  <si>
    <t>STARLINK-31499</t>
  </si>
  <si>
    <t>STARLINK-31421</t>
  </si>
  <si>
    <t>STARLINK-31518</t>
  </si>
  <si>
    <t>STARLINK-31523</t>
  </si>
  <si>
    <t>STARLINK-31516</t>
  </si>
  <si>
    <t>STARLINK-31490</t>
  </si>
  <si>
    <t>STARLINK-31420</t>
  </si>
  <si>
    <t>STARLINK-31659</t>
  </si>
  <si>
    <t>STARLINK-31629</t>
  </si>
  <si>
    <t>STARLINK-31652</t>
  </si>
  <si>
    <t>STARLINK-31655</t>
  </si>
  <si>
    <t>STARLINK-31637</t>
  </si>
  <si>
    <t>STARLINK-31506</t>
  </si>
  <si>
    <t>STARLINK-31639</t>
  </si>
  <si>
    <t>STARLINK-31598</t>
  </si>
  <si>
    <t>STARLINK-31645</t>
  </si>
  <si>
    <t>STARLINK-31646</t>
  </si>
  <si>
    <t>STARLINK-31648</t>
  </si>
  <si>
    <t>STARLINK-31579</t>
  </si>
  <si>
    <t>STARLINK-31627</t>
  </si>
  <si>
    <t>STARLINK-31609</t>
  </si>
  <si>
    <t>STARLINK-31616</t>
  </si>
  <si>
    <t>STARLINK-31630</t>
  </si>
  <si>
    <t>STARLINK-31623</t>
  </si>
  <si>
    <t>STARLINK-31595</t>
  </si>
  <si>
    <t>STARLINK-31641</t>
  </si>
  <si>
    <t>STARLINK-31430</t>
  </si>
  <si>
    <t>STARLINK-31695</t>
  </si>
  <si>
    <t>STARLINK-31716</t>
  </si>
  <si>
    <t>STARLINK-31710</t>
  </si>
  <si>
    <t>STARLINK-31698</t>
  </si>
  <si>
    <t>STARLINK-31680</t>
  </si>
  <si>
    <t>STARLINK-31713</t>
  </si>
  <si>
    <t>STARLINK-31705</t>
  </si>
  <si>
    <t>STARLINK-31715</t>
  </si>
  <si>
    <t>STARLINK-31717</t>
  </si>
  <si>
    <t>STARLINK-31688</t>
  </si>
  <si>
    <t>STARLINK-31714</t>
  </si>
  <si>
    <t>STARLINK-31643</t>
  </si>
  <si>
    <t>STARLINK-31647</t>
  </si>
  <si>
    <t>STARLINK-31649</t>
  </si>
  <si>
    <t>STARLINK-31644</t>
  </si>
  <si>
    <t>STARLINK-31626</t>
  </si>
  <si>
    <t>STARLINK-31443</t>
  </si>
  <si>
    <t>STARLINK-31607</t>
  </si>
  <si>
    <t>STARLINK-31608</t>
  </si>
  <si>
    <t>STARLINK-11087 [DTC]</t>
  </si>
  <si>
    <t>STARLINK-11090 [DTC]</t>
  </si>
  <si>
    <t>STARLINK-11093 [DTC]</t>
  </si>
  <si>
    <t>STARLINK-11083 [DTC]</t>
  </si>
  <si>
    <t>STARLINK-11085 [DTC]</t>
  </si>
  <si>
    <t>STARLINK-11089 [DTC]</t>
  </si>
  <si>
    <t>STARLINK-31757</t>
  </si>
  <si>
    <t>STARLINK-31773</t>
  </si>
  <si>
    <t>STARLINK-31772</t>
  </si>
  <si>
    <t>STARLINK-31613</t>
  </si>
  <si>
    <t>STARLINK-31780</t>
  </si>
  <si>
    <t>STARLINK-31740</t>
  </si>
  <si>
    <t>STARLINK-31580</t>
  </si>
  <si>
    <t>STARLINK-31696</t>
  </si>
  <si>
    <t>STARLINK-31700</t>
  </si>
  <si>
    <t>STARLINK-31706</t>
  </si>
  <si>
    <t>STARLINK-31711</t>
  </si>
  <si>
    <t>STARLINK-31708</t>
  </si>
  <si>
    <t>STARLINK-31693</t>
  </si>
  <si>
    <t>STARLINK-11107 [DTC]</t>
  </si>
  <si>
    <t>STARLINK-11088 [DTC]</t>
  </si>
  <si>
    <t>STARLINK-11092 [DTC]</t>
  </si>
  <si>
    <t>STARLINK-11082 [DTC]</t>
  </si>
  <si>
    <t>STARLINK-11108 [DTC]</t>
  </si>
  <si>
    <t>STARLINK-11100 [DTC]</t>
  </si>
  <si>
    <t>STARLINK-11094 [DTC]</t>
  </si>
  <si>
    <t>STARLINK-11101 [DTC]</t>
  </si>
  <si>
    <t>STARLINK-11099 [DTC]</t>
  </si>
  <si>
    <t>STARLINK-11084 [DTC]</t>
  </si>
  <si>
    <t>STARLINK-11103 [DTC]</t>
  </si>
  <si>
    <t>STARLINK-11096 [DTC]</t>
  </si>
  <si>
    <t>STARLINK-11095 [DTC]</t>
  </si>
  <si>
    <t>STARLINK-31834</t>
  </si>
  <si>
    <t>STARLINK-31843</t>
  </si>
  <si>
    <t>STARLINK-31766</t>
  </si>
  <si>
    <t>STARLINK-31836</t>
  </si>
  <si>
    <t>STARLINK-31820</t>
  </si>
  <si>
    <t>STARLINK-31642</t>
  </si>
  <si>
    <t>STARLINK-31827</t>
  </si>
  <si>
    <t>STARLINK-11118 [DTC]</t>
  </si>
  <si>
    <t>STARLINK-11132 [DTC]</t>
  </si>
  <si>
    <t>STARLINK-11131 [DTC]</t>
  </si>
  <si>
    <t>STARLINK-11114 [DTC]</t>
  </si>
  <si>
    <t>STARLINK-11105 [DTC]</t>
  </si>
  <si>
    <t>STARLINK-11097 [DTC]</t>
  </si>
  <si>
    <t>STARLINK-11098 [DTC]</t>
  </si>
  <si>
    <t>STARLINK-11117 [DTC]</t>
  </si>
  <si>
    <t>STARLINK-11110 [DTC]</t>
  </si>
  <si>
    <t>STARLINK-11104 [DTC]</t>
  </si>
  <si>
    <t>STARLINK-11111 [DTC]</t>
  </si>
  <si>
    <t>STARLINK-11106 [DTC]</t>
  </si>
  <si>
    <t>STARLINK-31739</t>
  </si>
  <si>
    <t>STARLINK-31828</t>
  </si>
  <si>
    <t>STARLINK-31826</t>
  </si>
  <si>
    <t>STARLINK-31830</t>
  </si>
  <si>
    <t>STARLINK-31829</t>
  </si>
  <si>
    <t>STARLINK-31786</t>
  </si>
  <si>
    <t>STARLINK-31835</t>
  </si>
  <si>
    <t>STARLINK-11145 [DTC]</t>
  </si>
  <si>
    <t>STARLINK-11113 [DTC]</t>
  </si>
  <si>
    <t>STARLINK-11123 [DTC]</t>
  </si>
  <si>
    <t>STARLINK-11138 [DTC]</t>
  </si>
  <si>
    <t>STARLINK-11130 [DTC]</t>
  </si>
  <si>
    <t>STARLINK-11124 [DTC]</t>
  </si>
  <si>
    <t>STARLINK-11143 [DTC]</t>
  </si>
  <si>
    <t>STARLINK-11133 [DTC]</t>
  </si>
  <si>
    <t>STARLINK-11144 [DTC]</t>
  </si>
  <si>
    <t>STARLINK-11134 [DTC]</t>
  </si>
  <si>
    <t>STARLINK-11142 [DTC]</t>
  </si>
  <si>
    <t>STARLINK-31995</t>
  </si>
  <si>
    <t>STARLINK-31989</t>
  </si>
  <si>
    <t>STARLINK-31856</t>
  </si>
  <si>
    <t>STARLINK-31993</t>
  </si>
  <si>
    <t>STARLINK-31980</t>
  </si>
  <si>
    <t>STARLINK-31991</t>
  </si>
  <si>
    <t>STARLINK-31979</t>
  </si>
  <si>
    <t>STARLINK-11129 [DTC]</t>
  </si>
  <si>
    <t>STARLINK-11140 [DTC]</t>
  </si>
  <si>
    <t>STARLINK-11122 [DTC]</t>
  </si>
  <si>
    <t>STARLINK-11149 [DTC]</t>
  </si>
  <si>
    <t>STARLINK-11120 [DTC]</t>
  </si>
  <si>
    <t>STARLINK-11086 [DTC]</t>
  </si>
  <si>
    <t>STARLINK-11148 [DTC]</t>
  </si>
  <si>
    <t>STARLINK-11116 [DTC]</t>
  </si>
  <si>
    <t>STARLINK-11155 [DTC]</t>
  </si>
  <si>
    <t>STARLINK-11163 [DTC]</t>
  </si>
  <si>
    <t>STARLINK-11135 [DTC]</t>
  </si>
  <si>
    <t>STARLINK-11151 [DTC]</t>
  </si>
  <si>
    <t>STARLINK-11137 [DTC]</t>
  </si>
  <si>
    <t>STARLINK-31811</t>
  </si>
  <si>
    <t>STARLINK-31775</t>
  </si>
  <si>
    <t>STARLINK-31793</t>
  </si>
  <si>
    <t>STARLINK-31735</t>
  </si>
  <si>
    <t>STARLINK-31788</t>
  </si>
  <si>
    <t>STARLINK-31825</t>
  </si>
  <si>
    <t>STARLINK-31437</t>
  </si>
  <si>
    <t>STARLINK-11168 [DTC]</t>
  </si>
  <si>
    <t>STARLINK-11187 [DTC]</t>
  </si>
  <si>
    <t>STARLINK-11180 [DTC]</t>
  </si>
  <si>
    <t>STARLINK-11197 [DTC]</t>
  </si>
  <si>
    <t>STARLINK-11194 [DTC]</t>
  </si>
  <si>
    <t>STARLINK-11189 [DTC]</t>
  </si>
  <si>
    <t>STARLINK-11183 [DTC]</t>
  </si>
  <si>
    <t>STARLINK-11179 [DTC]</t>
  </si>
  <si>
    <t>STARLINK-11175 [DTC]</t>
  </si>
  <si>
    <t>STARLINK-11173 [DTC]</t>
  </si>
  <si>
    <t>STARLINK-11172 [DTC]</t>
  </si>
  <si>
    <t>STARLINK-11152 [DTC]</t>
  </si>
  <si>
    <t>STARLINK-11193 [DTC]</t>
  </si>
  <si>
    <t>STARLINK-31869</t>
  </si>
  <si>
    <t>STARLINK-32023</t>
  </si>
  <si>
    <t>STARLINK-32046</t>
  </si>
  <si>
    <t>STARLINK-32049</t>
  </si>
  <si>
    <t>STARLINK-32002</t>
  </si>
  <si>
    <t>STARLINK-32020</t>
  </si>
  <si>
    <t>STARLINK-32041</t>
  </si>
  <si>
    <t>STARLINK-11228 [DTC]</t>
  </si>
  <si>
    <t>STARLINK-11182 [DTC]</t>
  </si>
  <si>
    <t>STARLINK-11234 [DTC]</t>
  </si>
  <si>
    <t>STARLINK-11232 [DTC]</t>
  </si>
  <si>
    <t>STARLINK-11139 [DTC]</t>
  </si>
  <si>
    <t>STARLINK-11158 [DTC]</t>
  </si>
  <si>
    <t>STARLINK-11199 [DTC]</t>
  </si>
  <si>
    <t>STARLINK-11081 [DTC]</t>
  </si>
  <si>
    <t>STARLINK-11150 [DTC]</t>
  </si>
  <si>
    <t>STARLINK-11136 [DTC]</t>
  </si>
  <si>
    <t>STARLINK-11196 [DTC]</t>
  </si>
  <si>
    <t>STARLINK-11174 [DTC]</t>
  </si>
  <si>
    <t>STARLINK-11191 [DTC]</t>
  </si>
  <si>
    <t>STARLINK-32244</t>
  </si>
  <si>
    <t>STARLINK-32186</t>
  </si>
  <si>
    <t>STARLINK-32178</t>
  </si>
  <si>
    <t>STARLINK-32234</t>
  </si>
  <si>
    <t>STARLINK-32265</t>
  </si>
  <si>
    <t>STARLINK-32197</t>
  </si>
  <si>
    <t>STARLINK-32255</t>
  </si>
  <si>
    <t>STARLINK-32236</t>
  </si>
  <si>
    <t>STARLINK-11247 [DTC]</t>
  </si>
  <si>
    <t>STARLINK-11259 [DTC]</t>
  </si>
  <si>
    <t>STARLINK-11188 [DTC]</t>
  </si>
  <si>
    <t>STARLINK-11272 [DTC]</t>
  </si>
  <si>
    <t>STARLINK-11261 [DTC]</t>
  </si>
  <si>
    <t>STARLINK-11263 [DTC]</t>
  </si>
  <si>
    <t>STARLINK-11235 [DTC]</t>
  </si>
  <si>
    <t>STARLINK-11080 [DTC]</t>
  </si>
  <si>
    <t>STARLINK-11249 [DTC]</t>
  </si>
  <si>
    <t>STARLINK-11146 [DTC]</t>
  </si>
  <si>
    <t>STARLINK-11255 [DTC]</t>
  </si>
  <si>
    <t>STARLINK-11254 [DTC]</t>
  </si>
  <si>
    <t>STARLINK-11266 [DTC]</t>
  </si>
  <si>
    <t>STARLINK-32253</t>
  </si>
  <si>
    <t>STARLINK-32179</t>
  </si>
  <si>
    <t>STARLINK-32272</t>
  </si>
  <si>
    <t>STARLINK-32289</t>
  </si>
  <si>
    <t>STARLINK-32304</t>
  </si>
  <si>
    <t>STARLINK-32235</t>
  </si>
  <si>
    <t>STARLINK-32315</t>
  </si>
  <si>
    <t>STARLINK-11242 [DTC]</t>
  </si>
  <si>
    <t>STARLINK-11256 [DTC]</t>
  </si>
  <si>
    <t>STARLINK-11159 [DTC]</t>
  </si>
  <si>
    <t>STARLINK-11264 [DTC]</t>
  </si>
  <si>
    <t>STARLINK-11226 [DTC]</t>
  </si>
  <si>
    <t>STARLINK-11229 [DTC]</t>
  </si>
  <si>
    <t>STARLINK-11265 [DTC]</t>
  </si>
  <si>
    <t>STARLINK-11250 [DTC]</t>
  </si>
  <si>
    <t>STARLINK-11190 [DTC]</t>
  </si>
  <si>
    <t>STARLINK-11225 [DTC]</t>
  </si>
  <si>
    <t>STARLINK-11273 [DTC]</t>
  </si>
  <si>
    <t>STARLINK-11248</t>
  </si>
  <si>
    <t>STARLINK-11271 [DTC]</t>
  </si>
  <si>
    <t>STARLINK-32371</t>
  </si>
  <si>
    <t>STARLINK-32369</t>
  </si>
  <si>
    <t>STARLINK-32317</t>
  </si>
  <si>
    <t>STARLINK-32367</t>
  </si>
  <si>
    <t>STARLINK-32345</t>
  </si>
  <si>
    <t>STARLINK-32356</t>
  </si>
  <si>
    <t>STARLINK-32274</t>
  </si>
  <si>
    <t>STARLINK-32373</t>
  </si>
  <si>
    <t>STARLINK-11289 [DTC]</t>
  </si>
  <si>
    <t>STARLINK-11282 [DTC]</t>
  </si>
  <si>
    <t>STARLINK-11283 [DTC]</t>
  </si>
  <si>
    <t>STARLINK-11267 [DTC]</t>
  </si>
  <si>
    <t>STARLINK-11269 [DTC]</t>
  </si>
  <si>
    <t>STARLINK-11281 [DTC]</t>
  </si>
  <si>
    <t>STARLINK-11260 [DTC]</t>
  </si>
  <si>
    <t>STARLINK-11287 [DTC]</t>
  </si>
  <si>
    <t>STARLINK-11270 [DTC]</t>
  </si>
  <si>
    <t>STARLINK-11290 [DTC]</t>
  </si>
  <si>
    <t>STARLINK-11274 [DTC]</t>
  </si>
  <si>
    <t>STARLINK-11288 [DTC]</t>
  </si>
  <si>
    <t>STARLINK-32279</t>
  </si>
  <si>
    <t>STARLINK-32336</t>
  </si>
  <si>
    <t>STARLINK-32284</t>
  </si>
  <si>
    <t>STARLINK-32282</t>
  </si>
  <si>
    <t>STARLINK-32360</t>
  </si>
  <si>
    <t>STARLINK-32340</t>
  </si>
  <si>
    <t>STARLINK-32347</t>
  </si>
  <si>
    <t>STARLINK-11356 [DTC]</t>
  </si>
  <si>
    <t>STARLINK-11376 [DTC]</t>
  </si>
  <si>
    <t>STARLINK-11372 [DTC]</t>
  </si>
  <si>
    <t>STARLINK-11375 [DTC]</t>
  </si>
  <si>
    <t>STARLINK-11285 [DTC]</t>
  </si>
  <si>
    <t>STARLINK-11275 [DTC]</t>
  </si>
  <si>
    <t>STARLINK-11342 [DTC]</t>
  </si>
  <si>
    <t>STARLINK-11374 [DTC]</t>
  </si>
  <si>
    <t>STARLINK-11373 [DTC]</t>
  </si>
  <si>
    <t>STARLINK-11368 [DTC]</t>
  </si>
  <si>
    <t>STARLINK-11370 [DTC]</t>
  </si>
  <si>
    <t>STARLINK-11361 [DTC]</t>
  </si>
  <si>
    <t>STARLINK-11360 [DTC]</t>
  </si>
  <si>
    <t>STARLINK-32353</t>
  </si>
  <si>
    <t>STARLINK-32325</t>
  </si>
  <si>
    <t>STARLINK-32416</t>
  </si>
  <si>
    <t>STARLINK-32413</t>
  </si>
  <si>
    <t>STARLINK-32409</t>
  </si>
  <si>
    <t>STARLINK-32422</t>
  </si>
  <si>
    <t>STARLINK-32397</t>
  </si>
  <si>
    <t>STARLINK-11181 [DTC]</t>
  </si>
  <si>
    <t>STARLINK-11176 [DTC]</t>
  </si>
  <si>
    <t>STARLINK-11167 [DTC]</t>
  </si>
  <si>
    <t>STARLINK-11166 [DTC]</t>
  </si>
  <si>
    <t>STARLINK-11165 [DTC]</t>
  </si>
  <si>
    <t>STARLINK-11169 [DTC]</t>
  </si>
  <si>
    <t>STARLINK-11102 [DTC]</t>
  </si>
  <si>
    <t>STARLINK-11141 [DTC]</t>
  </si>
  <si>
    <t>STARLINK-11153 [DTC]</t>
  </si>
  <si>
    <t>STARLINK-11170 [DTC]</t>
  </si>
  <si>
    <t>STARLINK-11171 [DTC]</t>
  </si>
  <si>
    <t>STARLINK-11186 [DTC]</t>
  </si>
  <si>
    <t>STARLINK-11184 [DTC]</t>
  </si>
  <si>
    <t>STARLINK-32032</t>
  </si>
  <si>
    <t>STARLINK-11201 [DTC]</t>
  </si>
  <si>
    <t>STARLINK-11198 [DTC]</t>
  </si>
  <si>
    <t>STARLINK-11112 [DTC]</t>
  </si>
  <si>
    <t>STARLINK-11210 [DTC]</t>
  </si>
  <si>
    <t>STARLINK-11203 [DTC]</t>
  </si>
  <si>
    <t>STARLINK-11177 [DTC]</t>
  </si>
  <si>
    <t>STARLINK-11127 [DTC]</t>
  </si>
  <si>
    <t>STARLINK-11164 [DTC]</t>
  </si>
  <si>
    <t>STARLINK-11119 [DTC]</t>
  </si>
  <si>
    <t>STARLINK-11157 [DTC]</t>
  </si>
  <si>
    <t>STARLINK-11162 [DTC]</t>
  </si>
  <si>
    <t>STARLINK-11161 [DTC]</t>
  </si>
  <si>
    <t>STARLINK-11160 [DTC]</t>
  </si>
  <si>
    <t>STARLINK-31846</t>
  </si>
  <si>
    <t>STARLINK-31840</t>
  </si>
  <si>
    <t>STARLINK-31813</t>
  </si>
  <si>
    <t>STARLINK-31845</t>
  </si>
  <si>
    <t>STARLINK-31838</t>
  </si>
  <si>
    <t>STARLINK-31785</t>
  </si>
  <si>
    <t>STARLINK-31792</t>
  </si>
  <si>
    <t>STARLINK-11147 [DTC]</t>
  </si>
  <si>
    <t>STARLINK-11128 [DTC]</t>
  </si>
  <si>
    <t>STARLINK-11227 [DTC]</t>
  </si>
  <si>
    <t>STARLINK-11224 [DTC]</t>
  </si>
  <si>
    <t>STARLINK-11115 [DTC]</t>
  </si>
  <si>
    <t>STARLINK-11109 [DTC]</t>
  </si>
  <si>
    <t>STARLINK-11223 [DTC]</t>
  </si>
  <si>
    <t>STARLINK-11192 [DTC]</t>
  </si>
  <si>
    <t>STARLINK-11213 [DTC]</t>
  </si>
  <si>
    <t>STARLINK-11200 [DTC]</t>
  </si>
  <si>
    <t>STARLINK-11208</t>
  </si>
  <si>
    <t>STARLINK-11206 [DTC]</t>
  </si>
  <si>
    <t>STARLINK-11205 [DTC]</t>
  </si>
  <si>
    <t>STARLINK-32191</t>
  </si>
  <si>
    <t>STARLINK-32194</t>
  </si>
  <si>
    <t>STARLINK-32192</t>
  </si>
  <si>
    <t>STARLINK-32189</t>
  </si>
  <si>
    <t>STARLINK-32190</t>
  </si>
  <si>
    <t>STARLINK-32182</t>
  </si>
  <si>
    <t>STARLINK-32199</t>
  </si>
  <si>
    <t>STARLINK-32198</t>
  </si>
  <si>
    <t>9-5</t>
  </si>
  <si>
    <t>STARLINK-11239 [DTC]</t>
  </si>
  <si>
    <t>STARLINK-11245 [DTC]</t>
  </si>
  <si>
    <t>STARLINK-11244 [DTC]</t>
  </si>
  <si>
    <t>STARLINK-11243 [DTC]</t>
  </si>
  <si>
    <t>STARLINK-11238 [DTC]</t>
  </si>
  <si>
    <t>STARLINK-11240 [DTC]</t>
  </si>
  <si>
    <t>STARLINK-11251 [DTC]</t>
  </si>
  <si>
    <t>STARLINK-11204 [DTC]</t>
  </si>
  <si>
    <t>STARLINK-11246 [DTC]</t>
  </si>
  <si>
    <t>STARLINK-11207 [DTC]</t>
  </si>
  <si>
    <t>STARLINK-11237 [DTC]</t>
  </si>
  <si>
    <t>STARLINK-11253 [DTC]</t>
  </si>
  <si>
    <t>STARLINK-11241 [DTC]</t>
  </si>
  <si>
    <t>STARLINK-32259</t>
  </si>
  <si>
    <t>STARLINK-32262</t>
  </si>
  <si>
    <t>STARLINK-32258</t>
  </si>
  <si>
    <t>STARLINK-32251</t>
  </si>
  <si>
    <t>STARLINK-32224</t>
  </si>
  <si>
    <t>STARLINK-32184</t>
  </si>
  <si>
    <t>STARLINK-32288</t>
  </si>
  <si>
    <t>STARLINK-32276</t>
  </si>
  <si>
    <t>STARLINK-11286 [DTC]</t>
  </si>
  <si>
    <t>STARLINK-11252 [DTC]</t>
  </si>
  <si>
    <t>STARLINK-11230 [DTC]</t>
  </si>
  <si>
    <t>STARLINK-11294 [DTC]</t>
  </si>
  <si>
    <t>STARLINK-11268 [DTC]</t>
  </si>
  <si>
    <t>STARLINK-11156 [DTC]</t>
  </si>
  <si>
    <t>STARLINK-11231 [DTC]</t>
  </si>
  <si>
    <t>STARLINK-11299 [DTC]</t>
  </si>
  <si>
    <t>STARLINK-11154 [DTC]</t>
  </si>
  <si>
    <t>STARLINK-11297 [DTC]</t>
  </si>
  <si>
    <t>STARLINK-11233 [DTC]</t>
  </si>
  <si>
    <t>STARLINK-11236 [DTC]</t>
  </si>
  <si>
    <t>STARLINK-32350</t>
  </si>
  <si>
    <t>STARLINK-32378</t>
  </si>
  <si>
    <t>STARLINK-32321</t>
  </si>
  <si>
    <t>STARLINK-32381</t>
  </si>
  <si>
    <t>STARLINK-32385</t>
  </si>
  <si>
    <t>STARLINK-32380</t>
  </si>
  <si>
    <t>STARLINK-32375</t>
  </si>
  <si>
    <t>STARLINK-11209 [DTC]</t>
  </si>
  <si>
    <t>STARLINK-11257 [DTC]</t>
  </si>
  <si>
    <t>STARLINK-11309 [DTC]</t>
  </si>
  <si>
    <t>STARLINK-11292 [DTC]</t>
  </si>
  <si>
    <t>STARLINK-11302 [DTC]</t>
  </si>
  <si>
    <t>STARLINK-11277 [DTC]</t>
  </si>
  <si>
    <t>STARLINK-11279 [DTC]</t>
  </si>
  <si>
    <t>STARLINK-11091 [DTC]</t>
  </si>
  <si>
    <t>STARLINK-11291 [DTC]</t>
  </si>
  <si>
    <t>STARLINK-11304 [DTC]</t>
  </si>
  <si>
    <t>STARLINK-11307 [DTC]</t>
  </si>
  <si>
    <t>STARLINK-11298 [DTC]</t>
  </si>
  <si>
    <t>STARLINK-11310 [DTC]</t>
  </si>
  <si>
    <t>STARLINK-32386</t>
  </si>
  <si>
    <t>STARLINK-32392</t>
  </si>
  <si>
    <t>STARLINK-32436</t>
  </si>
  <si>
    <t>STARLINK-32425</t>
  </si>
  <si>
    <t>STARLINK-32342</t>
  </si>
  <si>
    <t>STARLINK-32423</t>
  </si>
  <si>
    <t>STARLINK-32248</t>
  </si>
  <si>
    <t>STARLINK-11300 [DTC]</t>
  </si>
  <si>
    <t>STARLINK-11276 [DTC]</t>
  </si>
  <si>
    <t>STARLINK-11280 [DTC]</t>
  </si>
  <si>
    <t>STARLINK-11308 [DTC]</t>
  </si>
  <si>
    <t>STARLINK-11305 [DTC]</t>
  </si>
  <si>
    <t>STARLINK-11317 [DTC]</t>
  </si>
  <si>
    <t>STARLINK-11293 [DTC]</t>
  </si>
  <si>
    <t>STARLINK-11319 [DTC]</t>
  </si>
  <si>
    <t>STARLINK-11318 [DTC]</t>
  </si>
  <si>
    <t>STARLINK-11311 [DTC]</t>
  </si>
  <si>
    <t>STARLINK-11306 [DTC]</t>
  </si>
  <si>
    <t>STARLINK-11313 [DTC]</t>
  </si>
  <si>
    <t>STARLINK-32431</t>
  </si>
  <si>
    <t>STARLINK-32432</t>
  </si>
  <si>
    <t>STARLINK-32382</t>
  </si>
  <si>
    <t>STARLINK-32435</t>
  </si>
  <si>
    <t>STARLINK-32474</t>
  </si>
  <si>
    <t>STARLINK-32447</t>
  </si>
  <si>
    <t>STARLINK-32446</t>
  </si>
  <si>
    <t>STARLINK-11354 [DTC]</t>
  </si>
  <si>
    <t>STARLINK-11323 [DTC]</t>
  </si>
  <si>
    <t>STARLINK-11338 [DTC]</t>
  </si>
  <si>
    <t>STARLINK-11362 [DTC]</t>
  </si>
  <si>
    <t>STARLINK-11295 [DTC]</t>
  </si>
  <si>
    <t>STARLINK-11331 [DTC]</t>
  </si>
  <si>
    <t>STARLINK-11325 [DTC]</t>
  </si>
  <si>
    <t>STARLINK-11332 [DTC]</t>
  </si>
  <si>
    <t>STARLINK-11350 [DTC]</t>
  </si>
  <si>
    <t>STARLINK-11357 [DTC]</t>
  </si>
  <si>
    <t>STARLINK-11322 [DTC]</t>
  </si>
  <si>
    <t>STARLINK-11364 [DTC]</t>
  </si>
  <si>
    <t>STARLINK-11349 [DTC]</t>
  </si>
  <si>
    <t>STARLINK-32406</t>
  </si>
  <si>
    <t>STARLINK-32445</t>
  </si>
  <si>
    <t>STARLINK-32411</t>
  </si>
  <si>
    <t>STARLINK-32424</t>
  </si>
  <si>
    <t>STARLINK-32389</t>
  </si>
  <si>
    <t>STARLINK-32476</t>
  </si>
  <si>
    <t>STARLINK-32366</t>
  </si>
  <si>
    <t>STARLINK-11335</t>
  </si>
  <si>
    <t>STARLINK-11344</t>
  </si>
  <si>
    <t>STARLINK-11312</t>
  </si>
  <si>
    <t>STARLINK-11340</t>
  </si>
  <si>
    <t>STARLINK-11339</t>
  </si>
  <si>
    <t>STARLINK-11315</t>
  </si>
  <si>
    <t>STARLINK-11366</t>
  </si>
  <si>
    <t>STARLINK-11348</t>
  </si>
  <si>
    <t>STARLINK-11327</t>
  </si>
  <si>
    <t>STARLINK-11341</t>
  </si>
  <si>
    <t>STARLINK-11346</t>
  </si>
  <si>
    <t>STARLINK-11336</t>
  </si>
  <si>
    <t>STARLINK-11296</t>
  </si>
  <si>
    <t>STARLINK-32349</t>
  </si>
  <si>
    <t>STARLINK-32461</t>
  </si>
  <si>
    <t>STARLINK-32299</t>
  </si>
  <si>
    <t>STARLINK-32335</t>
  </si>
  <si>
    <t>STARLINK-32387</t>
  </si>
  <si>
    <t>STARLINK-32515</t>
  </si>
  <si>
    <t>STARLINK-32533</t>
  </si>
  <si>
    <t>STARLINK-11402 [DTC]</t>
  </si>
  <si>
    <t>STARLINK-11316 [DTC]</t>
  </si>
  <si>
    <t>STARLINK-11401 [DTC]</t>
  </si>
  <si>
    <t>STARLINK-11321 [DTC]</t>
  </si>
  <si>
    <t>STARLINK-11314 [DTC]</t>
  </si>
  <si>
    <t>STARLINK-11324 [DTC]</t>
  </si>
  <si>
    <t>STARLINK-11328 [DTC]</t>
  </si>
  <si>
    <t>STARLINK-11329 [DTC]</t>
  </si>
  <si>
    <t>STARLINK-11398 [DTC]</t>
  </si>
  <si>
    <t>STARLINK-11383 [DTC]</t>
  </si>
  <si>
    <t>STARLINK-11359 [DTC]</t>
  </si>
  <si>
    <t>STARLINK-11301 [DTC]</t>
  </si>
  <si>
    <t>STARLINK-11351 [DTC]</t>
  </si>
  <si>
    <t>STARLINK-32410</t>
  </si>
  <si>
    <t>STARLINK-32377</t>
  </si>
  <si>
    <t>STARLINK-32292</t>
  </si>
  <si>
    <t>STARLINK-32501</t>
  </si>
  <si>
    <t>STARLINK-32383</t>
  </si>
  <si>
    <t>STARLINK-32239</t>
  </si>
  <si>
    <t>STARLINK-32489</t>
  </si>
  <si>
    <t>9-11</t>
  </si>
  <si>
    <t>STARLINK-11407 [DTC]</t>
  </si>
  <si>
    <t>STARLINK-11337 [DTC]</t>
  </si>
  <si>
    <t>STARLINK-11353 [DTC]</t>
  </si>
  <si>
    <t>STARLINK-11320 [DTC]</t>
  </si>
  <si>
    <t>STARLINK-11425 [DTC]</t>
  </si>
  <si>
    <t>STARLINK-11422 [DTC]</t>
  </si>
  <si>
    <t>STARLINK-11421 [DTC]</t>
  </si>
  <si>
    <t>STARLINK-11410 [DTC]</t>
  </si>
  <si>
    <t>STARLINK-11390 [DTC]</t>
  </si>
  <si>
    <t>STARLINK-11414 [DTC]</t>
  </si>
  <si>
    <t>STARLINK-11424 [DTC]</t>
  </si>
  <si>
    <t>STARLINK-11423 [DTC]</t>
  </si>
  <si>
    <t>STARLINK-11395 [DTC]</t>
  </si>
  <si>
    <t>STARLINK-32572</t>
  </si>
  <si>
    <t>STARLINK-32585</t>
  </si>
  <si>
    <t>STARLINK-32574</t>
  </si>
  <si>
    <t>STARLINK-32583</t>
  </si>
  <si>
    <t>STARLINK-32273</t>
  </si>
  <si>
    <t>STARLINK-32359</t>
  </si>
  <si>
    <t>STARLINK-32566</t>
  </si>
  <si>
    <t>STARLINK-11433 [DTC]</t>
  </si>
  <si>
    <t>STARLINK-11262 [DTC]</t>
  </si>
  <si>
    <t>STARLINK-11326 [DTC]</t>
  </si>
  <si>
    <t>STARLINK-11330 [DTC]</t>
  </si>
  <si>
    <t>STARLINK-11363 [DTC]</t>
  </si>
  <si>
    <t>STARLINK-11377 [DTC]</t>
  </si>
  <si>
    <t>STARLINK-11385 [DTC]</t>
  </si>
  <si>
    <t>STARLINK-11396 [DTC]</t>
  </si>
  <si>
    <t>STARLINK-11393 [DTC]</t>
  </si>
  <si>
    <t>STARLINK-11343 [DTC]</t>
  </si>
  <si>
    <t>STARLINK-11411 [DTC]</t>
  </si>
  <si>
    <t>STARLINK-11404 [DTC]</t>
  </si>
  <si>
    <t>STARLINK-11378 [DTC]</t>
  </si>
  <si>
    <t>STARLINK-32520</t>
  </si>
  <si>
    <t>STARLINK-32539</t>
  </si>
  <si>
    <t>STARLINK-32334</t>
  </si>
  <si>
    <t>STARLINK-32504</t>
  </si>
  <si>
    <t>STARLINK-32493</t>
  </si>
  <si>
    <t>STARLINK-32561</t>
  </si>
  <si>
    <t>STARLINK-32512</t>
  </si>
  <si>
    <t>STARLINK-11465 [DTC]</t>
  </si>
  <si>
    <t>STARLINK-11426 [DTC]</t>
  </si>
  <si>
    <t>STARLINK-11454 [DTC]</t>
  </si>
  <si>
    <t>STARLINK-11473 [DTC]</t>
  </si>
  <si>
    <t>STARLINK-11429 [DTC]</t>
  </si>
  <si>
    <t>STARLINK-11470 [DTC]</t>
  </si>
  <si>
    <t>STARLINK-11427 [DTC]</t>
  </si>
  <si>
    <t>STARLINK-11456 [DTC]</t>
  </si>
  <si>
    <t>STARLINK-11474 [DTC]</t>
  </si>
  <si>
    <t>STARLINK-11463 [DTC]</t>
  </si>
  <si>
    <t>STARLINK-11472 [DTC]</t>
  </si>
  <si>
    <t>STARLINK-11467 [DTC]</t>
  </si>
  <si>
    <t>STARLINK-11460 [DTC]</t>
  </si>
  <si>
    <t>STARLINK-32604</t>
  </si>
  <si>
    <t>STARLINK-32553</t>
  </si>
  <si>
    <t>STARLINK-32603</t>
  </si>
  <si>
    <t>STARLINK-32444</t>
  </si>
  <si>
    <t>STARLINK-32619</t>
  </si>
  <si>
    <t>STARLINK-32580</t>
  </si>
  <si>
    <t>STARLINK-32617</t>
  </si>
  <si>
    <t>STARLINK-11394 [DTC]</t>
  </si>
  <si>
    <t>STARLINK-11490 [DTC]</t>
  </si>
  <si>
    <t>STARLINK-11466 [DTC]</t>
  </si>
  <si>
    <t>STARLINK-11468 [DTC]</t>
  </si>
  <si>
    <t>STARLINK-11488 [DTC]</t>
  </si>
  <si>
    <t>STARLINK-11483 [DTC]</t>
  </si>
  <si>
    <t>STARLINK-11492 [DTC]</t>
  </si>
  <si>
    <t>STARLINK-11471 [DTC]</t>
  </si>
  <si>
    <t>STARLINK-11475 [DTC]</t>
  </si>
  <si>
    <t>STARLINK-11469 [DTC]</t>
  </si>
  <si>
    <t>STARLINK-11476 [DTC]</t>
  </si>
  <si>
    <t>STARLINK-11485 [DTC]</t>
  </si>
  <si>
    <t>STARLINK-11481 [DTC]</t>
  </si>
  <si>
    <t>STARLINK-32650</t>
  </si>
  <si>
    <t>STARLINK-32636</t>
  </si>
  <si>
    <t>STARLINK-32643</t>
  </si>
  <si>
    <t>STARLINK-32652</t>
  </si>
  <si>
    <t>STARLINK-32631</t>
  </si>
  <si>
    <t>STARLINK-32641</t>
  </si>
  <si>
    <t>STARLINK-32632</t>
  </si>
  <si>
    <t>10-1</t>
  </si>
  <si>
    <t>STARLINK-31978</t>
  </si>
  <si>
    <t>STARLINK-31987</t>
  </si>
  <si>
    <t>STARLINK-31984</t>
  </si>
  <si>
    <t>STARLINK-31986</t>
  </si>
  <si>
    <t>STARLINK-31883</t>
  </si>
  <si>
    <t>STARLINK-31967</t>
  </si>
  <si>
    <t>STARLINK-31982</t>
  </si>
  <si>
    <t>STARLINK-31992</t>
  </si>
  <si>
    <t>STARLINK-31990</t>
  </si>
  <si>
    <t>STARLINK-31864</t>
  </si>
  <si>
    <t>STARLINK-31939</t>
  </si>
  <si>
    <t>STARLINK-32012</t>
  </si>
  <si>
    <t>STARLINK-32008</t>
  </si>
  <si>
    <t>STARLINK-32006</t>
  </si>
  <si>
    <t>STARLINK-32011</t>
  </si>
  <si>
    <t>STARLINK-31878</t>
  </si>
  <si>
    <t>STARLINK-32017</t>
  </si>
  <si>
    <t>STARLINK-31998</t>
  </si>
  <si>
    <t>STARLINK-32005</t>
  </si>
  <si>
    <t>STARLINK-31981</t>
  </si>
  <si>
    <t>STARLINK-31985</t>
  </si>
  <si>
    <t>STARLINK-31918</t>
  </si>
  <si>
    <t>STARLINK-31441</t>
  </si>
  <si>
    <t>STARLINK-32044</t>
  </si>
  <si>
    <t>STARLINK-31239</t>
  </si>
  <si>
    <t>STARLINK-32007</t>
  </si>
  <si>
    <t>STARLINK-32028</t>
  </si>
  <si>
    <t>STARLINK-32016</t>
  </si>
  <si>
    <t>STARLINK-32003</t>
  </si>
  <si>
    <t>STARLINK-32026</t>
  </si>
  <si>
    <t>STARLINK-31732</t>
  </si>
  <si>
    <t>STARLINK-31996</t>
  </si>
  <si>
    <t>STARLINK-31999</t>
  </si>
  <si>
    <t>STARLINK-31954</t>
  </si>
  <si>
    <t>STARLINK-32013</t>
  </si>
  <si>
    <t>STARLINK-32009</t>
  </si>
  <si>
    <t>STARLINK-32018</t>
  </si>
  <si>
    <t>STARLINK-32045</t>
  </si>
  <si>
    <t>STARLINK-32035</t>
  </si>
  <si>
    <t>STARLINK-32042</t>
  </si>
  <si>
    <t>STARLINK-32040</t>
  </si>
  <si>
    <t>STARLINK-32001</t>
  </si>
  <si>
    <t>STARLINK-32015</t>
  </si>
  <si>
    <t>STARLINK-32024</t>
  </si>
  <si>
    <t>STARLINK-32043</t>
  </si>
  <si>
    <t>STARLINK-32112</t>
  </si>
  <si>
    <t>STARLINK-32050</t>
  </si>
  <si>
    <t>STARLINK-32025</t>
  </si>
  <si>
    <t>STARLINK-31867</t>
  </si>
  <si>
    <t>STARLINK-31694</t>
  </si>
  <si>
    <t>STARLINK-32036</t>
  </si>
  <si>
    <t>STARLINK-32031</t>
  </si>
  <si>
    <t>STARLINK-32027</t>
  </si>
  <si>
    <t>STARLINK-32033</t>
  </si>
  <si>
    <t>STARLINK-32029</t>
  </si>
  <si>
    <t>STARLINK-32127</t>
  </si>
  <si>
    <t>STARLINK-32019</t>
  </si>
  <si>
    <t>STARLINK-32021</t>
  </si>
  <si>
    <t>STARLINK-32022</t>
  </si>
  <si>
    <t>STARLINK-32014</t>
  </si>
  <si>
    <t>STARLINK-32004</t>
  </si>
  <si>
    <t>STARLINK-32147</t>
  </si>
  <si>
    <t>STARLINK-32131</t>
  </si>
  <si>
    <t>STARLINK-32145</t>
  </si>
  <si>
    <t>STARLINK-32137</t>
  </si>
  <si>
    <t>STARLINK-32048</t>
  </si>
  <si>
    <t>STARLINK-32129</t>
  </si>
  <si>
    <t>STARLINK-32138</t>
  </si>
  <si>
    <t>STARLINK-32212</t>
  </si>
  <si>
    <t>STARLINK-32166</t>
  </si>
  <si>
    <t>STARLINK-32200</t>
  </si>
  <si>
    <t>STARLINK-32207</t>
  </si>
  <si>
    <t>STARLINK-32125</t>
  </si>
  <si>
    <t>STARLINK-32160</t>
  </si>
  <si>
    <t>STARLINK-32163</t>
  </si>
  <si>
    <t>STARLINK-32148</t>
  </si>
  <si>
    <t>STARLINK-32121</t>
  </si>
  <si>
    <t>STARLINK-32120</t>
  </si>
  <si>
    <t>STARLINK-32205</t>
  </si>
  <si>
    <t>STARLINK-32158</t>
  </si>
  <si>
    <t>STARLINK-32167</t>
  </si>
  <si>
    <t>STARLINK-32144</t>
  </si>
  <si>
    <t>STARLINK-32211</t>
  </si>
  <si>
    <t>STARLINK-32164</t>
  </si>
  <si>
    <t>STARLINK-32128</t>
  </si>
  <si>
    <t>STARLINK-32206</t>
  </si>
  <si>
    <t>STARLINK-32155</t>
  </si>
  <si>
    <t>STARLINK-32152</t>
  </si>
  <si>
    <t>STARLINK-32154</t>
  </si>
  <si>
    <t>STARLINK-32135</t>
  </si>
  <si>
    <t>10-4</t>
  </si>
  <si>
    <t>STARLINK-32156</t>
  </si>
  <si>
    <t>STARLINK-32010</t>
  </si>
  <si>
    <t>STARLINK-32118</t>
  </si>
  <si>
    <t>STARLINK-32038</t>
  </si>
  <si>
    <t>STARLINK-32113</t>
  </si>
  <si>
    <t>STARLINK-32037</t>
  </si>
  <si>
    <t>STARLINK-32123</t>
  </si>
  <si>
    <t>STARLINK-32122</t>
  </si>
  <si>
    <t>STARLINK-31656</t>
  </si>
  <si>
    <t>STARLINK-32114</t>
  </si>
  <si>
    <t>STARLINK-31997</t>
  </si>
  <si>
    <t>STARLINK-32000</t>
  </si>
  <si>
    <t>STARLINK-32141</t>
  </si>
  <si>
    <t>STARLINK-32142</t>
  </si>
  <si>
    <t>STARLINK-32149</t>
  </si>
  <si>
    <t>STARLINK-32159</t>
  </si>
  <si>
    <t>STARLINK-32150</t>
  </si>
  <si>
    <t>STARLINK-32126</t>
  </si>
  <si>
    <t>STARLINK-32143</t>
  </si>
  <si>
    <t>STARLINK-32034</t>
  </si>
  <si>
    <t>STARLINK-32124</t>
  </si>
  <si>
    <t>STARLINK-32151</t>
  </si>
  <si>
    <t>STARLINK-32134</t>
  </si>
  <si>
    <t>STARLINK-31745</t>
  </si>
  <si>
    <t>STARLINK-32153</t>
  </si>
  <si>
    <t>STARLINK-32203</t>
  </si>
  <si>
    <t>STARLINK-32171</t>
  </si>
  <si>
    <t>STARLINK-32133</t>
  </si>
  <si>
    <t>STARLINK-32132</t>
  </si>
  <si>
    <t>STARLINK-32168</t>
  </si>
  <si>
    <t>STARLINK-32079</t>
  </si>
  <si>
    <t>STARLINK-32078</t>
  </si>
  <si>
    <t>STARLINK-32175</t>
  </si>
  <si>
    <t>STARLINK-32176</t>
  </si>
  <si>
    <t>STARLINK-32185</t>
  </si>
  <si>
    <t>STARLINK-32221</t>
  </si>
  <si>
    <t>STARLINK-32083</t>
  </si>
  <si>
    <t>STARLINK-32077</t>
  </si>
  <si>
    <t>STARLINK-32075</t>
  </si>
  <si>
    <t>STARLINK-32082</t>
  </si>
  <si>
    <t>STARLINK-32084</t>
  </si>
  <si>
    <t>STARLINK-32081</t>
  </si>
  <si>
    <t>STARLINK-32181</t>
  </si>
  <si>
    <t>STARLINK-32076</t>
  </si>
  <si>
    <t>STARLINK-32097</t>
  </si>
  <si>
    <t>STARLINK-32250</t>
  </si>
  <si>
    <t>STARLINK-32226</t>
  </si>
  <si>
    <t>STARLINK-32254</t>
  </si>
  <si>
    <t>STARLINK-32193</t>
  </si>
  <si>
    <t>STARLINK-32242</t>
  </si>
  <si>
    <t>STARLINK-32196</t>
  </si>
  <si>
    <t>STARLINK-32232</t>
  </si>
  <si>
    <t>STARLINK-32246</t>
  </si>
  <si>
    <t>STARLINK-32183</t>
  </si>
  <si>
    <t>STARLINK-32233</t>
  </si>
  <si>
    <t>STARLINK-32222</t>
  </si>
  <si>
    <t>STARLINK-32229</t>
  </si>
  <si>
    <t>STARLINK-32241</t>
  </si>
  <si>
    <t>STARLINK-32240</t>
  </si>
  <si>
    <t>STARLINK-32231</t>
  </si>
  <si>
    <t>STARLINK-32195</t>
  </si>
  <si>
    <t>STARLINK-32177</t>
  </si>
  <si>
    <t>STARLINK-32252</t>
  </si>
  <si>
    <t>STARLINK-32237</t>
  </si>
  <si>
    <t>STARLINK-32249</t>
  </si>
  <si>
    <t>STARLINK-32228</t>
  </si>
  <si>
    <t>STARLINK-32247</t>
  </si>
  <si>
    <t>STARLINK-32101</t>
  </si>
  <si>
    <t>STARLINK-31844</t>
  </si>
  <si>
    <t>STARLINK-32204</t>
  </si>
  <si>
    <t>STARLINK-32130</t>
  </si>
  <si>
    <t>STARLINK-32173</t>
  </si>
  <si>
    <t>STARLINK-31911</t>
  </si>
  <si>
    <t>STARLINK-31994</t>
  </si>
  <si>
    <t>STARLINK-32169</t>
  </si>
  <si>
    <t>STARLINK-32209</t>
  </si>
  <si>
    <t>STARLINK-32170</t>
  </si>
  <si>
    <t>STARLINK-31497</t>
  </si>
  <si>
    <t>STARLINK-32161</t>
  </si>
  <si>
    <t>STARLINK-32210</t>
  </si>
  <si>
    <t>STARLINK-32202</t>
  </si>
  <si>
    <t>STARLINK-31930</t>
  </si>
  <si>
    <t>STARLINK-32162</t>
  </si>
  <si>
    <t>STARLINK-32208</t>
  </si>
  <si>
    <t>STARLINK-32165</t>
  </si>
  <si>
    <t>STARLINK-31923</t>
  </si>
  <si>
    <t>STARLINK-31988</t>
  </si>
  <si>
    <t>STARLINK-31983</t>
  </si>
  <si>
    <t>STARLINK-31874</t>
  </si>
  <si>
    <t>STARLINK-32039</t>
  </si>
  <si>
    <t>10-10</t>
  </si>
  <si>
    <t>STARLINK-32174</t>
  </si>
  <si>
    <t>STARLINK-32139</t>
  </si>
  <si>
    <t>STARLINK-32140</t>
  </si>
  <si>
    <t>STARLINK-32201</t>
  </si>
  <si>
    <t>STARLINK-32030</t>
  </si>
  <si>
    <t>STARLINK-31837</t>
  </si>
  <si>
    <t>STARLINK-32136</t>
  </si>
  <si>
    <t>STARLINK-32047</t>
  </si>
  <si>
    <t>STARLINK-31756</t>
  </si>
  <si>
    <t>STARLINK-32172</t>
  </si>
  <si>
    <t>STARLINK-32338</t>
  </si>
  <si>
    <t>STARLINK-32306</t>
  </si>
  <si>
    <t>STARLINK-32297</t>
  </si>
  <si>
    <t>STARLINK-32260</t>
  </si>
  <si>
    <t>STARLINK-32305</t>
  </si>
  <si>
    <t>STARLINK-32296</t>
  </si>
  <si>
    <t>STARLINK-32298</t>
  </si>
  <si>
    <t>STARLINK-32293</t>
  </si>
  <si>
    <t>STARLINK-32313</t>
  </si>
  <si>
    <t>STARLINK-32319</t>
  </si>
  <si>
    <t>STARLINK-32351</t>
  </si>
  <si>
    <t>STARLINK-32261</t>
  </si>
  <si>
    <t>STARLINK-32358</t>
  </si>
  <si>
    <t>STARLINK-32238</t>
  </si>
  <si>
    <t>STARLINK-32310</t>
  </si>
  <si>
    <t>STARLINK-32308</t>
  </si>
  <si>
    <t>STARLINK-32301</t>
  </si>
  <si>
    <t>STARLINK-32439</t>
  </si>
  <si>
    <t>STARLINK-32428</t>
  </si>
  <si>
    <t>STARLINK-32414</t>
  </si>
  <si>
    <t>STARLINK-32441</t>
  </si>
  <si>
    <t>STARLINK-32400</t>
  </si>
  <si>
    <t>STARLINK-32449</t>
  </si>
  <si>
    <t>STARLINK-32453</t>
  </si>
  <si>
    <t>STARLINK-32443</t>
  </si>
  <si>
    <t>STARLINK-32417</t>
  </si>
  <si>
    <t>STARLINK-32326</t>
  </si>
  <si>
    <t>STARLINK-32294</t>
  </si>
  <si>
    <t>STARLINK-32309</t>
  </si>
  <si>
    <t>STARLINK-32323</t>
  </si>
  <si>
    <t>STARLINK-32363</t>
  </si>
  <si>
    <t>STARLINK-32395</t>
  </si>
  <si>
    <t>STARLINK-32412</t>
  </si>
  <si>
    <t>STARLINK-32426</t>
  </si>
  <si>
    <t>STARLINK-32429</t>
  </si>
  <si>
    <t>10-13</t>
  </si>
  <si>
    <t>STARLINK-32376</t>
  </si>
  <si>
    <t>STARLINK-32402</t>
  </si>
  <si>
    <t>STARLINK-32314</t>
  </si>
  <si>
    <t>STARLINK-32404</t>
  </si>
  <si>
    <t>STARLINK-32312</t>
  </si>
  <si>
    <t>STARLINK-32343</t>
  </si>
  <si>
    <t>STARLINK-32467</t>
  </si>
  <si>
    <t>STARLINK-32440</t>
  </si>
  <si>
    <t>STARLINK-32459</t>
  </si>
  <si>
    <t>STARLINK-32465</t>
  </si>
  <si>
    <t>STARLINK-32457</t>
  </si>
  <si>
    <t>STARLINK-32591</t>
  </si>
  <si>
    <t>STARLINK-32344</t>
  </si>
  <si>
    <t>STARLINK-32322</t>
  </si>
  <si>
    <t>STARLINK-32469</t>
  </si>
  <si>
    <t>STARLINK-32438</t>
  </si>
  <si>
    <t>STARLINK-32540</t>
  </si>
  <si>
    <t>STARLINK-32528</t>
  </si>
  <si>
    <t>STARLINK-32573</t>
  </si>
  <si>
    <t>STARLINK-32478</t>
  </si>
  <si>
    <t>STARLINK-32511</t>
  </si>
  <si>
    <t>STARLINK-32475</t>
  </si>
  <si>
    <t>STARLINK-32442</t>
  </si>
  <si>
    <t>STARLINK-32798</t>
  </si>
  <si>
    <t>STARLINK-32779</t>
  </si>
  <si>
    <t>STARLINK-32716</t>
  </si>
  <si>
    <t>STARLINK-32776</t>
  </si>
  <si>
    <t>STARLINK-32772</t>
  </si>
  <si>
    <t>STARLINK-32830</t>
  </si>
  <si>
    <t>STARLINK-32801</t>
  </si>
  <si>
    <t>STARLINK-32818</t>
  </si>
  <si>
    <t>STARLINK-32810</t>
  </si>
  <si>
    <t>STARLINK-32812</t>
  </si>
  <si>
    <t>STARLINK-32811</t>
  </si>
  <si>
    <t>STARLINK-32832</t>
  </si>
  <si>
    <t>STARLINK-32820</t>
  </si>
  <si>
    <t>STARLINK-32795</t>
  </si>
  <si>
    <t>STARLINK-32827</t>
  </si>
  <si>
    <t>STARLINK-32735</t>
  </si>
  <si>
    <t>STARLINK-32828</t>
  </si>
  <si>
    <t>STARLINK-32738</t>
  </si>
  <si>
    <t>STARLINK-32590</t>
  </si>
  <si>
    <t>STARLINK-32790</t>
  </si>
  <si>
    <t>STARLINK-32829</t>
  </si>
  <si>
    <t>STARLINK-32816</t>
  </si>
  <si>
    <t>STARLINK-32835</t>
  </si>
  <si>
    <t>STARLINK-34177</t>
  </si>
  <si>
    <t>STARLINK-34228</t>
  </si>
  <si>
    <t>STARLINK-34233</t>
  </si>
  <si>
    <t>STARLINK-34172</t>
  </si>
  <si>
    <t>STARLINK-34202</t>
  </si>
  <si>
    <t>STARLINK-34231</t>
  </si>
  <si>
    <t>STARLINK-34191</t>
  </si>
  <si>
    <t>STARLINK-34164</t>
  </si>
  <si>
    <t>STARLINK-34227</t>
  </si>
  <si>
    <t>STARLINK-34194</t>
  </si>
  <si>
    <t>STARLINK-34000</t>
  </si>
  <si>
    <t>STARLINK-33917</t>
  </si>
  <si>
    <t>STARLINK-34131</t>
  </si>
  <si>
    <t>STARLINK-34188</t>
  </si>
  <si>
    <t>STARLINK-34197</t>
  </si>
  <si>
    <t>STARLINK-34063</t>
  </si>
  <si>
    <t>STARLINK-34200</t>
  </si>
  <si>
    <t>STARLINK-33934</t>
  </si>
  <si>
    <t>STARLINK-33929</t>
  </si>
  <si>
    <t>STARLINK-33872</t>
  </si>
  <si>
    <t>STARLINK-34214</t>
  </si>
  <si>
    <t>STARLINK-34222</t>
  </si>
  <si>
    <t>STARLINK-34265</t>
  </si>
  <si>
    <t>STARLINK-34245</t>
  </si>
  <si>
    <t>STARLINK-34237</t>
  </si>
  <si>
    <t>STARLINK-33857</t>
  </si>
  <si>
    <t>STARLINK-34173</t>
  </si>
  <si>
    <t>STARLINK-34465</t>
  </si>
  <si>
    <t>STARLINK-34456</t>
  </si>
  <si>
    <t>STARLINK-34410</t>
  </si>
  <si>
    <t>STARLINK-34453</t>
  </si>
  <si>
    <t>STARLINK-34404</t>
  </si>
  <si>
    <t>STARLINK-34403</t>
  </si>
  <si>
    <t>STARLINK-34399</t>
  </si>
  <si>
    <t>STARLINK-34398</t>
  </si>
  <si>
    <t>STARLINK-34402</t>
  </si>
  <si>
    <t>STARLINK-34450</t>
  </si>
  <si>
    <t>STARLINK-34433</t>
  </si>
  <si>
    <t>STARLINK-34459</t>
  </si>
  <si>
    <t>STARLINK-34361</t>
  </si>
  <si>
    <t>STARLINK-34392</t>
  </si>
  <si>
    <t>STARLINK-34367</t>
  </si>
  <si>
    <t>STARLINK-34221</t>
  </si>
  <si>
    <t>STARLINK-34282</t>
  </si>
  <si>
    <t>STARLINK-34295</t>
  </si>
  <si>
    <t>STARLINK-34430</t>
  </si>
  <si>
    <t>STARLINK-34445</t>
  </si>
  <si>
    <t>STARLINK-34439</t>
  </si>
  <si>
    <t>STARLINK-34421</t>
  </si>
  <si>
    <t>STARLINK-34423</t>
  </si>
  <si>
    <t>STARLINK-34418</t>
  </si>
  <si>
    <t>STARLINK-34336</t>
  </si>
  <si>
    <t>STARLINK-34400</t>
  </si>
  <si>
    <t>STARLINK-34429</t>
  </si>
  <si>
    <t>STARLINK-34449</t>
  </si>
  <si>
    <t>STARLINK-34493</t>
  </si>
  <si>
    <t>STARLINK-34492</t>
  </si>
  <si>
    <t>STARLINK-34474</t>
  </si>
  <si>
    <t>STARLINK-34523</t>
  </si>
  <si>
    <t>STARLINK-34496</t>
  </si>
  <si>
    <t>STARLINK-34375</t>
  </si>
  <si>
    <t>STARLINK-34490</t>
  </si>
  <si>
    <t>STARLINK-34528</t>
  </si>
  <si>
    <t>STARLINK-34518</t>
  </si>
  <si>
    <t>STARLINK-34526</t>
  </si>
  <si>
    <t>STARLINK-34527</t>
  </si>
  <si>
    <t>STARLINK-34420</t>
  </si>
  <si>
    <t>STARLINK-34509</t>
  </si>
  <si>
    <t>STARLINK-34409</t>
  </si>
  <si>
    <t>STARLINK-34520</t>
  </si>
  <si>
    <t>STARLINK-34477</t>
  </si>
  <si>
    <t>STARLINK-34217</t>
  </si>
  <si>
    <t>STARLINK-34307</t>
  </si>
  <si>
    <t>STARLINK-34505</t>
  </si>
  <si>
    <t>STARLINK-34530</t>
  </si>
  <si>
    <t>STARLINK-34522</t>
  </si>
  <si>
    <t>STARLINK-34462</t>
  </si>
  <si>
    <t>STARLINK-34226</t>
  </si>
  <si>
    <t>STARLINK-34364</t>
  </si>
  <si>
    <t>STARLINK-34268</t>
  </si>
  <si>
    <t>STARLINK-34363</t>
  </si>
  <si>
    <t>STARLINK-34427</t>
  </si>
  <si>
    <t>STARLINK-34280</t>
  </si>
  <si>
    <t>STARLINK-34517</t>
  </si>
  <si>
    <t>STARLINK-34510</t>
  </si>
  <si>
    <t>STARLINK-34486</t>
  </si>
  <si>
    <t>STARLINK-34463</t>
  </si>
  <si>
    <t>STARLINK-34294</t>
  </si>
  <si>
    <t>STARLINK-34504</t>
  </si>
  <si>
    <t>STARLINK-34508</t>
  </si>
  <si>
    <t>STARLINK-34435</t>
  </si>
  <si>
    <t>STARLINK-34475</t>
  </si>
  <si>
    <t>STARLINK-34488</t>
  </si>
  <si>
    <t>STARLINK-34516</t>
  </si>
  <si>
    <t>STARLINK-34073</t>
  </si>
  <si>
    <t>STARLINK-34532</t>
  </si>
  <si>
    <t>STARLINK-34519</t>
  </si>
  <si>
    <t>STARLINK-34513</t>
  </si>
  <si>
    <t>STARLINK-34569</t>
  </si>
  <si>
    <t>STARLINK-34494</t>
  </si>
  <si>
    <t>STARLINK-34521</t>
  </si>
  <si>
    <t>STARLINK-34500</t>
  </si>
  <si>
    <t>STARLINK-34440</t>
  </si>
  <si>
    <t>STARLINK-34469</t>
  </si>
  <si>
    <t>STARLINK-34413</t>
  </si>
  <si>
    <t>STARLINK-34417</t>
  </si>
  <si>
    <t>STARLINK-34415</t>
  </si>
  <si>
    <t>STARLINK-34416</t>
  </si>
  <si>
    <t>STARLINK-34414</t>
  </si>
  <si>
    <t>STARLINK-34464</t>
  </si>
  <si>
    <t>STARLINK-34555</t>
  </si>
  <si>
    <t>STARLINK-34390</t>
  </si>
  <si>
    <t>STARLINK-34382</t>
  </si>
  <si>
    <t>STARLINK-34395</t>
  </si>
  <si>
    <t>STARLINK-34394</t>
  </si>
  <si>
    <t>STARLINK-34287</t>
  </si>
  <si>
    <t>STARLINK-34365</t>
  </si>
  <si>
    <t>STARLINK-34442</t>
  </si>
  <si>
    <t>STARLINK-34288</t>
  </si>
  <si>
    <t>STARLINK-34539</t>
  </si>
  <si>
    <t>STARLINK-34590</t>
  </si>
  <si>
    <t>STARLINK-34573</t>
  </si>
  <si>
    <t>STARLINK-34605</t>
  </si>
  <si>
    <t>STARLINK-34525</t>
  </si>
  <si>
    <t>STARLINK-34489</t>
  </si>
  <si>
    <t>STARLINK-34502</t>
  </si>
  <si>
    <t>STARLINK-34553</t>
  </si>
  <si>
    <t>STARLINK-34551</t>
  </si>
  <si>
    <t>STARLINK-34550</t>
  </si>
  <si>
    <t>STARLINK-34485</t>
  </si>
  <si>
    <t>STARLINK-34253</t>
  </si>
  <si>
    <t>STARLINK-34565</t>
  </si>
  <si>
    <t>STARLINK-34554</t>
  </si>
  <si>
    <t>STARLINK-34262</t>
  </si>
  <si>
    <t>STARLINK-34538</t>
  </si>
  <si>
    <t>STARLINK-34250</t>
  </si>
  <si>
    <t>STARLINK-34393</t>
  </si>
  <si>
    <t>STARLINK-34562</t>
  </si>
  <si>
    <t>STARLINK-34557</t>
  </si>
  <si>
    <t>STARLINK-34242</t>
  </si>
  <si>
    <t>STARLINK-34239</t>
  </si>
  <si>
    <t>STARLINK-34588</t>
  </si>
  <si>
    <t>STARLINK-34606</t>
  </si>
  <si>
    <t>STARLINK-34552</t>
  </si>
  <si>
    <t>STARLINK-34596</t>
  </si>
  <si>
    <t>STARLINK-34556</t>
  </si>
  <si>
    <t>STARLINK-34591</t>
  </si>
  <si>
    <t>STARLINK-34587</t>
  </si>
  <si>
    <t>STARLINK-34130</t>
  </si>
  <si>
    <t>STARLINK-34619</t>
  </si>
  <si>
    <t>STARLINK-34597</t>
  </si>
  <si>
    <t>STARLINK-34471</t>
  </si>
  <si>
    <t>STARLINK-34208</t>
  </si>
  <si>
    <t>STARLINK-34205</t>
  </si>
  <si>
    <t>STARLINK-34607</t>
  </si>
  <si>
    <t>STARLINK-34236</t>
  </si>
  <si>
    <t>STARLINK-34185</t>
  </si>
  <si>
    <t>STARLINK-34581</t>
  </si>
  <si>
    <t>STARLINK-34592</t>
  </si>
  <si>
    <t>STARLINK-34589</t>
  </si>
  <si>
    <t>STARLINK-34536</t>
  </si>
  <si>
    <t>STARLINK-34595</t>
  </si>
  <si>
    <t>STARLINK-34531</t>
  </si>
  <si>
    <t>STARLINK-33965</t>
  </si>
  <si>
    <t>STARLINK-34371</t>
  </si>
  <si>
    <t>STARLINK-34401</t>
  </si>
  <si>
    <t>STARLINK-34593</t>
  </si>
  <si>
    <t>STARLINK-34598</t>
  </si>
  <si>
    <t>STARLINK-34235</t>
  </si>
  <si>
    <t>STARLINK-34635</t>
  </si>
  <si>
    <t>STARLINK-34638</t>
  </si>
  <si>
    <t>STARLINK-34534</t>
  </si>
  <si>
    <t>STARLINK-34261</t>
  </si>
  <si>
    <t>STARLINK-34566</t>
  </si>
  <si>
    <t>STARLINK-34645</t>
  </si>
  <si>
    <t>STARLINK-34639</t>
  </si>
  <si>
    <t>STARLINK-34609</t>
  </si>
  <si>
    <t>STARLINK-34246</t>
  </si>
  <si>
    <t>STARLINK-34618</t>
  </si>
  <si>
    <t>STARLINK-34541</t>
  </si>
  <si>
    <t>STARLINK-34652</t>
  </si>
  <si>
    <t>STARLINK-34612</t>
  </si>
  <si>
    <t>STARLINK-34621</t>
  </si>
  <si>
    <t>STARLINK-34657</t>
  </si>
  <si>
    <t>STARLINK-34637</t>
  </si>
  <si>
    <t>STARLINK-34547</t>
  </si>
  <si>
    <t>STARLINK-34537</t>
  </si>
  <si>
    <t>STARLINK-34585</t>
  </si>
  <si>
    <t>STARLINK-34491</t>
  </si>
  <si>
    <t>STARLINK-34582</t>
  </si>
  <si>
    <t>STARLINK-34482</t>
  </si>
  <si>
    <t>STARLINK-34647</t>
  </si>
  <si>
    <t>STARLINK-34273</t>
  </si>
  <si>
    <t>STARLINK-34713</t>
  </si>
  <si>
    <t>STARLINK-34712</t>
  </si>
  <si>
    <t>STARLINK-34702</t>
  </si>
  <si>
    <t>STARLINK-34687</t>
  </si>
  <si>
    <t>STARLINK-34642</t>
  </si>
  <si>
    <t>STARLINK-34718</t>
  </si>
  <si>
    <t>STARLINK-34711</t>
  </si>
  <si>
    <t>STARLINK-34659</t>
  </si>
  <si>
    <t>STARLINK-34571</t>
  </si>
  <si>
    <t>STARLINK-34636</t>
  </si>
  <si>
    <t>STARLINK-34695</t>
  </si>
  <si>
    <t>STARLINK-34653</t>
  </si>
  <si>
    <t>STARLINK-34611</t>
  </si>
  <si>
    <t>STARLINK-34599</t>
  </si>
  <si>
    <t>STARLINK-34069</t>
  </si>
  <si>
    <t>STARLINK-34699</t>
  </si>
  <si>
    <t>STARLINK-34700</t>
  </si>
  <si>
    <t>STARLINK-34643</t>
  </si>
  <si>
    <t>STARLINK-34199</t>
  </si>
  <si>
    <t>STARLINK-34579</t>
  </si>
  <si>
    <t>STARLINK-34543</t>
  </si>
  <si>
    <t>STARLINK-34661</t>
  </si>
  <si>
    <t>STARLINK-34248</t>
  </si>
  <si>
    <t>STARLINK-34290</t>
  </si>
  <si>
    <t>STARLINK-34220</t>
  </si>
  <si>
    <t>STARLINK-34715</t>
  </si>
  <si>
    <t>STARLINK-34617</t>
  </si>
  <si>
    <t>STARLINK-34627</t>
  </si>
  <si>
    <t>STARLINK-34549</t>
  </si>
  <si>
    <t>STARLINK-34623</t>
  </si>
  <si>
    <t>STARLINK-34232</t>
  </si>
  <si>
    <t>STARLINK-34772</t>
  </si>
  <si>
    <t>STARLINK-34778</t>
  </si>
  <si>
    <t>STARLINK-34789</t>
  </si>
  <si>
    <t>STARLINK-34858</t>
  </si>
  <si>
    <t>STARLINK-34773</t>
  </si>
  <si>
    <t>STARLINK-34727</t>
  </si>
  <si>
    <t>STARLINK-34804</t>
  </si>
  <si>
    <t>STARLINK-34655</t>
  </si>
  <si>
    <t>STARLINK-34807</t>
  </si>
  <si>
    <t>STARLINK-34731</t>
  </si>
  <si>
    <t>STARLINK-34614</t>
  </si>
  <si>
    <t>STARLINK-34677</t>
  </si>
  <si>
    <t>STARLINK-34656</t>
  </si>
  <si>
    <t>STARLINK-34671</t>
  </si>
  <si>
    <t>STARLINK-34610</t>
  </si>
  <si>
    <t>STARLINK-34286</t>
  </si>
  <si>
    <t>STARLINK-34770</t>
  </si>
  <si>
    <t>STARLINK-34776</t>
  </si>
  <si>
    <t>STARLINK-34827</t>
  </si>
  <si>
    <t>STARLINK-34721</t>
  </si>
  <si>
    <t>STARLINK-34819</t>
  </si>
  <si>
    <t>STARLINK-34820</t>
  </si>
  <si>
    <t>STARLINK-34824</t>
  </si>
  <si>
    <t>STARLINK-34771</t>
  </si>
  <si>
    <t>STARLINK-34634</t>
  </si>
  <si>
    <t>STARLINK-34267</t>
  </si>
  <si>
    <t>STARLINK-34561</t>
  </si>
  <si>
    <t>STARLINK-34626</t>
  </si>
  <si>
    <t>STARLINK-34247</t>
  </si>
  <si>
    <t>STARLINK-34601</t>
  </si>
  <si>
    <t>STARLINK-34792</t>
  </si>
  <si>
    <t>STARLINK-34822</t>
  </si>
  <si>
    <t>STARLINK-34686</t>
  </si>
  <si>
    <t>STARLINK-34594</t>
  </si>
  <si>
    <t>STARLINK-34665</t>
  </si>
  <si>
    <t>STARLINK-34673</t>
  </si>
  <si>
    <t>STARLINK-34648</t>
  </si>
  <si>
    <t>STARLINK-34640</t>
  </si>
  <si>
    <t>STARLINK-34266</t>
  </si>
  <si>
    <t>STARLINK-34769</t>
  </si>
  <si>
    <t>STARLINK-34768</t>
  </si>
  <si>
    <t>STARLINK-34759</t>
  </si>
  <si>
    <t>STARLINK-34741</t>
  </si>
  <si>
    <t>STARLINK-34764</t>
  </si>
  <si>
    <t>STARLINK-34815</t>
  </si>
  <si>
    <t>STARLINK-34814</t>
  </si>
  <si>
    <t>STARLINK-34285</t>
  </si>
  <si>
    <t>STARLINK-34857</t>
  </si>
  <si>
    <t>STARLINK-34887</t>
  </si>
  <si>
    <t>STARLINK-34481</t>
  </si>
  <si>
    <t>STARLINK-34545</t>
  </si>
  <si>
    <t>STARLINK-34981</t>
  </si>
  <si>
    <t>STARLINK-34821</t>
  </si>
  <si>
    <t>STARLINK-34865</t>
  </si>
  <si>
    <t>STARLINK-34843</t>
  </si>
  <si>
    <t>STARLINK-34905</t>
  </si>
  <si>
    <t>STARLINK-34914</t>
  </si>
  <si>
    <t>STARLINK-34787</t>
  </si>
  <si>
    <t>STARLINK-34796</t>
  </si>
  <si>
    <t>STARLINK-34763</t>
  </si>
  <si>
    <t>STARLINK-34901</t>
  </si>
  <si>
    <t>STARLINK-34841</t>
  </si>
  <si>
    <t>STARLINK-34976</t>
  </si>
  <si>
    <t>STARLINK-34941</t>
  </si>
  <si>
    <t>STARLINK-34847</t>
  </si>
  <si>
    <t>STARLINK-34897</t>
  </si>
  <si>
    <t>STARLINK-34907</t>
  </si>
  <si>
    <t>STARLINK-34511</t>
  </si>
  <si>
    <t>STARLINK-33913</t>
  </si>
  <si>
    <t>STARLINK-34302</t>
  </si>
  <si>
    <t>STARLINK-34871</t>
  </si>
  <si>
    <t>STARLINK-34833</t>
  </si>
  <si>
    <t>STARLINK-34960</t>
  </si>
  <si>
    <t>STARLINK-34603</t>
  </si>
  <si>
    <t>STARLINK-34974</t>
  </si>
  <si>
    <t>STARLINK-34999</t>
  </si>
  <si>
    <t>STARLINK-34996</t>
  </si>
  <si>
    <t>STARLINK-34975</t>
  </si>
  <si>
    <t>STARLINK-34257</t>
  </si>
  <si>
    <t>STARLINK-34244</t>
  </si>
  <si>
    <t>STARLINK-34716</t>
  </si>
  <si>
    <t>STARLINK-34828</t>
  </si>
  <si>
    <t>STARLINK-34785</t>
  </si>
  <si>
    <t>STARLINK-34823</t>
  </si>
  <si>
    <t>STARLINK-34680</t>
  </si>
  <si>
    <t>STARLINK-34860</t>
  </si>
  <si>
    <t>STARLINK-34782</t>
  </si>
  <si>
    <t>STARLINK-34760</t>
  </si>
  <si>
    <t>STARLINK-34826</t>
  </si>
  <si>
    <t>STARLINK-34800</t>
  </si>
  <si>
    <t>STARLINK-34817</t>
  </si>
  <si>
    <t>STARLINK-34797</t>
  </si>
  <si>
    <t>STARLINK-34729</t>
  </si>
  <si>
    <t>STARLINK-34710</t>
  </si>
  <si>
    <t>STARLINK-34943</t>
  </si>
  <si>
    <t>STARLINK-34946</t>
  </si>
  <si>
    <t>STARLINK-34259</t>
  </si>
  <si>
    <t>STARLINK-34913</t>
  </si>
  <si>
    <t>STARLINK-34870</t>
  </si>
  <si>
    <t>STARLINK-34869</t>
  </si>
  <si>
    <t>STARLINK-34903</t>
  </si>
  <si>
    <t>STARLINK-34891</t>
  </si>
  <si>
    <t>STARLINK-34900</t>
  </si>
  <si>
    <t>STARLINK-34305</t>
  </si>
  <si>
    <t>STARLINK-34249</t>
  </si>
  <si>
    <t>STARLINK-34879</t>
  </si>
  <si>
    <t>STARLINK-34912</t>
  </si>
  <si>
    <t>STARLINK-35031</t>
  </si>
  <si>
    <t>STARLINK-34830</t>
  </si>
  <si>
    <t>STARLINK-35036</t>
  </si>
  <si>
    <t>STARLINK-35035</t>
  </si>
  <si>
    <t>STARLINK-35008</t>
  </si>
  <si>
    <t>STARLINK-35022</t>
  </si>
  <si>
    <t>STARLINK-35024</t>
  </si>
  <si>
    <t>STARLINK-34983</t>
  </si>
  <si>
    <t>STARLINK-34992</t>
  </si>
  <si>
    <t>STARLINK-35003</t>
  </si>
  <si>
    <t>STARLINK-34411</t>
  </si>
  <si>
    <t>STARLINK-34238</t>
  </si>
  <si>
    <t>STARLINK-34855</t>
  </si>
  <si>
    <t>STARLINK-34255</t>
  </si>
  <si>
    <t>STARLINK-34997</t>
  </si>
  <si>
    <t>STARLINK-35085</t>
  </si>
  <si>
    <t>STARLINK-35138</t>
  </si>
  <si>
    <t>STARLINK-35146</t>
  </si>
  <si>
    <t>STARLINK-35074</t>
  </si>
  <si>
    <t>STARLINK-34837</t>
  </si>
  <si>
    <t>STARLINK-34670</t>
  </si>
  <si>
    <t>STARLINK-35095</t>
  </si>
  <si>
    <t>STARLINK-34883</t>
  </si>
  <si>
    <t>STARLINK-34916</t>
  </si>
  <si>
    <t>STARLINK-35004</t>
  </si>
  <si>
    <t>STARLINK-35014</t>
  </si>
  <si>
    <t>STARLINK-35025</t>
  </si>
  <si>
    <t>STARLINK-35034</t>
  </si>
  <si>
    <t>STARLINK-34784</t>
  </si>
  <si>
    <t>STARLINK-34867</t>
  </si>
  <si>
    <t>STARLINK-34850</t>
  </si>
  <si>
    <t>STARLINK-35159</t>
  </si>
  <si>
    <t>STARLINK-35180</t>
  </si>
  <si>
    <t>STARLINK-35111</t>
  </si>
  <si>
    <t>STARLINK-35107</t>
  </si>
  <si>
    <t>STARLINK-35169</t>
  </si>
  <si>
    <t>STARLINK-35027</t>
  </si>
  <si>
    <t>STARLINK-34816</t>
  </si>
  <si>
    <t>STARLINK-35033</t>
  </si>
  <si>
    <t>STARLINK-34924</t>
  </si>
  <si>
    <t>STARLINK-34829</t>
  </si>
  <si>
    <t>STARLINK-34888</t>
  </si>
  <si>
    <t>STARLINK-34799</t>
  </si>
  <si>
    <t>STARLINK-34762</t>
  </si>
  <si>
    <t>STARLINK-34998</t>
  </si>
  <si>
    <t>STARLINK-34832</t>
  </si>
  <si>
    <t>STARLINK-35098</t>
  </si>
  <si>
    <t>STARLINK-35071</t>
  </si>
  <si>
    <t>STARLINK-35093</t>
  </si>
  <si>
    <t>STARLINK-35096</t>
  </si>
  <si>
    <t>STARLINK-35040</t>
  </si>
  <si>
    <t>STARLINK-35042</t>
  </si>
  <si>
    <t>STARLINK-35038</t>
  </si>
  <si>
    <t>STARLINK-35037</t>
  </si>
  <si>
    <t>STARLINK-35089</t>
  </si>
  <si>
    <t>STARLINK-35143</t>
  </si>
  <si>
    <t>STARLINK-35189</t>
  </si>
  <si>
    <t>STARLINK-35222</t>
  </si>
  <si>
    <t>STARLINK-35233</t>
  </si>
  <si>
    <t>STARLINK-35205</t>
  </si>
  <si>
    <t>STARLINK-35070</t>
  </si>
  <si>
    <t>STARLINK-35230</t>
  </si>
  <si>
    <t>STARLINK-35235</t>
  </si>
  <si>
    <t>STARLINK-34886</t>
  </si>
  <si>
    <t>STARLINK-34795</t>
  </si>
  <si>
    <t>STARLINK-35145</t>
  </si>
  <si>
    <t>STARLINK-35137</t>
  </si>
  <si>
    <t>STARLINK-34856</t>
  </si>
  <si>
    <t>STARLINK-34930</t>
  </si>
  <si>
    <t>STARLINK-34875</t>
  </si>
  <si>
    <t>STARLINK-34790</t>
  </si>
  <si>
    <t>STARLINK-34691</t>
  </si>
  <si>
    <t>STARLINK-34825</t>
  </si>
  <si>
    <t>STARLINK-35060</t>
  </si>
  <si>
    <t>STARLINK-35204</t>
  </si>
  <si>
    <t>STARLINK-35221</t>
  </si>
  <si>
    <t>STARLINK-34734</t>
  </si>
  <si>
    <t>STARLINK-35113</t>
  </si>
  <si>
    <t>STARLINK-35090</t>
  </si>
  <si>
    <t>STARLINK-35086</t>
  </si>
  <si>
    <t>STARLINK-35101</t>
  </si>
  <si>
    <t>STARLINK-35046</t>
  </si>
  <si>
    <t>STARLINK-35075</t>
  </si>
  <si>
    <t>STARLINK-34839</t>
  </si>
  <si>
    <t>STARLINK-34086</t>
  </si>
  <si>
    <t>STARLINK-35099</t>
  </si>
  <si>
    <t>STARLINK-35167</t>
  </si>
  <si>
    <t>STARLINK-35121</t>
  </si>
  <si>
    <t>STARLINK-35108</t>
  </si>
  <si>
    <t>STARLINK-35106</t>
  </si>
  <si>
    <t>STARLINK-35130</t>
  </si>
  <si>
    <t>STARLINK-35284</t>
  </si>
  <si>
    <t>STARLINK-35316</t>
  </si>
  <si>
    <t>STARLINK-35319</t>
  </si>
  <si>
    <t>STARLINK-35173</t>
  </si>
  <si>
    <t>STARLINK-34808</t>
  </si>
  <si>
    <t>STARLINK-34704</t>
  </si>
  <si>
    <t>STARLINK-35214</t>
  </si>
  <si>
    <t>STARLINK-35265</t>
  </si>
  <si>
    <t>STARLINK-35288</t>
  </si>
  <si>
    <t>STARLINK-35165</t>
  </si>
  <si>
    <t>STARLINK-35260</t>
  </si>
  <si>
    <t>STARLINK-34893</t>
  </si>
  <si>
    <t>STARLINK-34894</t>
  </si>
  <si>
    <t>STARLINK-35287</t>
  </si>
  <si>
    <t>STARLINK-35294</t>
  </si>
  <si>
    <t>STARLINK-35275</t>
  </si>
  <si>
    <t>STARLINK-35211</t>
  </si>
  <si>
    <t>STARLINK-35313</t>
  </si>
  <si>
    <t>STARLINK-34692</t>
  </si>
  <si>
    <t>STARLINK-34890</t>
  </si>
  <si>
    <t>STARLINK-34889</t>
  </si>
  <si>
    <t>STARLINK-35596</t>
  </si>
  <si>
    <t>STARLINK-35563</t>
  </si>
  <si>
    <t>STARLINK-35461</t>
  </si>
  <si>
    <t>STARLINK-35571</t>
  </si>
  <si>
    <t>STARLINK-35570</t>
  </si>
  <si>
    <t>STARLINK-35532</t>
  </si>
  <si>
    <t>STARLINK-35527</t>
  </si>
  <si>
    <t>STARLINK-35500</t>
  </si>
  <si>
    <t>STARLINK-35528</t>
  </si>
  <si>
    <t>STARLINK-35559</t>
  </si>
  <si>
    <t>STARLINK-34386</t>
  </si>
  <si>
    <t>STARLINK-35613</t>
  </si>
  <si>
    <t>STARLINK-34206</t>
  </si>
  <si>
    <t>STARLINK-34460</t>
  </si>
  <si>
    <t>STARLINK-35609</t>
  </si>
  <si>
    <t>STARLINK-35595</t>
  </si>
  <si>
    <t>STARLINK-35599</t>
  </si>
  <si>
    <t>STARLINK-35622</t>
  </si>
  <si>
    <t>STARLINK-35452</t>
  </si>
  <si>
    <t>STARLINK-35561</t>
  </si>
  <si>
    <t>STARLINK-35584</t>
  </si>
  <si>
    <t>STARLINK-35593</t>
  </si>
  <si>
    <t>STARLINK-35590</t>
  </si>
  <si>
    <t>STARLINK-35545</t>
  </si>
  <si>
    <t>STARLINK-35427</t>
  </si>
  <si>
    <t>STARLINK-35574</t>
  </si>
  <si>
    <t>STARLINK-35531</t>
  </si>
  <si>
    <t>STARLINK-35491</t>
  </si>
  <si>
    <t>STARLINK-35363</t>
  </si>
  <si>
    <t>STARLINK-35346</t>
  </si>
  <si>
    <t>STARLINK-35335</t>
  </si>
  <si>
    <t>STARLINK-35342</t>
  </si>
  <si>
    <t>STARLINK-35333</t>
  </si>
  <si>
    <t>STARLINK-35310</t>
  </si>
  <si>
    <t>STARLINK-35317</t>
  </si>
  <si>
    <t>STARLINK-35377</t>
  </si>
  <si>
    <t>STARLINK-35365</t>
  </si>
  <si>
    <t>STARLINK-35350</t>
  </si>
  <si>
    <t>STARLINK-35041</t>
  </si>
  <si>
    <t>STARLINK-34694</t>
  </si>
  <si>
    <t>STARLINK-34863</t>
  </si>
  <si>
    <t>STARLINK-35061</t>
  </si>
  <si>
    <t>STARLINK-34937</t>
  </si>
  <si>
    <t>STARLINK-35197</t>
  </si>
  <si>
    <t>STARLINK-35374</t>
  </si>
  <si>
    <t>STARLINK-34813</t>
  </si>
  <si>
    <t>STARLINK-35409</t>
  </si>
  <si>
    <t>STARLINK-35518</t>
  </si>
  <si>
    <t>STARLINK-35259</t>
  </si>
  <si>
    <t>STARLINK-35509</t>
  </si>
  <si>
    <t>STARLINK-35551</t>
  </si>
  <si>
    <t>STARLINK-35543</t>
  </si>
  <si>
    <t>STARLINK-35534</t>
  </si>
  <si>
    <t>STARLINK-35548</t>
  </si>
  <si>
    <t>STARLINK-35490</t>
  </si>
  <si>
    <t>STARLINK-35537</t>
  </si>
  <si>
    <t>STARLINK-35541</t>
  </si>
  <si>
    <t>STARLINK-35454</t>
  </si>
  <si>
    <t>STARLINK-35557</t>
  </si>
  <si>
    <t>STARLINK-35556</t>
  </si>
  <si>
    <t>STARLINK-35554</t>
  </si>
  <si>
    <t>STARLINK-35546</t>
  </si>
  <si>
    <t>STARLINK-35497</t>
  </si>
  <si>
    <t>STARLINK-35480</t>
  </si>
  <si>
    <t>STARLINK-35495</t>
  </si>
  <si>
    <t>STARLINK-35517</t>
  </si>
  <si>
    <t>STARLINK-35503</t>
  </si>
  <si>
    <t>STARLINK-35434</t>
  </si>
  <si>
    <t>STARLINK-35481</t>
  </si>
  <si>
    <t>STARLINK-35416</t>
  </si>
  <si>
    <t>STARLINK-35304</t>
  </si>
  <si>
    <t>STARLINK-35338</t>
  </si>
  <si>
    <t>STARLINK-35485</t>
  </si>
  <si>
    <t>STARLINK-35483</t>
  </si>
  <si>
    <t>STARLINK-35486</t>
  </si>
  <si>
    <t>STARLINK-35488</t>
  </si>
  <si>
    <t>STARLINK-35616</t>
  </si>
  <si>
    <t>STARLINK-35619</t>
  </si>
  <si>
    <t>STARLINK-35615</t>
  </si>
  <si>
    <t>STARLINK-34650</t>
  </si>
  <si>
    <t>STARLINK-35529</t>
  </si>
  <si>
    <t>STARLINK-35420</t>
  </si>
  <si>
    <t>STARLINK-35536</t>
  </si>
  <si>
    <t>STARLINK-35487</t>
  </si>
  <si>
    <t>STARLINK-32285</t>
  </si>
  <si>
    <t>STARLINK-32278</t>
  </si>
  <si>
    <t>STARLINK-32287</t>
  </si>
  <si>
    <t>STARLINK-32290</t>
  </si>
  <si>
    <t>STARLINK-32275</t>
  </si>
  <si>
    <t>STARLINK-32227</t>
  </si>
  <si>
    <t>STARLINK-32256</t>
  </si>
  <si>
    <t>STARLINK-32267</t>
  </si>
  <si>
    <t>STARLINK-32270</t>
  </si>
  <si>
    <t>STARLINK-32188</t>
  </si>
  <si>
    <t>STARLINK-32230</t>
  </si>
  <si>
    <t>STARLINK-32243</t>
  </si>
  <si>
    <t>STARLINK-32271</t>
  </si>
  <si>
    <t>STARLINK-32266</t>
  </si>
  <si>
    <t>STARLINK-32220</t>
  </si>
  <si>
    <t>STARLINK-32263</t>
  </si>
  <si>
    <t>STARLINK-32268</t>
  </si>
  <si>
    <t>STARLINK-32223</t>
  </si>
  <si>
    <t>STARLINK-32180</t>
  </si>
  <si>
    <t>STARLINK-32281</t>
  </si>
  <si>
    <t>STARLINK-32277</t>
  </si>
  <si>
    <t>STARLINK-32269</t>
  </si>
  <si>
    <t>STARLINK-32648</t>
  </si>
  <si>
    <t>STARLINK-32594</t>
  </si>
  <si>
    <t>STARLINK-32621</t>
  </si>
  <si>
    <t>STARLINK-32597</t>
  </si>
  <si>
    <t>STARLINK-32649</t>
  </si>
  <si>
    <t>STARLINK-32633</t>
  </si>
  <si>
    <t>STARLINK-32646</t>
  </si>
  <si>
    <t>STARLINK-32706</t>
  </si>
  <si>
    <t>STARLINK-32678</t>
  </si>
  <si>
    <t>STARLINK-32696</t>
  </si>
  <si>
    <t>STARLINK-32700</t>
  </si>
  <si>
    <t>STARLINK-32698</t>
  </si>
  <si>
    <t>STARLINK-32634</t>
  </si>
  <si>
    <t>STARLINK-32651</t>
  </si>
  <si>
    <t>STARLINK-32627</t>
  </si>
  <si>
    <t>STARLINK-32596</t>
  </si>
  <si>
    <t>STARLINK-32519</t>
  </si>
  <si>
    <t>STARLINK-32527</t>
  </si>
  <si>
    <t>STARLINK-32481</t>
  </si>
  <si>
    <t>STARLINK-32645</t>
  </si>
  <si>
    <t>STARLINK-32654</t>
  </si>
  <si>
    <t>STARLINK-32702</t>
  </si>
  <si>
    <t>STARLINK-32712</t>
  </si>
  <si>
    <t>STARLINK-32674</t>
  </si>
  <si>
    <t>STARLINK-32711</t>
  </si>
  <si>
    <t>STARLINK-32697</t>
  </si>
  <si>
    <t>STARLINK-32693</t>
  </si>
  <si>
    <t>STARLINK-32721</t>
  </si>
  <si>
    <t>STARLINK-32709</t>
  </si>
  <si>
    <t>STARLINK-32689</t>
  </si>
  <si>
    <t>STARLINK-32724</t>
  </si>
  <si>
    <t>STARLINK-32291</t>
  </si>
  <si>
    <t>STARLINK-32736</t>
  </si>
  <si>
    <t>STARLINK-32737</t>
  </si>
  <si>
    <t>STARLINK-32683</t>
  </si>
  <si>
    <t>STARLINK-32726</t>
  </si>
  <si>
    <t>STARLINK-32730</t>
  </si>
  <si>
    <t>STARLINK-32719</t>
  </si>
  <si>
    <t>STARLINK-32723</t>
  </si>
  <si>
    <t>STARLINK-32722</t>
  </si>
  <si>
    <t>STARLINK-32720</t>
  </si>
  <si>
    <t>STARLINK-32656</t>
  </si>
  <si>
    <t>STARLINK-32690</t>
  </si>
  <si>
    <t>STARLINK-33596</t>
  </si>
  <si>
    <t>STARLINK-33589</t>
  </si>
  <si>
    <t>STARLINK-33575</t>
  </si>
  <si>
    <t>STARLINK-33584</t>
  </si>
  <si>
    <t>STARLINK-33577</t>
  </si>
  <si>
    <t>STARLINK-33597</t>
  </si>
  <si>
    <t>STARLINK-33579</t>
  </si>
  <si>
    <t>STARLINK-33592</t>
  </si>
  <si>
    <t>STARLINK-33595</t>
  </si>
  <si>
    <t>STARLINK-33572</t>
  </si>
  <si>
    <t>STARLINK-33601</t>
  </si>
  <si>
    <t>STARLINK-33569</t>
  </si>
  <si>
    <t>STARLINK-33594</t>
  </si>
  <si>
    <t>STARLINK-33598</t>
  </si>
  <si>
    <t>STARLINK-33600</t>
  </si>
  <si>
    <t>STARLINK-33567</t>
  </si>
  <si>
    <t>STARLINK-33574</t>
  </si>
  <si>
    <t>STARLINK-33576</t>
  </si>
  <si>
    <t>STARLINK-33570</t>
  </si>
  <si>
    <t>STARLINK-33591</t>
  </si>
  <si>
    <t>STARLINK-33573</t>
  </si>
  <si>
    <t>STARLINK-33568</t>
  </si>
  <si>
    <t>STARLINK-33593</t>
  </si>
  <si>
    <t>STARLINK-33588</t>
  </si>
  <si>
    <t>STARLINK-33585</t>
  </si>
  <si>
    <t>STARLINK-33582</t>
  </si>
  <si>
    <t>STARLINK-33581</t>
  </si>
  <si>
    <t>STARLINK-32883</t>
  </si>
  <si>
    <t>STARLINK-32886</t>
  </si>
  <si>
    <t>STARLINK-32848</t>
  </si>
  <si>
    <t>STARLINK-32787</t>
  </si>
  <si>
    <t>STARLINK-32851</t>
  </si>
  <si>
    <t>STARLINK-32847</t>
  </si>
  <si>
    <t>STARLINK-32837</t>
  </si>
  <si>
    <t>STARLINK-32855</t>
  </si>
  <si>
    <t>STARLINK-32843</t>
  </si>
  <si>
    <t>STARLINK-32845</t>
  </si>
  <si>
    <t>STARLINK-32854</t>
  </si>
  <si>
    <t>STARLINK-32824</t>
  </si>
  <si>
    <t>STARLINK-32853</t>
  </si>
  <si>
    <t>STARLINK-32856</t>
  </si>
  <si>
    <t>STARLINK-32844</t>
  </si>
  <si>
    <t>STARLINK-32782</t>
  </si>
  <si>
    <t>STARLINK-32842</t>
  </si>
  <si>
    <t>STARLINK-32823</t>
  </si>
  <si>
    <t>STARLINK-32852</t>
  </si>
  <si>
    <t>STARLINK-32825</t>
  </si>
  <si>
    <t>STARLINK-32704</t>
  </si>
  <si>
    <t>STARLINK-32727</t>
  </si>
  <si>
    <t>STARLINK-32868</t>
  </si>
  <si>
    <t>STARLINK-32867</t>
  </si>
  <si>
    <t>STARLINK-32860</t>
  </si>
  <si>
    <t>STARLINK-32873</t>
  </si>
  <si>
    <t>STARLINK-32866</t>
  </si>
  <si>
    <t>STARLINK-32869</t>
  </si>
  <si>
    <t>STARLINK-32831</t>
  </si>
  <si>
    <t>STARLINK-32859</t>
  </si>
  <si>
    <t>STARLINK-32864</t>
  </si>
  <si>
    <t>STARLINK-32808</t>
  </si>
  <si>
    <t>STARLINK-32862</t>
  </si>
  <si>
    <t>STARLINK-32841</t>
  </si>
  <si>
    <t>STARLINK-32695</t>
  </si>
  <si>
    <t>STARLINK-32846</t>
  </si>
  <si>
    <t>STARLINK-32822</t>
  </si>
  <si>
    <t>STARLINK-32813</t>
  </si>
  <si>
    <t>STARLINK-32861</t>
  </si>
  <si>
    <t>STARLINK-32814</t>
  </si>
  <si>
    <t>STARLINK-32849</t>
  </si>
  <si>
    <t>STARLINK-32833</t>
  </si>
  <si>
    <t>STARLINK-32793</t>
  </si>
  <si>
    <t>STARLINK-32834</t>
  </si>
  <si>
    <t>STARLINK-32728</t>
  </si>
  <si>
    <t>STARLINK-32857</t>
  </si>
  <si>
    <t>STARLINK-32850</t>
  </si>
  <si>
    <t>STARLINK-32875</t>
  </si>
  <si>
    <t>STARLINK-32865</t>
  </si>
  <si>
    <t>STARLINK-32884</t>
  </si>
  <si>
    <t>STARLINK-32874</t>
  </si>
  <si>
    <t>STARLINK-32880</t>
  </si>
  <si>
    <t>STARLINK-32815</t>
  </si>
  <si>
    <t>STARLINK-32879</t>
  </si>
  <si>
    <t>STARLINK-32885</t>
  </si>
  <si>
    <t>STARLINK-32896</t>
  </si>
  <si>
    <t>STARLINK-32877</t>
  </si>
  <si>
    <t>STARLINK-32889</t>
  </si>
  <si>
    <t>STARLINK-32858</t>
  </si>
  <si>
    <t>STARLINK-32882</t>
  </si>
  <si>
    <t>STARLINK-32887</t>
  </si>
  <si>
    <t>STARLINK-32836</t>
  </si>
  <si>
    <t>STARLINK-32888</t>
  </si>
  <si>
    <t>STARLINK-32897</t>
  </si>
  <si>
    <t>STARLINK-32863</t>
  </si>
  <si>
    <t>STARLINK-32894</t>
  </si>
  <si>
    <t>STARLINK-32826</t>
  </si>
  <si>
    <t>STARLINK-32840</t>
  </si>
  <si>
    <t>STARLINK-32543</t>
  </si>
  <si>
    <t>STARLINK-33741</t>
  </si>
  <si>
    <t>STARLINK-33742</t>
  </si>
  <si>
    <t>STARLINK-33734</t>
  </si>
  <si>
    <t>STARLINK-33578</t>
  </si>
  <si>
    <t>STARLINK-33626</t>
  </si>
  <si>
    <t>STARLINK-33657</t>
  </si>
  <si>
    <t>STARLINK-33648</t>
  </si>
  <si>
    <t>STARLINK-33614</t>
  </si>
  <si>
    <t>STARLINK-33617</t>
  </si>
  <si>
    <t>STARLINK-33618</t>
  </si>
  <si>
    <t>STARLINK-33621</t>
  </si>
  <si>
    <t>STARLINK-33539</t>
  </si>
  <si>
    <t>STARLINK-33634</t>
  </si>
  <si>
    <t>STARLINK-33640</t>
  </si>
  <si>
    <t>STARLINK-33636</t>
  </si>
  <si>
    <t>STARLINK-33653</t>
  </si>
  <si>
    <t>STARLINK-33643</t>
  </si>
  <si>
    <t>STARLINK-33633</t>
  </si>
  <si>
    <t>STARLINK-33748</t>
  </si>
  <si>
    <t>STARLINK-33658</t>
  </si>
  <si>
    <t>STARLINK-33616</t>
  </si>
  <si>
    <t>STARLINK-33571</t>
  </si>
  <si>
    <t>STARLINK-33533</t>
  </si>
  <si>
    <t>STARLINK-33629</t>
  </si>
  <si>
    <t>STARLINK-33656</t>
  </si>
  <si>
    <t>STARLINK-33682</t>
  </si>
  <si>
    <t>STARLINK-33710</t>
  </si>
  <si>
    <t>STARLINK-33733</t>
  </si>
  <si>
    <t>STARLINK-33638</t>
  </si>
  <si>
    <t>STARLINK-33726</t>
  </si>
  <si>
    <t>STARLINK-33681</t>
  </si>
  <si>
    <t>STARLINK-33730</t>
  </si>
  <si>
    <t>STARLINK-33743</t>
  </si>
  <si>
    <t>STARLINK-33715</t>
  </si>
  <si>
    <t>STARLINK-33762</t>
  </si>
  <si>
    <t>STARLINK-33753</t>
  </si>
  <si>
    <t>STARLINK-33747</t>
  </si>
  <si>
    <t>STARLINK-33659</t>
  </si>
  <si>
    <t>STARLINK-33746</t>
  </si>
  <si>
    <t>STARLINK-33799</t>
  </si>
  <si>
    <t>STARLINK-33797</t>
  </si>
  <si>
    <t>STARLINK-33798</t>
  </si>
  <si>
    <t>STARLINK-33736</t>
  </si>
  <si>
    <t>STARLINK-33740</t>
  </si>
  <si>
    <t>STARLINK-33763</t>
  </si>
  <si>
    <t>STARLINK-33784</t>
  </si>
  <si>
    <t>STARLINK-33768</t>
  </si>
  <si>
    <t>STARLINK-33761</t>
  </si>
  <si>
    <t>STARLINK-33737</t>
  </si>
  <si>
    <t>STARLINK-33795</t>
  </si>
  <si>
    <t>STARLINK-33756</t>
  </si>
  <si>
    <t>STARLINK-33780</t>
  </si>
  <si>
    <t>STARLINK-33828</t>
  </si>
  <si>
    <t>STARLINK-33819</t>
  </si>
  <si>
    <t>STARLINK-33845</t>
  </si>
  <si>
    <t>STARLINK-33829</t>
  </si>
  <si>
    <t>STARLINK-33815</t>
  </si>
  <si>
    <t>STARLINK-33833</t>
  </si>
  <si>
    <t>STARLINK-33534</t>
  </si>
  <si>
    <t>STARLINK-33838</t>
  </si>
  <si>
    <t>STARLINK-33837</t>
  </si>
  <si>
    <t>STARLINK-33818</t>
  </si>
  <si>
    <t>STARLINK-33583</t>
  </si>
  <si>
    <t>STARLINK-33811</t>
  </si>
  <si>
    <t>STARLINK-33825</t>
  </si>
  <si>
    <t>STARLINK-33792</t>
  </si>
  <si>
    <t>STARLINK-33843</t>
  </si>
  <si>
    <t>STARLINK-33809</t>
  </si>
  <si>
    <t>STARLINK-33678</t>
  </si>
  <si>
    <t>STARLINK-33764</t>
  </si>
  <si>
    <t>STARLINK-33804</t>
  </si>
  <si>
    <t>STARLINK-33751</t>
  </si>
  <si>
    <t>STARLINK-33750</t>
  </si>
  <si>
    <t>STARLINK-33786</t>
  </si>
  <si>
    <t>STARLINK-33796</t>
  </si>
  <si>
    <t>STARLINK-33785</t>
  </si>
  <si>
    <t>STARLINK-33803</t>
  </si>
  <si>
    <t>STARLINK-33807</t>
  </si>
  <si>
    <t>STARLINK-33787</t>
  </si>
  <si>
    <t>STARLINK-11651 [DTC]</t>
  </si>
  <si>
    <t>STARLINK-11672 [DTC]</t>
  </si>
  <si>
    <t>STARLINK-11664 [DTC]</t>
  </si>
  <si>
    <t>STARLINK-11666 [DTC]</t>
  </si>
  <si>
    <t>STARLINK-11663 [DTC]</t>
  </si>
  <si>
    <t>STARLINK-11595 [DTC]</t>
  </si>
  <si>
    <t>STARLINK-11599 [DTC]</t>
  </si>
  <si>
    <t>STARLINK-11603 [DTC]</t>
  </si>
  <si>
    <t>STARLINK-11644 [DTC]</t>
  </si>
  <si>
    <t>STARLINK-11634 [DTC]</t>
  </si>
  <si>
    <t>STARLINK-11656 [DTC]</t>
  </si>
  <si>
    <t>STARLINK-11655 [DTC]</t>
  </si>
  <si>
    <t>STARLINK-11661 [DTC]</t>
  </si>
  <si>
    <t>STARLINK-33816</t>
  </si>
  <si>
    <t>STARLINK-33861</t>
  </si>
  <si>
    <t>STARLINK-33850</t>
  </si>
  <si>
    <t>STARLINK-33887</t>
  </si>
  <si>
    <t>STARLINK-33886</t>
  </si>
  <si>
    <t>STARLINK-33840</t>
  </si>
  <si>
    <t>STARLINK-33851</t>
  </si>
  <si>
    <t>STARLINK-33853</t>
  </si>
  <si>
    <t>STARLINK-33847</t>
  </si>
  <si>
    <t>STARLINK-33880</t>
  </si>
  <si>
    <t>STARLINK-33894</t>
  </si>
  <si>
    <t>STARLINK-33922</t>
  </si>
  <si>
    <t>STARLINK-33919</t>
  </si>
  <si>
    <t>STARLINK-33908</t>
  </si>
  <si>
    <t>STARLINK-33950</t>
  </si>
  <si>
    <t>STARLINK-33939</t>
  </si>
  <si>
    <t>STARLINK-33868</t>
  </si>
  <si>
    <t>STARLINK-33937</t>
  </si>
  <si>
    <t>STARLINK-33848</t>
  </si>
  <si>
    <t>STARLINK-33995</t>
  </si>
  <si>
    <t>STARLINK-33982</t>
  </si>
  <si>
    <t>STARLINK-33915</t>
  </si>
  <si>
    <t>STARLINK-33862</t>
  </si>
  <si>
    <t>STARLINK-33920</t>
  </si>
  <si>
    <t>STARLINK-33580</t>
  </si>
  <si>
    <t>STARLINK-33783</t>
  </si>
  <si>
    <t>STARLINK-33773</t>
  </si>
  <si>
    <t>STARLINK-33745</t>
  </si>
  <si>
    <t>STARLINK-33728</t>
  </si>
  <si>
    <t>STARLINK-33749</t>
  </si>
  <si>
    <t>STARLINK-33725</t>
  </si>
  <si>
    <t>STARLINK-33641</t>
  </si>
  <si>
    <t>STARLINK-33727</t>
  </si>
  <si>
    <t>STARLINK-33757</t>
  </si>
  <si>
    <t>STARLINK-33774</t>
  </si>
  <si>
    <t>STARLINK-33767</t>
  </si>
  <si>
    <t>STARLINK-33806</t>
  </si>
  <si>
    <t>STARLINK-34178</t>
  </si>
  <si>
    <t>STARLINK-34174</t>
  </si>
  <si>
    <t>STARLINK-34146</t>
  </si>
  <si>
    <t>STARLINK-34074</t>
  </si>
  <si>
    <t>STARLINK-34082</t>
  </si>
  <si>
    <t>STARLINK-34072</t>
  </si>
  <si>
    <t>STARLINK-34104</t>
  </si>
  <si>
    <t>STARLINK-34179</t>
  </si>
  <si>
    <t>STARLINK-34176</t>
  </si>
  <si>
    <t>STARLINK-33949</t>
  </si>
  <si>
    <t>STARLINK-33970</t>
  </si>
  <si>
    <t>STARLINK-33912</t>
  </si>
  <si>
    <t>STARLINK-34156</t>
  </si>
  <si>
    <t>STARLINK-34124</t>
  </si>
  <si>
    <t>STARLINK-34145</t>
  </si>
  <si>
    <t>STARLINK-34148</t>
  </si>
  <si>
    <t>STARLINK-34136</t>
  </si>
  <si>
    <t>STARLINK-33839</t>
  </si>
  <si>
    <t>STARLINK-34064</t>
  </si>
  <si>
    <t>STARLINK-34067</t>
  </si>
  <si>
    <t>STARLINK-34080</t>
  </si>
  <si>
    <t>STARLINK-34122</t>
  </si>
  <si>
    <t>STARLINK-33964</t>
  </si>
  <si>
    <t>STARLINK-34160</t>
  </si>
  <si>
    <t>STARLINK-34151</t>
  </si>
  <si>
    <t>STARLINK-34189</t>
  </si>
  <si>
    <t>STARLINK-33991</t>
  </si>
  <si>
    <t>STARLINK-33966</t>
  </si>
  <si>
    <t>STARLINK-34331</t>
  </si>
  <si>
    <t>STARLINK-34251</t>
  </si>
  <si>
    <t>STARLINK-34311</t>
  </si>
  <si>
    <t>STARLINK-34324</t>
  </si>
  <si>
    <t>STARLINK-34327</t>
  </si>
  <si>
    <t>STARLINK-33944</t>
  </si>
  <si>
    <t>STARLINK-34310</t>
  </si>
  <si>
    <t>STARLINK-34258</t>
  </si>
  <si>
    <t>STARLINK-34284</t>
  </si>
  <si>
    <t>STARLINK-34332</t>
  </si>
  <si>
    <t>STARLINK-34283</t>
  </si>
  <si>
    <t>STARLINK-34349</t>
  </si>
  <si>
    <t>STARLINK-34296</t>
  </si>
  <si>
    <t>STARLINK-34320</t>
  </si>
  <si>
    <t>STARLINK-34300</t>
  </si>
  <si>
    <t>STARLINK-34323</t>
  </si>
  <si>
    <t>STARLINK-34328</t>
  </si>
  <si>
    <t>STARLINK-34326</t>
  </si>
  <si>
    <t>STARLINK-34318</t>
  </si>
  <si>
    <t>STARLINK-34337</t>
  </si>
  <si>
    <t>STARLINK-34304</t>
  </si>
  <si>
    <t>STARLINK-34289</t>
  </si>
  <si>
    <t>STARLINK-34347</t>
  </si>
  <si>
    <t>STARLINK-34330</t>
  </si>
  <si>
    <t>STARLINK-34167</t>
  </si>
  <si>
    <t>STARLINK-34241</t>
  </si>
  <si>
    <t>STARLINK-34329</t>
  </si>
  <si>
    <t>STARLINK-34352</t>
  </si>
  <si>
    <t>STARLINK-34308</t>
  </si>
  <si>
    <t>STARLINK-34306</t>
  </si>
  <si>
    <t>STARLINK-34281</t>
  </si>
  <si>
    <t>STARLINK-34297</t>
  </si>
  <si>
    <t>STARLINK-34325</t>
  </si>
  <si>
    <t>STARLINK-34276</t>
  </si>
  <si>
    <t>STARLINK-34333</t>
  </si>
  <si>
    <t>STARLINK-34240</t>
  </si>
  <si>
    <t>STARLINK-34315</t>
  </si>
  <si>
    <t>STARLINK-34321</t>
  </si>
  <si>
    <t>STARLINK-34319</t>
  </si>
  <si>
    <t>STARLINK-34298</t>
  </si>
  <si>
    <t>STARLINK-34219</t>
  </si>
  <si>
    <t>STARLINK-34342</t>
  </si>
  <si>
    <t>STARLINK-34001</t>
  </si>
  <si>
    <t>STARLINK-34334</t>
  </si>
  <si>
    <t>STARLINK-34272</t>
  </si>
  <si>
    <t>STARLINK-34293</t>
  </si>
  <si>
    <t>STARLINK-34350</t>
  </si>
  <si>
    <t>STARLINK-34264</t>
  </si>
  <si>
    <t>STARLINK-34353</t>
  </si>
  <si>
    <t>STARLINK-34377</t>
  </si>
  <si>
    <t>STARLINK-34359</t>
  </si>
  <si>
    <t>STARLINK-34366</t>
  </si>
  <si>
    <t>STARLINK-34381</t>
  </si>
  <si>
    <t>STARLINK-35392</t>
  </si>
  <si>
    <t>STARLINK-35281</t>
  </si>
  <si>
    <t>STARLINK-35397</t>
  </si>
  <si>
    <t>STARLINK-35381</t>
  </si>
  <si>
    <t>STARLINK-35393</t>
  </si>
  <si>
    <t>STARLINK-35396</t>
  </si>
  <si>
    <t>STARLINK-35244</t>
  </si>
  <si>
    <t>STARLINK-35368</t>
  </si>
  <si>
    <t>STARLINK-35337</t>
  </si>
  <si>
    <t>STARLINK-35277</t>
  </si>
  <si>
    <t>STARLINK-35345</t>
  </si>
  <si>
    <t>STARLINK-35320</t>
  </si>
  <si>
    <t>STARLINK-35349</t>
  </si>
  <si>
    <t>STARLINK-35356</t>
  </si>
  <si>
    <t>STARLINK-35314</t>
  </si>
  <si>
    <t>STARLINK-35324</t>
  </si>
  <si>
    <t>STARLINK-35102</t>
  </si>
  <si>
    <t>STARLINK-35364</t>
  </si>
  <si>
    <t>STARLINK-35298</t>
  </si>
  <si>
    <t>STARLINK-35301</t>
  </si>
  <si>
    <t>STARLINK-35148</t>
  </si>
  <si>
    <t>STARLINK-35302</t>
  </si>
  <si>
    <t>STARLINK-35290</t>
  </si>
  <si>
    <t>STARLINK-35262</t>
  </si>
  <si>
    <t>STARLINK-35308</t>
  </si>
  <si>
    <t>STARLINK-35231</t>
  </si>
  <si>
    <t>STARLINK-35252</t>
  </si>
  <si>
    <t>STARLINK-35208</t>
  </si>
  <si>
    <t>STARLINK-35200</t>
  </si>
  <si>
    <t>STARLINK-35459</t>
  </si>
  <si>
    <t>STARLINK-35489</t>
  </si>
  <si>
    <t>STARLINK-35199</t>
  </si>
  <si>
    <t>STARLINK-35408</t>
  </si>
  <si>
    <t>STARLINK-35303</t>
  </si>
  <si>
    <t>STARLINK-35258</t>
  </si>
  <si>
    <t>STARLINK-35386</t>
  </si>
  <si>
    <t>STARLINK-35469</t>
  </si>
  <si>
    <t>STARLINK-35471</t>
  </si>
  <si>
    <t>STARLINK-35475</t>
  </si>
  <si>
    <t>STARLINK-35312</t>
  </si>
  <si>
    <t>STARLINK-35456</t>
  </si>
  <si>
    <t>STARLINK-35450</t>
  </si>
  <si>
    <t>STARLINK-35441</t>
  </si>
  <si>
    <t>STARLINK-35433</t>
  </si>
  <si>
    <t>STARLINK-35465</t>
  </si>
  <si>
    <t>STARLINK-34108</t>
  </si>
  <si>
    <t>STARLINK-35423</t>
  </si>
  <si>
    <t>STARLINK-35425</t>
  </si>
  <si>
    <t>STARLINK-34688</t>
  </si>
  <si>
    <t>STARLINK-34438</t>
  </si>
  <si>
    <t>STARLINK-35462</t>
  </si>
  <si>
    <t>STARLINK-35453</t>
  </si>
  <si>
    <t>STARLINK-35418</t>
  </si>
  <si>
    <t>STARLINK-35445</t>
  </si>
  <si>
    <t>STARLINK-35464</t>
  </si>
  <si>
    <t>STARLINK-35523</t>
  </si>
  <si>
    <t>STARLINK-35160</t>
  </si>
  <si>
    <t>STARLINK-35508</t>
  </si>
  <si>
    <t>STARLINK-35472</t>
  </si>
  <si>
    <t>STARLINK-35524</t>
  </si>
  <si>
    <t>STARLINK-35539</t>
  </si>
  <si>
    <t>STARLINK-35521</t>
  </si>
  <si>
    <t>STARLINK-35478</t>
  </si>
  <si>
    <t>STARLINK-35516</t>
  </si>
  <si>
    <t>STARLINK-35519</t>
  </si>
  <si>
    <t>STARLINK-33902</t>
  </si>
  <si>
    <t>STARLINK-35530</t>
  </si>
  <si>
    <t>STARLINK-35544</t>
  </si>
  <si>
    <t>STARLINK-35484</t>
  </si>
  <si>
    <t>STARLINK-34994</t>
  </si>
  <si>
    <t>STARLINK-35458</t>
  </si>
  <si>
    <t>STARLINK-35492</t>
  </si>
  <si>
    <t>STARLINK-35494</t>
  </si>
  <si>
    <t>STARLINK-35493</t>
  </si>
  <si>
    <t>STARLINK-35175</t>
  </si>
  <si>
    <t>STARLINK-35513</t>
  </si>
  <si>
    <t>STARLINK-35526</t>
  </si>
  <si>
    <t>STARLINK-35436</t>
  </si>
  <si>
    <t>STARLINK-35192</t>
  </si>
  <si>
    <t>STARLINK-33921</t>
  </si>
  <si>
    <t>STARLINK-35155</t>
  </si>
  <si>
    <t>STARLINK-35161</t>
  </si>
  <si>
    <t>STARLINK-35473</t>
  </si>
  <si>
    <t>11-19</t>
  </si>
  <si>
    <t>STARLINK-35552</t>
  </si>
  <si>
    <t>STARLINK-35560</t>
  </si>
  <si>
    <t>STARLINK-35558</t>
  </si>
  <si>
    <t>STARLINK-35566</t>
  </si>
  <si>
    <t>STARLINK-35421</t>
  </si>
  <si>
    <t>STARLINK-35562</t>
  </si>
  <si>
    <t>STARLINK-35542</t>
  </si>
  <si>
    <t>STARLINK-35375</t>
  </si>
  <si>
    <t>STARLINK-35179</t>
  </si>
  <si>
    <t>STARLINK-35401</t>
  </si>
  <si>
    <t>STARLINK-35422</t>
  </si>
  <si>
    <t>STARLINK-35279</t>
  </si>
  <si>
    <t>STARLINK-35295</t>
  </si>
  <si>
    <t>STARLINK-35323</t>
  </si>
  <si>
    <t>STARLINK-35299</t>
  </si>
  <si>
    <t>STARLINK-35274</t>
  </si>
  <si>
    <t>STARLINK-35321</t>
  </si>
  <si>
    <t>STARLINK-35131</t>
  </si>
  <si>
    <t>STARLINK-34801</t>
  </si>
  <si>
    <t>STARLINK-35129</t>
  </si>
  <si>
    <t>STARLINK-35116</t>
  </si>
  <si>
    <t>STARLINK-35402</t>
  </si>
  <si>
    <t>STARLINK-35325</t>
  </si>
  <si>
    <t>STARLINK-35403</t>
  </si>
  <si>
    <t>STARLINK-35011</t>
  </si>
  <si>
    <t>STARLINK-35291</t>
  </si>
  <si>
    <t>STARLINK-35379</t>
  </si>
  <si>
    <t>STARLINK-35370</t>
  </si>
  <si>
    <t>STARLINK-35496</t>
  </si>
  <si>
    <t>STARLINK-35428</t>
  </si>
  <si>
    <t>STARLINK-35573</t>
  </si>
  <si>
    <t>STARLINK-35572</t>
  </si>
  <si>
    <t>STARLINK-35468</t>
  </si>
  <si>
    <t>STARLINK-35547</t>
  </si>
  <si>
    <t>STARLINK-35553</t>
  </si>
  <si>
    <t>STARLINK-35631</t>
  </si>
  <si>
    <t>STARLINK-35653</t>
  </si>
  <si>
    <t>STARLINK-35628</t>
  </si>
  <si>
    <t>STARLINK-35645</t>
  </si>
  <si>
    <t>STARLINK-35649</t>
  </si>
  <si>
    <t>STARLINK-35658</t>
  </si>
  <si>
    <t>STARLINK-35629</t>
  </si>
  <si>
    <t>STARLINK-35612</t>
  </si>
  <si>
    <t>STARLINK-35632</t>
  </si>
  <si>
    <t>STARLINK-35637</t>
  </si>
  <si>
    <t>STARLINK-35630</t>
  </si>
  <si>
    <t>STARLINK-34412</t>
  </si>
  <si>
    <t>STARLINK-35520</t>
  </si>
  <si>
    <t>STARLINK-35525</t>
  </si>
  <si>
    <t>STARLINK-34852</t>
  </si>
  <si>
    <t>STARLINK-35592</t>
  </si>
  <si>
    <t>STARLINK-35576</t>
  </si>
  <si>
    <t>STARLINK-35623</t>
  </si>
  <si>
    <t>STARLINK-35549</t>
  </si>
  <si>
    <t>STARLINK-35625</t>
  </si>
  <si>
    <t>STARLINK-35603</t>
  </si>
  <si>
    <t>STARLINK-35318</t>
  </si>
  <si>
    <t>STARLINK-33948</t>
  </si>
  <si>
    <t>STARLINK-35081</t>
  </si>
  <si>
    <t>STARLINK-35601</t>
  </si>
  <si>
    <t>STARLINK-35605</t>
  </si>
  <si>
    <t>STARLINK-35540</t>
  </si>
  <si>
    <t>STARLINK-35455</t>
  </si>
  <si>
    <t>STARLINK-34752</t>
  </si>
  <si>
    <t>STARLINK-34625</t>
  </si>
  <si>
    <t>STARLINK-35580</t>
  </si>
  <si>
    <t>STARLINK-35621</t>
  </si>
  <si>
    <t>STARLINK-35594</t>
  </si>
  <si>
    <t>STARLINK-35587</t>
  </si>
  <si>
    <t>STARLINK-35586</t>
  </si>
  <si>
    <t>STARLINK-35636</t>
  </si>
  <si>
    <t>STARLINK-35635</t>
  </si>
  <si>
    <t>STARLINK-35633</t>
  </si>
  <si>
    <t>STARLINK-35607</t>
  </si>
  <si>
    <t>STARLINK-35614</t>
  </si>
  <si>
    <t>STARLINK-35575</t>
  </si>
  <si>
    <t>STARLINK-35624</t>
  </si>
  <si>
    <t>STARLINK-35641</t>
  </si>
  <si>
    <t>STARLINK-35578</t>
  </si>
  <si>
    <t>STARLINK-35638</t>
  </si>
  <si>
    <t>STARLINK-35585</t>
  </si>
  <si>
    <t>STARLINK-35606</t>
  </si>
  <si>
    <t>STARLINK-35627</t>
  </si>
  <si>
    <t>STARLINK-35634</t>
  </si>
  <si>
    <t>STARLINK-35748</t>
  </si>
  <si>
    <t>STARLINK-35747</t>
  </si>
  <si>
    <t>STARLINK-35751</t>
  </si>
  <si>
    <t>STARLINK-35750</t>
  </si>
  <si>
    <t>STARLINK-35740</t>
  </si>
  <si>
    <t>STARLINK-35723</t>
  </si>
  <si>
    <t>STARLINK-35710</t>
  </si>
  <si>
    <t>STARLINK-34204</t>
  </si>
  <si>
    <t>STARLINK-35714</t>
  </si>
  <si>
    <t>STARLINK-35712</t>
  </si>
  <si>
    <t>STARLINK-35709</t>
  </si>
  <si>
    <t>STARLINK-35700</t>
  </si>
  <si>
    <t>STARLINK-35722</t>
  </si>
  <si>
    <t>STARLINK-35737</t>
  </si>
  <si>
    <t>STARLINK-35677</t>
  </si>
  <si>
    <t>STARLINK-35704</t>
  </si>
  <si>
    <t>STARLINK-35666</t>
  </si>
  <si>
    <t>STARLINK-35664</t>
  </si>
  <si>
    <t>STARLINK-35733</t>
  </si>
  <si>
    <t>STARLINK-35734</t>
  </si>
  <si>
    <t>STARLINK-34466</t>
  </si>
  <si>
    <t>STARLINK-34882</t>
  </si>
  <si>
    <t>STARLINK-35731</t>
  </si>
  <si>
    <t>STARLINK-35758</t>
  </si>
  <si>
    <t>STARLINK-35736</t>
  </si>
  <si>
    <t>STARLINK-35735</t>
  </si>
  <si>
    <t>STARLINK-35753</t>
  </si>
  <si>
    <t>STARLINK-35626</t>
  </si>
  <si>
    <t>STARLINK-35801</t>
  </si>
  <si>
    <t>STARLINK-35056</t>
  </si>
  <si>
    <t>STARLINK-35550</t>
  </si>
  <si>
    <t>STARLINK-35069</t>
  </si>
  <si>
    <t>STARLINK-34910</t>
  </si>
  <si>
    <t>STARLINK-35757</t>
  </si>
  <si>
    <t>STARLINK-35745</t>
  </si>
  <si>
    <t>STARLINK-35741</t>
  </si>
  <si>
    <t>STARLINK-35730</t>
  </si>
  <si>
    <t>STARLINK-35760</t>
  </si>
  <si>
    <t>STARLINK-35752</t>
  </si>
  <si>
    <t>STARLINK-35742</t>
  </si>
  <si>
    <t>STARLINK-35708</t>
  </si>
  <si>
    <t>STARLINK-35713</t>
  </si>
  <si>
    <t>STARLINK-35724</t>
  </si>
  <si>
    <t>STARLINK-35726</t>
  </si>
  <si>
    <t>STARLINK-35727</t>
  </si>
  <si>
    <t>STARLINK-35776</t>
  </si>
  <si>
    <t>STARLINK-35774</t>
  </si>
  <si>
    <t>STARLINK-35830</t>
  </si>
  <si>
    <t>STARLINK-35819</t>
  </si>
  <si>
    <t>STARLINK-35783</t>
  </si>
  <si>
    <t>STARLINK-34884</t>
  </si>
  <si>
    <t>STARLINK-34896</t>
  </si>
  <si>
    <t>STARLINK-35802</t>
  </si>
  <si>
    <t>STARLINK-35799</t>
  </si>
  <si>
    <t>STARLINK-35800</t>
  </si>
  <si>
    <t>STARLINK-35798</t>
  </si>
  <si>
    <t>11-14</t>
  </si>
  <si>
    <t>STARLINK-35849</t>
  </si>
  <si>
    <t>STARLINK-35848</t>
  </si>
  <si>
    <t>STARLINK-35829</t>
  </si>
  <si>
    <t>STARLINK-35828</t>
  </si>
  <si>
    <t>STARLINK-35850</t>
  </si>
  <si>
    <t>STARLINK-35869</t>
  </si>
  <si>
    <t>STARLINK-35895</t>
  </si>
  <si>
    <t>STARLINK-35861</t>
  </si>
  <si>
    <t>STARLINK-35851</t>
  </si>
  <si>
    <t>STARLINK-35817</t>
  </si>
  <si>
    <t>STARLINK-35807</t>
  </si>
  <si>
    <t>STARLINK-35805</t>
  </si>
  <si>
    <t>STARLINK-35823</t>
  </si>
  <si>
    <t>STARLINK-35813</t>
  </si>
  <si>
    <t>STARLINK-35822</t>
  </si>
  <si>
    <t>STARLINK-35806</t>
  </si>
  <si>
    <t>STARLINK-35797</t>
  </si>
  <si>
    <t>STARLINK-35827</t>
  </si>
  <si>
    <t>STARLINK-35845</t>
  </si>
  <si>
    <t>STARLINK-35846</t>
  </si>
  <si>
    <t>STARLINK-34861</t>
  </si>
  <si>
    <t>STARLINK-35795</t>
  </si>
  <si>
    <t>STARLINK-35824</t>
  </si>
  <si>
    <t>STARLINK-35804</t>
  </si>
  <si>
    <t>STARLINK-35821</t>
  </si>
  <si>
    <t>STARLINK-35809</t>
  </si>
  <si>
    <t>STARLINK-35831</t>
  </si>
  <si>
    <t>STARLINK-35826</t>
  </si>
  <si>
    <t>STARLINK-35940</t>
  </si>
  <si>
    <t>STARLINK-35970</t>
  </si>
  <si>
    <t>STARLINK-35951</t>
  </si>
  <si>
    <t>STARLINK-35936</t>
  </si>
  <si>
    <t>STARLINK-35847</t>
  </si>
  <si>
    <t>STARLINK-35950</t>
  </si>
  <si>
    <t>STARLINK-35920</t>
  </si>
  <si>
    <t>STARLINK-35927</t>
  </si>
  <si>
    <t>STARLINK-35929</t>
  </si>
  <si>
    <t>STARLINK-35902</t>
  </si>
  <si>
    <t>STARLINK-35904</t>
  </si>
  <si>
    <t>STARLINK-35862</t>
  </si>
  <si>
    <t>STARLINK-35949</t>
  </si>
  <si>
    <t>STARLINK-35965</t>
  </si>
  <si>
    <t>STARLINK-35973</t>
  </si>
  <si>
    <t>STARLINK-35948</t>
  </si>
  <si>
    <t>STARLINK-35967</t>
  </si>
  <si>
    <t>STARLINK-35955</t>
  </si>
  <si>
    <t>STARLINK-35968</t>
  </si>
  <si>
    <t>STARLINK-35953</t>
  </si>
  <si>
    <t>STARLINK-35972</t>
  </si>
  <si>
    <t>STARLINK-35908</t>
  </si>
  <si>
    <t>STARLINK-35921</t>
  </si>
  <si>
    <t>STARLINK-35923</t>
  </si>
  <si>
    <t>STARLINK-35926</t>
  </si>
  <si>
    <t>STARLINK-35918</t>
  </si>
  <si>
    <t>STARLINK-35938</t>
  </si>
  <si>
    <t>STARLINK-35866</t>
  </si>
  <si>
    <t>STARLINK-35749</t>
  </si>
  <si>
    <t>STARLINK-35844</t>
  </si>
  <si>
    <t>STARLINK-35860</t>
  </si>
  <si>
    <t>STARLINK-35912</t>
  </si>
  <si>
    <t>STARLINK-35947</t>
  </si>
  <si>
    <t>STARLINK-36057</t>
  </si>
  <si>
    <t>STARLINK-35954</t>
  </si>
  <si>
    <t>STARLINK-35900</t>
  </si>
  <si>
    <t>STARLINK-35925</t>
  </si>
  <si>
    <t>STARLINK-35919</t>
  </si>
  <si>
    <t>STARLINK-35852</t>
  </si>
  <si>
    <t>STARLINK-35885</t>
  </si>
  <si>
    <t>STARLINK-35855</t>
  </si>
  <si>
    <t>STARLINK-35883</t>
  </si>
  <si>
    <t>STARLINK-36033</t>
  </si>
  <si>
    <t>STARLINK-35718</t>
  </si>
  <si>
    <t>STARLINK-35971</t>
  </si>
  <si>
    <t>STARLINK-35791</t>
  </si>
  <si>
    <t>STARLINK-36079</t>
  </si>
  <si>
    <t>STARLINK-36065</t>
  </si>
  <si>
    <t>STARLINK-36064</t>
  </si>
  <si>
    <t>STARLINK-36074</t>
  </si>
  <si>
    <t>STARLINK-36043</t>
  </si>
  <si>
    <t>STARLINK-35983</t>
  </si>
  <si>
    <t>STARLINK-36077</t>
  </si>
  <si>
    <t>STARLINK-36059</t>
  </si>
  <si>
    <t>STARLINK-36075</t>
  </si>
  <si>
    <t>STARLINK-35945</t>
  </si>
  <si>
    <t>STARLINK-35942</t>
  </si>
  <si>
    <t>STARLINK-35943</t>
  </si>
  <si>
    <t>STARLINK-35944</t>
  </si>
  <si>
    <t>STARLINK-36169</t>
  </si>
  <si>
    <t>STARLINK-36206</t>
  </si>
  <si>
    <t>STARLINK-36130</t>
  </si>
  <si>
    <t>STARLINK-36177</t>
  </si>
  <si>
    <t>STARLINK-36157</t>
  </si>
  <si>
    <t>STARLINK-36153</t>
  </si>
  <si>
    <t>STARLINK-36127</t>
  </si>
  <si>
    <t>STARLINK-36160</t>
  </si>
  <si>
    <t>STARLINK-36165</t>
  </si>
  <si>
    <t>STARLINK-36155</t>
  </si>
  <si>
    <t>STARLINK-36154</t>
  </si>
  <si>
    <t>STARLINK-36121</t>
  </si>
  <si>
    <t>STARLINK-36088</t>
  </si>
  <si>
    <t>STARLINK-36100</t>
  </si>
  <si>
    <t>STARLINK-36109</t>
  </si>
  <si>
    <t>STARLINK-36112</t>
  </si>
  <si>
    <t>STARLINK-36110</t>
  </si>
  <si>
    <t>STARLINK-36115</t>
  </si>
  <si>
    <t>STARLINK-36089</t>
  </si>
  <si>
    <t>STARLINK-36116</t>
  </si>
  <si>
    <t>STARLINK-36096</t>
  </si>
  <si>
    <t>STARLINK-36111</t>
  </si>
  <si>
    <t>STARLINK-35999</t>
  </si>
  <si>
    <t>STARLINK-36122</t>
  </si>
  <si>
    <t>STARLINK-11384 [DTC]</t>
  </si>
  <si>
    <t>STARLINK-11379 [DTC]</t>
  </si>
  <si>
    <t>STARLINK-11387 [DTC]</t>
  </si>
  <si>
    <t>STARLINK-11389 [DTC]</t>
  </si>
  <si>
    <t>STARLINK-11388 [DTC]</t>
  </si>
  <si>
    <t>STARLINK-11345 [DTC]</t>
  </si>
  <si>
    <t>STARLINK-11381 [DTC]</t>
  </si>
  <si>
    <t>STARLINK-11369 [DTC]</t>
  </si>
  <si>
    <t>STARLINK-11303 [DTC]</t>
  </si>
  <si>
    <t>STARLINK-11367 [DTC]</t>
  </si>
  <si>
    <t>STARLINK-11386 [DTC]</t>
  </si>
  <si>
    <t>STARLINK-11380 [DTC]</t>
  </si>
  <si>
    <t>STARLINK-33566</t>
  </si>
  <si>
    <t>STARLINK-33545</t>
  </si>
  <si>
    <t>STARLINK-33562</t>
  </si>
  <si>
    <t>STARLINK-33554</t>
  </si>
  <si>
    <t>STARLINK-33555</t>
  </si>
  <si>
    <t>STARLINK-33559</t>
  </si>
  <si>
    <t>STARLINK-33553</t>
  </si>
  <si>
    <t>STARLINK-33556</t>
  </si>
  <si>
    <t>STARLINK-33551</t>
  </si>
  <si>
    <t>STARLINK-11496 [DTC]</t>
  </si>
  <si>
    <t>STARLINK-11501 [DTC]</t>
  </si>
  <si>
    <t>STARLINK-11491 [DTC]</t>
  </si>
  <si>
    <t>STARLINK-11479 [DTC]</t>
  </si>
  <si>
    <t>STARLINK-11489 [DTC]</t>
  </si>
  <si>
    <t>STARLINK-11494 [DTC]</t>
  </si>
  <si>
    <t>STARLINK-11333 [DTC]</t>
  </si>
  <si>
    <t>STARLINK-11504 [DTC]</t>
  </si>
  <si>
    <t>STARLINK-11495 [DTC]</t>
  </si>
  <si>
    <t>STARLINK-11498 [DTC]</t>
  </si>
  <si>
    <t>STARLINK-11484 [DTC]</t>
  </si>
  <si>
    <t>STARLINK-11487 [DTC]</t>
  </si>
  <si>
    <t>STARLINK-11499 [DTC]</t>
  </si>
  <si>
    <t>STARLINK-33548</t>
  </si>
  <si>
    <t>STARLINK-33544</t>
  </si>
  <si>
    <t>STARLINK-33560</t>
  </si>
  <si>
    <t>STARLINK-33547</t>
  </si>
  <si>
    <t>STARLINK-33563</t>
  </si>
  <si>
    <t>STARLINK-33550</t>
  </si>
  <si>
    <t>STARLINK-33564</t>
  </si>
  <si>
    <t>STARLINK-33546</t>
  </si>
  <si>
    <t>STARLINK-33565</t>
  </si>
  <si>
    <t>STARLINK-33549</t>
  </si>
  <si>
    <t>STARLINK-11444 [DTC]</t>
  </si>
  <si>
    <t>STARLINK-11493 [DTC]</t>
  </si>
  <si>
    <t>STARLINK-11453 [DTC]</t>
  </si>
  <si>
    <t>STARLINK-11462 [DTC]</t>
  </si>
  <si>
    <t>STARLINK-11441 [DTC]</t>
  </si>
  <si>
    <t>STARLINK-11445 [DTC]</t>
  </si>
  <si>
    <t>STARLINK-11355 [DTC]</t>
  </si>
  <si>
    <t>STARLINK-11446 [DTC]</t>
  </si>
  <si>
    <t>STARLINK-11428 [DTC]</t>
  </si>
  <si>
    <t>STARLINK-11447 [DTC]</t>
  </si>
  <si>
    <t>STARLINK-11439 [DTC]</t>
  </si>
  <si>
    <t>STARLINK-11434 [DTC]</t>
  </si>
  <si>
    <t>STARLINK-11461 [DTC]</t>
  </si>
  <si>
    <t>STARLINK-32692</t>
  </si>
  <si>
    <t>STARLINK-32680</t>
  </si>
  <si>
    <t>STARLINK-32638</t>
  </si>
  <si>
    <t>STARLINK-32283</t>
  </si>
  <si>
    <t>STARLINK-32676</t>
  </si>
  <si>
    <t>STARLINK-32659</t>
  </si>
  <si>
    <t>STARLINK-32614</t>
  </si>
  <si>
    <t>STARLINK-32418</t>
  </si>
  <si>
    <t>STARLINK-11518 [DTC]</t>
  </si>
  <si>
    <t>STARLINK-11455 [DTC]</t>
  </si>
  <si>
    <t>STARLINK-11178 [DTC]</t>
  </si>
  <si>
    <t>STARLINK-11506 [DTC]</t>
  </si>
  <si>
    <t>STARLINK-11486 [DTC]</t>
  </si>
  <si>
    <t>STARLINK-11511 [DTC]</t>
  </si>
  <si>
    <t>STARLINK-11505 [DTC]</t>
  </si>
  <si>
    <t>STARLINK-11497 [DTC]</t>
  </si>
  <si>
    <t>STARLINK-11477 [DTC]</t>
  </si>
  <si>
    <t>STARLINK-11500 [DTC]</t>
  </si>
  <si>
    <t>STARLINK-11464 [DTC]</t>
  </si>
  <si>
    <t>STARLINK-11502 [DTC]</t>
  </si>
  <si>
    <t>STARLINK-32657</t>
  </si>
  <si>
    <t>STARLINK-32734</t>
  </si>
  <si>
    <t>STARLINK-32733</t>
  </si>
  <si>
    <t>STARLINK-32707</t>
  </si>
  <si>
    <t>STARLINK-32705</t>
  </si>
  <si>
    <t>STARLINK-32743</t>
  </si>
  <si>
    <t>STARLINK-32753</t>
  </si>
  <si>
    <t>STARLINK-32699</t>
  </si>
  <si>
    <t>STARLINK-11452 [DTC]</t>
  </si>
  <si>
    <t>STARLINK-11443 [DTC]</t>
  </si>
  <si>
    <t>STARLINK-11440 [DTC]</t>
  </si>
  <si>
    <t>STARLINK-11514 [DTC]</t>
  </si>
  <si>
    <t>STARLINK-11508 [DTC]</t>
  </si>
  <si>
    <t>STARLINK-11510 [DTC]</t>
  </si>
  <si>
    <t>STARLINK-11512 [DTC]</t>
  </si>
  <si>
    <t>STARLINK-11450 [DTC]</t>
  </si>
  <si>
    <t>STARLINK-11507 [DTC]</t>
  </si>
  <si>
    <t>STARLINK-11482 [DTC]</t>
  </si>
  <si>
    <t>STARLINK-11528 [DTC]</t>
  </si>
  <si>
    <t>STARLINK-11516 [DTC]</t>
  </si>
  <si>
    <t>STARLINK-11527 [DTC]</t>
  </si>
  <si>
    <t>STARLINK-32748</t>
  </si>
  <si>
    <t>STARLINK-32777</t>
  </si>
  <si>
    <t>STARLINK-32741</t>
  </si>
  <si>
    <t>STARLINK-32754</t>
  </si>
  <si>
    <t>STARLINK-32786</t>
  </si>
  <si>
    <t>STARLINK-32789</t>
  </si>
  <si>
    <t>STARLINK-32791</t>
  </si>
  <si>
    <t>STARLINK-32785</t>
  </si>
  <si>
    <t>STARLINK-11538 [DTC]</t>
  </si>
  <si>
    <t>STARLINK-11534 [DTC]</t>
  </si>
  <si>
    <t>STARLINK-11515 [DTC]</t>
  </si>
  <si>
    <t>STARLINK-11478 [DTC]</t>
  </si>
  <si>
    <t>STARLINK-11358 [DTC]</t>
  </si>
  <si>
    <t>STARLINK-11517 [DTC]</t>
  </si>
  <si>
    <t>STARLINK-11519 [DTC]</t>
  </si>
  <si>
    <t>STARLINK-11451 [DTC]</t>
  </si>
  <si>
    <t>STARLINK-11530 [DTC]</t>
  </si>
  <si>
    <t>STARLINK-11536 [DTC]</t>
  </si>
  <si>
    <t>STARLINK-11540 [DTC]</t>
  </si>
  <si>
    <t>STARLINK-11523 [DTC]</t>
  </si>
  <si>
    <t>STARLINK-11525 [DTC]</t>
  </si>
  <si>
    <t>STARLINK-32752</t>
  </si>
  <si>
    <t>STARLINK-32760</t>
  </si>
  <si>
    <t>STARLINK-32715</t>
  </si>
  <si>
    <t>STARLINK-32764</t>
  </si>
  <si>
    <t>STARLINK-32773</t>
  </si>
  <si>
    <t>STARLINK-32750</t>
  </si>
  <si>
    <t>STARLINK-32771</t>
  </si>
  <si>
    <t>STARLINK-32766</t>
  </si>
  <si>
    <t>STARLINK-11547 [DTC]</t>
  </si>
  <si>
    <t>STARLINK-11185 [DTC]</t>
  </si>
  <si>
    <t>STARLINK-11513 [DTC]</t>
  </si>
  <si>
    <t>STARLINK-11397 [DTC]</t>
  </si>
  <si>
    <t>STARLINK-11420 [DTC]</t>
  </si>
  <si>
    <t>STARLINK-11415 [DTC]</t>
  </si>
  <si>
    <t>STARLINK-11413 [DTC]</t>
  </si>
  <si>
    <t>STARLINK-11416 [DTC]</t>
  </si>
  <si>
    <t>STARLINK-11535 [DTC]</t>
  </si>
  <si>
    <t>STARLINK-11521 [DTC]</t>
  </si>
  <si>
    <t>STARLINK-11258 [DTC]</t>
  </si>
  <si>
    <t>STARLINK-11529 [DTC]</t>
  </si>
  <si>
    <t>STARLINK-32747</t>
  </si>
  <si>
    <t>STARLINK-32767</t>
  </si>
  <si>
    <t>STARLINK-32769</t>
  </si>
  <si>
    <t>STARLINK-32778</t>
  </si>
  <si>
    <t>STARLINK-32710</t>
  </si>
  <si>
    <t>STARLINK-32742</t>
  </si>
  <si>
    <t>STARLINK-32783</t>
  </si>
  <si>
    <t>STARLINK-32784</t>
  </si>
  <si>
    <t>STARLINK-11548 [DTC]</t>
  </si>
  <si>
    <t>STARLINK-11480 [DTC]</t>
  </si>
  <si>
    <t>STARLINK-11559 [DTC]</t>
  </si>
  <si>
    <t>STARLINK-11549 [DTC]</t>
  </si>
  <si>
    <t>STARLINK-11554 [DTC]</t>
  </si>
  <si>
    <t>STARLINK-11520 [DTC]</t>
  </si>
  <si>
    <t>STARLINK-11546 [DTC]</t>
  </si>
  <si>
    <t>STARLINK-11533 [DTC]</t>
  </si>
  <si>
    <t>STARLINK-11557 [DTC]</t>
  </si>
  <si>
    <t>STARLINK-11556 [DTC]</t>
  </si>
  <si>
    <t>STARLINK-11524 [DTC]</t>
  </si>
  <si>
    <t>STARLINK-11551 [DTC]</t>
  </si>
  <si>
    <t>STARLINK-11531 [DTC]</t>
  </si>
  <si>
    <t>STARLINK-32755</t>
  </si>
  <si>
    <t>STARLINK-32797</t>
  </si>
  <si>
    <t>STARLINK-32794</t>
  </si>
  <si>
    <t>STARLINK-32807</t>
  </si>
  <si>
    <t>STARLINK-32804</t>
  </si>
  <si>
    <t>STARLINK-32799</t>
  </si>
  <si>
    <t>STARLINK-32781</t>
  </si>
  <si>
    <t>STARLINK-32809</t>
  </si>
  <si>
    <t>STARLINK-11371 [DTC]</t>
  </si>
  <si>
    <t>STARLINK-11352 [DTC]</t>
  </si>
  <si>
    <t>STARLINK-11382 [DTC]</t>
  </si>
  <si>
    <t>STARLINK-11432 [DTC]</t>
  </si>
  <si>
    <t>STARLINK-11419 [DTC]</t>
  </si>
  <si>
    <t>STARLINK-11437 [DTC]</t>
  </si>
  <si>
    <t>STARLINK-11442 [DTC]</t>
  </si>
  <si>
    <t>STARLINK-11365 [DTC]</t>
  </si>
  <si>
    <t>STARLINK-11436 [DTC]</t>
  </si>
  <si>
    <t>STARLINK-11438 [DTC]</t>
  </si>
  <si>
    <t>STARLINK-11391 [DTC]</t>
  </si>
  <si>
    <t>STARLINK-11431 [DTC]</t>
  </si>
  <si>
    <t>STARLINK-11435 [DTC]</t>
  </si>
  <si>
    <t>STARLINK-32878</t>
  </si>
  <si>
    <t>STARLINK-32892</t>
  </si>
  <si>
    <t>STARLINK-32909</t>
  </si>
  <si>
    <t>STARLINK-32901</t>
  </si>
  <si>
    <t>STARLINK-32890</t>
  </si>
  <si>
    <t>STARLINK-32893</t>
  </si>
  <si>
    <t>STARLINK-32902</t>
  </si>
  <si>
    <t>STARLINK-32661</t>
  </si>
  <si>
    <t>12-18</t>
  </si>
  <si>
    <t>STARLINK-11543 [DTC]</t>
  </si>
  <si>
    <t>STARLINK-11458 [DTC]</t>
  </si>
  <si>
    <t>STARLINK-11417 [DTC]</t>
  </si>
  <si>
    <t>STARLINK-11544 [DTC]</t>
  </si>
  <si>
    <t>STARLINK-11582 [DTC]</t>
  </si>
  <si>
    <t>STARLINK-11571 [DTC]</t>
  </si>
  <si>
    <t>STARLINK-11539 [DTC]</t>
  </si>
  <si>
    <t>STARLINK-11542 [DTC]</t>
  </si>
  <si>
    <t>STARLINK-11573 [DTC]</t>
  </si>
  <si>
    <t>STARLINK-11572 [DTC]</t>
  </si>
  <si>
    <t>STARLINK-11583 [DTC]</t>
  </si>
  <si>
    <t>STARLINK-11570 [DTC]</t>
  </si>
  <si>
    <t>STARLINK-11576 [DTC]</t>
  </si>
  <si>
    <t>STARLINK-32899</t>
  </si>
  <si>
    <t>STARLINK-32819</t>
  </si>
  <si>
    <t>STARLINK-32703</t>
  </si>
  <si>
    <t>STARLINK-32881</t>
  </si>
  <si>
    <t>STARLINK-32898</t>
  </si>
  <si>
    <t>STARLINK-32658</t>
  </si>
  <si>
    <t>STARLINK-32673</t>
  </si>
  <si>
    <t>STARLINK-32437</t>
  </si>
  <si>
    <t>STARLINK-11448 [DTC]</t>
  </si>
  <si>
    <t>STARLINK-11553 [DTC]</t>
  </si>
  <si>
    <t>STARLINK-11526 [DTC]</t>
  </si>
  <si>
    <t>STARLINK-11405 [DTC]</t>
  </si>
  <si>
    <t>STARLINK-11586 [DTC]</t>
  </si>
  <si>
    <t>STARLINK-11574 [DTC]</t>
  </si>
  <si>
    <t>STARLINK-11580 [DTC]</t>
  </si>
  <si>
    <t>STARLINK-11449 [DTC]</t>
  </si>
  <si>
    <t>STARLINK-11577 [DTC]</t>
  </si>
  <si>
    <t>STARLINK-11578 [DTC]</t>
  </si>
  <si>
    <t>STARLINK-11541 [DTC]</t>
  </si>
  <si>
    <t>STARLINK-11545 [DTC]</t>
  </si>
  <si>
    <t>STARLINK-11400 [DTC]</t>
  </si>
  <si>
    <t>STARLINK-32870</t>
  </si>
  <si>
    <t>STARLINK-32872</t>
  </si>
  <si>
    <t>STARLINK-32677</t>
  </si>
  <si>
    <t>STARLINK-32929</t>
  </si>
  <si>
    <t>STARLINK-32944</t>
  </si>
  <si>
    <t>STARLINK-32943</t>
  </si>
  <si>
    <t>STARLINK-32803</t>
  </si>
  <si>
    <t>STARLINK-32926</t>
  </si>
  <si>
    <t>STARLINK-11550 [DTC]</t>
  </si>
  <si>
    <t>STARLINK-11563 [DTC]</t>
  </si>
  <si>
    <t>STARLINK-11347 [DTC]</t>
  </si>
  <si>
    <t>STARLINK-11558 [DTC]</t>
  </si>
  <si>
    <t>STARLINK-11392 [DTC]</t>
  </si>
  <si>
    <t>STARLINK-11406 [DTC]</t>
  </si>
  <si>
    <t>STARLINK-11418 [DTC]</t>
  </si>
  <si>
    <t>STARLINK-11509 [DTC]</t>
  </si>
  <si>
    <t>STARLINK-11403 [DTC]</t>
  </si>
  <si>
    <t>STARLINK-11409 [DTC]</t>
  </si>
  <si>
    <t>STARLINK-11412 [DTC]</t>
  </si>
  <si>
    <t>STARLINK-11399 [DTC]</t>
  </si>
  <si>
    <t>STARLINK-11408 [DTC]</t>
  </si>
  <si>
    <t>STARLINK-33635</t>
  </si>
  <si>
    <t>STARLINK-33622</t>
  </si>
  <si>
    <t>STARLINK-33628</t>
  </si>
  <si>
    <t>STARLINK-33627</t>
  </si>
  <si>
    <t>STARLINK-33620</t>
  </si>
  <si>
    <t>STARLINK-33604</t>
  </si>
  <si>
    <t>STARLINK-33624</t>
  </si>
  <si>
    <t>STARLINK-33623</t>
  </si>
  <si>
    <t>STARLINK-33586</t>
  </si>
  <si>
    <t>STARLINK-33605</t>
  </si>
  <si>
    <t>STARLINK-11629 [DTC]</t>
  </si>
  <si>
    <t>STARLINK-11624 [DTC]</t>
  </si>
  <si>
    <t>STARLINK-11584 [DTC]</t>
  </si>
  <si>
    <t>STARLINK-11627 [DTC]</t>
  </si>
  <si>
    <t>STARLINK-11632 [DTC]</t>
  </si>
  <si>
    <t>STARLINK-11625 [DTC]</t>
  </si>
  <si>
    <t>STARLINK-11601 [DTC]</t>
  </si>
  <si>
    <t>STARLINK-11630 [DTC]</t>
  </si>
  <si>
    <t>STARLINK-11590 [DTC]</t>
  </si>
  <si>
    <t>STARLINK-11598 [DTC]</t>
  </si>
  <si>
    <t>STARLINK-11600 [DTC]</t>
  </si>
  <si>
    <t>STARLINK-11597 [DTC]</t>
  </si>
  <si>
    <t>STARLINK-11591 [DTC]</t>
  </si>
  <si>
    <t>STARLINK-32955</t>
  </si>
  <si>
    <t>STARLINK-32945</t>
  </si>
  <si>
    <t>STARLINK-32941</t>
  </si>
  <si>
    <t>STARLINK-32942</t>
  </si>
  <si>
    <t>STARLINK-32947</t>
  </si>
  <si>
    <t>STARLINK-32961</t>
  </si>
  <si>
    <t>STARLINK-32948</t>
  </si>
  <si>
    <t>STARLINK-32957</t>
  </si>
  <si>
    <t>STARLINK-11609 [DTC]</t>
  </si>
  <si>
    <t>STARLINK-11604 [DTC]</t>
  </si>
  <si>
    <t>STARLINK-11605 [DTC]</t>
  </si>
  <si>
    <t>STARLINK-11610 [DTC]</t>
  </si>
  <si>
    <t>STARLINK-11613 [DTC]</t>
  </si>
  <si>
    <t>STARLINK-11616 [DTC]</t>
  </si>
  <si>
    <t>STARLINK-11611 [DTC]</t>
  </si>
  <si>
    <t>STARLINK-11628 [DTC]</t>
  </si>
  <si>
    <t>STARLINK-11607 [DTC]</t>
  </si>
  <si>
    <t>STARLINK-11522 [DTC]</t>
  </si>
  <si>
    <t>STARLINK-11503 [DTC]</t>
  </si>
  <si>
    <t>STARLINK-11579 [DTC]</t>
  </si>
  <si>
    <t>STARLINK-11581 [DTC]</t>
  </si>
  <si>
    <t>STARLINK-32949</t>
  </si>
  <si>
    <t>STARLINK-32952</t>
  </si>
  <si>
    <t>STARLINK-32936</t>
  </si>
  <si>
    <t>STARLINK-32937</t>
  </si>
  <si>
    <t>STARLINK-32939</t>
  </si>
  <si>
    <t>STARLINK-32919</t>
  </si>
  <si>
    <t>STARLINK-32876</t>
  </si>
  <si>
    <t>STARLINK-32915</t>
  </si>
  <si>
    <t>STARLINK-11677 [DTC]</t>
  </si>
  <si>
    <t>STARLINK-11702 [DTC]</t>
  </si>
  <si>
    <t>STARLINK-11706 [DTC]</t>
  </si>
  <si>
    <t>STARLINK-11662 [DTC]</t>
  </si>
  <si>
    <t>STARLINK-11681 [DTC]</t>
  </si>
  <si>
    <t>STARLINK-11688 [DTC]</t>
  </si>
  <si>
    <t>STARLINK-11676 [DTC]</t>
  </si>
  <si>
    <t>STARLINK-11705 [DTC]</t>
  </si>
  <si>
    <t>STARLINK-11703 [DTC]</t>
  </si>
  <si>
    <t>STARLINK-11701 [DTC]</t>
  </si>
  <si>
    <t>STARLINK-11660 [DTC]</t>
  </si>
  <si>
    <t>STARLINK-11699 [DTC]</t>
  </si>
  <si>
    <t>STARLINK-11693 [DTC]</t>
  </si>
  <si>
    <t>STARLINK-33760</t>
  </si>
  <si>
    <t>STARLINK-33941</t>
  </si>
  <si>
    <t>STARLINK-33824</t>
  </si>
  <si>
    <t>STARLINK-33808</t>
  </si>
  <si>
    <t>STARLINK-33844</t>
  </si>
  <si>
    <t>STARLINK-33907</t>
  </si>
  <si>
    <t>STARLINK-33884</t>
  </si>
  <si>
    <t>STARLINK-33841</t>
  </si>
  <si>
    <t>STARLINK-33769</t>
  </si>
  <si>
    <t>STARLINK-33914</t>
  </si>
  <si>
    <t>STARLINK-11741 [DTC]</t>
  </si>
  <si>
    <t>STARLINK-11709 [DTC]</t>
  </si>
  <si>
    <t>STARLINK-11737 [DTC]</t>
  </si>
  <si>
    <t>STARLINK-11726 [DTC]</t>
  </si>
  <si>
    <t>STARLINK-11700 [DTC]</t>
  </si>
  <si>
    <t>STARLINK-11649 [DTC]</t>
  </si>
  <si>
    <t>STARLINK-11713 [DTC]</t>
  </si>
  <si>
    <t>STARLINK-11719 [DTC]</t>
  </si>
  <si>
    <t>STARLINK-11733 [DTC]</t>
  </si>
  <si>
    <t>STARLINK-11729 [DTC]</t>
  </si>
  <si>
    <t>STARLINK-11730 [DTC]</t>
  </si>
  <si>
    <t>STARLINK-11723 [DTC]</t>
  </si>
  <si>
    <t>STARLINK-11715 [DTC]</t>
  </si>
  <si>
    <t>STARLINK-34201</t>
  </si>
  <si>
    <t>STARLINK-34190</t>
  </si>
  <si>
    <t>STARLINK-34168</t>
  </si>
  <si>
    <t>STARLINK-34098</t>
  </si>
  <si>
    <t>STARLINK-34180</t>
  </si>
  <si>
    <t>STARLINK-34171</t>
  </si>
  <si>
    <t>STARLINK-34126</t>
  </si>
  <si>
    <t>STARLINK-34157</t>
  </si>
  <si>
    <t>STARLINK-34140</t>
  </si>
  <si>
    <t>STARLINK-34132</t>
  </si>
  <si>
    <t>STARLINK-11727 [DTC]</t>
  </si>
  <si>
    <t>STARLINK-11724 [DTC]</t>
  </si>
  <si>
    <t>STARLINK-11725 [DTC]</t>
  </si>
  <si>
    <t>STARLINK-11717 [DTC]</t>
  </si>
  <si>
    <t>STARLINK-11721 [DTC]</t>
  </si>
  <si>
    <t>STARLINK-11722 [DTC]</t>
  </si>
  <si>
    <t>STARLINK-11679 [DTC]</t>
  </si>
  <si>
    <t>STARLINK-11735 [DTC]</t>
  </si>
  <si>
    <t>STARLINK-11720 [DTC]</t>
  </si>
  <si>
    <t>STARLINK-11718 [DTC]</t>
  </si>
  <si>
    <t>STARLINK-11716 [DTC]</t>
  </si>
  <si>
    <t>STARLINK-11714 [DTC]</t>
  </si>
  <si>
    <t>STARLINK-11712 [DTC]</t>
  </si>
  <si>
    <t>STARLINK-34254</t>
  </si>
  <si>
    <t>STARLINK-34230</t>
  </si>
  <si>
    <t>STARLINK-34129</t>
  </si>
  <si>
    <t>STARLINK-34212</t>
  </si>
  <si>
    <t>STARLINK-34149</t>
  </si>
  <si>
    <t>STARLINK-34054</t>
  </si>
  <si>
    <t>STARLINK-34195</t>
  </si>
  <si>
    <t>STARLINK-34133</t>
  </si>
  <si>
    <t>STARLINK-34181</t>
  </si>
  <si>
    <t>STARLINK-34186</t>
  </si>
  <si>
    <t>STARLINK-11736 [DTC]</t>
  </si>
  <si>
    <t>STARLINK-11673 [DTC]</t>
  </si>
  <si>
    <t>STARLINK-11671 [DTC]</t>
  </si>
  <si>
    <t>STARLINK-11594 [DTC]</t>
  </si>
  <si>
    <t>STARLINK-11596 [DTC]</t>
  </si>
  <si>
    <t>STARLINK-11747 [DTC]</t>
  </si>
  <si>
    <t>STARLINK-11728 [DTC]</t>
  </si>
  <si>
    <t>STARLINK-11696 [DTC]</t>
  </si>
  <si>
    <t>STARLINK-11698 [DTC]</t>
  </si>
  <si>
    <t>STARLINK-11678 [DTC]</t>
  </si>
  <si>
    <t>STARLINK-11674 [DTC]</t>
  </si>
  <si>
    <t>STARLINK-11707 [DTC]</t>
  </si>
  <si>
    <t>STARLINK-11734 [DTC]</t>
  </si>
  <si>
    <t>STARLINK-34252</t>
  </si>
  <si>
    <t>STARLINK-34050</t>
  </si>
  <si>
    <t>STARLINK-33782</t>
  </si>
  <si>
    <t>STARLINK-34207</t>
  </si>
  <si>
    <t>STARLINK-34260</t>
  </si>
  <si>
    <t>STARLINK-33855</t>
  </si>
  <si>
    <t>STARLINK-34223</t>
  </si>
  <si>
    <t>STARLINK-34216</t>
  </si>
  <si>
    <t>STARLINK-34218</t>
  </si>
  <si>
    <t>STARLINK-34017</t>
  </si>
  <si>
    <t>STARLINK-11732 [DTC]</t>
  </si>
  <si>
    <t>STARLINK-11731 [DTC]</t>
  </si>
  <si>
    <t>STARLINK-11746 [DTC]</t>
  </si>
  <si>
    <t>STARLINK-11748 [DTC]</t>
  </si>
  <si>
    <t>STARLINK-11739 [DTC]</t>
  </si>
  <si>
    <t>STARLINK-11738 [DTC]</t>
  </si>
  <si>
    <t>STARLINK-11745 [DTC]</t>
  </si>
  <si>
    <t>STARLINK-11742 [DTC]</t>
  </si>
  <si>
    <t>STARLINK-11711 [DTC]</t>
  </si>
  <si>
    <t>STARLINK-11743 [DTC]</t>
  </si>
  <si>
    <t>STARLINK-11744 [DTC]</t>
  </si>
  <si>
    <t>STARLINK-11692 [DTC]</t>
  </si>
  <si>
    <t>STARLINK-11740 [DTC]</t>
  </si>
  <si>
    <t>STARLINK-34299</t>
  </si>
  <si>
    <t>STARLINK-34271</t>
  </si>
  <si>
    <t>STARLINK-34100</t>
  </si>
  <si>
    <t>STARLINK-34269</t>
  </si>
  <si>
    <t>STARLINK-34351</t>
  </si>
  <si>
    <t>STARLINK-34198</t>
  </si>
  <si>
    <t>STARLINK-34279</t>
  </si>
  <si>
    <t>STARLINK-34292</t>
  </si>
  <si>
    <t>STARLINK-34278</t>
  </si>
  <si>
    <t>STARLINK-33802</t>
  </si>
  <si>
    <t>13-1</t>
  </si>
  <si>
    <t>STARLINK-32806</t>
  </si>
  <si>
    <t>STARLINK-32329</t>
  </si>
  <si>
    <t>STARLINK-32774</t>
  </si>
  <si>
    <t>STARLINK-32802</t>
  </si>
  <si>
    <t>STARLINK-32796</t>
  </si>
  <si>
    <t>STARLINK-32805</t>
  </si>
  <si>
    <t>STARLINK-32770</t>
  </si>
  <si>
    <t>STARLINK-32775</t>
  </si>
  <si>
    <t>STARLINK-32800</t>
  </si>
  <si>
    <t>STARLINK-32758</t>
  </si>
  <si>
    <t>STARLINK-32746</t>
  </si>
  <si>
    <t>STARLINK-32780</t>
  </si>
  <si>
    <t>STARLINK-32765</t>
  </si>
  <si>
    <t>STARLINK-32762</t>
  </si>
  <si>
    <t>STARLINK-32761</t>
  </si>
  <si>
    <t>STARLINK-32763</t>
  </si>
  <si>
    <t>STARLINK-32759</t>
  </si>
  <si>
    <t>STARLINK-32756</t>
  </si>
  <si>
    <t>STARLINK-32751</t>
  </si>
  <si>
    <t>STARLINK-32740</t>
  </si>
  <si>
    <t>STARLINK-32745</t>
  </si>
  <si>
    <t>STARLINK-32839</t>
  </si>
  <si>
    <t>STARLINK-32821</t>
  </si>
  <si>
    <t>STARLINK-32817</t>
  </si>
  <si>
    <t>STARLINK-32906</t>
  </si>
  <si>
    <t>STARLINK-32895</t>
  </si>
  <si>
    <t>STARLINK-32933</t>
  </si>
  <si>
    <t>STARLINK-32932</t>
  </si>
  <si>
    <t>STARLINK-32908</t>
  </si>
  <si>
    <t>STARLINK-32505</t>
  </si>
  <si>
    <t>STARLINK-32914</t>
  </si>
  <si>
    <t>STARLINK-32918</t>
  </si>
  <si>
    <t>STARLINK-32912</t>
  </si>
  <si>
    <t>STARLINK-32910</t>
  </si>
  <si>
    <t>STARLINK-32903</t>
  </si>
  <si>
    <t>STARLINK-32925</t>
  </si>
  <si>
    <t>STARLINK-32924</t>
  </si>
  <si>
    <t>STARLINK-32900</t>
  </si>
  <si>
    <t>STARLINK-32927</t>
  </si>
  <si>
    <t>STARLINK-32907</t>
  </si>
  <si>
    <t>STARLINK-32911</t>
  </si>
  <si>
    <t>STARLINK-32923</t>
  </si>
  <si>
    <t>STARLINK-32913</t>
  </si>
  <si>
    <t>15-3</t>
  </si>
  <si>
    <t>STARLINK-33863</t>
  </si>
  <si>
    <t>STARLINK-33897</t>
  </si>
  <si>
    <t>STARLINK-34022</t>
  </si>
  <si>
    <t>STARLINK-33979</t>
  </si>
  <si>
    <t>STARLINK-34007</t>
  </si>
  <si>
    <t>STARLINK-34006</t>
  </si>
  <si>
    <t>STARLINK-33986</t>
  </si>
  <si>
    <t>STARLINK-34013</t>
  </si>
  <si>
    <t>STARLINK-34059</t>
  </si>
  <si>
    <t>STARLINK-33987</t>
  </si>
  <si>
    <t>STARLINK-34052</t>
  </si>
  <si>
    <t>STARLINK-34023</t>
  </si>
  <si>
    <t>STARLINK-34061</t>
  </si>
  <si>
    <t>STARLINK-33778</t>
  </si>
  <si>
    <t>STARLINK-33901</t>
  </si>
  <si>
    <t>STARLINK-33812</t>
  </si>
  <si>
    <t>STARLINK-33779</t>
  </si>
  <si>
    <t>STARLINK-33905</t>
  </si>
  <si>
    <t>STARLINK-34003</t>
  </si>
  <si>
    <t>STARLINK-33968</t>
  </si>
  <si>
    <t>STARLINK-33943</t>
  </si>
  <si>
    <t>STARLINK-33858</t>
  </si>
  <si>
    <t>STARLINK-33885</t>
  </si>
  <si>
    <t>STARLINK-33904</t>
  </si>
  <si>
    <t>STARLINK-33981</t>
  </si>
  <si>
    <t>STARLINK-33738</t>
  </si>
  <si>
    <t>15-4</t>
  </si>
  <si>
    <t>STARLINK-34012</t>
  </si>
  <si>
    <t>STARLINK-33956</t>
  </si>
  <si>
    <t>STARLINK-33997</t>
  </si>
  <si>
    <t>STARLINK-33989</t>
  </si>
  <si>
    <t>STARLINK-33980</t>
  </si>
  <si>
    <t>STARLINK-33994</t>
  </si>
  <si>
    <t>STARLINK-33971</t>
  </si>
  <si>
    <t>STARLINK-33877</t>
  </si>
  <si>
    <t>STARLINK-33895</t>
  </si>
  <si>
    <t>STARLINK-34005</t>
  </si>
  <si>
    <t>STARLINK-34027</t>
  </si>
  <si>
    <t>STARLINK-34035</t>
  </si>
  <si>
    <t>STARLINK-33988</t>
  </si>
  <si>
    <t>STARLINK-34020</t>
  </si>
  <si>
    <t>STARLINK-34021</t>
  </si>
  <si>
    <t>STARLINK-34004</t>
  </si>
  <si>
    <t>STARLINK-34014</t>
  </si>
  <si>
    <t>STARLINK-33985</t>
  </si>
  <si>
    <t>STARLINK-33996</t>
  </si>
  <si>
    <t>STARLINK-34036</t>
  </si>
  <si>
    <t>STARLINK-34039</t>
  </si>
  <si>
    <t>STARLINK-34034</t>
  </si>
  <si>
    <t>STARLINK-33983</t>
  </si>
  <si>
    <t>STARLINK-33993</t>
  </si>
  <si>
    <t>STARLINK-33962</t>
  </si>
  <si>
    <t>STARLINK-33998</t>
  </si>
  <si>
    <t>STARLINK-34051</t>
  </si>
  <si>
    <t>STARLINK-34184</t>
  </si>
  <si>
    <t>STARLINK-34087</t>
  </si>
  <si>
    <t>STARLINK-34088</t>
  </si>
  <si>
    <t>STARLINK-33992</t>
  </si>
  <si>
    <t>STARLINK-33967</t>
  </si>
  <si>
    <t>STARLINK-33953</t>
  </si>
  <si>
    <t>STARLINK-33790</t>
  </si>
  <si>
    <t>STARLINK-34030</t>
  </si>
  <si>
    <t>STARLINK-34024</t>
  </si>
  <si>
    <t>STARLINK-34019</t>
  </si>
  <si>
    <t>STARLINK-33860</t>
  </si>
  <si>
    <t>STARLINK-33946</t>
  </si>
  <si>
    <t>STARLINK-34046</t>
  </si>
  <si>
    <t>STARLINK-34085</t>
  </si>
  <si>
    <t>STARLINK-34008</t>
  </si>
  <si>
    <t>STARLINK-34079</t>
  </si>
  <si>
    <t>STARLINK-34089</t>
  </si>
  <si>
    <t>STARLINK-34117</t>
  </si>
  <si>
    <t>STARLINK-34111</t>
  </si>
  <si>
    <t>STARLINK-34049</t>
  </si>
  <si>
    <t>STARLINK-34096</t>
  </si>
  <si>
    <t>STARLINK-34081</t>
  </si>
  <si>
    <t>STARLINK-34033</t>
  </si>
  <si>
    <t>STARLINK-33952</t>
  </si>
  <si>
    <t>STARLINK-33961</t>
  </si>
  <si>
    <t>STARLINK-34448</t>
  </si>
  <si>
    <t>STARLINK-34362</t>
  </si>
  <si>
    <t>STARLINK-34428</t>
  </si>
  <si>
    <t>STARLINK-34388</t>
  </si>
  <si>
    <t>STARLINK-34424</t>
  </si>
  <si>
    <t>STARLINK-34443</t>
  </si>
  <si>
    <t>STARLINK-34369</t>
  </si>
  <si>
    <t>STARLINK-34391</t>
  </si>
  <si>
    <t>STARLINK-34378</t>
  </si>
  <si>
    <t>STARLINK-34376</t>
  </si>
  <si>
    <t>STARLINK-34372</t>
  </si>
  <si>
    <t>STARLINK-34379</t>
  </si>
  <si>
    <t>STARLINK-34356</t>
  </si>
  <si>
    <t>STARLINK-34360</t>
  </si>
  <si>
    <t>STARLINK-34383</t>
  </si>
  <si>
    <t>STARLINK-34355</t>
  </si>
  <si>
    <t>STARLINK-34380</t>
  </si>
  <si>
    <t>STARLINK-34374</t>
  </si>
  <si>
    <t>STARLINK-34370</t>
  </si>
  <si>
    <t>STARLINK-34357</t>
  </si>
  <si>
    <t>STARLINK-34368</t>
  </si>
  <si>
    <t>STARLINK-34384</t>
  </si>
  <si>
    <t>STARLINK-34358</t>
  </si>
  <si>
    <t>STARLINK-34354</t>
  </si>
  <si>
    <t>STARLINK-34387</t>
  </si>
  <si>
    <t>STARLINK-33590</t>
  </si>
  <si>
    <t>15-6</t>
  </si>
  <si>
    <t>STARLINK-33977</t>
  </si>
  <si>
    <t>STARLINK-34426</t>
  </si>
  <si>
    <t>STARLINK-34437</t>
  </si>
  <si>
    <t>STARLINK-34407</t>
  </si>
  <si>
    <t>STARLINK-34274</t>
  </si>
  <si>
    <t>STARLINK-34301</t>
  </si>
  <si>
    <t>STARLINK-34425</t>
  </si>
  <si>
    <t>STARLINK-34389</t>
  </si>
  <si>
    <t>STARLINK-34385</t>
  </si>
  <si>
    <t>STARLINK-34431</t>
  </si>
  <si>
    <t>STARLINK-34473</t>
  </si>
  <si>
    <t>STARLINK-34270</t>
  </si>
  <si>
    <t>STARLINK-34397</t>
  </si>
  <si>
    <t>STARLINK-34454</t>
  </si>
  <si>
    <t>STARLINK-34436</t>
  </si>
  <si>
    <t>STARLINK-34291</t>
  </si>
  <si>
    <t>STARLINK-34458</t>
  </si>
  <si>
    <t>STARLINK-34243</t>
  </si>
  <si>
    <t>STARLINK-34335</t>
  </si>
  <si>
    <t>STARLINK-34408</t>
  </si>
  <si>
    <t>STARLINK-34476</t>
  </si>
  <si>
    <t>STARLINK-34479</t>
  </si>
  <si>
    <t>STARLINK-34484</t>
  </si>
  <si>
    <t>STARLINK-34483</t>
  </si>
  <si>
    <t>STARLINK-34457</t>
  </si>
  <si>
    <t>STARLINK-34444</t>
  </si>
  <si>
    <t>STARLINK-34419</t>
  </si>
  <si>
    <t>STARLINK-34275</t>
  </si>
  <si>
    <t>STARLINK-34225</t>
  </si>
  <si>
    <t>STARLINK-34422</t>
  </si>
  <si>
    <t>STARLINK-34514</t>
  </si>
  <si>
    <t>STARLINK-34487</t>
  </si>
  <si>
    <t>STARLINK-34461</t>
  </si>
  <si>
    <t>STARLINK-34512</t>
  </si>
  <si>
    <t>STARLINK-34503</t>
  </si>
  <si>
    <t>STARLINK-34498</t>
  </si>
  <si>
    <t>STARLINK-34434</t>
  </si>
  <si>
    <t>STARLINK-34467</t>
  </si>
  <si>
    <t>STARLINK-34468</t>
  </si>
  <si>
    <t>STARLINK-34452</t>
  </si>
  <si>
    <t>STARLINK-34432</t>
  </si>
  <si>
    <t>STARLINK-34480</t>
  </si>
  <si>
    <t>STARLINK-34495</t>
  </si>
  <si>
    <t>STARLINK-34501</t>
  </si>
  <si>
    <t>STARLINK-34441</t>
  </si>
  <si>
    <t>STARLINK-34524</t>
  </si>
  <si>
    <t>STARLINK-34506</t>
  </si>
  <si>
    <t>STARLINK-34451</t>
  </si>
  <si>
    <t>STARLINK-34472</t>
  </si>
  <si>
    <t>STARLINK-34478</t>
  </si>
  <si>
    <t>STARLINK-34396</t>
  </si>
  <si>
    <t>STARLINK-34507</t>
  </si>
  <si>
    <t>15-7</t>
  </si>
  <si>
    <t>STARLINK-34497</t>
  </si>
  <si>
    <t>STARLINK-34584</t>
  </si>
  <si>
    <t>STARLINK-34535</t>
  </si>
  <si>
    <t>STARLINK-34600</t>
  </si>
  <si>
    <t>STARLINK-34560</t>
  </si>
  <si>
    <t>STARLINK-34576</t>
  </si>
  <si>
    <t>STARLINK-34322</t>
  </si>
  <si>
    <t>STARLINK-34470</t>
  </si>
  <si>
    <t>STARLINK-34405</t>
  </si>
  <si>
    <t>STARLINK-34406</t>
  </si>
  <si>
    <t>STARLINK-34559</t>
  </si>
  <si>
    <t>STARLINK-34316</t>
  </si>
  <si>
    <t>STARLINK-34563</t>
  </si>
  <si>
    <t>STARLINK-34499</t>
  </si>
  <si>
    <t>STARLINK-34447</t>
  </si>
  <si>
    <t>STARLINK-34312</t>
  </si>
  <si>
    <t>STARLINK-34515</t>
  </si>
  <si>
    <t>STARLINK-34583</t>
  </si>
  <si>
    <t>STARLINK-34574</t>
  </si>
  <si>
    <t>STARLINK-34533</t>
  </si>
  <si>
    <t>STARLINK-34548</t>
  </si>
  <si>
    <t>STARLINK-34568</t>
  </si>
  <si>
    <t>STARLINK-34546</t>
  </si>
  <si>
    <t>STARLINK-34577</t>
  </si>
  <si>
    <t>STARLINK-34572</t>
  </si>
  <si>
    <t>STARLINK-34558</t>
  </si>
  <si>
    <t>STARLINK-34629</t>
  </si>
  <si>
    <t>STARLINK-34697</t>
  </si>
  <si>
    <t>STARLINK-34632</t>
  </si>
  <si>
    <t>STARLINK-34693</t>
  </si>
  <si>
    <t>STARLINK-34666</t>
  </si>
  <si>
    <t>STARLINK-34567</t>
  </si>
  <si>
    <t>STARLINK-34646</t>
  </si>
  <si>
    <t>STARLINK-34641</t>
  </si>
  <si>
    <t>STARLINK-34649</t>
  </si>
  <si>
    <t>STARLINK-34662</t>
  </si>
  <si>
    <t>STARLINK-34660</t>
  </si>
  <si>
    <t>STARLINK-34604</t>
  </si>
  <si>
    <t>STARLINK-34658</t>
  </si>
  <si>
    <t>STARLINK-34620</t>
  </si>
  <si>
    <t>STARLINK-34633</t>
  </si>
  <si>
    <t>STARLINK-34624</t>
  </si>
  <si>
    <t>STARLINK-34664</t>
  </si>
  <si>
    <t>STARLINK-34663</t>
  </si>
  <si>
    <t>STARLINK-34696</t>
  </si>
  <si>
    <t>STARLINK-34675</t>
  </si>
  <si>
    <t>STARLINK-34608</t>
  </si>
  <si>
    <t>STARLINK-34669</t>
  </si>
  <si>
    <t>STARLINK-34644</t>
  </si>
  <si>
    <t>STARLINK-34685</t>
  </si>
  <si>
    <t>STARLINK-34668</t>
  </si>
  <si>
    <t>STARLINK-34667</t>
  </si>
  <si>
    <t>15-10</t>
  </si>
  <si>
    <t>STARLINK-35966</t>
  </si>
  <si>
    <t>STARLINK-35958</t>
  </si>
  <si>
    <t>STARLINK-35957</t>
  </si>
  <si>
    <t>STARLINK-35896</t>
  </si>
  <si>
    <t>STARLINK-35476</t>
  </si>
  <si>
    <t>STARLINK-35898</t>
  </si>
  <si>
    <t>STARLINK-35959</t>
  </si>
  <si>
    <t>STARLINK-35982</t>
  </si>
  <si>
    <t>STARLINK-36084</t>
  </si>
  <si>
    <t>STARLINK-35881</t>
  </si>
  <si>
    <t>STARLINK-35788</t>
  </si>
  <si>
    <t>STARLINK-35768</t>
  </si>
  <si>
    <t>STARLINK-35858</t>
  </si>
  <si>
    <t>STARLINK-35840</t>
  </si>
  <si>
    <t>STARLINK-35890</t>
  </si>
  <si>
    <t>STARLINK-35838</t>
  </si>
  <si>
    <t>STARLINK-35729</t>
  </si>
  <si>
    <t>STARLINK-35886</t>
  </si>
  <si>
    <t>STARLINK-35717</t>
  </si>
  <si>
    <t>STARLINK-35837</t>
  </si>
  <si>
    <t>STARLINK-35715</t>
  </si>
  <si>
    <t>STARLINK-35769</t>
  </si>
  <si>
    <t>STARLINK-35997</t>
  </si>
  <si>
    <t>STARLINK-36073</t>
  </si>
  <si>
    <t>STARLINK-36068</t>
  </si>
  <si>
    <t>STARLINK-36055</t>
  </si>
  <si>
    <t>STARLINK-36061</t>
  </si>
  <si>
    <t>STARLINK-35660</t>
  </si>
  <si>
    <t>STARLINK-35913</t>
  </si>
  <si>
    <t>STARLINK-36148</t>
  </si>
  <si>
    <t>STARLINK-36156</t>
  </si>
  <si>
    <t>STARLINK-36123</t>
  </si>
  <si>
    <t>STARLINK-36163</t>
  </si>
  <si>
    <t>STARLINK-36118</t>
  </si>
  <si>
    <t>STARLINK-36189</t>
  </si>
  <si>
    <t>STARLINK-36167</t>
  </si>
  <si>
    <t>STARLINK-36175</t>
  </si>
  <si>
    <t>STARLINK-35856</t>
  </si>
  <si>
    <t>STARLINK-36207</t>
  </si>
  <si>
    <t>STARLINK-36093</t>
  </si>
  <si>
    <t>STARLINK-36120</t>
  </si>
  <si>
    <t>STARLINK-35498</t>
  </si>
  <si>
    <t>STARLINK-36106</t>
  </si>
  <si>
    <t>STARLINK-35688</t>
  </si>
  <si>
    <t>STARLINK-36172</t>
  </si>
  <si>
    <t>STARLINK-36184</t>
  </si>
  <si>
    <t>STARLINK-36209</t>
  </si>
  <si>
    <t>STARLINK-36191</t>
  </si>
  <si>
    <t>STARLINK-36192</t>
  </si>
  <si>
    <t>STARLINK-36178</t>
  </si>
  <si>
    <t>STARLINK-36176</t>
  </si>
  <si>
    <t>STARLINK-36171</t>
  </si>
  <si>
    <t>STARLINK-36132</t>
  </si>
  <si>
    <t>STARLINK-36190</t>
  </si>
  <si>
    <t>STARLINK-36230</t>
  </si>
  <si>
    <t>STARLINK-36240</t>
  </si>
  <si>
    <t>STARLINK-36243</t>
  </si>
  <si>
    <t>STARLINK-36236</t>
  </si>
  <si>
    <t>STARLINK-36159</t>
  </si>
  <si>
    <t>STARLINK-36158</t>
  </si>
  <si>
    <t>STARLINK-35864</t>
  </si>
  <si>
    <t>STARLINK-36035</t>
  </si>
  <si>
    <t>STARLINK-36170</t>
  </si>
  <si>
    <t>STARLINK-36166</t>
  </si>
  <si>
    <t>STARLINK-35794</t>
  </si>
  <si>
    <t>STARLINK-35841</t>
  </si>
  <si>
    <t>STARLINK-35842</t>
  </si>
  <si>
    <t>STARLINK-35882</t>
  </si>
  <si>
    <t>STARLINK-35763</t>
  </si>
  <si>
    <t>STARLINK-36060</t>
  </si>
  <si>
    <t>STARLINK-36097</t>
  </si>
  <si>
    <t>STARLINK-35792</t>
  </si>
  <si>
    <t>STARLINK-35784</t>
  </si>
  <si>
    <t>STARLINK-36202</t>
  </si>
  <si>
    <t>STARLINK-36227</t>
  </si>
  <si>
    <t>STARLINK-36228</t>
  </si>
  <si>
    <t>STARLINK-36222</t>
  </si>
  <si>
    <t>STARLINK-36205</t>
  </si>
  <si>
    <t>STARLINK-36193</t>
  </si>
  <si>
    <t>STARLINK-36215</t>
  </si>
  <si>
    <t>STARLINK-36200</t>
  </si>
  <si>
    <t>15-13</t>
  </si>
  <si>
    <t>STARLINK-36182</t>
  </si>
  <si>
    <t>STARLINK-36279</t>
  </si>
  <si>
    <t>STARLINK-36284</t>
  </si>
  <si>
    <t>STARLINK-36291</t>
  </si>
  <si>
    <t>STARLINK-36239</t>
  </si>
  <si>
    <t>STARLINK-36283</t>
  </si>
  <si>
    <t>STARLINK-36267</t>
  </si>
  <si>
    <t>STARLINK-36268</t>
  </si>
  <si>
    <t>STARLINK-36270</t>
  </si>
  <si>
    <t>STARLINK-36262</t>
  </si>
  <si>
    <t>STARLINK-36263</t>
  </si>
  <si>
    <t>STARLINK-36224</t>
  </si>
  <si>
    <t>STARLINK-36185</t>
  </si>
  <si>
    <t>STARLINK-36197</t>
  </si>
  <si>
    <t>STARLINK-36056</t>
  </si>
  <si>
    <t>STARLINK-36225</t>
  </si>
  <si>
    <t>STARLINK-36265</t>
  </si>
  <si>
    <t>STARLINK-36226</t>
  </si>
  <si>
    <t>STARLINK-36173</t>
  </si>
  <si>
    <t>STARLINK-36280</t>
  </si>
  <si>
    <t>STARLINK-36213</t>
  </si>
  <si>
    <t>STARLINK-36199</t>
  </si>
  <si>
    <t>STARLINK-36203</t>
  </si>
  <si>
    <t>STARLINK-36221</t>
  </si>
  <si>
    <t>STARLINK-36212</t>
  </si>
  <si>
    <t>STARLINK-36216</t>
  </si>
  <si>
    <t>STARLINK-36211</t>
  </si>
  <si>
    <t>STARLINK-34314</t>
  </si>
  <si>
    <t>STARLINK-33926</t>
  </si>
  <si>
    <t>STARLINK-34213</t>
  </si>
  <si>
    <t>STARLINK-33924</t>
  </si>
  <si>
    <t>STARLINK-34209</t>
  </si>
  <si>
    <t>STARLINK-34338</t>
  </si>
  <si>
    <t>STARLINK-34348</t>
  </si>
  <si>
    <t>STARLINK-34345</t>
  </si>
  <si>
    <t>STARLINK-33945</t>
  </si>
  <si>
    <t>STARLINK-34346</t>
  </si>
  <si>
    <t>STARLINK-34277</t>
  </si>
  <si>
    <t>STARLINK-34343</t>
  </si>
  <si>
    <t>STARLINK-34166</t>
  </si>
  <si>
    <t>STARLINK-34344</t>
  </si>
  <si>
    <t>STARLINK-34339</t>
  </si>
  <si>
    <t>STARLINK-34341</t>
  </si>
  <si>
    <t>STARLINK-34317</t>
  </si>
  <si>
    <t>STARLINK-34340</t>
  </si>
  <si>
    <t>STARLINK-34263</t>
  </si>
  <si>
    <t>STARLINK-33793</t>
  </si>
  <si>
    <t>STARLINK-34313</t>
  </si>
  <si>
    <t>STARLINK-34309</t>
  </si>
  <si>
    <t>STARLINK-34303</t>
  </si>
  <si>
    <t>STARLINK-34175</t>
  </si>
  <si>
    <t>STARLINK-34723</t>
  </si>
  <si>
    <t>STARLINK-34725</t>
  </si>
  <si>
    <t>STARLINK-34709</t>
  </si>
  <si>
    <t>STARLINK-34706</t>
  </si>
  <si>
    <t>STARLINK-34736</t>
  </si>
  <si>
    <t>STARLINK-34746</t>
  </si>
  <si>
    <t>STARLINK-34748</t>
  </si>
  <si>
    <t>STARLINK-34756</t>
  </si>
  <si>
    <t>STARLINK-34757</t>
  </si>
  <si>
    <t>STARLINK-34722</t>
  </si>
  <si>
    <t>STARLINK-34564</t>
  </si>
  <si>
    <t>STARLINK-34676</t>
  </si>
  <si>
    <t>STARLINK-34682</t>
  </si>
  <si>
    <t>STARLINK-34631</t>
  </si>
  <si>
    <t>STARLINK-34578</t>
  </si>
  <si>
    <t>STARLINK-34683</t>
  </si>
  <si>
    <t>STARLINK-34654</t>
  </si>
  <si>
    <t>STARLINK-34575</t>
  </si>
  <si>
    <t>STARLINK-34570</t>
  </si>
  <si>
    <t>STARLINK-34651</t>
  </si>
  <si>
    <t>STARLINK-34684</t>
  </si>
  <si>
    <t>STARLINK-34690</t>
  </si>
  <si>
    <t>STARLINK-34628</t>
  </si>
  <si>
    <t>STARLINK-34544</t>
  </si>
  <si>
    <t>STARLINK-34705</t>
  </si>
  <si>
    <t>STARLINK-34737</t>
  </si>
  <si>
    <t>STARLINK-34775</t>
  </si>
  <si>
    <t>STARLINK-34726</t>
  </si>
  <si>
    <t>STARLINK-34529</t>
  </si>
  <si>
    <t>STARLINK-34743</t>
  </si>
  <si>
    <t>STARLINK-34730</t>
  </si>
  <si>
    <t>STARLINK-34714</t>
  </si>
  <si>
    <t>STARLINK-34755</t>
  </si>
  <si>
    <t>STARLINK-34740</t>
  </si>
  <si>
    <t>STARLINK-34742</t>
  </si>
  <si>
    <t>STARLINK-34719</t>
  </si>
  <si>
    <t>STARLINK-34373</t>
  </si>
  <si>
    <t>STARLINK-34758</t>
  </si>
  <si>
    <t>STARLINK-34753</t>
  </si>
  <si>
    <t>STARLINK-34747</t>
  </si>
  <si>
    <t>STARLINK-34630</t>
  </si>
  <si>
    <t>STARLINK-34689</t>
  </si>
  <si>
    <t>STARLINK-34586</t>
  </si>
  <si>
    <t>STARLINK-34738</t>
  </si>
  <si>
    <t>STARLINK-34744</t>
  </si>
  <si>
    <t>STARLINK-34701</t>
  </si>
  <si>
    <t>STARLINK-34761</t>
  </si>
  <si>
    <t>STARLINK-34732</t>
  </si>
  <si>
    <t>17-4</t>
  </si>
  <si>
    <t>STARLINK-34956</t>
  </si>
  <si>
    <t>STARLINK-34949</t>
  </si>
  <si>
    <t>STARLINK-34707</t>
  </si>
  <si>
    <t>STARLINK-34967</t>
  </si>
  <si>
    <t>STARLINK-34929</t>
  </si>
  <si>
    <t>STARLINK-34932</t>
  </si>
  <si>
    <t>STARLINK-34862</t>
  </si>
  <si>
    <t>STARLINK-34942</t>
  </si>
  <si>
    <t>STARLINK-34944</t>
  </si>
  <si>
    <t>STARLINK-34939</t>
  </si>
  <si>
    <t>STARLINK-34947</t>
  </si>
  <si>
    <t>STARLINK-34945</t>
  </si>
  <si>
    <t>STARLINK-34965</t>
  </si>
  <si>
    <t>STARLINK-34915</t>
  </si>
  <si>
    <t>STARLINK-34972</t>
  </si>
  <si>
    <t>STARLINK-34866</t>
  </si>
  <si>
    <t>STARLINK-34917</t>
  </si>
  <si>
    <t>STARLINK-34948</t>
  </si>
  <si>
    <t>STARLINK-34955</t>
  </si>
  <si>
    <t>STARLINK-34950</t>
  </si>
  <si>
    <t>STARLINK-34926</t>
  </si>
  <si>
    <t>STARLINK-34928</t>
  </si>
  <si>
    <t>STARLINK-34927</t>
  </si>
  <si>
    <t>STARLINK-34952</t>
  </si>
  <si>
    <t>STARLINK-34842</t>
  </si>
  <si>
    <t>STARLINK-34938</t>
  </si>
  <si>
    <t>STARLINK-34958</t>
  </si>
  <si>
    <t>STARLINK-34818</t>
  </si>
  <si>
    <t>STARLINK-34964</t>
  </si>
  <si>
    <t>STARLINK-34953</t>
  </si>
  <si>
    <t>STARLINK-34969</t>
  </si>
  <si>
    <t>STARLINK-34963</t>
  </si>
  <si>
    <t>STARLINK-34982</t>
  </si>
  <si>
    <t>STARLINK-34990</t>
  </si>
  <si>
    <t>STARLINK-34977</t>
  </si>
  <si>
    <t>STARLINK-34959</t>
  </si>
  <si>
    <t>STARLINK-34923</t>
  </si>
  <si>
    <t>STARLINK-34962</t>
  </si>
  <si>
    <t>STARLINK-34925</t>
  </si>
  <si>
    <t>STARLINK-34973</t>
  </si>
  <si>
    <t>STARLINK-34989</t>
  </si>
  <si>
    <t>STARLINK-34961</t>
  </si>
  <si>
    <t>STARLINK-34933</t>
  </si>
  <si>
    <t>STARLINK-34979</t>
  </si>
  <si>
    <t>STARLINK-34987</t>
  </si>
  <si>
    <t>STARLINK-34971</t>
  </si>
  <si>
    <t>STARLINK-34966</t>
  </si>
  <si>
    <t>STARLINK-34980</t>
  </si>
  <si>
    <t>STARLINK-34922</t>
  </si>
  <si>
    <t>STARLINK-34904</t>
  </si>
  <si>
    <t>STARLINK-34954</t>
  </si>
  <si>
    <t>STARLINK-34968</t>
  </si>
  <si>
    <t>STARLINK-34935</t>
  </si>
  <si>
    <t>STARLINK-35000</t>
  </si>
  <si>
    <t>STARLINK-35023</t>
  </si>
  <si>
    <t>STARLINK-35001</t>
  </si>
  <si>
    <t>STARLINK-35010</t>
  </si>
  <si>
    <t>STARLINK-35021</t>
  </si>
  <si>
    <t>STARLINK-35015</t>
  </si>
  <si>
    <t>STARLINK-35006</t>
  </si>
  <si>
    <t>STARLINK-34995</t>
  </si>
  <si>
    <t>STARLINK-35048</t>
  </si>
  <si>
    <t>STARLINK-35007</t>
  </si>
  <si>
    <t>STARLINK-35018</t>
  </si>
  <si>
    <t>STARLINK-34845</t>
  </si>
  <si>
    <t>STARLINK-34984</t>
  </si>
  <si>
    <t>STARLINK-35002</t>
  </si>
  <si>
    <t>STARLINK-35017</t>
  </si>
  <si>
    <t>STARLINK-34951</t>
  </si>
  <si>
    <t>STARLINK-34613</t>
  </si>
  <si>
    <t>STARLINK-34834</t>
  </si>
  <si>
    <t>STARLINK-34872</t>
  </si>
  <si>
    <t>STARLINK-34985</t>
  </si>
  <si>
    <t>STARLINK-35051</t>
  </si>
  <si>
    <t>STARLINK-35028</t>
  </si>
  <si>
    <t>STARLINK-35032</t>
  </si>
  <si>
    <t>STARLINK-35054</t>
  </si>
  <si>
    <t>STARLINK-35012</t>
  </si>
  <si>
    <t>STARLINK-35073</t>
  </si>
  <si>
    <t>STARLINK-35066</t>
  </si>
  <si>
    <t>STARLINK-34703</t>
  </si>
  <si>
    <t>STARLINK-34957</t>
  </si>
  <si>
    <t>STARLINK-34993</t>
  </si>
  <si>
    <t>STARLINK-35083</t>
  </si>
  <si>
    <t>STARLINK-34786</t>
  </si>
  <si>
    <t>STARLINK-35082</t>
  </si>
  <si>
    <t>STARLINK-35097</t>
  </si>
  <si>
    <t>STARLINK-35058</t>
  </si>
  <si>
    <t>STARLINK-35094</t>
  </si>
  <si>
    <t>STARLINK-34811</t>
  </si>
  <si>
    <t>STARLINK-34940</t>
  </si>
  <si>
    <t>STARLINK-34931</t>
  </si>
  <si>
    <t>STARLINK-34836</t>
  </si>
  <si>
    <t>STARLINK-34876</t>
  </si>
  <si>
    <t>STARLINK-34909</t>
  </si>
  <si>
    <t>STARLINK-34848</t>
  </si>
  <si>
    <t>17-8</t>
  </si>
  <si>
    <t>STARLINK-35142</t>
  </si>
  <si>
    <t>STARLINK-34978</t>
  </si>
  <si>
    <t>STARLINK-35043</t>
  </si>
  <si>
    <t>STARLINK-35080</t>
  </si>
  <si>
    <t>STARLINK-35068</t>
  </si>
  <si>
    <t>STARLINK-35045</t>
  </si>
  <si>
    <t>STARLINK-35050</t>
  </si>
  <si>
    <t>STARLINK-35065</t>
  </si>
  <si>
    <t>STARLINK-34679</t>
  </si>
  <si>
    <t>STARLINK-34678</t>
  </si>
  <si>
    <t>STARLINK-35049</t>
  </si>
  <si>
    <t>STARLINK-35029</t>
  </si>
  <si>
    <t>STARLINK-34991</t>
  </si>
  <si>
    <t>STARLINK-34920</t>
  </si>
  <si>
    <t>STARLINK-35030</t>
  </si>
  <si>
    <t>STARLINK-35009</t>
  </si>
  <si>
    <t>STARLINK-34970</t>
  </si>
  <si>
    <t>STARLINK-35039</t>
  </si>
  <si>
    <t>STARLINK-35084</t>
  </si>
  <si>
    <t>STARLINK-34988</t>
  </si>
  <si>
    <t>STARLINK-35059</t>
  </si>
  <si>
    <t>STARLINK-34728</t>
  </si>
  <si>
    <t>STARLINK-35005</t>
  </si>
  <si>
    <t>STARLINK-35076</t>
  </si>
  <si>
    <t>STARLINK-35112</t>
  </si>
  <si>
    <t>STARLINK-35187</t>
  </si>
  <si>
    <t>STARLINK-35188</t>
  </si>
  <si>
    <t>STARLINK-35078</t>
  </si>
  <si>
    <t>STARLINK-35055</t>
  </si>
  <si>
    <t>STARLINK-35057</t>
  </si>
  <si>
    <t>STARLINK-34674</t>
  </si>
  <si>
    <t>STARLINK-35067</t>
  </si>
  <si>
    <t>STARLINK-35063</t>
  </si>
  <si>
    <t>STARLINK-35077</t>
  </si>
  <si>
    <t>STARLINK-35152</t>
  </si>
  <si>
    <t>STARLINK-35064</t>
  </si>
  <si>
    <t>STARLINK-35170</t>
  </si>
  <si>
    <t>STARLINK-35172</t>
  </si>
  <si>
    <t>STARLINK-35125</t>
  </si>
  <si>
    <t>STARLINK-35133</t>
  </si>
  <si>
    <t>STARLINK-35044</t>
  </si>
  <si>
    <t>STARLINK-35136</t>
  </si>
  <si>
    <t>STARLINK-35144</t>
  </si>
  <si>
    <t>STARLINK-35110</t>
  </si>
  <si>
    <t>STARLINK-35052</t>
  </si>
  <si>
    <t>STARLINK-35087</t>
  </si>
  <si>
    <t>STARLINK-35100</t>
  </si>
  <si>
    <t>STARLINK-35105</t>
  </si>
  <si>
    <t>STARLINK-35267</t>
  </si>
  <si>
    <t>STARLINK-35269</t>
  </si>
  <si>
    <t>STARLINK-35191</t>
  </si>
  <si>
    <t>STARLINK-35261</t>
  </si>
  <si>
    <t>STARLINK-35253</t>
  </si>
  <si>
    <t>STARLINK-35263</t>
  </si>
  <si>
    <t>STARLINK-35248</t>
  </si>
  <si>
    <t>STARLINK-35245</t>
  </si>
  <si>
    <t>STARLINK-35229</t>
  </si>
  <si>
    <t>STARLINK-35234</t>
  </si>
  <si>
    <t>STARLINK-35255</t>
  </si>
  <si>
    <t>STARLINK-35250</t>
  </si>
  <si>
    <t>STARLINK-35251</t>
  </si>
  <si>
    <t>STARLINK-35171</t>
  </si>
  <si>
    <t>STARLINK-35195</t>
  </si>
  <si>
    <t>STARLINK-35156</t>
  </si>
  <si>
    <t>STARLINK-35185</t>
  </si>
  <si>
    <t>STARLINK-35053</t>
  </si>
  <si>
    <t>STARLINK-35178</t>
  </si>
  <si>
    <t>STARLINK-35186</t>
  </si>
  <si>
    <t>STARLINK-35154</t>
  </si>
  <si>
    <t>STARLINK-35162</t>
  </si>
  <si>
    <t>STARLINK-35206</t>
  </si>
  <si>
    <t>STARLINK-35174</t>
  </si>
  <si>
    <t>STARLINK-35328</t>
  </si>
  <si>
    <t>STARLINK-34210</t>
  </si>
  <si>
    <t>STARLINK-35227</t>
  </si>
  <si>
    <t>STARLINK-35240</t>
  </si>
  <si>
    <t>STARLINK-35344</t>
  </si>
  <si>
    <t>STARLINK-34540</t>
  </si>
  <si>
    <t>STARLINK-35282</t>
  </si>
  <si>
    <t>STARLINK-35120</t>
  </si>
  <si>
    <t>STARLINK-35246</t>
  </si>
  <si>
    <t>STARLINK-35220</t>
  </si>
  <si>
    <t>STARLINK-35176</t>
  </si>
  <si>
    <t>STARLINK-35190</t>
  </si>
  <si>
    <t>STARLINK-35201</t>
  </si>
  <si>
    <t>STARLINK-35115</t>
  </si>
  <si>
    <t>STARLINK-35181</t>
  </si>
  <si>
    <t>STARLINK-35361</t>
  </si>
  <si>
    <t>STARLINK-35351</t>
  </si>
  <si>
    <t>STARLINK-35353</t>
  </si>
  <si>
    <t>STARLINK-35359</t>
  </si>
  <si>
    <t>STARLINK-35194</t>
  </si>
  <si>
    <t>STARLINK-35198</t>
  </si>
  <si>
    <t>STARLINK-35177</t>
  </si>
  <si>
    <t>STARLINK-35254</t>
  </si>
  <si>
    <t>STARLINK-34749</t>
  </si>
  <si>
    <t>STARLINK-35330</t>
  </si>
  <si>
    <t>STARLINK-35373</t>
  </si>
  <si>
    <t>STARLINK-35383</t>
  </si>
  <si>
    <t>STARLINK-35378</t>
  </si>
  <si>
    <t>STARLINK-35406</t>
  </si>
  <si>
    <t>STARLINK-35390</t>
  </si>
  <si>
    <t>STARLINK-35412</t>
  </si>
  <si>
    <t>STARLINK-35414</t>
  </si>
  <si>
    <t>STARLINK-35357</t>
  </si>
  <si>
    <t>STARLINK-35300</t>
  </si>
  <si>
    <t>STARLINK-35296</t>
  </si>
  <si>
    <t>STARLINK-34919</t>
  </si>
  <si>
    <t>STARLINK-35286</t>
  </si>
  <si>
    <t>STARLINK-35266</t>
  </si>
  <si>
    <t>STARLINK-35273</t>
  </si>
  <si>
    <t>STARLINK-35047</t>
  </si>
  <si>
    <t>STARLINK-35285</t>
  </si>
  <si>
    <t>STARLINK-34580</t>
  </si>
  <si>
    <t>STARLINK-35289</t>
  </si>
  <si>
    <t>STARLINK-35268</t>
  </si>
  <si>
    <t>STARLINK-35224</t>
  </si>
  <si>
    <t>STARLINK-35271</t>
  </si>
  <si>
    <t>STARLINK-35215</t>
  </si>
  <si>
    <t>STARLINK-35157</t>
  </si>
  <si>
    <t>STARLINK-36587</t>
  </si>
  <si>
    <t>STARLINK-36417</t>
  </si>
  <si>
    <t>STARLINK-36576</t>
  </si>
  <si>
    <t>STARLINK-36574</t>
  </si>
  <si>
    <t>STARLINK-36572</t>
  </si>
  <si>
    <t>STARLINK-36561</t>
  </si>
  <si>
    <t>STARLINK-36397</t>
  </si>
  <si>
    <t>STARLINK-36573</t>
  </si>
  <si>
    <t>STARLINK-36585</t>
  </si>
  <si>
    <t>STARLINK-36579</t>
  </si>
  <si>
    <t>STARLINK-35934</t>
  </si>
  <si>
    <t>STARLINK-36581</t>
  </si>
  <si>
    <t>STARLINK-36565</t>
  </si>
  <si>
    <t>STARLINK-36583</t>
  </si>
  <si>
    <t>STARLINK-36580</t>
  </si>
  <si>
    <t>STARLINK-36584</t>
  </si>
  <si>
    <t>STARLINK-36586</t>
  </si>
  <si>
    <t>STARLINK-36564</t>
  </si>
  <si>
    <t>STARLINK-36563</t>
  </si>
  <si>
    <t>STARLINK-36566</t>
  </si>
  <si>
    <t>STARLINK-36567</t>
  </si>
  <si>
    <t>STARLINK-36569</t>
  </si>
  <si>
    <t>STARLINK-36395</t>
  </si>
  <si>
    <t>STARLINK-36559</t>
  </si>
  <si>
    <t>STARLINK-36426</t>
  </si>
  <si>
    <t>STARLINK-36621</t>
  </si>
  <si>
    <t>STARLINK-36398</t>
  </si>
  <si>
    <t>STARLINK-36403</t>
  </si>
  <si>
    <t>STARLINK-36593</t>
  </si>
  <si>
    <t>STARLINK-35725</t>
  </si>
  <si>
    <t>STARLINK-36394</t>
  </si>
  <si>
    <t>STARLINK-36352</t>
  </si>
  <si>
    <t>STARLINK-36435</t>
  </si>
  <si>
    <t>STARLINK-36575</t>
  </si>
  <si>
    <t>STARLINK-36562</t>
  </si>
  <si>
    <t>STARLINK-36578</t>
  </si>
  <si>
    <t>STARLINK-36350</t>
  </si>
  <si>
    <t>STARLINK-36588</t>
  </si>
  <si>
    <t>STARLINK-36594</t>
  </si>
  <si>
    <t>STARLINK-36400</t>
  </si>
  <si>
    <t>STARLINK-36591</t>
  </si>
  <si>
    <t>STARLINK-36590</t>
  </si>
  <si>
    <t>STARLINK-36613</t>
  </si>
  <si>
    <t>STARLINK-36571</t>
  </si>
  <si>
    <t>STARLINK-36612</t>
  </si>
  <si>
    <t>STARLINK-36632</t>
  </si>
  <si>
    <t>STARLINK-36609</t>
  </si>
  <si>
    <t>STARLINK-36577</t>
  </si>
  <si>
    <t>STARLINK-36419</t>
  </si>
  <si>
    <t>STARLINK-36560</t>
  </si>
  <si>
    <t>STARLINK-36641</t>
  </si>
  <si>
    <t>STARLINK-36376</t>
  </si>
  <si>
    <t>STARLINK-36391</t>
  </si>
  <si>
    <t>STARLINK-36603</t>
  </si>
  <si>
    <t>STARLINK-36634</t>
  </si>
  <si>
    <t>STARLINK-36638</t>
  </si>
  <si>
    <t>STARLINK-36628</t>
  </si>
  <si>
    <t>STARLINK-36629</t>
  </si>
  <si>
    <t>STARLINK-36384</t>
  </si>
  <si>
    <t>STARLINK-36358</t>
  </si>
  <si>
    <t>STARLINK-36582</t>
  </si>
  <si>
    <t>STARLINK-36640</t>
  </si>
  <si>
    <t>STARLINK-36635</t>
  </si>
  <si>
    <t>STARLINK-36631</t>
  </si>
  <si>
    <t>STARLINK-36626</t>
  </si>
  <si>
    <t>STARLINK-36605</t>
  </si>
  <si>
    <t>STARLINK-36281</t>
  </si>
  <si>
    <t>STARLINK-35843</t>
  </si>
  <si>
    <t>STARLINK-36351</t>
  </si>
  <si>
    <t>STARLINK-36411</t>
  </si>
  <si>
    <t>STARLINK-36312</t>
  </si>
  <si>
    <t>STARLINK-36387</t>
  </si>
  <si>
    <t>STARLINK-36636</t>
  </si>
  <si>
    <t>STARLINK-36407</t>
  </si>
  <si>
    <t>STARLINK-36597</t>
  </si>
  <si>
    <t>STARLINK-36719</t>
  </si>
  <si>
    <t>STARLINK-36342</t>
  </si>
  <si>
    <t>STARLINK-36703</t>
  </si>
  <si>
    <t>STARLINK-36696</t>
  </si>
  <si>
    <t>STARLINK-36699</t>
  </si>
  <si>
    <t>STARLINK-36694</t>
  </si>
  <si>
    <t>STARLINK-36620</t>
  </si>
  <si>
    <t>STARLINK-36720</t>
  </si>
  <si>
    <t>STARLINK-36688</t>
  </si>
  <si>
    <t>STARLINK-36706</t>
  </si>
  <si>
    <t>STARLINK-36701</t>
  </si>
  <si>
    <t>STARLINK-36642</t>
  </si>
  <si>
    <t>STARLINK-36673</t>
  </si>
  <si>
    <t>STARLINK-36674</t>
  </si>
  <si>
    <t>STARLINK-36700</t>
  </si>
  <si>
    <t>STARLINK-36675</t>
  </si>
  <si>
    <t>STARLINK-36404</t>
  </si>
  <si>
    <t>STARLINK-36399</t>
  </si>
  <si>
    <t>STARLINK-36365</t>
  </si>
  <si>
    <t>STARLINK-36622</t>
  </si>
  <si>
    <t>STARLINK-36625</t>
  </si>
  <si>
    <t>STARLINK-36639</t>
  </si>
  <si>
    <t>STARLINK-36596</t>
  </si>
  <si>
    <t>STARLINK-36297</t>
  </si>
  <si>
    <t>STARLINK-36616</t>
  </si>
  <si>
    <t>Tranche 0</t>
  </si>
  <si>
    <t>Space Development Agency</t>
  </si>
  <si>
    <t>CHECKMATE 8</t>
  </si>
  <si>
    <t>CHECKMATE 5</t>
  </si>
  <si>
    <t>CHECKMATE 4</t>
  </si>
  <si>
    <t>CHECKMATE 6</t>
  </si>
  <si>
    <t>CHECKMATE 7</t>
  </si>
  <si>
    <t>CHECKMATE 2</t>
  </si>
  <si>
    <t>CHECKMATE 1</t>
  </si>
  <si>
    <t>CHECKMATE 3</t>
  </si>
  <si>
    <t>BB 1</t>
  </si>
  <si>
    <t>BB 2</t>
  </si>
  <si>
    <t>WILDFIRE 4</t>
  </si>
  <si>
    <t>WILDFIRE 3</t>
  </si>
  <si>
    <t>WILDFIRE 7</t>
  </si>
  <si>
    <t>WILDFIRE 6</t>
  </si>
  <si>
    <t>WILDFIRE 1</t>
  </si>
  <si>
    <t>WILDFIRE 9</t>
  </si>
  <si>
    <t>WILDFIRE 10</t>
  </si>
  <si>
    <t>WILDFIRE 2</t>
  </si>
  <si>
    <t>WILDFIRE 8</t>
  </si>
  <si>
    <t>WILDFIRE 5</t>
  </si>
  <si>
    <t>BB4</t>
  </si>
  <si>
    <t>BB3</t>
  </si>
  <si>
    <t>CHECKMATE 10</t>
  </si>
  <si>
    <t>RAPTOR4</t>
  </si>
  <si>
    <t>RAPTOR1</t>
  </si>
  <si>
    <t>RAPTOR2</t>
  </si>
  <si>
    <t>RAPTOR3</t>
  </si>
  <si>
    <t>Tranche 1 (T1TL-B)</t>
  </si>
  <si>
    <t>PRAETORIAN SDA_601</t>
  </si>
  <si>
    <t>PRAETORIAN SDA_602</t>
  </si>
  <si>
    <t>PRAETORIAN SDA_603</t>
  </si>
  <si>
    <t>PRAETORIAN SDA_604</t>
  </si>
  <si>
    <t>PRAETORIAN SDA_605</t>
  </si>
  <si>
    <t>PRAETORIAN SDA_606</t>
  </si>
  <si>
    <t>PRAETORIAN SDA_607</t>
  </si>
  <si>
    <t>PRAETORIAN SDA_608</t>
  </si>
  <si>
    <t>PRAETORIAN SDA_609</t>
  </si>
  <si>
    <t>PRAETORIAN SDA_610</t>
  </si>
  <si>
    <t>PRAETORIAN SDA_611</t>
  </si>
  <si>
    <t>PRAETORIAN SDA_612</t>
  </si>
  <si>
    <t>PRAETORIAN SDA_613</t>
  </si>
  <si>
    <t>PRAETORIAN SDA_614</t>
  </si>
  <si>
    <t>PRAETORIAN SDA_615</t>
  </si>
  <si>
    <t>PRAETORIAN SDA_616</t>
  </si>
  <si>
    <t>PRAETORIAN SDA_617</t>
  </si>
  <si>
    <t>PRAETORIAN SDA_618</t>
  </si>
  <si>
    <t>PRAETORIAN SDA_619</t>
  </si>
  <si>
    <t>PRAETORIAN SDA_620</t>
  </si>
  <si>
    <t>PRAETORIAN SDA_621</t>
  </si>
  <si>
    <t>Tranche 1 (T1TL-C)</t>
  </si>
  <si>
    <t>SDA_1664</t>
  </si>
  <si>
    <t>SDA_1665</t>
  </si>
  <si>
    <t>SDA_1666</t>
  </si>
  <si>
    <t>SDA_1667</t>
  </si>
  <si>
    <t>SDA_1668</t>
  </si>
  <si>
    <t>SDA_1669</t>
  </si>
  <si>
    <t>SDA_1670</t>
  </si>
  <si>
    <t>SDA_1671</t>
  </si>
  <si>
    <t>SDA_1672</t>
  </si>
  <si>
    <t>SDA_1673</t>
  </si>
  <si>
    <t>SDA_1674</t>
  </si>
  <si>
    <t>SDA_1675</t>
  </si>
  <si>
    <t>SDA_1676</t>
  </si>
  <si>
    <t>SDA_1677</t>
  </si>
  <si>
    <t>SDA_1678</t>
  </si>
  <si>
    <t>SDA_1679</t>
  </si>
  <si>
    <t>SDA_1680</t>
  </si>
  <si>
    <t>SDA_1681</t>
  </si>
  <si>
    <t>SDA_1682</t>
  </si>
  <si>
    <t>SDA_1683</t>
  </si>
  <si>
    <t>SDA_1684</t>
  </si>
  <si>
    <t>Leo (Formerly Kuiper)</t>
  </si>
  <si>
    <t>Amazon</t>
  </si>
  <si>
    <t>KUIPER-P2</t>
  </si>
  <si>
    <t>DECAYED</t>
  </si>
  <si>
    <t>KUIPER-P1</t>
  </si>
  <si>
    <t>KUIPER-00008</t>
  </si>
  <si>
    <t>KUIPER-00009</t>
  </si>
  <si>
    <t>KUIPER-00010</t>
  </si>
  <si>
    <t>KUIPER-00011</t>
  </si>
  <si>
    <t>KUIPER-00012</t>
  </si>
  <si>
    <t>KUIPER-00013</t>
  </si>
  <si>
    <t>KUIPER-00014</t>
  </si>
  <si>
    <t>KUIPER-00015</t>
  </si>
  <si>
    <t>KUIPER-00016</t>
  </si>
  <si>
    <t>KUIPER-00018</t>
  </si>
  <si>
    <t>KUIPER-00019</t>
  </si>
  <si>
    <t>KUIPER-00020</t>
  </si>
  <si>
    <t>KUIPER-00021</t>
  </si>
  <si>
    <t>KUIPER-00023</t>
  </si>
  <si>
    <t>KUIPER-00024</t>
  </si>
  <si>
    <t>KUIPER-00025</t>
  </si>
  <si>
    <t>KUIPER-00027</t>
  </si>
  <si>
    <t>KUIPER-00028</t>
  </si>
  <si>
    <t>KUIPER-00029</t>
  </si>
  <si>
    <t>KUIPER-00030</t>
  </si>
  <si>
    <t>KUIPER-00031</t>
  </si>
  <si>
    <t>KUIPER-00032</t>
  </si>
  <si>
    <t>KUIPER-00033</t>
  </si>
  <si>
    <t>KUIPER-00034</t>
  </si>
  <si>
    <t>KUIPER-00035</t>
  </si>
  <si>
    <t>KUIPER-00037</t>
  </si>
  <si>
    <t>KUIPER-00038</t>
  </si>
  <si>
    <t>KUIPER-00039</t>
  </si>
  <si>
    <t>KUIPER-00040</t>
  </si>
  <si>
    <t>KUIPER-00041</t>
  </si>
  <si>
    <t>KUIPER-00042</t>
  </si>
  <si>
    <t>KUIPER-00043</t>
  </si>
  <si>
    <t>KUIPER-00044</t>
  </si>
  <si>
    <t>KUIPER-00046</t>
  </si>
  <si>
    <t>KUIPER-00047</t>
  </si>
  <si>
    <t>KUIPER-00048</t>
  </si>
  <si>
    <t>KUIPER-00049</t>
  </si>
  <si>
    <t>KUIPER-00050</t>
  </si>
  <si>
    <t>KUIPER-00051</t>
  </si>
  <si>
    <t>KUIPER-00052</t>
  </si>
  <si>
    <t>KUIPER-00053</t>
  </si>
  <si>
    <t>KUIPER-00054</t>
  </si>
  <si>
    <t>KUIPER-00055</t>
  </si>
  <si>
    <t>KUIPER-00056</t>
  </si>
  <si>
    <t>KUIPER-00057</t>
  </si>
  <si>
    <t>KUIPER-00058</t>
  </si>
  <si>
    <t>KUIPER-00059</t>
  </si>
  <si>
    <t>KUIPER-00060</t>
  </si>
  <si>
    <t>KUIPER-00061</t>
  </si>
  <si>
    <t>KUIPER-00062</t>
  </si>
  <si>
    <t>KUIPER-00063</t>
  </si>
  <si>
    <t>KUIPER-00064</t>
  </si>
  <si>
    <t>KUIPER-00065</t>
  </si>
  <si>
    <t>KUIPER-00066</t>
  </si>
  <si>
    <t>KUIPER-00069</t>
  </si>
  <si>
    <t>KUIPER-00070</t>
  </si>
  <si>
    <t>KUIPER-00071</t>
  </si>
  <si>
    <t>KUIPER-00072</t>
  </si>
  <si>
    <t>KUIPER-00073</t>
  </si>
  <si>
    <t>KUIPER-00074</t>
  </si>
  <si>
    <t>KUIPER-00075</t>
  </si>
  <si>
    <t>KUIPER-00076</t>
  </si>
  <si>
    <t>KUIPER-00077</t>
  </si>
  <si>
    <t>KUIPER-00078</t>
  </si>
  <si>
    <t>KUIPER-00079</t>
  </si>
  <si>
    <t>KUIPER-00080</t>
  </si>
  <si>
    <t>KUIPER-00082</t>
  </si>
  <si>
    <t>KUIPER-00083</t>
  </si>
  <si>
    <t>KUIPER-00084</t>
  </si>
  <si>
    <t>KUIPER-00085</t>
  </si>
  <si>
    <t>KUIPER-00086</t>
  </si>
  <si>
    <t>KUIPER-00087</t>
  </si>
  <si>
    <t>KUIPER-00089</t>
  </si>
  <si>
    <t>KUIPER-00090</t>
  </si>
  <si>
    <t>KUIPER-00091</t>
  </si>
  <si>
    <t>KUIPER-00092</t>
  </si>
  <si>
    <t>KUIPER-00093</t>
  </si>
  <si>
    <t>KUIPER-00094</t>
  </si>
  <si>
    <t>KUIPER-00081</t>
  </si>
  <si>
    <t>KUIPER-00088</t>
  </si>
  <si>
    <t>KUIPER-00095</t>
  </si>
  <si>
    <t>KUIPER-00096</t>
  </si>
  <si>
    <t>KUIPER-00097</t>
  </si>
  <si>
    <t>KUIPER-00098</t>
  </si>
  <si>
    <t>KUIPER-00099</t>
  </si>
  <si>
    <t>KUIPER-00100</t>
  </si>
  <si>
    <t>KUIPER-00102</t>
  </si>
  <si>
    <t>KUIPER-00103</t>
  </si>
  <si>
    <t>KUIPER-00104</t>
  </si>
  <si>
    <t>KUIPER-00105</t>
  </si>
  <si>
    <t>KUIPER-00106</t>
  </si>
  <si>
    <t>KUIPER-00107</t>
  </si>
  <si>
    <t>KUIPER-00108</t>
  </si>
  <si>
    <t>KUIPER-00109</t>
  </si>
  <si>
    <t>KUIPER-00110</t>
  </si>
  <si>
    <t>KUIPER-00111</t>
  </si>
  <si>
    <t>KUIPER-00112</t>
  </si>
  <si>
    <t>KUIPER-00114</t>
  </si>
  <si>
    <t>KUIPER-00115</t>
  </si>
  <si>
    <t>KUIPER-00116</t>
  </si>
  <si>
    <t>KUIPER-00118</t>
  </si>
  <si>
    <t>KUIPER-00119</t>
  </si>
  <si>
    <t>KUIPER-00120</t>
  </si>
  <si>
    <t>KUIPER-00132</t>
  </si>
  <si>
    <t>KUIPER-00133</t>
  </si>
  <si>
    <t>KUIPER-00139</t>
  </si>
  <si>
    <t>KUIPER-00142</t>
  </si>
  <si>
    <t>KUIPER-00145</t>
  </si>
  <si>
    <t>KUIPER-00147</t>
  </si>
  <si>
    <t>KUIPER-00148</t>
  </si>
  <si>
    <t>KUIPER-00150</t>
  </si>
  <si>
    <t>KUIPER-00151</t>
  </si>
  <si>
    <t>KUIPER-00152</t>
  </si>
  <si>
    <t>KUIPER-00153</t>
  </si>
  <si>
    <t>KUIPER-00155</t>
  </si>
  <si>
    <t>KUIPER-00156</t>
  </si>
  <si>
    <t>KUIPER-00158</t>
  </si>
  <si>
    <t>KUIPER-00163</t>
  </si>
  <si>
    <t>KUIPER-00165</t>
  </si>
  <si>
    <t>KUIPER-00166</t>
  </si>
  <si>
    <t>KUIPER-00167</t>
  </si>
  <si>
    <t>KUIPER-00168</t>
  </si>
  <si>
    <t>KUIPER-00169</t>
  </si>
  <si>
    <t>KUIPER-00170</t>
  </si>
  <si>
    <t>KUIPER-00171</t>
  </si>
  <si>
    <t>KUIPER-00172</t>
  </si>
  <si>
    <t>KUIPER-00173</t>
  </si>
  <si>
    <t>KUIPER-00174</t>
  </si>
  <si>
    <t>KUIPER-00176</t>
  </si>
  <si>
    <t>KUIPER-00101</t>
  </si>
  <si>
    <t>KUIPER-00113</t>
  </si>
  <si>
    <t>KUIPER-00117</t>
  </si>
  <si>
    <t>KUIPER-00121</t>
  </si>
  <si>
    <t>KUIPER-00122</t>
  </si>
  <si>
    <t>KUIPER-00123</t>
  </si>
  <si>
    <t>KUIPER-00124</t>
  </si>
  <si>
    <t>KUIPER-00125</t>
  </si>
  <si>
    <t>KUIPER-00126</t>
  </si>
  <si>
    <t>KUIPER-00127</t>
  </si>
  <si>
    <t>KUIPER-00128</t>
  </si>
  <si>
    <t>KUIPER-00129</t>
  </si>
  <si>
    <t>KUIPER-00130</t>
  </si>
  <si>
    <t>KUIPER-00134</t>
  </si>
  <si>
    <t>KUIPER-00135</t>
  </si>
  <si>
    <t>KUIPER-00136</t>
  </si>
  <si>
    <t>KUIPER-00137</t>
  </si>
  <si>
    <t>KUIPER-00138</t>
  </si>
  <si>
    <t>KUIPER-00140</t>
  </si>
  <si>
    <t>KUIPER-00141</t>
  </si>
  <si>
    <t>KUIPER-00146</t>
  </si>
  <si>
    <t>KUIPER-00149</t>
  </si>
  <si>
    <t>KUIPER-00154</t>
  </si>
  <si>
    <t>KUIPER-00157</t>
  </si>
  <si>
    <t>KUIPER-00144</t>
  </si>
  <si>
    <t>KUIPER-00164</t>
  </si>
  <si>
    <t>KUIPER-00175</t>
  </si>
  <si>
    <t>KUIPER-00179</t>
  </si>
  <si>
    <t>KUIPER-00181</t>
  </si>
  <si>
    <t>KUIPER-00183</t>
  </si>
  <si>
    <t>KUIPER-00184</t>
  </si>
  <si>
    <t>KUIPER-00186</t>
  </si>
  <si>
    <t>KUIPER-00187</t>
  </si>
  <si>
    <t>KUIPER-00188</t>
  </si>
  <si>
    <t>KUIPER-00191</t>
  </si>
  <si>
    <t>KUIPER-00196</t>
  </si>
  <si>
    <t>KUIPER-00204</t>
  </si>
  <si>
    <t>KUIPER-00210</t>
  </si>
  <si>
    <t>KUIPER-00221</t>
  </si>
  <si>
    <t>KUIPER-00232</t>
  </si>
  <si>
    <t>KUIPER-00241</t>
  </si>
  <si>
    <t>KUIPER-00245</t>
  </si>
  <si>
    <t>KUIPER-00246</t>
  </si>
  <si>
    <t>KUIPER-00247</t>
  </si>
  <si>
    <t>KUIPER-00248</t>
  </si>
  <si>
    <t>KUIPER-00249</t>
  </si>
  <si>
    <t>KUIPER-00250</t>
  </si>
  <si>
    <t>KUIPER-00251</t>
  </si>
  <si>
    <t>KUIPER-00252</t>
  </si>
  <si>
    <t>KUIPER-00261</t>
  </si>
  <si>
    <t>KUIPER-00265</t>
  </si>
  <si>
    <t>SpaceDataHighway network (EDRS)</t>
  </si>
  <si>
    <t>ESA / Airbus</t>
  </si>
  <si>
    <t>EUTELSAT 9B</t>
  </si>
  <si>
    <t>EDRS-C</t>
  </si>
  <si>
    <t>Group</t>
  </si>
  <si>
    <t>Version</t>
  </si>
  <si>
    <t>Deployed</t>
  </si>
  <si>
    <t>Working</t>
  </si>
  <si>
    <t>Note</t>
  </si>
  <si>
    <t>Decayed Satellites</t>
  </si>
  <si>
    <t>6-1</t>
  </si>
  <si>
    <t>v2 mini</t>
  </si>
  <si>
    <t>Not working</t>
  </si>
  <si>
    <t>6-2</t>
  </si>
  <si>
    <t>Total Launches</t>
  </si>
  <si>
    <t>6-3</t>
  </si>
  <si>
    <t>Total Deployed</t>
  </si>
  <si>
    <t>6-4</t>
  </si>
  <si>
    <t>Total Working</t>
  </si>
  <si>
    <t>6-5</t>
  </si>
  <si>
    <t>Mult Launch Dates</t>
  </si>
  <si>
    <t>6-15</t>
  </si>
  <si>
    <t>6-6</t>
  </si>
  <si>
    <t>Earliest Launch Date</t>
  </si>
  <si>
    <t>6-7</t>
  </si>
  <si>
    <t>Latest Launch Date</t>
  </si>
  <si>
    <t>6-8</t>
  </si>
  <si>
    <t>Satellites Deployed / Day</t>
  </si>
  <si>
    <t>6-20</t>
  </si>
  <si>
    <t>Days / Launch</t>
  </si>
  <si>
    <t>6-9</t>
  </si>
  <si>
    <t>Satellites / Launch</t>
  </si>
  <si>
    <t>6-10</t>
  </si>
  <si>
    <t>6-11</t>
  </si>
  <si>
    <t>6-13</t>
  </si>
  <si>
    <t>6-12</t>
  </si>
  <si>
    <t>6-14</t>
  </si>
  <si>
    <t>6-16</t>
  </si>
  <si>
    <t>6-17</t>
  </si>
  <si>
    <t>6-18</t>
  </si>
  <si>
    <t>6-19</t>
  </si>
  <si>
    <t>6-21</t>
  </si>
  <si>
    <t>6-22</t>
  </si>
  <si>
    <t>6-23</t>
  </si>
  <si>
    <t>6-24</t>
  </si>
  <si>
    <t>6-25</t>
  </si>
  <si>
    <t>6-26</t>
  </si>
  <si>
    <t>6-27</t>
  </si>
  <si>
    <t>6-28</t>
  </si>
  <si>
    <t>6-29</t>
  </si>
  <si>
    <t>6-30</t>
  </si>
  <si>
    <t>6-31</t>
  </si>
  <si>
    <t>6-33</t>
  </si>
  <si>
    <t>6-34</t>
  </si>
  <si>
    <t>6-32</t>
  </si>
  <si>
    <t>6-36</t>
  </si>
  <si>
    <t>6-35</t>
  </si>
  <si>
    <t>6-37</t>
  </si>
  <si>
    <t>6-38</t>
  </si>
  <si>
    <t>6-39</t>
  </si>
  <si>
    <t>6-40</t>
  </si>
  <si>
    <t>6-41</t>
  </si>
  <si>
    <t>6-43</t>
  </si>
  <si>
    <t>6-44</t>
  </si>
  <si>
    <t>6-42</t>
  </si>
  <si>
    <t>6-46</t>
  </si>
  <si>
    <t>6-45</t>
  </si>
  <si>
    <t>6-47</t>
  </si>
  <si>
    <t>6-48</t>
  </si>
  <si>
    <t>6-49</t>
  </si>
  <si>
    <t>6-51</t>
  </si>
  <si>
    <t>6-52</t>
  </si>
  <si>
    <t>6-53</t>
  </si>
  <si>
    <t>6-54</t>
  </si>
  <si>
    <t>6-55</t>
  </si>
  <si>
    <t>6-57</t>
  </si>
  <si>
    <t>6-56</t>
  </si>
  <si>
    <t>6-58</t>
  </si>
  <si>
    <t>6-59</t>
  </si>
  <si>
    <t>6-62</t>
  </si>
  <si>
    <t>6-63</t>
  </si>
  <si>
    <t>6-60</t>
  </si>
  <si>
    <t>6-64</t>
  </si>
  <si>
    <t>6-61</t>
  </si>
  <si>
    <t>6-77</t>
  </si>
  <si>
    <t>6-69</t>
  </si>
  <si>
    <t>6-68</t>
  </si>
  <si>
    <t>6-66</t>
  </si>
  <si>
    <t>6-76</t>
  </si>
  <si>
    <t>6-65</t>
  </si>
  <si>
    <t>6-70</t>
  </si>
  <si>
    <t>6-71</t>
  </si>
  <si>
    <t>6-80</t>
  </si>
  <si>
    <t>6-72</t>
  </si>
  <si>
    <t>6-73</t>
  </si>
  <si>
    <t>6-74</t>
  </si>
  <si>
    <t>6-75</t>
  </si>
  <si>
    <t>6-84</t>
  </si>
  <si>
    <t>6-93</t>
  </si>
  <si>
    <t>6-91</t>
  </si>
  <si>
    <t>6-83</t>
  </si>
  <si>
    <t>6-67</t>
  </si>
  <si>
    <t>6-81</t>
  </si>
  <si>
    <t>6-87</t>
  </si>
  <si>
    <t>6-85</t>
  </si>
  <si>
    <t>6-89</t>
  </si>
  <si>
    <t>6-94</t>
  </si>
  <si>
    <t>6-78</t>
  </si>
  <si>
    <t>6-79</t>
  </si>
  <si>
    <t>6-86</t>
  </si>
  <si>
    <t>6-95</t>
  </si>
  <si>
    <t>6-92</t>
  </si>
  <si>
    <t>6-90</t>
  </si>
  <si>
    <t>6-82</t>
  </si>
  <si>
    <t>6-99</t>
  </si>
  <si>
    <t>6-88</t>
  </si>
  <si>
    <t>6-96</t>
  </si>
  <si>
    <t>6-97</t>
  </si>
  <si>
    <t>6-98</t>
  </si>
  <si>
    <t>6-100</t>
  </si>
  <si>
    <t>6-101</t>
  </si>
  <si>
    <t>6-103</t>
  </si>
  <si>
    <t>6-104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</si>
  <si>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</si>
  <si>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</si>
  <si>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</si>
  <si>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</si>
  <si>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</si>
  <si>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</si>
  <si>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</si>
  <si>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</si>
  <si>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</si>
  <si>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</si>
  <si>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</si>
  <si>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7-13</t>
  </si>
  <si>
    <t>7-14</t>
  </si>
  <si>
    <t>7-15</t>
  </si>
  <si>
    <t>7-16</t>
  </si>
  <si>
    <t>7-18</t>
  </si>
  <si>
    <t>8-1</t>
  </si>
  <si>
    <t>8-2</t>
  </si>
  <si>
    <t>8-3</t>
  </si>
  <si>
    <t>8-5</t>
  </si>
  <si>
    <t>8-6</t>
  </si>
  <si>
    <t>8-7</t>
  </si>
  <si>
    <t>8-8</t>
  </si>
  <si>
    <t>8-9</t>
  </si>
  <si>
    <t>8-10</t>
  </si>
  <si>
    <t>8-11</t>
  </si>
  <si>
    <t>8-19</t>
  </si>
  <si>
    <t>9-1</t>
  </si>
  <si>
    <t>9-2</t>
  </si>
  <si>
    <t>9-3</t>
  </si>
  <si>
    <t>Failed Launch</t>
  </si>
  <si>
    <t>9-4</t>
  </si>
  <si>
    <t>9-6</t>
  </si>
  <si>
    <t>9-17</t>
  </si>
  <si>
    <t>9-8</t>
  </si>
  <si>
    <t>9-7</t>
  </si>
  <si>
    <t>9-9</t>
  </si>
  <si>
    <t>9-10</t>
  </si>
  <si>
    <t>9-12</t>
  </si>
  <si>
    <t>9-13</t>
  </si>
  <si>
    <t>9-14</t>
  </si>
  <si>
    <t>10-2</t>
  </si>
  <si>
    <t>10-3</t>
  </si>
  <si>
    <t>10-9</t>
  </si>
  <si>
    <t>10-6</t>
  </si>
  <si>
    <t>10-7</t>
  </si>
  <si>
    <t>10-5</t>
  </si>
  <si>
    <t>10-8</t>
  </si>
  <si>
    <t>10-12</t>
  </si>
  <si>
    <t>10-32</t>
  </si>
  <si>
    <t>10-18</t>
  </si>
  <si>
    <t>10-23</t>
  </si>
  <si>
    <t>10-16</t>
  </si>
  <si>
    <t>10-34</t>
  </si>
  <si>
    <t>10-25</t>
  </si>
  <si>
    <t>10-28</t>
  </si>
  <si>
    <t>10-26</t>
  </si>
  <si>
    <t>10-29</t>
  </si>
  <si>
    <t>10-30</t>
  </si>
  <si>
    <t>10-20</t>
  </si>
  <si>
    <t>10-11</t>
  </si>
  <si>
    <t>10-14</t>
  </si>
  <si>
    <t>10-22</t>
  </si>
  <si>
    <t>10-27</t>
  </si>
  <si>
    <t>10-15</t>
  </si>
  <si>
    <t>10-17</t>
  </si>
  <si>
    <t>10-21</t>
  </si>
  <si>
    <t>10-37</t>
  </si>
  <si>
    <t>11-1</t>
  </si>
  <si>
    <t>11-2</t>
  </si>
  <si>
    <t>11-3</t>
  </si>
  <si>
    <t>11-8</t>
  </si>
  <si>
    <t>11-6</t>
  </si>
  <si>
    <t>11-4</t>
  </si>
  <si>
    <t>11-10</t>
  </si>
  <si>
    <t>11-7</t>
  </si>
  <si>
    <t>11-13</t>
  </si>
  <si>
    <t>11-11</t>
  </si>
  <si>
    <t>11-9</t>
  </si>
  <si>
    <t>11-16</t>
  </si>
  <si>
    <t>11-18</t>
  </si>
  <si>
    <t>11-22</t>
  </si>
  <si>
    <t>11-20</t>
  </si>
  <si>
    <t>11-39</t>
  </si>
  <si>
    <t>11-17</t>
  </si>
  <si>
    <t>11-5</t>
  </si>
  <si>
    <t>11-12</t>
  </si>
  <si>
    <t>11-21</t>
  </si>
  <si>
    <t>11-23</t>
  </si>
  <si>
    <t>11-30</t>
  </si>
  <si>
    <t>11-25</t>
  </si>
  <si>
    <t>11-15</t>
  </si>
  <si>
    <t>12-1</t>
  </si>
  <si>
    <t>12-5</t>
  </si>
  <si>
    <t>12-2</t>
  </si>
  <si>
    <t>12-6</t>
  </si>
  <si>
    <t>12-11</t>
  </si>
  <si>
    <t>12-12</t>
  </si>
  <si>
    <t>12-4</t>
  </si>
  <si>
    <t>12-3</t>
  </si>
  <si>
    <t>12-7</t>
  </si>
  <si>
    <t>12-9</t>
  </si>
  <si>
    <t>12-8</t>
  </si>
  <si>
    <t>12-14</t>
  </si>
  <si>
    <t>12-13</t>
  </si>
  <si>
    <t>12-20</t>
  </si>
  <si>
    <t>12-10</t>
  </si>
  <si>
    <t>12-15</t>
  </si>
  <si>
    <t>12-22</t>
  </si>
  <si>
    <t>12-24</t>
  </si>
  <si>
    <t>12-26</t>
  </si>
  <si>
    <t>13-4</t>
  </si>
  <si>
    <t>15-1</t>
  </si>
  <si>
    <t>15-5</t>
  </si>
  <si>
    <t>15-8</t>
  </si>
  <si>
    <t>15-9</t>
  </si>
  <si>
    <t>15-2</t>
  </si>
  <si>
    <t>15-11</t>
  </si>
  <si>
    <t>15-12</t>
  </si>
  <si>
    <t>17-1</t>
  </si>
  <si>
    <t>17-2</t>
  </si>
  <si>
    <t>17-3</t>
  </si>
  <si>
    <t>17-5</t>
  </si>
  <si>
    <t>17-6</t>
  </si>
  <si>
    <t>17-7</t>
  </si>
  <si>
    <t>17-9</t>
  </si>
  <si>
    <t>17-10</t>
  </si>
  <si>
    <t>17-11</t>
  </si>
  <si>
    <t>17-12</t>
  </si>
  <si>
    <t>17-19</t>
  </si>
  <si>
    <t>17-20</t>
  </si>
  <si>
    <t>17-30</t>
  </si>
  <si>
    <t>17-32</t>
  </si>
  <si>
    <t>17-33</t>
  </si>
  <si>
    <t>17-34</t>
  </si>
  <si>
    <t>Protoflight</t>
  </si>
  <si>
    <t>Leo</t>
  </si>
  <si>
    <t>KA-01</t>
  </si>
  <si>
    <t>KA-02</t>
  </si>
  <si>
    <t>KF-01</t>
  </si>
  <si>
    <t>KF-02</t>
  </si>
  <si>
    <t>KA-03</t>
  </si>
  <si>
    <t>KF-03</t>
  </si>
  <si>
    <t>LA-04</t>
  </si>
  <si>
    <t>LE-01</t>
  </si>
  <si>
    <t>LV-01</t>
  </si>
  <si>
    <t>NORAD_CAT_ID</t>
  </si>
  <si>
    <t>DECAY_DATE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</si>
</sst>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"/>
  </numFmts>
  <fonts count="9">
    <font>
      <sz val="10.0"/>
      <color rgb="FF000000"/>
      <name val="Arial"/>
      <scheme val="minor"/>
    </font>
    <font>
      <sz val="10.0"/>
      <color rgb="FFFFFFFF"/>
      <name val="Roboto"/>
    </font>
    <font>
      <sz val="10.0"/>
      <color theme="1"/>
      <name val="Roboto"/>
    </font>
    <font>
      <sz val="10.0"/>
      <color rgb="FF333333"/>
      <name val="Roboto"/>
    </font>
    <font>
      <color theme="1"/>
      <name val="Arial"/>
      <scheme val="minor"/>
    </font>
    <font>
      <sz val="11.0"/>
      <color rgb="FF000000"/>
      <name val="Calibri"/>
    </font>
    <font>
      <sz val="6.0"/>
      <color theme="1"/>
      <name val="Arial"/>
      <scheme val="minor"/>
    </font>
    <font>
      <color rgb="FF434343"/>
      <name val="Roboto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6F8F9"/>
        <bgColor rgb="FFF6F8F9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284E3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284E3F"/>
      </right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000000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000000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000000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000000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</border>
    <border>
      <left style="thin">
        <color rgb="FFF6F8F9"/>
      </left>
      <right style="thin">
        <color rgb="FFF6F8F9"/>
      </right>
      <bottom style="thin">
        <color rgb="FFF6F8F9"/>
      </bottom>
    </border>
    <border>
      <right style="thin">
        <color rgb="FF000000"/>
      </right>
      <top style="thin">
        <color rgb="FF000000"/>
      </top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2" fontId="2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1" fillId="3" fontId="4" numFmtId="0" xfId="0" applyAlignment="1" applyBorder="1" applyFill="1" applyFont="1">
      <alignment readingOrder="0"/>
    </xf>
    <xf borderId="1" fillId="0" fontId="4" numFmtId="0" xfId="0" applyBorder="1" applyFont="1"/>
    <xf borderId="2" fillId="2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2" fillId="0" fontId="2" numFmtId="164" xfId="0" applyAlignment="1" applyBorder="1" applyFont="1" applyNumberForma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center" wrapText="0"/>
    </xf>
    <xf borderId="2" fillId="0" fontId="2" numFmtId="49" xfId="0" applyAlignment="1" applyBorder="1" applyFont="1" applyNumberFormat="1">
      <alignment shrinkToFit="0" vertical="center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5" numFmtId="0" xfId="0" applyAlignment="1" applyFont="1">
      <alignment horizontal="right" readingOrder="0" shrinkToFit="0" vertical="bottom" wrapText="0"/>
    </xf>
    <xf borderId="4" fillId="0" fontId="2" numFmtId="0" xfId="0" applyAlignment="1" applyBorder="1" applyFont="1">
      <alignment readingOrder="0" shrinkToFit="0" vertical="center" wrapText="0"/>
    </xf>
    <xf borderId="4" fillId="0" fontId="2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horizontal="right" readingOrder="0" shrinkToFit="0" vertical="bottom" wrapText="0"/>
    </xf>
    <xf borderId="4" fillId="0" fontId="2" numFmtId="164" xfId="0" applyAlignment="1" applyBorder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1" fillId="4" fontId="4" numFmtId="0" xfId="0" applyAlignment="1" applyBorder="1" applyFill="1" applyFont="1">
      <alignment readingOrder="0"/>
    </xf>
    <xf borderId="5" fillId="0" fontId="4" numFmtId="0" xfId="0" applyBorder="1" applyFont="1"/>
    <xf borderId="0" fillId="0" fontId="4" numFmtId="0" xfId="0" applyFont="1"/>
    <xf borderId="0" fillId="0" fontId="4" numFmtId="2" xfId="0" applyFont="1" applyNumberFormat="1"/>
    <xf borderId="1" fillId="5" fontId="4" numFmtId="0" xfId="0" applyAlignment="1" applyBorder="1" applyFill="1" applyFont="1">
      <alignment readingOrder="0"/>
    </xf>
    <xf borderId="1" fillId="0" fontId="4" numFmtId="164" xfId="0" applyBorder="1" applyFont="1" applyNumberFormat="1"/>
    <xf borderId="1" fillId="0" fontId="4" numFmtId="2" xfId="0" applyBorder="1" applyFont="1" applyNumberFormat="1"/>
    <xf borderId="0" fillId="0" fontId="4" numFmtId="165" xfId="0" applyAlignment="1" applyFont="1" applyNumberFormat="1">
      <alignment readingOrder="0" shrinkToFit="0" vertical="center" wrapText="0"/>
    </xf>
    <xf borderId="0" fillId="2" fontId="7" numFmtId="49" xfId="0" applyAlignment="1" applyFont="1" applyNumberFormat="1">
      <alignment readingOrder="0" shrinkToFit="0" vertical="center" wrapText="0"/>
    </xf>
    <xf borderId="0" fillId="2" fontId="7" numFmtId="164" xfId="0" applyAlignment="1" applyFont="1" applyNumberFormat="1">
      <alignment horizontal="right" readingOrder="0" shrinkToFit="0" vertical="center" wrapText="0"/>
    </xf>
    <xf borderId="0" fillId="2" fontId="7" numFmtId="0" xfId="0" applyAlignment="1" applyFont="1">
      <alignment horizontal="right" readingOrder="0" shrinkToFit="0" vertical="center" wrapText="0"/>
    </xf>
    <xf borderId="0" fillId="2" fontId="8" numFmtId="0" xfId="0" applyAlignment="1" applyFont="1">
      <alignment shrinkToFit="0" vertical="center" wrapText="0"/>
    </xf>
    <xf borderId="2" fillId="2" fontId="7" numFmtId="49" xfId="0" applyAlignment="1" applyBorder="1" applyFont="1" applyNumberFormat="1">
      <alignment readingOrder="0" shrinkToFit="0" vertical="center" wrapText="0"/>
    </xf>
    <xf borderId="2" fillId="2" fontId="7" numFmtId="164" xfId="0" applyAlignment="1" applyBorder="1" applyFont="1" applyNumberFormat="1">
      <alignment horizontal="right" readingOrder="0" shrinkToFit="0" vertical="center" wrapText="0"/>
    </xf>
    <xf borderId="2" fillId="2" fontId="7" numFmtId="0" xfId="0" applyAlignment="1" applyBorder="1" applyFont="1">
      <alignment readingOrder="0" shrinkToFit="0" vertical="center" wrapText="0"/>
    </xf>
    <xf borderId="2" fillId="2" fontId="7" numFmtId="0" xfId="0" applyAlignment="1" applyBorder="1" applyFont="1">
      <alignment horizontal="right" readingOrder="0" shrinkToFit="0" vertical="center" wrapText="0"/>
    </xf>
    <xf borderId="2" fillId="2" fontId="8" numFmtId="0" xfId="0" applyAlignment="1" applyBorder="1" applyFont="1">
      <alignment shrinkToFit="0" vertical="center" wrapText="0"/>
    </xf>
    <xf borderId="6" fillId="2" fontId="7" numFmtId="49" xfId="0" applyAlignment="1" applyBorder="1" applyFont="1" applyNumberFormat="1">
      <alignment shrinkToFit="0" vertical="center" wrapText="0"/>
    </xf>
    <xf borderId="7" fillId="2" fontId="7" numFmtId="164" xfId="0" applyAlignment="1" applyBorder="1" applyFont="1" applyNumberFormat="1">
      <alignment horizontal="right" shrinkToFit="0" vertical="center" wrapText="0"/>
    </xf>
    <xf borderId="7" fillId="2" fontId="7" numFmtId="0" xfId="0" applyAlignment="1" applyBorder="1" applyFont="1">
      <alignment shrinkToFit="0" vertical="center" wrapText="0"/>
    </xf>
    <xf borderId="7" fillId="2" fontId="7" numFmtId="0" xfId="0" applyAlignment="1" applyBorder="1" applyFont="1">
      <alignment horizontal="right" shrinkToFit="0" vertical="center" wrapText="0"/>
    </xf>
    <xf borderId="8" fillId="2" fontId="8" numFmtId="0" xfId="0" applyAlignment="1" applyBorder="1" applyFont="1">
      <alignment shrinkToFit="0" vertical="center" wrapText="0"/>
    </xf>
    <xf borderId="9" fillId="6" fontId="7" numFmtId="49" xfId="0" applyAlignment="1" applyBorder="1" applyFill="1" applyFont="1" applyNumberFormat="1">
      <alignment shrinkToFit="0" vertical="center" wrapText="0"/>
    </xf>
    <xf borderId="10" fillId="6" fontId="7" numFmtId="164" xfId="0" applyAlignment="1" applyBorder="1" applyFont="1" applyNumberFormat="1">
      <alignment horizontal="right" shrinkToFit="0" vertical="center" wrapText="0"/>
    </xf>
    <xf borderId="10" fillId="6" fontId="7" numFmtId="0" xfId="0" applyAlignment="1" applyBorder="1" applyFont="1">
      <alignment shrinkToFit="0" vertical="center" wrapText="0"/>
    </xf>
    <xf borderId="10" fillId="6" fontId="7" numFmtId="0" xfId="0" applyAlignment="1" applyBorder="1" applyFont="1">
      <alignment horizontal="right" shrinkToFit="0" vertical="center" wrapText="0"/>
    </xf>
    <xf borderId="11" fillId="6" fontId="8" numFmtId="0" xfId="0" applyAlignment="1" applyBorder="1" applyFont="1">
      <alignment shrinkToFit="0" vertical="center" wrapText="0"/>
    </xf>
    <xf borderId="0" fillId="6" fontId="8" numFmtId="0" xfId="0" applyAlignment="1" applyFont="1">
      <alignment shrinkToFit="0" vertical="center" wrapText="0"/>
    </xf>
    <xf borderId="12" fillId="2" fontId="7" numFmtId="49" xfId="0" applyAlignment="1" applyBorder="1" applyFont="1" applyNumberFormat="1">
      <alignment shrinkToFit="0" vertical="center" wrapText="0"/>
    </xf>
    <xf borderId="13" fillId="2" fontId="7" numFmtId="164" xfId="0" applyAlignment="1" applyBorder="1" applyFont="1" applyNumberFormat="1">
      <alignment horizontal="right" shrinkToFit="0" vertical="center" wrapText="0"/>
    </xf>
    <xf borderId="13" fillId="2" fontId="7" numFmtId="0" xfId="0" applyAlignment="1" applyBorder="1" applyFont="1">
      <alignment shrinkToFit="0" vertical="center" wrapText="0"/>
    </xf>
    <xf borderId="13" fillId="2" fontId="7" numFmtId="0" xfId="0" applyAlignment="1" applyBorder="1" applyFont="1">
      <alignment horizontal="right" shrinkToFit="0" vertical="center" wrapText="0"/>
    </xf>
    <xf borderId="14" fillId="2" fontId="8" numFmtId="0" xfId="0" applyAlignment="1" applyBorder="1" applyFont="1">
      <alignment shrinkToFit="0" vertical="center" wrapText="0"/>
    </xf>
    <xf borderId="15" fillId="2" fontId="7" numFmtId="49" xfId="0" applyAlignment="1" applyBorder="1" applyFont="1" applyNumberFormat="1">
      <alignment shrinkToFit="0" vertical="center" wrapText="0"/>
    </xf>
    <xf borderId="16" fillId="2" fontId="7" numFmtId="164" xfId="0" applyAlignment="1" applyBorder="1" applyFont="1" applyNumberFormat="1">
      <alignment horizontal="right" shrinkToFit="0" vertical="center" wrapText="0"/>
    </xf>
    <xf borderId="16" fillId="2" fontId="7" numFmtId="0" xfId="0" applyAlignment="1" applyBorder="1" applyFont="1">
      <alignment shrinkToFit="0" vertical="center" wrapText="0"/>
    </xf>
    <xf borderId="16" fillId="2" fontId="7" numFmtId="0" xfId="0" applyAlignment="1" applyBorder="1" applyFont="1">
      <alignment horizontal="right" shrinkToFit="0" vertical="center" wrapText="0"/>
    </xf>
    <xf borderId="17" fillId="2" fontId="8" numFmtId="0" xfId="0" applyAlignment="1" applyBorder="1" applyFont="1">
      <alignment shrinkToFit="0" vertical="center" wrapText="0"/>
    </xf>
    <xf borderId="18" fillId="6" fontId="7" numFmtId="49" xfId="0" applyAlignment="1" applyBorder="1" applyFont="1" applyNumberFormat="1">
      <alignment shrinkToFit="0" vertical="center" wrapText="0"/>
    </xf>
    <xf borderId="19" fillId="6" fontId="7" numFmtId="164" xfId="0" applyAlignment="1" applyBorder="1" applyFont="1" applyNumberFormat="1">
      <alignment horizontal="right" shrinkToFit="0" vertical="center" wrapText="0"/>
    </xf>
    <xf borderId="19" fillId="6" fontId="7" numFmtId="0" xfId="0" applyAlignment="1" applyBorder="1" applyFont="1">
      <alignment shrinkToFit="0" vertical="center" wrapText="0"/>
    </xf>
    <xf borderId="19" fillId="6" fontId="7" numFmtId="0" xfId="0" applyAlignment="1" applyBorder="1" applyFont="1">
      <alignment horizontal="right" shrinkToFit="0" vertical="center" wrapText="0"/>
    </xf>
    <xf borderId="20" fillId="6" fontId="8" numFmtId="0" xfId="0" applyAlignment="1" applyBorder="1" applyFont="1">
      <alignment shrinkToFit="0" vertical="center" wrapText="0"/>
    </xf>
    <xf borderId="11" fillId="6" fontId="8" numFmtId="0" xfId="0" applyAlignment="1" applyBorder="1" applyFont="1">
      <alignment readingOrder="0" shrinkToFit="0" vertical="center" wrapText="0"/>
    </xf>
    <xf borderId="0" fillId="6" fontId="8" numFmtId="0" xfId="0" applyAlignment="1" applyFont="1">
      <alignment readingOrder="0" shrinkToFit="0" vertical="center" wrapText="0"/>
    </xf>
    <xf borderId="13" fillId="2" fontId="7" numFmtId="164" xfId="0" applyAlignment="1" applyBorder="1" applyFont="1" applyNumberFormat="1">
      <alignment horizontal="right" readingOrder="0" shrinkToFit="0" vertical="center" wrapText="0"/>
    </xf>
    <xf borderId="10" fillId="6" fontId="7" numFmtId="164" xfId="0" applyAlignment="1" applyBorder="1" applyFont="1" applyNumberFormat="1">
      <alignment horizontal="right" readingOrder="0" shrinkToFit="0" vertical="center" wrapText="0"/>
    </xf>
    <xf borderId="21" fillId="2" fontId="7" numFmtId="49" xfId="0" applyAlignment="1" applyBorder="1" applyFont="1" applyNumberFormat="1">
      <alignment shrinkToFit="0" vertical="center" wrapText="0"/>
    </xf>
    <xf borderId="22" fillId="2" fontId="7" numFmtId="164" xfId="0" applyAlignment="1" applyBorder="1" applyFont="1" applyNumberFormat="1">
      <alignment horizontal="right" shrinkToFit="0" vertical="center" wrapText="0"/>
    </xf>
    <xf borderId="23" fillId="2" fontId="7" numFmtId="0" xfId="0" applyAlignment="1" applyBorder="1" applyFont="1">
      <alignment shrinkToFit="0" vertical="center" wrapText="0"/>
    </xf>
    <xf borderId="22" fillId="2" fontId="7" numFmtId="0" xfId="0" applyAlignment="1" applyBorder="1" applyFont="1">
      <alignment horizontal="right" shrinkToFit="0" vertical="center" wrapText="0"/>
    </xf>
    <xf borderId="24" fillId="2" fontId="8" numFmtId="0" xfId="0" applyAlignment="1" applyBorder="1" applyFont="1">
      <alignment readingOrder="0" shrinkToFit="0" vertical="center" wrapText="0"/>
    </xf>
    <xf borderId="0" fillId="2" fontId="8" numFmtId="0" xfId="0" applyAlignment="1" applyFont="1">
      <alignment readingOrder="0" shrinkToFit="0" vertical="center" wrapText="0"/>
    </xf>
    <xf borderId="4" fillId="6" fontId="7" numFmtId="49" xfId="0" applyAlignment="1" applyBorder="1" applyFont="1" applyNumberFormat="1">
      <alignment readingOrder="0" shrinkToFit="0" vertical="center" wrapText="0"/>
    </xf>
    <xf borderId="4" fillId="6" fontId="7" numFmtId="164" xfId="0" applyAlignment="1" applyBorder="1" applyFont="1" applyNumberFormat="1">
      <alignment horizontal="right" readingOrder="0" shrinkToFit="0" vertical="center" wrapText="0"/>
    </xf>
    <xf borderId="25" fillId="6" fontId="7" numFmtId="0" xfId="0" applyAlignment="1" applyBorder="1" applyFont="1">
      <alignment shrinkToFit="0" vertical="center" wrapText="0"/>
    </xf>
    <xf borderId="4" fillId="6" fontId="7" numFmtId="0" xfId="0" applyAlignment="1" applyBorder="1" applyFont="1">
      <alignment horizontal="right" readingOrder="0" shrinkToFit="0" vertical="center" wrapText="0"/>
    </xf>
    <xf borderId="26" fillId="6" fontId="8" numFmtId="0" xfId="0" applyAlignment="1" applyBorder="1" applyFont="1">
      <alignment shrinkToFit="0" vertical="center" wrapText="0"/>
    </xf>
    <xf borderId="0" fillId="6" fontId="7" numFmtId="164" xfId="0" applyAlignment="1" applyFont="1" applyNumberFormat="1">
      <alignment horizontal="right" readingOrder="0" shrinkToFit="0" vertical="center" wrapText="0"/>
    </xf>
    <xf borderId="3" fillId="2" fontId="8" numFmtId="0" xfId="0" applyAlignment="1" applyBorder="1" applyFont="1">
      <alignment shrinkToFit="0" vertical="center" wrapText="0"/>
    </xf>
    <xf borderId="0" fillId="6" fontId="7" numFmtId="49" xfId="0" applyAlignment="1" applyFont="1" applyNumberFormat="1">
      <alignment readingOrder="0" shrinkToFit="0" vertical="center" wrapText="0"/>
    </xf>
    <xf borderId="0" fillId="6" fontId="7" numFmtId="0" xfId="0" applyAlignment="1" applyFont="1">
      <alignment horizontal="right" readingOrder="0" shrinkToFit="0" vertical="center" wrapText="0"/>
    </xf>
    <xf borderId="3" fillId="6" fontId="8" numFmtId="0" xfId="0" applyAlignment="1" applyBorder="1" applyFont="1">
      <alignment shrinkToFit="0" vertical="center" wrapText="0"/>
    </xf>
    <xf borderId="2" fillId="6" fontId="7" numFmtId="49" xfId="0" applyAlignment="1" applyBorder="1" applyFont="1" applyNumberFormat="1">
      <alignment readingOrder="0" shrinkToFit="0" vertical="center" wrapText="0"/>
    </xf>
    <xf borderId="2" fillId="6" fontId="7" numFmtId="164" xfId="0" applyAlignment="1" applyBorder="1" applyFont="1" applyNumberFormat="1">
      <alignment horizontal="right" readingOrder="0" shrinkToFit="0" vertical="center" wrapText="0"/>
    </xf>
    <xf borderId="27" fillId="6" fontId="7" numFmtId="0" xfId="0" applyAlignment="1" applyBorder="1" applyFont="1">
      <alignment shrinkToFit="0" vertical="center" wrapText="0"/>
    </xf>
    <xf borderId="2" fillId="6" fontId="7" numFmtId="0" xfId="0" applyAlignment="1" applyBorder="1" applyFont="1">
      <alignment horizontal="right" readingOrder="0" shrinkToFit="0" vertical="center" wrapText="0"/>
    </xf>
    <xf borderId="28" fillId="6" fontId="8" numFmtId="0" xfId="0" applyAlignment="1" applyBorder="1" applyFont="1">
      <alignment shrinkToFit="0" vertical="center" wrapText="0"/>
    </xf>
    <xf borderId="2" fillId="6" fontId="8" numFmtId="0" xfId="0" applyAlignment="1" applyBorder="1" applyFont="1">
      <alignment shrinkToFit="0" vertical="center" wrapText="0"/>
    </xf>
    <xf borderId="0" fillId="6" fontId="7" numFmtId="0" xfId="0" applyAlignment="1" applyFont="1">
      <alignment readingOrder="0" shrinkToFit="0" vertical="center" wrapText="0"/>
    </xf>
    <xf borderId="0" fillId="2" fontId="7" numFmtId="0" xfId="0" applyAlignment="1" applyFont="1">
      <alignment readingOrder="0" shrinkToFit="0" vertical="center" wrapText="0"/>
    </xf>
    <xf borderId="3" fillId="0" fontId="4" numFmtId="0" xfId="0" applyAlignment="1" applyBorder="1" applyFont="1">
      <alignment shrinkToFit="0" vertical="center" wrapText="0"/>
    </xf>
    <xf borderId="29" fillId="6" fontId="7" numFmtId="0" xfId="0" applyAlignment="1" applyBorder="1" applyFont="1">
      <alignment shrinkToFit="0" vertical="center" wrapText="0"/>
    </xf>
    <xf borderId="0" fillId="6" fontId="7" numFmtId="0" xfId="0" applyAlignment="1" applyFont="1">
      <alignment shrinkToFit="0" vertical="center" wrapText="0"/>
    </xf>
    <xf borderId="2" fillId="0" fontId="4" numFmtId="49" xfId="0" applyAlignment="1" applyBorder="1" applyFont="1" applyNumberFormat="1">
      <alignment readingOrder="0" shrinkToFit="0" vertical="center" wrapText="0"/>
    </xf>
    <xf borderId="2" fillId="0" fontId="4" numFmtId="164" xfId="0" applyAlignment="1" applyBorder="1" applyFont="1" applyNumberFormat="1">
      <alignment readingOrder="0" shrinkToFit="0" vertical="center" wrapText="0"/>
    </xf>
    <xf borderId="2" fillId="0" fontId="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readingOrder="0" shrinkToFit="0" vertical="center" wrapText="0"/>
    </xf>
    <xf borderId="28" fillId="0" fontId="4" numFmtId="0" xfId="0" applyAlignment="1" applyBorder="1" applyFont="1">
      <alignment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2" fontId="7" numFmtId="49" xfId="0" applyAlignment="1" applyFont="1" applyNumberFormat="1">
      <alignment shrinkToFit="0" vertical="center" wrapText="0"/>
    </xf>
    <xf borderId="0" fillId="2" fontId="7" numFmtId="164" xfId="0" applyAlignment="1" applyFont="1" applyNumberFormat="1">
      <alignment horizontal="right" shrinkToFit="0" vertical="center" wrapText="0"/>
    </xf>
    <xf borderId="0" fillId="2" fontId="7" numFmtId="0" xfId="0" applyAlignment="1" applyFont="1">
      <alignment shrinkToFit="0" vertical="center" wrapText="0"/>
    </xf>
    <xf borderId="0" fillId="2" fontId="7" numFmtId="0" xfId="0" applyAlignment="1" applyFont="1">
      <alignment horizontal="right" shrinkToFit="0" vertical="center" wrapText="0"/>
    </xf>
    <xf borderId="0" fillId="6" fontId="7" numFmtId="49" xfId="0" applyAlignment="1" applyFont="1" applyNumberFormat="1">
      <alignment shrinkToFit="0" vertical="center" wrapText="0"/>
    </xf>
    <xf borderId="0" fillId="6" fontId="7" numFmtId="164" xfId="0" applyAlignment="1" applyFont="1" applyNumberFormat="1">
      <alignment horizontal="right" shrinkToFit="0" vertical="center" wrapText="0"/>
    </xf>
    <xf borderId="0" fillId="6" fontId="7" numFmtId="0" xfId="0" applyAlignment="1" applyFont="1">
      <alignment horizontal="right" shrinkToFit="0" vertical="center" wrapText="0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  <tableStyles count="3">
    <tableStyle count="4" pivot="0" name="OpticalCapableSatelli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rlink Launch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o Launch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7855" displayName="SatelliteNumber_NORAD_ID_Catalogue" name="SatelliteNumber_NORAD_ID_Catalogue" id="1">
  <autoFilter ref="$A$1:$G$7855">
    <filterColumn colId="6">
      <filters>
        <filter val="ACTIVE"/>
      </filters>
    </filterColumn>
  </autoFilter>
  <tableColumns count="7">
    <tableColumn name="Constellation Name" id="1"/>
    <tableColumn name="Operator" id="2"/>
    <tableColumn name="Satellite Name" id="3"/>
    <tableColumn name="NORAD ID" id="4"/>
    <tableColumn name="Launch Date" id="5"/>
    <tableColumn name="Decay Date" id="6"/>
    <tableColumn name="Status" id="7"/>
  </tableColumns>
  <tableStyleInfo name="OpticalCapableSatellites-style" showColumnStripes="0" showFirstColumn="1" showLastColumn="1" showRowStripes="1"/>
</table>
</file>

<file path=xl/tables/table2.xml><?xml version="1.0" encoding="utf-8"?>
<table xmlns="http://schemas.openxmlformats.org/spreadsheetml/2006/main" ref="A1:G315" displayName="Starlink_Launches" name="Starlink_Launches" id="2">
  <autoFilter ref="$A$1:$G$315"/>
  <tableColumns count="7">
    <tableColumn name="Group" id="1"/>
    <tableColumn name="Launch Date" id="2"/>
    <tableColumn name="Version" id="3"/>
    <tableColumn name="Deployed" id="4"/>
    <tableColumn name="Working" id="5"/>
    <tableColumn name="Note" id="6"/>
    <tableColumn name="Decayed Satellites" id="7"/>
  </tableColumns>
  <tableStyleInfo name="Starlink Launches-style" showColumnStripes="0" showFirstColumn="1" showLastColumn="1" showRowStripes="1"/>
</table>
</file>

<file path=xl/tables/table3.xml><?xml version="1.0" encoding="utf-8"?>
<table xmlns="http://schemas.openxmlformats.org/spreadsheetml/2006/main" ref="A1:G314" displayName="Leo_Launches" name="Leo_Launches" id="3">
  <tableColumns count="7">
    <tableColumn name="Group" id="1"/>
    <tableColumn name="Launch Date" id="2"/>
    <tableColumn name="Version" id="3"/>
    <tableColumn name="Deployed" id="4"/>
    <tableColumn name="Working" id="5"/>
    <tableColumn name="Note" id="6"/>
    <tableColumn name="Decayed Satellites" id="7"/>
  </tableColumns>
  <tableStyleInfo name="Leo Launch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2" width="22.63"/>
    <col customWidth="1" min="3" max="3" width="19.38"/>
    <col customWidth="1" min="4" max="4" width="12.13"/>
    <col customWidth="1" min="5" max="5" width="14.25"/>
    <col customWidth="1" hidden="1" min="6" max="6" width="22.63"/>
    <col customWidth="1" min="7" max="7" width="22.63"/>
    <col customWidth="1" min="9" max="9" width="2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3" t="s">
        <v>9</v>
      </c>
      <c r="D2" s="3">
        <v>67379.0</v>
      </c>
      <c r="E2" s="4">
        <v>46033.0</v>
      </c>
      <c r="F2" s="4" t="str">
        <f>IF(D2="","", IFNA(VLOOKUP(D2, SATCAT_DECAY!A:B, 2, FALSE), ""))
</f>
        <v/>
      </c>
      <c r="G2" s="3" t="str">
        <f t="shared" ref="G2:G5972" si="1">IF(D2="","", IF(F2&lt;&gt;"","DECAYED","ACTIVE"))</f>
        <v>ACTIVE</v>
      </c>
    </row>
    <row r="3" ht="22.5" customHeight="1">
      <c r="A3" s="2" t="s">
        <v>7</v>
      </c>
      <c r="B3" s="3" t="s">
        <v>8</v>
      </c>
      <c r="C3" s="3" t="s">
        <v>10</v>
      </c>
      <c r="D3" s="5">
        <v>67383.0</v>
      </c>
      <c r="E3" s="4">
        <v>46033.0</v>
      </c>
      <c r="F3" s="4" t="str">
        <f>IF(D3="","", IFNA(VLOOKUP(D3, SATCAT_DECAY!A:B, 2, FALSE), ""))
</f>
        <v/>
      </c>
      <c r="G3" s="3" t="str">
        <f t="shared" si="1"/>
        <v>ACTIVE</v>
      </c>
      <c r="I3" s="6" t="s">
        <v>11</v>
      </c>
      <c r="J3" s="7">
        <f>COUNTA(D:D)</f>
        <v>6156</v>
      </c>
    </row>
    <row r="4" ht="22.5" customHeight="1">
      <c r="A4" s="2" t="s">
        <v>7</v>
      </c>
      <c r="B4" s="3" t="s">
        <v>8</v>
      </c>
      <c r="C4" s="3" t="s">
        <v>12</v>
      </c>
      <c r="D4" s="3">
        <v>67382.0</v>
      </c>
      <c r="E4" s="4">
        <v>46033.0</v>
      </c>
      <c r="F4" s="4" t="str">
        <f>IF(D4="","", IFNA(VLOOKUP(D4, SATCAT_DECAY!A:B, 2, FALSE), ""))
</f>
        <v/>
      </c>
      <c r="G4" s="3" t="str">
        <f t="shared" si="1"/>
        <v>ACTIVE</v>
      </c>
      <c r="I4" s="6" t="s">
        <v>13</v>
      </c>
      <c r="J4" s="7">
        <f>COUNTIF(B:B,"Kepler Communications")</f>
        <v>12</v>
      </c>
    </row>
    <row r="5" ht="22.5" customHeight="1">
      <c r="A5" s="2" t="s">
        <v>7</v>
      </c>
      <c r="B5" s="3" t="s">
        <v>8</v>
      </c>
      <c r="C5" s="3" t="s">
        <v>14</v>
      </c>
      <c r="D5" s="3">
        <v>67376.0</v>
      </c>
      <c r="E5" s="4">
        <v>46033.0</v>
      </c>
      <c r="F5" s="4" t="str">
        <f>IF(D5="","", IFNA(VLOOKUP(D5, SATCAT_DECAY!A:B, 2, FALSE), ""))
</f>
        <v/>
      </c>
      <c r="G5" s="3" t="str">
        <f t="shared" si="1"/>
        <v>ACTIVE</v>
      </c>
      <c r="I5" s="6" t="s">
        <v>15</v>
      </c>
      <c r="J5" s="7">
        <f>COUNTIF(B:B,"SpaceX v2 mini")</f>
        <v>5890</v>
      </c>
    </row>
    <row r="6" ht="22.5" customHeight="1">
      <c r="A6" s="2" t="s">
        <v>7</v>
      </c>
      <c r="B6" s="3" t="s">
        <v>8</v>
      </c>
      <c r="C6" s="3" t="s">
        <v>16</v>
      </c>
      <c r="D6" s="3">
        <v>67380.0</v>
      </c>
      <c r="E6" s="4">
        <v>46033.0</v>
      </c>
      <c r="F6" s="4" t="str">
        <f>IF(D6="","", IFNA(VLOOKUP(D6, SATCAT_DECAY!A:B, 2, FALSE), ""))
</f>
        <v/>
      </c>
      <c r="G6" s="3" t="str">
        <f t="shared" si="1"/>
        <v>ACTIVE</v>
      </c>
      <c r="I6" s="6" t="s">
        <v>17</v>
      </c>
      <c r="J6" s="7">
        <f>COUNTIF(B:B,"Space Development Agency")</f>
        <v>69</v>
      </c>
    </row>
    <row r="7" ht="22.5" customHeight="1">
      <c r="A7" s="2" t="s">
        <v>7</v>
      </c>
      <c r="B7" s="3" t="s">
        <v>8</v>
      </c>
      <c r="C7" s="3" t="s">
        <v>18</v>
      </c>
      <c r="D7" s="3">
        <v>67377.0</v>
      </c>
      <c r="E7" s="4">
        <v>46033.0</v>
      </c>
      <c r="F7" s="4" t="str">
        <f>IF(D7="","", IFNA(VLOOKUP(D7, SATCAT_DECAY!A:B, 2, FALSE), ""))
</f>
        <v/>
      </c>
      <c r="G7" s="3" t="str">
        <f t="shared" si="1"/>
        <v>ACTIVE</v>
      </c>
    </row>
    <row r="8" ht="22.5" customHeight="1">
      <c r="A8" s="2" t="s">
        <v>7</v>
      </c>
      <c r="B8" s="3" t="s">
        <v>8</v>
      </c>
      <c r="C8" s="3" t="s">
        <v>19</v>
      </c>
      <c r="D8" s="3">
        <v>67375.0</v>
      </c>
      <c r="E8" s="4">
        <v>46033.0</v>
      </c>
      <c r="F8" s="4" t="str">
        <f>IF(D8="","", IFNA(VLOOKUP(D8, SATCAT_DECAY!A:B, 2, FALSE), ""))
</f>
        <v/>
      </c>
      <c r="G8" s="3" t="str">
        <f t="shared" si="1"/>
        <v>ACTIVE</v>
      </c>
    </row>
    <row r="9" ht="22.5" customHeight="1">
      <c r="A9" s="2" t="s">
        <v>7</v>
      </c>
      <c r="B9" s="3" t="s">
        <v>8</v>
      </c>
      <c r="C9" s="3" t="s">
        <v>20</v>
      </c>
      <c r="D9" s="3">
        <v>67374.0</v>
      </c>
      <c r="E9" s="4">
        <v>46033.0</v>
      </c>
      <c r="F9" s="4" t="str">
        <f>IF(D9="","", IFNA(VLOOKUP(D9, SATCAT_DECAY!A:B, 2, FALSE), ""))
</f>
        <v/>
      </c>
      <c r="G9" s="3" t="str">
        <f t="shared" si="1"/>
        <v>ACTIVE</v>
      </c>
    </row>
    <row r="10" ht="22.5" customHeight="1">
      <c r="A10" s="2" t="s">
        <v>7</v>
      </c>
      <c r="B10" s="3" t="s">
        <v>8</v>
      </c>
      <c r="C10" s="3" t="s">
        <v>21</v>
      </c>
      <c r="D10" s="3">
        <v>67378.0</v>
      </c>
      <c r="E10" s="4">
        <v>46033.0</v>
      </c>
      <c r="F10" s="4" t="str">
        <f>IF(D10="","", IFNA(VLOOKUP(D10, SATCAT_DECAY!A:B, 2, FALSE), ""))
</f>
        <v/>
      </c>
      <c r="G10" s="3" t="str">
        <f t="shared" si="1"/>
        <v>ACTIVE</v>
      </c>
    </row>
    <row r="11" ht="22.5" customHeight="1">
      <c r="A11" s="2" t="s">
        <v>7</v>
      </c>
      <c r="B11" s="3" t="s">
        <v>8</v>
      </c>
      <c r="C11" s="3" t="s">
        <v>22</v>
      </c>
      <c r="D11" s="3">
        <v>67381.0</v>
      </c>
      <c r="E11" s="4">
        <v>46033.0</v>
      </c>
      <c r="F11" s="4" t="str">
        <f>IF(D11="","", IFNA(VLOOKUP(D11, SATCAT_DECAY!A:B, 2, FALSE), ""))
</f>
        <v/>
      </c>
      <c r="G11" s="3" t="str">
        <f t="shared" si="1"/>
        <v>ACTIVE</v>
      </c>
    </row>
    <row r="12" ht="22.5" customHeight="1">
      <c r="A12" s="2" t="s">
        <v>7</v>
      </c>
      <c r="B12" s="3" t="s">
        <v>8</v>
      </c>
      <c r="C12" s="3" t="s">
        <v>23</v>
      </c>
      <c r="D12" s="3">
        <v>58281.0</v>
      </c>
      <c r="E12" s="4">
        <v>45241.0</v>
      </c>
      <c r="F12" s="4" t="str">
        <f>IF(D12="","", IFNA(VLOOKUP(D12, SATCAT_DECAY!A:B, 2, FALSE), ""))
</f>
        <v/>
      </c>
      <c r="G12" s="3" t="str">
        <f t="shared" si="1"/>
        <v>ACTIVE</v>
      </c>
    </row>
    <row r="13" ht="22.5" customHeight="1">
      <c r="A13" s="8" t="s">
        <v>7</v>
      </c>
      <c r="B13" s="9" t="s">
        <v>8</v>
      </c>
      <c r="C13" s="9" t="s">
        <v>24</v>
      </c>
      <c r="D13" s="9">
        <v>58299.0</v>
      </c>
      <c r="E13" s="10">
        <v>45241.0</v>
      </c>
      <c r="F13" s="4" t="str">
        <f>IF(D13="","", IFNA(VLOOKUP(D13, SATCAT_DECAY!A:B, 2, FALSE), ""))
</f>
        <v/>
      </c>
      <c r="G13" s="9" t="str">
        <f t="shared" si="1"/>
        <v>ACTIVE</v>
      </c>
    </row>
    <row r="14" ht="22.5" hidden="1" customHeight="1">
      <c r="A14" s="11" t="str">
        <f t="array" ref="A14">IFERROR(
  INDEX('Starlink Launches'!$A:$A, MATCH($E14, 'Starlink Launches'!$B:$B, 0)),
  ""
)
</f>
        <v>6-2</v>
      </c>
      <c r="B14" s="3" t="s">
        <v>25</v>
      </c>
      <c r="C14" s="12" t="s">
        <v>26</v>
      </c>
      <c r="D14" s="13">
        <v>56286.0</v>
      </c>
      <c r="E14" s="4">
        <v>45035.0</v>
      </c>
      <c r="F14" s="4">
        <f>IF(D14="","", IFNA(VLOOKUP(D14, SATCAT_DECAY!A:B, 2, FALSE), ""))
</f>
        <v>45057</v>
      </c>
      <c r="G14" s="3" t="str">
        <f t="shared" si="1"/>
        <v>DECAYED</v>
      </c>
    </row>
    <row r="15" ht="22.5" customHeight="1">
      <c r="A15" s="11" t="str">
        <f t="array" ref="A15">IFERROR(
  INDEX('Starlink Launches'!$A:$A, MATCH($E15, 'Starlink Launches'!$B:$B, 0)),
  ""
)
</f>
        <v>6-2</v>
      </c>
      <c r="B15" s="3" t="s">
        <v>25</v>
      </c>
      <c r="C15" s="12" t="s">
        <v>27</v>
      </c>
      <c r="D15" s="13">
        <v>56287.0</v>
      </c>
      <c r="E15" s="4">
        <v>45035.0</v>
      </c>
      <c r="F15" s="4" t="str">
        <f>IF(D15="","", IFNA(VLOOKUP(D15, SATCAT_DECAY!A:B, 2, FALSE), ""))
</f>
        <v/>
      </c>
      <c r="G15" s="3" t="str">
        <f t="shared" si="1"/>
        <v>ACTIVE</v>
      </c>
    </row>
    <row r="16" ht="22.5" customHeight="1">
      <c r="A16" s="11" t="str">
        <f t="array" ref="A16">IFERROR(
  INDEX('Starlink Launches'!$A:$A, MATCH($E16, 'Starlink Launches'!$B:$B, 0)),
  ""
)
</f>
        <v>6-2</v>
      </c>
      <c r="B16" s="3" t="s">
        <v>25</v>
      </c>
      <c r="C16" s="12" t="s">
        <v>28</v>
      </c>
      <c r="D16" s="13">
        <v>56288.0</v>
      </c>
      <c r="E16" s="4">
        <v>45035.0</v>
      </c>
      <c r="F16" s="4" t="str">
        <f>IF(D16="","", IFNA(VLOOKUP(D16, SATCAT_DECAY!A:B, 2, FALSE), ""))
</f>
        <v/>
      </c>
      <c r="G16" s="3" t="str">
        <f t="shared" si="1"/>
        <v>ACTIVE</v>
      </c>
    </row>
    <row r="17" ht="22.5" customHeight="1">
      <c r="A17" s="11" t="str">
        <f t="array" ref="A17">IFERROR(
  INDEX('Starlink Launches'!$A:$A, MATCH($E17, 'Starlink Launches'!$B:$B, 0)),
  ""
)
</f>
        <v>6-2</v>
      </c>
      <c r="B17" s="3" t="s">
        <v>25</v>
      </c>
      <c r="C17" s="12" t="s">
        <v>29</v>
      </c>
      <c r="D17" s="13">
        <v>56289.0</v>
      </c>
      <c r="E17" s="4">
        <v>45035.0</v>
      </c>
      <c r="F17" s="4" t="str">
        <f>IF(D17="","", IFNA(VLOOKUP(D17, SATCAT_DECAY!A:B, 2, FALSE), ""))
</f>
        <v/>
      </c>
      <c r="G17" s="3" t="str">
        <f t="shared" si="1"/>
        <v>ACTIVE</v>
      </c>
    </row>
    <row r="18" ht="22.5" customHeight="1">
      <c r="A18" s="11" t="str">
        <f t="array" ref="A18">IFERROR(
  INDEX('Starlink Launches'!$A:$A, MATCH($E18, 'Starlink Launches'!$B:$B, 0)),
  ""
)
</f>
        <v>6-2</v>
      </c>
      <c r="B18" s="3" t="s">
        <v>25</v>
      </c>
      <c r="C18" s="12" t="s">
        <v>30</v>
      </c>
      <c r="D18" s="13">
        <v>56290.0</v>
      </c>
      <c r="E18" s="4">
        <v>45035.0</v>
      </c>
      <c r="F18" s="4" t="str">
        <f>IF(D18="","", IFNA(VLOOKUP(D18, SATCAT_DECAY!A:B, 2, FALSE), ""))
</f>
        <v/>
      </c>
      <c r="G18" s="3" t="str">
        <f t="shared" si="1"/>
        <v>ACTIVE</v>
      </c>
    </row>
    <row r="19" ht="22.5" customHeight="1">
      <c r="A19" s="11" t="str">
        <f t="array" ref="A19">IFERROR(
  INDEX('Starlink Launches'!$A:$A, MATCH($E19, 'Starlink Launches'!$B:$B, 0)),
  ""
)
</f>
        <v>6-2</v>
      </c>
      <c r="B19" s="3" t="s">
        <v>25</v>
      </c>
      <c r="C19" s="12" t="s">
        <v>31</v>
      </c>
      <c r="D19" s="13">
        <v>56291.0</v>
      </c>
      <c r="E19" s="4">
        <v>45035.0</v>
      </c>
      <c r="F19" s="4" t="str">
        <f>IF(D19="","", IFNA(VLOOKUP(D19, SATCAT_DECAY!A:B, 2, FALSE), ""))
</f>
        <v/>
      </c>
      <c r="G19" s="3" t="str">
        <f t="shared" si="1"/>
        <v>ACTIVE</v>
      </c>
    </row>
    <row r="20" ht="22.5" customHeight="1">
      <c r="A20" s="11" t="str">
        <f t="array" ref="A20">IFERROR(
  INDEX('Starlink Launches'!$A:$A, MATCH($E20, 'Starlink Launches'!$B:$B, 0)),
  ""
)
</f>
        <v>6-2</v>
      </c>
      <c r="B20" s="3" t="s">
        <v>25</v>
      </c>
      <c r="C20" s="12" t="s">
        <v>32</v>
      </c>
      <c r="D20" s="13">
        <v>56292.0</v>
      </c>
      <c r="E20" s="4">
        <v>45035.0</v>
      </c>
      <c r="F20" s="4" t="str">
        <f>IF(D20="","", IFNA(VLOOKUP(D20, SATCAT_DECAY!A:B, 2, FALSE), ""))
</f>
        <v/>
      </c>
      <c r="G20" s="3" t="str">
        <f t="shared" si="1"/>
        <v>ACTIVE</v>
      </c>
    </row>
    <row r="21" ht="22.5" customHeight="1">
      <c r="A21" s="11" t="str">
        <f t="array" ref="A21">IFERROR(
  INDEX('Starlink Launches'!$A:$A, MATCH($E21, 'Starlink Launches'!$B:$B, 0)),
  ""
)
</f>
        <v>6-2</v>
      </c>
      <c r="B21" s="3" t="s">
        <v>25</v>
      </c>
      <c r="C21" s="12" t="s">
        <v>33</v>
      </c>
      <c r="D21" s="13">
        <v>56293.0</v>
      </c>
      <c r="E21" s="4">
        <v>45035.0</v>
      </c>
      <c r="F21" s="4" t="str">
        <f>IF(D21="","", IFNA(VLOOKUP(D21, SATCAT_DECAY!A:B, 2, FALSE), ""))
</f>
        <v/>
      </c>
      <c r="G21" s="3" t="str">
        <f t="shared" si="1"/>
        <v>ACTIVE</v>
      </c>
    </row>
    <row r="22" ht="22.5" customHeight="1">
      <c r="A22" s="11" t="str">
        <f t="array" ref="A22">IFERROR(
  INDEX('Starlink Launches'!$A:$A, MATCH($E22, 'Starlink Launches'!$B:$B, 0)),
  ""
)
</f>
        <v>6-2</v>
      </c>
      <c r="B22" s="3" t="s">
        <v>25</v>
      </c>
      <c r="C22" s="12" t="s">
        <v>34</v>
      </c>
      <c r="D22" s="13">
        <v>56294.0</v>
      </c>
      <c r="E22" s="4">
        <v>45035.0</v>
      </c>
      <c r="F22" s="4" t="str">
        <f>IF(D22="","", IFNA(VLOOKUP(D22, SATCAT_DECAY!A:B, 2, FALSE), ""))
</f>
        <v/>
      </c>
      <c r="G22" s="3" t="str">
        <f t="shared" si="1"/>
        <v>ACTIVE</v>
      </c>
    </row>
    <row r="23" ht="22.5" customHeight="1">
      <c r="A23" s="11" t="str">
        <f t="array" ref="A23">IFERROR(
  INDEX('Starlink Launches'!$A:$A, MATCH($E23, 'Starlink Launches'!$B:$B, 0)),
  ""
)
</f>
        <v>6-2</v>
      </c>
      <c r="B23" s="3" t="s">
        <v>25</v>
      </c>
      <c r="C23" s="12" t="s">
        <v>35</v>
      </c>
      <c r="D23" s="13">
        <v>56295.0</v>
      </c>
      <c r="E23" s="4">
        <v>45035.0</v>
      </c>
      <c r="F23" s="4" t="str">
        <f>IF(D23="","", IFNA(VLOOKUP(D23, SATCAT_DECAY!A:B, 2, FALSE), ""))
</f>
        <v/>
      </c>
      <c r="G23" s="3" t="str">
        <f t="shared" si="1"/>
        <v>ACTIVE</v>
      </c>
    </row>
    <row r="24" ht="22.5" customHeight="1">
      <c r="A24" s="11" t="str">
        <f t="array" ref="A24">IFERROR(
  INDEX('Starlink Launches'!$A:$A, MATCH($E24, 'Starlink Launches'!$B:$B, 0)),
  ""
)
</f>
        <v>6-2</v>
      </c>
      <c r="B24" s="3" t="s">
        <v>25</v>
      </c>
      <c r="C24" s="12" t="s">
        <v>36</v>
      </c>
      <c r="D24" s="13">
        <v>56296.0</v>
      </c>
      <c r="E24" s="4">
        <v>45035.0</v>
      </c>
      <c r="F24" s="4" t="str">
        <f>IF(D24="","", IFNA(VLOOKUP(D24, SATCAT_DECAY!A:B, 2, FALSE), ""))
</f>
        <v/>
      </c>
      <c r="G24" s="3" t="str">
        <f t="shared" si="1"/>
        <v>ACTIVE</v>
      </c>
    </row>
    <row r="25" ht="22.5" customHeight="1">
      <c r="A25" s="11" t="str">
        <f t="array" ref="A25">IFERROR(
  INDEX('Starlink Launches'!$A:$A, MATCH($E25, 'Starlink Launches'!$B:$B, 0)),
  ""
)
</f>
        <v>6-2</v>
      </c>
      <c r="B25" s="3" t="s">
        <v>25</v>
      </c>
      <c r="C25" s="12" t="s">
        <v>37</v>
      </c>
      <c r="D25" s="13">
        <v>56297.0</v>
      </c>
      <c r="E25" s="4">
        <v>45035.0</v>
      </c>
      <c r="F25" s="4" t="str">
        <f>IF(D25="","", IFNA(VLOOKUP(D25, SATCAT_DECAY!A:B, 2, FALSE), ""))
</f>
        <v/>
      </c>
      <c r="G25" s="3" t="str">
        <f t="shared" si="1"/>
        <v>ACTIVE</v>
      </c>
    </row>
    <row r="26" ht="22.5" customHeight="1">
      <c r="A26" s="11" t="str">
        <f t="array" ref="A26">IFERROR(
  INDEX('Starlink Launches'!$A:$A, MATCH($E26, 'Starlink Launches'!$B:$B, 0)),
  ""
)
</f>
        <v>6-2</v>
      </c>
      <c r="B26" s="3" t="s">
        <v>25</v>
      </c>
      <c r="C26" s="12" t="s">
        <v>38</v>
      </c>
      <c r="D26" s="13">
        <v>56298.0</v>
      </c>
      <c r="E26" s="4">
        <v>45035.0</v>
      </c>
      <c r="F26" s="4" t="str">
        <f>IF(D26="","", IFNA(VLOOKUP(D26, SATCAT_DECAY!A:B, 2, FALSE), ""))
</f>
        <v/>
      </c>
      <c r="G26" s="3" t="str">
        <f t="shared" si="1"/>
        <v>ACTIVE</v>
      </c>
    </row>
    <row r="27" ht="22.5" customHeight="1">
      <c r="A27" s="11" t="str">
        <f t="array" ref="A27">IFERROR(
  INDEX('Starlink Launches'!$A:$A, MATCH($E27, 'Starlink Launches'!$B:$B, 0)),
  ""
)
</f>
        <v>6-2</v>
      </c>
      <c r="B27" s="3" t="s">
        <v>25</v>
      </c>
      <c r="C27" s="12" t="s">
        <v>39</v>
      </c>
      <c r="D27" s="13">
        <v>56299.0</v>
      </c>
      <c r="E27" s="4">
        <v>45035.0</v>
      </c>
      <c r="F27" s="4" t="str">
        <f>IF(D27="","", IFNA(VLOOKUP(D27, SATCAT_DECAY!A:B, 2, FALSE), ""))
</f>
        <v/>
      </c>
      <c r="G27" s="3" t="str">
        <f t="shared" si="1"/>
        <v>ACTIVE</v>
      </c>
    </row>
    <row r="28" ht="22.5" customHeight="1">
      <c r="A28" s="11" t="str">
        <f t="array" ref="A28">IFERROR(
  INDEX('Starlink Launches'!$A:$A, MATCH($E28, 'Starlink Launches'!$B:$B, 0)),
  ""
)
</f>
        <v>6-2</v>
      </c>
      <c r="B28" s="3" t="s">
        <v>25</v>
      </c>
      <c r="C28" s="12" t="s">
        <v>40</v>
      </c>
      <c r="D28" s="13">
        <v>56300.0</v>
      </c>
      <c r="E28" s="4">
        <v>45035.0</v>
      </c>
      <c r="F28" s="4" t="str">
        <f>IF(D28="","", IFNA(VLOOKUP(D28, SATCAT_DECAY!A:B, 2, FALSE), ""))
</f>
        <v/>
      </c>
      <c r="G28" s="3" t="str">
        <f t="shared" si="1"/>
        <v>ACTIVE</v>
      </c>
    </row>
    <row r="29" ht="22.5" customHeight="1">
      <c r="A29" s="11" t="str">
        <f t="array" ref="A29">IFERROR(
  INDEX('Starlink Launches'!$A:$A, MATCH($E29, 'Starlink Launches'!$B:$B, 0)),
  ""
)
</f>
        <v>6-2</v>
      </c>
      <c r="B29" s="3" t="s">
        <v>25</v>
      </c>
      <c r="C29" s="12" t="s">
        <v>41</v>
      </c>
      <c r="D29" s="13">
        <v>56301.0</v>
      </c>
      <c r="E29" s="4">
        <v>45035.0</v>
      </c>
      <c r="F29" s="4" t="str">
        <f>IF(D29="","", IFNA(VLOOKUP(D29, SATCAT_DECAY!A:B, 2, FALSE), ""))
</f>
        <v/>
      </c>
      <c r="G29" s="3" t="str">
        <f t="shared" si="1"/>
        <v>ACTIVE</v>
      </c>
    </row>
    <row r="30" ht="22.5" customHeight="1">
      <c r="A30" s="11" t="str">
        <f t="array" ref="A30">IFERROR(
  INDEX('Starlink Launches'!$A:$A, MATCH($E30, 'Starlink Launches'!$B:$B, 0)),
  ""
)
</f>
        <v>6-2</v>
      </c>
      <c r="B30" s="3" t="s">
        <v>25</v>
      </c>
      <c r="C30" s="12" t="s">
        <v>42</v>
      </c>
      <c r="D30" s="13">
        <v>56302.0</v>
      </c>
      <c r="E30" s="4">
        <v>45035.0</v>
      </c>
      <c r="F30" s="4" t="str">
        <f>IF(D30="","", IFNA(VLOOKUP(D30, SATCAT_DECAY!A:B, 2, FALSE), ""))
</f>
        <v/>
      </c>
      <c r="G30" s="3" t="str">
        <f t="shared" si="1"/>
        <v>ACTIVE</v>
      </c>
    </row>
    <row r="31" ht="22.5" hidden="1" customHeight="1">
      <c r="A31" s="11" t="str">
        <f t="array" ref="A31">IFERROR(
  INDEX('Starlink Launches'!$A:$A, MATCH($E31, 'Starlink Launches'!$B:$B, 0)),
  ""
)
</f>
        <v>6-2</v>
      </c>
      <c r="B31" s="3" t="s">
        <v>25</v>
      </c>
      <c r="C31" s="12" t="s">
        <v>43</v>
      </c>
      <c r="D31" s="13">
        <v>56303.0</v>
      </c>
      <c r="E31" s="4">
        <v>45035.0</v>
      </c>
      <c r="F31" s="4">
        <f>IF(D31="","", IFNA(VLOOKUP(D31, SATCAT_DECAY!A:B, 2, FALSE), ""))
</f>
        <v>45496</v>
      </c>
      <c r="G31" s="3" t="str">
        <f t="shared" si="1"/>
        <v>DECAYED</v>
      </c>
    </row>
    <row r="32" ht="22.5" customHeight="1">
      <c r="A32" s="11" t="str">
        <f t="array" ref="A32">IFERROR(
  INDEX('Starlink Launches'!$A:$A, MATCH($E32, 'Starlink Launches'!$B:$B, 0)),
  ""
)
</f>
        <v>6-2</v>
      </c>
      <c r="B32" s="3" t="s">
        <v>25</v>
      </c>
      <c r="C32" s="12" t="s">
        <v>44</v>
      </c>
      <c r="D32" s="13">
        <v>56304.0</v>
      </c>
      <c r="E32" s="4">
        <v>45035.0</v>
      </c>
      <c r="F32" s="4" t="str">
        <f>IF(D32="","", IFNA(VLOOKUP(D32, SATCAT_DECAY!A:B, 2, FALSE), ""))
</f>
        <v/>
      </c>
      <c r="G32" s="3" t="str">
        <f t="shared" si="1"/>
        <v>ACTIVE</v>
      </c>
    </row>
    <row r="33" ht="22.5" customHeight="1">
      <c r="A33" s="11" t="str">
        <f t="array" ref="A33">IFERROR(
  INDEX('Starlink Launches'!$A:$A, MATCH($E33, 'Starlink Launches'!$B:$B, 0)),
  ""
)
</f>
        <v>6-2</v>
      </c>
      <c r="B33" s="3" t="s">
        <v>25</v>
      </c>
      <c r="C33" s="12" t="s">
        <v>45</v>
      </c>
      <c r="D33" s="13">
        <v>56305.0</v>
      </c>
      <c r="E33" s="4">
        <v>45035.0</v>
      </c>
      <c r="F33" s="4" t="str">
        <f>IF(D33="","", IFNA(VLOOKUP(D33, SATCAT_DECAY!A:B, 2, FALSE), ""))
</f>
        <v/>
      </c>
      <c r="G33" s="3" t="str">
        <f t="shared" si="1"/>
        <v>ACTIVE</v>
      </c>
    </row>
    <row r="34" ht="22.5" customHeight="1">
      <c r="A34" s="11" t="str">
        <f t="array" ref="A34">IFERROR(
  INDEX('Starlink Launches'!$A:$A, MATCH($E34, 'Starlink Launches'!$B:$B, 0)),
  ""
)
</f>
        <v>6-2</v>
      </c>
      <c r="B34" s="3" t="s">
        <v>25</v>
      </c>
      <c r="C34" s="12" t="s">
        <v>46</v>
      </c>
      <c r="D34" s="13">
        <v>56306.0</v>
      </c>
      <c r="E34" s="4">
        <v>45035.0</v>
      </c>
      <c r="F34" s="4" t="str">
        <f>IF(D34="","", IFNA(VLOOKUP(D34, SATCAT_DECAY!A:B, 2, FALSE), ""))
</f>
        <v/>
      </c>
      <c r="G34" s="3" t="str">
        <f t="shared" si="1"/>
        <v>ACTIVE</v>
      </c>
    </row>
    <row r="35" ht="22.5" customHeight="1">
      <c r="A35" s="11" t="str">
        <f t="array" ref="A35">IFERROR(
  INDEX('Starlink Launches'!$A:$A, MATCH($E35, 'Starlink Launches'!$B:$B, 0)),
  ""
)
</f>
        <v>6-3</v>
      </c>
      <c r="B35" s="3" t="s">
        <v>25</v>
      </c>
      <c r="C35" s="12" t="s">
        <v>47</v>
      </c>
      <c r="D35" s="13">
        <v>56688.0</v>
      </c>
      <c r="E35" s="4">
        <v>45065.0</v>
      </c>
      <c r="F35" s="4" t="str">
        <f>IF(D35="","", IFNA(VLOOKUP(D35, SATCAT_DECAY!A:B, 2, FALSE), ""))
</f>
        <v/>
      </c>
      <c r="G35" s="3" t="str">
        <f t="shared" si="1"/>
        <v>ACTIVE</v>
      </c>
    </row>
    <row r="36" ht="22.5" customHeight="1">
      <c r="A36" s="11" t="str">
        <f t="array" ref="A36">IFERROR(
  INDEX('Starlink Launches'!$A:$A, MATCH($E36, 'Starlink Launches'!$B:$B, 0)),
  ""
)
</f>
        <v>6-3</v>
      </c>
      <c r="B36" s="3" t="s">
        <v>25</v>
      </c>
      <c r="C36" s="12" t="s">
        <v>48</v>
      </c>
      <c r="D36" s="13">
        <v>56689.0</v>
      </c>
      <c r="E36" s="4">
        <v>45065.0</v>
      </c>
      <c r="F36" s="4" t="str">
        <f>IF(D36="","", IFNA(VLOOKUP(D36, SATCAT_DECAY!A:B, 2, FALSE), ""))
</f>
        <v/>
      </c>
      <c r="G36" s="3" t="str">
        <f t="shared" si="1"/>
        <v>ACTIVE</v>
      </c>
    </row>
    <row r="37" ht="22.5" customHeight="1">
      <c r="A37" s="11" t="str">
        <f t="array" ref="A37">IFERROR(
  INDEX('Starlink Launches'!$A:$A, MATCH($E37, 'Starlink Launches'!$B:$B, 0)),
  ""
)
</f>
        <v>6-3</v>
      </c>
      <c r="B37" s="3" t="s">
        <v>25</v>
      </c>
      <c r="C37" s="12" t="s">
        <v>49</v>
      </c>
      <c r="D37" s="13">
        <v>56690.0</v>
      </c>
      <c r="E37" s="14">
        <v>45065.0</v>
      </c>
      <c r="F37" s="4" t="str">
        <f>IF(D37="","", IFNA(VLOOKUP(D37, SATCAT_DECAY!A:B, 2, FALSE), ""))
</f>
        <v/>
      </c>
      <c r="G37" s="3" t="str">
        <f t="shared" si="1"/>
        <v>ACTIVE</v>
      </c>
    </row>
    <row r="38" ht="22.5" hidden="1" customHeight="1">
      <c r="A38" s="11" t="str">
        <f t="array" ref="A38">IFERROR(
  INDEX('Starlink Launches'!$A:$A, MATCH($E38, 'Starlink Launches'!$B:$B, 0)),
  ""
)
</f>
        <v>6-3</v>
      </c>
      <c r="B38" s="3" t="s">
        <v>25</v>
      </c>
      <c r="C38" s="12" t="s">
        <v>50</v>
      </c>
      <c r="D38" s="13">
        <v>56691.0</v>
      </c>
      <c r="E38" s="4">
        <v>45065.0</v>
      </c>
      <c r="F38" s="4">
        <f>IF(D38="","", IFNA(VLOOKUP(D38, SATCAT_DECAY!A:B, 2, FALSE), ""))
</f>
        <v>45545</v>
      </c>
      <c r="G38" s="3" t="str">
        <f t="shared" si="1"/>
        <v>DECAYED</v>
      </c>
    </row>
    <row r="39" ht="22.5" customHeight="1">
      <c r="A39" s="11" t="str">
        <f t="array" ref="A39">IFERROR(
  INDEX('Starlink Launches'!$A:$A, MATCH($E39, 'Starlink Launches'!$B:$B, 0)),
  ""
)
</f>
        <v>6-3</v>
      </c>
      <c r="B39" s="3" t="s">
        <v>25</v>
      </c>
      <c r="C39" s="12" t="s">
        <v>51</v>
      </c>
      <c r="D39" s="13">
        <v>56692.0</v>
      </c>
      <c r="E39" s="4">
        <v>45065.0</v>
      </c>
      <c r="F39" s="4" t="str">
        <f>IF(D39="","", IFNA(VLOOKUP(D39, SATCAT_DECAY!A:B, 2, FALSE), ""))
</f>
        <v/>
      </c>
      <c r="G39" s="3" t="str">
        <f t="shared" si="1"/>
        <v>ACTIVE</v>
      </c>
    </row>
    <row r="40" ht="22.5" customHeight="1">
      <c r="A40" s="11" t="str">
        <f t="array" ref="A40">IFERROR(
  INDEX('Starlink Launches'!$A:$A, MATCH($E40, 'Starlink Launches'!$B:$B, 0)),
  ""
)
</f>
        <v>6-3</v>
      </c>
      <c r="B40" s="3" t="s">
        <v>25</v>
      </c>
      <c r="C40" s="12" t="s">
        <v>52</v>
      </c>
      <c r="D40" s="13">
        <v>56693.0</v>
      </c>
      <c r="E40" s="4">
        <v>45065.0</v>
      </c>
      <c r="F40" s="4" t="str">
        <f>IF(D40="","", IFNA(VLOOKUP(D40, SATCAT_DECAY!A:B, 2, FALSE), ""))
</f>
        <v/>
      </c>
      <c r="G40" s="3" t="str">
        <f t="shared" si="1"/>
        <v>ACTIVE</v>
      </c>
    </row>
    <row r="41" ht="22.5" customHeight="1">
      <c r="A41" s="11" t="str">
        <f t="array" ref="A41">IFERROR(
  INDEX('Starlink Launches'!$A:$A, MATCH($E41, 'Starlink Launches'!$B:$B, 0)),
  ""
)
</f>
        <v>6-3</v>
      </c>
      <c r="B41" s="3" t="s">
        <v>25</v>
      </c>
      <c r="C41" s="12" t="s">
        <v>53</v>
      </c>
      <c r="D41" s="13">
        <v>56694.0</v>
      </c>
      <c r="E41" s="4">
        <v>45065.0</v>
      </c>
      <c r="F41" s="4" t="str">
        <f>IF(D41="","", IFNA(VLOOKUP(D41, SATCAT_DECAY!A:B, 2, FALSE), ""))
</f>
        <v/>
      </c>
      <c r="G41" s="3" t="str">
        <f t="shared" si="1"/>
        <v>ACTIVE</v>
      </c>
    </row>
    <row r="42" ht="22.5" customHeight="1">
      <c r="A42" s="11" t="str">
        <f t="array" ref="A42">IFERROR(
  INDEX('Starlink Launches'!$A:$A, MATCH($E42, 'Starlink Launches'!$B:$B, 0)),
  ""
)
</f>
        <v>6-3</v>
      </c>
      <c r="B42" s="3" t="s">
        <v>25</v>
      </c>
      <c r="C42" s="12" t="s">
        <v>54</v>
      </c>
      <c r="D42" s="13">
        <v>56695.0</v>
      </c>
      <c r="E42" s="4">
        <v>45065.0</v>
      </c>
      <c r="F42" s="4" t="str">
        <f>IF(D42="","", IFNA(VLOOKUP(D42, SATCAT_DECAY!A:B, 2, FALSE), ""))
</f>
        <v/>
      </c>
      <c r="G42" s="3" t="str">
        <f t="shared" si="1"/>
        <v>ACTIVE</v>
      </c>
    </row>
    <row r="43" ht="22.5" hidden="1" customHeight="1">
      <c r="A43" s="11" t="str">
        <f t="array" ref="A43">IFERROR(
  INDEX('Starlink Launches'!$A:$A, MATCH($E43, 'Starlink Launches'!$B:$B, 0)),
  ""
)
</f>
        <v>6-3</v>
      </c>
      <c r="B43" s="3" t="s">
        <v>25</v>
      </c>
      <c r="C43" s="12" t="s">
        <v>55</v>
      </c>
      <c r="D43" s="13">
        <v>56696.0</v>
      </c>
      <c r="E43" s="4">
        <v>45065.0</v>
      </c>
      <c r="F43" s="4">
        <f>IF(D43="","", IFNA(VLOOKUP(D43, SATCAT_DECAY!A:B, 2, FALSE), ""))
</f>
        <v>45114</v>
      </c>
      <c r="G43" s="3" t="str">
        <f t="shared" si="1"/>
        <v>DECAYED</v>
      </c>
    </row>
    <row r="44" ht="22.5" customHeight="1">
      <c r="A44" s="11" t="str">
        <f t="array" ref="A44">IFERROR(
  INDEX('Starlink Launches'!$A:$A, MATCH($E44, 'Starlink Launches'!$B:$B, 0)),
  ""
)
</f>
        <v>6-3</v>
      </c>
      <c r="B44" s="3" t="s">
        <v>25</v>
      </c>
      <c r="C44" s="12" t="s">
        <v>56</v>
      </c>
      <c r="D44" s="13">
        <v>56697.0</v>
      </c>
      <c r="E44" s="4">
        <v>45065.0</v>
      </c>
      <c r="F44" s="4" t="str">
        <f>IF(D44="","", IFNA(VLOOKUP(D44, SATCAT_DECAY!A:B, 2, FALSE), ""))
</f>
        <v/>
      </c>
      <c r="G44" s="3" t="str">
        <f t="shared" si="1"/>
        <v>ACTIVE</v>
      </c>
    </row>
    <row r="45" ht="22.5" customHeight="1">
      <c r="A45" s="11" t="str">
        <f t="array" ref="A45">IFERROR(
  INDEX('Starlink Launches'!$A:$A, MATCH($E45, 'Starlink Launches'!$B:$B, 0)),
  ""
)
</f>
        <v>6-3</v>
      </c>
      <c r="B45" s="3" t="s">
        <v>25</v>
      </c>
      <c r="C45" s="12" t="s">
        <v>57</v>
      </c>
      <c r="D45" s="13">
        <v>56698.0</v>
      </c>
      <c r="E45" s="4">
        <v>45065.0</v>
      </c>
      <c r="F45" s="4" t="str">
        <f>IF(D45="","", IFNA(VLOOKUP(D45, SATCAT_DECAY!A:B, 2, FALSE), ""))
</f>
        <v/>
      </c>
      <c r="G45" s="3" t="str">
        <f t="shared" si="1"/>
        <v>ACTIVE</v>
      </c>
    </row>
    <row r="46" ht="22.5" customHeight="1">
      <c r="A46" s="11" t="str">
        <f t="array" ref="A46">IFERROR(
  INDEX('Starlink Launches'!$A:$A, MATCH($E46, 'Starlink Launches'!$B:$B, 0)),
  ""
)
</f>
        <v>6-3</v>
      </c>
      <c r="B46" s="3" t="s">
        <v>25</v>
      </c>
      <c r="C46" s="12" t="s">
        <v>58</v>
      </c>
      <c r="D46" s="13">
        <v>56699.0</v>
      </c>
      <c r="E46" s="4">
        <v>45065.0</v>
      </c>
      <c r="F46" s="4" t="str">
        <f>IF(D46="","", IFNA(VLOOKUP(D46, SATCAT_DECAY!A:B, 2, FALSE), ""))
</f>
        <v/>
      </c>
      <c r="G46" s="3" t="str">
        <f t="shared" si="1"/>
        <v>ACTIVE</v>
      </c>
    </row>
    <row r="47" ht="22.5" customHeight="1">
      <c r="A47" s="11" t="str">
        <f t="array" ref="A47">IFERROR(
  INDEX('Starlink Launches'!$A:$A, MATCH($E47, 'Starlink Launches'!$B:$B, 0)),
  ""
)
</f>
        <v>6-3</v>
      </c>
      <c r="B47" s="3" t="s">
        <v>25</v>
      </c>
      <c r="C47" s="12" t="s">
        <v>59</v>
      </c>
      <c r="D47" s="13">
        <v>56700.0</v>
      </c>
      <c r="E47" s="4">
        <v>45065.0</v>
      </c>
      <c r="F47" s="4" t="str">
        <f>IF(D47="","", IFNA(VLOOKUP(D47, SATCAT_DECAY!A:B, 2, FALSE), ""))
</f>
        <v/>
      </c>
      <c r="G47" s="3" t="str">
        <f t="shared" si="1"/>
        <v>ACTIVE</v>
      </c>
    </row>
    <row r="48" ht="22.5" customHeight="1">
      <c r="A48" s="11" t="str">
        <f t="array" ref="A48">IFERROR(
  INDEX('Starlink Launches'!$A:$A, MATCH($E48, 'Starlink Launches'!$B:$B, 0)),
  ""
)
</f>
        <v>6-3</v>
      </c>
      <c r="B48" s="3" t="s">
        <v>25</v>
      </c>
      <c r="C48" s="12" t="s">
        <v>60</v>
      </c>
      <c r="D48" s="13">
        <v>56701.0</v>
      </c>
      <c r="E48" s="4">
        <v>45065.0</v>
      </c>
      <c r="F48" s="4" t="str">
        <f>IF(D48="","", IFNA(VLOOKUP(D48, SATCAT_DECAY!A:B, 2, FALSE), ""))
</f>
        <v/>
      </c>
      <c r="G48" s="3" t="str">
        <f t="shared" si="1"/>
        <v>ACTIVE</v>
      </c>
    </row>
    <row r="49" ht="22.5" customHeight="1">
      <c r="A49" s="11" t="str">
        <f t="array" ref="A49">IFERROR(
  INDEX('Starlink Launches'!$A:$A, MATCH($E49, 'Starlink Launches'!$B:$B, 0)),
  ""
)
</f>
        <v>6-3</v>
      </c>
      <c r="B49" s="3" t="s">
        <v>25</v>
      </c>
      <c r="C49" s="12" t="s">
        <v>61</v>
      </c>
      <c r="D49" s="13">
        <v>56702.0</v>
      </c>
      <c r="E49" s="4">
        <v>45065.0</v>
      </c>
      <c r="F49" s="4" t="str">
        <f>IF(D49="","", IFNA(VLOOKUP(D49, SATCAT_DECAY!A:B, 2, FALSE), ""))
</f>
        <v/>
      </c>
      <c r="G49" s="3" t="str">
        <f t="shared" si="1"/>
        <v>ACTIVE</v>
      </c>
    </row>
    <row r="50" ht="22.5" customHeight="1">
      <c r="A50" s="11" t="str">
        <f t="array" ref="A50">IFERROR(
  INDEX('Starlink Launches'!$A:$A, MATCH($E50, 'Starlink Launches'!$B:$B, 0)),
  ""
)
</f>
        <v>6-3</v>
      </c>
      <c r="B50" s="3" t="s">
        <v>25</v>
      </c>
      <c r="C50" s="12" t="s">
        <v>62</v>
      </c>
      <c r="D50" s="13">
        <v>56703.0</v>
      </c>
      <c r="E50" s="4">
        <v>45065.0</v>
      </c>
      <c r="F50" s="4" t="str">
        <f>IF(D50="","", IFNA(VLOOKUP(D50, SATCAT_DECAY!A:B, 2, FALSE), ""))
</f>
        <v/>
      </c>
      <c r="G50" s="3" t="str">
        <f t="shared" si="1"/>
        <v>ACTIVE</v>
      </c>
    </row>
    <row r="51" ht="22.5" customHeight="1">
      <c r="A51" s="11" t="str">
        <f t="array" ref="A51">IFERROR(
  INDEX('Starlink Launches'!$A:$A, MATCH($E51, 'Starlink Launches'!$B:$B, 0)),
  ""
)
</f>
        <v>6-3</v>
      </c>
      <c r="B51" s="3" t="s">
        <v>25</v>
      </c>
      <c r="C51" s="12" t="s">
        <v>63</v>
      </c>
      <c r="D51" s="13">
        <v>56704.0</v>
      </c>
      <c r="E51" s="4">
        <v>45065.0</v>
      </c>
      <c r="F51" s="4" t="str">
        <f>IF(D51="","", IFNA(VLOOKUP(D51, SATCAT_DECAY!A:B, 2, FALSE), ""))
</f>
        <v/>
      </c>
      <c r="G51" s="3" t="str">
        <f t="shared" si="1"/>
        <v>ACTIVE</v>
      </c>
    </row>
    <row r="52" ht="22.5" customHeight="1">
      <c r="A52" s="11" t="str">
        <f t="array" ref="A52">IFERROR(
  INDEX('Starlink Launches'!$A:$A, MATCH($E52, 'Starlink Launches'!$B:$B, 0)),
  ""
)
</f>
        <v>6-3</v>
      </c>
      <c r="B52" s="3" t="s">
        <v>25</v>
      </c>
      <c r="C52" s="12" t="s">
        <v>64</v>
      </c>
      <c r="D52" s="13">
        <v>56705.0</v>
      </c>
      <c r="E52" s="4">
        <v>45065.0</v>
      </c>
      <c r="F52" s="4" t="str">
        <f>IF(D52="","", IFNA(VLOOKUP(D52, SATCAT_DECAY!A:B, 2, FALSE), ""))
</f>
        <v/>
      </c>
      <c r="G52" s="3" t="str">
        <f t="shared" si="1"/>
        <v>ACTIVE</v>
      </c>
    </row>
    <row r="53" ht="22.5" customHeight="1">
      <c r="A53" s="11" t="str">
        <f t="array" ref="A53">IFERROR(
  INDEX('Starlink Launches'!$A:$A, MATCH($E53, 'Starlink Launches'!$B:$B, 0)),
  ""
)
</f>
        <v>6-3</v>
      </c>
      <c r="B53" s="3" t="s">
        <v>25</v>
      </c>
      <c r="C53" s="12" t="s">
        <v>65</v>
      </c>
      <c r="D53" s="13">
        <v>56706.0</v>
      </c>
      <c r="E53" s="4">
        <v>45065.0</v>
      </c>
      <c r="F53" s="4" t="str">
        <f>IF(D53="","", IFNA(VLOOKUP(D53, SATCAT_DECAY!A:B, 2, FALSE), ""))
</f>
        <v/>
      </c>
      <c r="G53" s="3" t="str">
        <f t="shared" si="1"/>
        <v>ACTIVE</v>
      </c>
    </row>
    <row r="54" ht="22.5" customHeight="1">
      <c r="A54" s="11" t="str">
        <f t="array" ref="A54">IFERROR(
  INDEX('Starlink Launches'!$A:$A, MATCH($E54, 'Starlink Launches'!$B:$B, 0)),
  ""
)
</f>
        <v>6-3</v>
      </c>
      <c r="B54" s="3" t="s">
        <v>25</v>
      </c>
      <c r="C54" s="12" t="s">
        <v>66</v>
      </c>
      <c r="D54" s="13">
        <v>56707.0</v>
      </c>
      <c r="E54" s="4">
        <v>45065.0</v>
      </c>
      <c r="F54" s="4" t="str">
        <f>IF(D54="","", IFNA(VLOOKUP(D54, SATCAT_DECAY!A:B, 2, FALSE), ""))
</f>
        <v/>
      </c>
      <c r="G54" s="3" t="str">
        <f t="shared" si="1"/>
        <v>ACTIVE</v>
      </c>
    </row>
    <row r="55" ht="22.5" customHeight="1">
      <c r="A55" s="11" t="str">
        <f t="array" ref="A55">IFERROR(
  INDEX('Starlink Launches'!$A:$A, MATCH($E55, 'Starlink Launches'!$B:$B, 0)),
  ""
)
</f>
        <v>6-3</v>
      </c>
      <c r="B55" s="3" t="s">
        <v>25</v>
      </c>
      <c r="C55" s="12" t="s">
        <v>67</v>
      </c>
      <c r="D55" s="13">
        <v>56708.0</v>
      </c>
      <c r="E55" s="4">
        <v>45065.0</v>
      </c>
      <c r="F55" s="4" t="str">
        <f>IF(D55="","", IFNA(VLOOKUP(D55, SATCAT_DECAY!A:B, 2, FALSE), ""))
</f>
        <v/>
      </c>
      <c r="G55" s="3" t="str">
        <f t="shared" si="1"/>
        <v>ACTIVE</v>
      </c>
    </row>
    <row r="56" ht="22.5" customHeight="1">
      <c r="A56" s="11" t="str">
        <f t="array" ref="A56">IFERROR(
  INDEX('Starlink Launches'!$A:$A, MATCH($E56, 'Starlink Launches'!$B:$B, 0)),
  ""
)
</f>
        <v>6-3</v>
      </c>
      <c r="B56" s="3" t="s">
        <v>25</v>
      </c>
      <c r="C56" s="12" t="s">
        <v>68</v>
      </c>
      <c r="D56" s="13">
        <v>56709.0</v>
      </c>
      <c r="E56" s="4">
        <v>45065.0</v>
      </c>
      <c r="F56" s="4" t="str">
        <f>IF(D56="","", IFNA(VLOOKUP(D56, SATCAT_DECAY!A:B, 2, FALSE), ""))
</f>
        <v/>
      </c>
      <c r="G56" s="3" t="str">
        <f t="shared" si="1"/>
        <v>ACTIVE</v>
      </c>
    </row>
    <row r="57" ht="22.5" customHeight="1">
      <c r="A57" s="11" t="str">
        <f t="array" ref="A57">IFERROR(
  INDEX('Starlink Launches'!$A:$A, MATCH($E57, 'Starlink Launches'!$B:$B, 0)),
  ""
)
</f>
        <v>6-4</v>
      </c>
      <c r="B57" s="3" t="s">
        <v>25</v>
      </c>
      <c r="C57" s="12" t="s">
        <v>69</v>
      </c>
      <c r="D57" s="13">
        <v>56823.0</v>
      </c>
      <c r="E57" s="4">
        <v>45081.0</v>
      </c>
      <c r="F57" s="4" t="str">
        <f>IF(D57="","", IFNA(VLOOKUP(D57, SATCAT_DECAY!A:B, 2, FALSE), ""))
</f>
        <v/>
      </c>
      <c r="G57" s="3" t="str">
        <f t="shared" si="1"/>
        <v>ACTIVE</v>
      </c>
    </row>
    <row r="58" ht="22.5" customHeight="1">
      <c r="A58" s="11" t="str">
        <f t="array" ref="A58">IFERROR(
  INDEX('Starlink Launches'!$A:$A, MATCH($E58, 'Starlink Launches'!$B:$B, 0)),
  ""
)
</f>
        <v>6-4</v>
      </c>
      <c r="B58" s="3" t="s">
        <v>25</v>
      </c>
      <c r="C58" s="12" t="s">
        <v>70</v>
      </c>
      <c r="D58" s="13">
        <v>56824.0</v>
      </c>
      <c r="E58" s="4">
        <v>45081.0</v>
      </c>
      <c r="F58" s="4" t="str">
        <f>IF(D58="","", IFNA(VLOOKUP(D58, SATCAT_DECAY!A:B, 2, FALSE), ""))
</f>
        <v/>
      </c>
      <c r="G58" s="3" t="str">
        <f t="shared" si="1"/>
        <v>ACTIVE</v>
      </c>
    </row>
    <row r="59" ht="22.5" customHeight="1">
      <c r="A59" s="11" t="str">
        <f t="array" ref="A59">IFERROR(
  INDEX('Starlink Launches'!$A:$A, MATCH($E59, 'Starlink Launches'!$B:$B, 0)),
  ""
)
</f>
        <v>6-4</v>
      </c>
      <c r="B59" s="3" t="s">
        <v>25</v>
      </c>
      <c r="C59" s="12" t="s">
        <v>71</v>
      </c>
      <c r="D59" s="13">
        <v>56825.0</v>
      </c>
      <c r="E59" s="4">
        <v>45081.0</v>
      </c>
      <c r="F59" s="4" t="str">
        <f>IF(D59="","", IFNA(VLOOKUP(D59, SATCAT_DECAY!A:B, 2, FALSE), ""))
</f>
        <v/>
      </c>
      <c r="G59" s="3" t="str">
        <f t="shared" si="1"/>
        <v>ACTIVE</v>
      </c>
    </row>
    <row r="60" ht="22.5" customHeight="1">
      <c r="A60" s="11" t="str">
        <f t="array" ref="A60">IFERROR(
  INDEX('Starlink Launches'!$A:$A, MATCH($E60, 'Starlink Launches'!$B:$B, 0)),
  ""
)
</f>
        <v>6-4</v>
      </c>
      <c r="B60" s="3" t="s">
        <v>25</v>
      </c>
      <c r="C60" s="12" t="s">
        <v>72</v>
      </c>
      <c r="D60" s="13">
        <v>56826.0</v>
      </c>
      <c r="E60" s="14">
        <v>45081.0</v>
      </c>
      <c r="F60" s="4" t="str">
        <f>IF(D60="","", IFNA(VLOOKUP(D60, SATCAT_DECAY!A:B, 2, FALSE), ""))
</f>
        <v/>
      </c>
      <c r="G60" s="3" t="str">
        <f t="shared" si="1"/>
        <v>ACTIVE</v>
      </c>
    </row>
    <row r="61" ht="22.5" customHeight="1">
      <c r="A61" s="11" t="str">
        <f t="array" ref="A61">IFERROR(
  INDEX('Starlink Launches'!$A:$A, MATCH($E61, 'Starlink Launches'!$B:$B, 0)),
  ""
)
</f>
        <v>6-4</v>
      </c>
      <c r="B61" s="3" t="s">
        <v>25</v>
      </c>
      <c r="C61" s="12" t="s">
        <v>73</v>
      </c>
      <c r="D61" s="13">
        <v>56827.0</v>
      </c>
      <c r="E61" s="4">
        <v>45081.0</v>
      </c>
      <c r="F61" s="4" t="str">
        <f>IF(D61="","", IFNA(VLOOKUP(D61, SATCAT_DECAY!A:B, 2, FALSE), ""))
</f>
        <v/>
      </c>
      <c r="G61" s="3" t="str">
        <f t="shared" si="1"/>
        <v>ACTIVE</v>
      </c>
    </row>
    <row r="62" ht="22.5" customHeight="1">
      <c r="A62" s="11" t="str">
        <f t="array" ref="A62">IFERROR(
  INDEX('Starlink Launches'!$A:$A, MATCH($E62, 'Starlink Launches'!$B:$B, 0)),
  ""
)
</f>
        <v>6-4</v>
      </c>
      <c r="B62" s="3" t="s">
        <v>25</v>
      </c>
      <c r="C62" s="12" t="s">
        <v>74</v>
      </c>
      <c r="D62" s="13">
        <v>56828.0</v>
      </c>
      <c r="E62" s="4">
        <v>45081.0</v>
      </c>
      <c r="F62" s="4" t="str">
        <f>IF(D62="","", IFNA(VLOOKUP(D62, SATCAT_DECAY!A:B, 2, FALSE), ""))
</f>
        <v/>
      </c>
      <c r="G62" s="3" t="str">
        <f t="shared" si="1"/>
        <v>ACTIVE</v>
      </c>
    </row>
    <row r="63" ht="22.5" hidden="1" customHeight="1">
      <c r="A63" s="11" t="str">
        <f t="array" ref="A63">IFERROR(
  INDEX('Starlink Launches'!$A:$A, MATCH($E63, 'Starlink Launches'!$B:$B, 0)),
  ""
)
</f>
        <v>6-4</v>
      </c>
      <c r="B63" s="3" t="s">
        <v>25</v>
      </c>
      <c r="C63" s="12" t="s">
        <v>75</v>
      </c>
      <c r="D63" s="13">
        <v>56829.0</v>
      </c>
      <c r="E63" s="4">
        <v>45081.0</v>
      </c>
      <c r="F63" s="4">
        <f>IF(D63="","", IFNA(VLOOKUP(D63, SATCAT_DECAY!A:B, 2, FALSE), ""))
</f>
        <v>45114</v>
      </c>
      <c r="G63" s="3" t="str">
        <f t="shared" si="1"/>
        <v>DECAYED</v>
      </c>
    </row>
    <row r="64" ht="22.5" hidden="1" customHeight="1">
      <c r="A64" s="11" t="str">
        <f t="array" ref="A64">IFERROR(
  INDEX('Starlink Launches'!$A:$A, MATCH($E64, 'Starlink Launches'!$B:$B, 0)),
  ""
)
</f>
        <v>6-4</v>
      </c>
      <c r="B64" s="3" t="s">
        <v>25</v>
      </c>
      <c r="C64" s="12" t="s">
        <v>76</v>
      </c>
      <c r="D64" s="13">
        <v>56830.0</v>
      </c>
      <c r="E64" s="4">
        <v>45081.0</v>
      </c>
      <c r="F64" s="4">
        <f>IF(D64="","", IFNA(VLOOKUP(D64, SATCAT_DECAY!A:B, 2, FALSE), ""))
</f>
        <v>45125</v>
      </c>
      <c r="G64" s="3" t="str">
        <f t="shared" si="1"/>
        <v>DECAYED</v>
      </c>
    </row>
    <row r="65" ht="22.5" hidden="1" customHeight="1">
      <c r="A65" s="11" t="str">
        <f t="array" ref="A65">IFERROR(
  INDEX('Starlink Launches'!$A:$A, MATCH($E65, 'Starlink Launches'!$B:$B, 0)),
  ""
)
</f>
        <v>6-4</v>
      </c>
      <c r="B65" s="3" t="s">
        <v>25</v>
      </c>
      <c r="C65" s="12" t="s">
        <v>77</v>
      </c>
      <c r="D65" s="13">
        <v>56831.0</v>
      </c>
      <c r="E65" s="4">
        <v>45081.0</v>
      </c>
      <c r="F65" s="4">
        <f>IF(D65="","", IFNA(VLOOKUP(D65, SATCAT_DECAY!A:B, 2, FALSE), ""))
</f>
        <v>45089</v>
      </c>
      <c r="G65" s="3" t="str">
        <f t="shared" si="1"/>
        <v>DECAYED</v>
      </c>
    </row>
    <row r="66" ht="22.5" customHeight="1">
      <c r="A66" s="11" t="str">
        <f t="array" ref="A66">IFERROR(
  INDEX('Starlink Launches'!$A:$A, MATCH($E66, 'Starlink Launches'!$B:$B, 0)),
  ""
)
</f>
        <v>6-4</v>
      </c>
      <c r="B66" s="3" t="s">
        <v>25</v>
      </c>
      <c r="C66" s="12" t="s">
        <v>78</v>
      </c>
      <c r="D66" s="13">
        <v>56832.0</v>
      </c>
      <c r="E66" s="4">
        <v>45081.0</v>
      </c>
      <c r="F66" s="4" t="str">
        <f>IF(D66="","", IFNA(VLOOKUP(D66, SATCAT_DECAY!A:B, 2, FALSE), ""))
</f>
        <v/>
      </c>
      <c r="G66" s="3" t="str">
        <f t="shared" si="1"/>
        <v>ACTIVE</v>
      </c>
    </row>
    <row r="67" ht="22.5" customHeight="1">
      <c r="A67" s="11" t="str">
        <f t="array" ref="A67">IFERROR(
  INDEX('Starlink Launches'!$A:$A, MATCH($E67, 'Starlink Launches'!$B:$B, 0)),
  ""
)
</f>
        <v>6-4</v>
      </c>
      <c r="B67" s="3" t="s">
        <v>25</v>
      </c>
      <c r="C67" s="12" t="s">
        <v>79</v>
      </c>
      <c r="D67" s="13">
        <v>56833.0</v>
      </c>
      <c r="E67" s="4">
        <v>45081.0</v>
      </c>
      <c r="F67" s="4" t="str">
        <f>IF(D67="","", IFNA(VLOOKUP(D67, SATCAT_DECAY!A:B, 2, FALSE), ""))
</f>
        <v/>
      </c>
      <c r="G67" s="3" t="str">
        <f t="shared" si="1"/>
        <v>ACTIVE</v>
      </c>
    </row>
    <row r="68" ht="22.5" customHeight="1">
      <c r="A68" s="11" t="str">
        <f t="array" ref="A68">IFERROR(
  INDEX('Starlink Launches'!$A:$A, MATCH($E68, 'Starlink Launches'!$B:$B, 0)),
  ""
)
</f>
        <v>6-4</v>
      </c>
      <c r="B68" s="3" t="s">
        <v>25</v>
      </c>
      <c r="C68" s="12" t="s">
        <v>80</v>
      </c>
      <c r="D68" s="13">
        <v>56834.0</v>
      </c>
      <c r="E68" s="4">
        <v>45081.0</v>
      </c>
      <c r="F68" s="4" t="str">
        <f>IF(D68="","", IFNA(VLOOKUP(D68, SATCAT_DECAY!A:B, 2, FALSE), ""))
</f>
        <v/>
      </c>
      <c r="G68" s="3" t="str">
        <f t="shared" si="1"/>
        <v>ACTIVE</v>
      </c>
    </row>
    <row r="69" ht="22.5" customHeight="1">
      <c r="A69" s="11" t="str">
        <f t="array" ref="A69">IFERROR(
  INDEX('Starlink Launches'!$A:$A, MATCH($E69, 'Starlink Launches'!$B:$B, 0)),
  ""
)
</f>
        <v>6-4</v>
      </c>
      <c r="B69" s="3" t="s">
        <v>25</v>
      </c>
      <c r="C69" s="12" t="s">
        <v>81</v>
      </c>
      <c r="D69" s="13">
        <v>56835.0</v>
      </c>
      <c r="E69" s="4">
        <v>45081.0</v>
      </c>
      <c r="F69" s="4" t="str">
        <f>IF(D69="","", IFNA(VLOOKUP(D69, SATCAT_DECAY!A:B, 2, FALSE), ""))
</f>
        <v/>
      </c>
      <c r="G69" s="3" t="str">
        <f t="shared" si="1"/>
        <v>ACTIVE</v>
      </c>
    </row>
    <row r="70" ht="22.5" customHeight="1">
      <c r="A70" s="11" t="str">
        <f t="array" ref="A70">IFERROR(
  INDEX('Starlink Launches'!$A:$A, MATCH($E70, 'Starlink Launches'!$B:$B, 0)),
  ""
)
</f>
        <v>6-4</v>
      </c>
      <c r="B70" s="3" t="s">
        <v>25</v>
      </c>
      <c r="C70" s="12" t="s">
        <v>82</v>
      </c>
      <c r="D70" s="13">
        <v>56836.0</v>
      </c>
      <c r="E70" s="4">
        <v>45081.0</v>
      </c>
      <c r="F70" s="4" t="str">
        <f>IF(D70="","", IFNA(VLOOKUP(D70, SATCAT_DECAY!A:B, 2, FALSE), ""))
</f>
        <v/>
      </c>
      <c r="G70" s="3" t="str">
        <f t="shared" si="1"/>
        <v>ACTIVE</v>
      </c>
    </row>
    <row r="71" ht="22.5" customHeight="1">
      <c r="A71" s="11" t="str">
        <f t="array" ref="A71">IFERROR(
  INDEX('Starlink Launches'!$A:$A, MATCH($E71, 'Starlink Launches'!$B:$B, 0)),
  ""
)
</f>
        <v>6-4</v>
      </c>
      <c r="B71" s="3" t="s">
        <v>25</v>
      </c>
      <c r="C71" s="12" t="s">
        <v>83</v>
      </c>
      <c r="D71" s="13">
        <v>56837.0</v>
      </c>
      <c r="E71" s="4">
        <v>45081.0</v>
      </c>
      <c r="F71" s="4" t="str">
        <f>IF(D71="","", IFNA(VLOOKUP(D71, SATCAT_DECAY!A:B, 2, FALSE), ""))
</f>
        <v/>
      </c>
      <c r="G71" s="3" t="str">
        <f t="shared" si="1"/>
        <v>ACTIVE</v>
      </c>
    </row>
    <row r="72" ht="22.5" customHeight="1">
      <c r="A72" s="11" t="str">
        <f t="array" ref="A72">IFERROR(
  INDEX('Starlink Launches'!$A:$A, MATCH($E72, 'Starlink Launches'!$B:$B, 0)),
  ""
)
</f>
        <v>6-4</v>
      </c>
      <c r="B72" s="3" t="s">
        <v>25</v>
      </c>
      <c r="C72" s="12" t="s">
        <v>84</v>
      </c>
      <c r="D72" s="13">
        <v>56838.0</v>
      </c>
      <c r="E72" s="4">
        <v>45081.0</v>
      </c>
      <c r="F72" s="4" t="str">
        <f>IF(D72="","", IFNA(VLOOKUP(D72, SATCAT_DECAY!A:B, 2, FALSE), ""))
</f>
        <v/>
      </c>
      <c r="G72" s="3" t="str">
        <f t="shared" si="1"/>
        <v>ACTIVE</v>
      </c>
    </row>
    <row r="73" ht="22.5" customHeight="1">
      <c r="A73" s="11" t="str">
        <f t="array" ref="A73">IFERROR(
  INDEX('Starlink Launches'!$A:$A, MATCH($E73, 'Starlink Launches'!$B:$B, 0)),
  ""
)
</f>
        <v>6-4</v>
      </c>
      <c r="B73" s="3" t="s">
        <v>25</v>
      </c>
      <c r="C73" s="12" t="s">
        <v>85</v>
      </c>
      <c r="D73" s="13">
        <v>56839.0</v>
      </c>
      <c r="E73" s="4">
        <v>45081.0</v>
      </c>
      <c r="F73" s="4" t="str">
        <f>IF(D73="","", IFNA(VLOOKUP(D73, SATCAT_DECAY!A:B, 2, FALSE), ""))
</f>
        <v/>
      </c>
      <c r="G73" s="3" t="str">
        <f t="shared" si="1"/>
        <v>ACTIVE</v>
      </c>
    </row>
    <row r="74" ht="22.5" customHeight="1">
      <c r="A74" s="11" t="str">
        <f t="array" ref="A74">IFERROR(
  INDEX('Starlink Launches'!$A:$A, MATCH($E74, 'Starlink Launches'!$B:$B, 0)),
  ""
)
</f>
        <v>6-4</v>
      </c>
      <c r="B74" s="3" t="s">
        <v>25</v>
      </c>
      <c r="C74" s="12" t="s">
        <v>86</v>
      </c>
      <c r="D74" s="13">
        <v>56840.0</v>
      </c>
      <c r="E74" s="4">
        <v>45081.0</v>
      </c>
      <c r="F74" s="4" t="str">
        <f>IF(D74="","", IFNA(VLOOKUP(D74, SATCAT_DECAY!A:B, 2, FALSE), ""))
</f>
        <v/>
      </c>
      <c r="G74" s="3" t="str">
        <f t="shared" si="1"/>
        <v>ACTIVE</v>
      </c>
    </row>
    <row r="75" ht="22.5" customHeight="1">
      <c r="A75" s="11" t="str">
        <f t="array" ref="A75">IFERROR(
  INDEX('Starlink Launches'!$A:$A, MATCH($E75, 'Starlink Launches'!$B:$B, 0)),
  ""
)
</f>
        <v>6-4</v>
      </c>
      <c r="B75" s="3" t="s">
        <v>25</v>
      </c>
      <c r="C75" s="12" t="s">
        <v>87</v>
      </c>
      <c r="D75" s="13">
        <v>56841.0</v>
      </c>
      <c r="E75" s="4">
        <v>45081.0</v>
      </c>
      <c r="F75" s="4" t="str">
        <f>IF(D75="","", IFNA(VLOOKUP(D75, SATCAT_DECAY!A:B, 2, FALSE), ""))
</f>
        <v/>
      </c>
      <c r="G75" s="3" t="str">
        <f t="shared" si="1"/>
        <v>ACTIVE</v>
      </c>
    </row>
    <row r="76" ht="22.5" customHeight="1">
      <c r="A76" s="11" t="str">
        <f t="array" ref="A76">IFERROR(
  INDEX('Starlink Launches'!$A:$A, MATCH($E76, 'Starlink Launches'!$B:$B, 0)),
  ""
)
</f>
        <v>6-4</v>
      </c>
      <c r="B76" s="3" t="s">
        <v>25</v>
      </c>
      <c r="C76" s="12" t="s">
        <v>88</v>
      </c>
      <c r="D76" s="13">
        <v>56842.0</v>
      </c>
      <c r="E76" s="4">
        <v>45081.0</v>
      </c>
      <c r="F76" s="4" t="str">
        <f>IF(D76="","", IFNA(VLOOKUP(D76, SATCAT_DECAY!A:B, 2, FALSE), ""))
</f>
        <v/>
      </c>
      <c r="G76" s="3" t="str">
        <f t="shared" si="1"/>
        <v>ACTIVE</v>
      </c>
    </row>
    <row r="77" ht="22.5" customHeight="1">
      <c r="A77" s="11" t="str">
        <f t="array" ref="A77">IFERROR(
  INDEX('Starlink Launches'!$A:$A, MATCH($E77, 'Starlink Launches'!$B:$B, 0)),
  ""
)
</f>
        <v>6-4</v>
      </c>
      <c r="B77" s="3" t="s">
        <v>25</v>
      </c>
      <c r="C77" s="12" t="s">
        <v>89</v>
      </c>
      <c r="D77" s="13">
        <v>56843.0</v>
      </c>
      <c r="E77" s="4">
        <v>45081.0</v>
      </c>
      <c r="F77" s="4" t="str">
        <f>IF(D77="","", IFNA(VLOOKUP(D77, SATCAT_DECAY!A:B, 2, FALSE), ""))
</f>
        <v/>
      </c>
      <c r="G77" s="3" t="str">
        <f t="shared" si="1"/>
        <v>ACTIVE</v>
      </c>
    </row>
    <row r="78" ht="22.5" customHeight="1">
      <c r="A78" s="11" t="str">
        <f t="array" ref="A78">IFERROR(
  INDEX('Starlink Launches'!$A:$A, MATCH($E78, 'Starlink Launches'!$B:$B, 0)),
  ""
)
</f>
        <v>6-4</v>
      </c>
      <c r="B78" s="3" t="s">
        <v>25</v>
      </c>
      <c r="C78" s="12" t="s">
        <v>90</v>
      </c>
      <c r="D78" s="13">
        <v>56844.0</v>
      </c>
      <c r="E78" s="4">
        <v>45081.0</v>
      </c>
      <c r="F78" s="4" t="str">
        <f>IF(D78="","", IFNA(VLOOKUP(D78, SATCAT_DECAY!A:B, 2, FALSE), ""))
</f>
        <v/>
      </c>
      <c r="G78" s="3" t="str">
        <f t="shared" si="1"/>
        <v>ACTIVE</v>
      </c>
    </row>
    <row r="79" ht="22.5" customHeight="1">
      <c r="A79" s="11" t="str">
        <f t="array" ref="A79">IFERROR(
  INDEX('Starlink Launches'!$A:$A, MATCH($E79, 'Starlink Launches'!$B:$B, 0)),
  ""
)
</f>
        <v>6-5</v>
      </c>
      <c r="B79" s="3" t="s">
        <v>25</v>
      </c>
      <c r="C79" s="12" t="s">
        <v>91</v>
      </c>
      <c r="D79" s="13">
        <v>57290.0</v>
      </c>
      <c r="E79" s="4">
        <v>45117.0</v>
      </c>
      <c r="F79" s="4" t="str">
        <f>IF(D79="","", IFNA(VLOOKUP(D79, SATCAT_DECAY!A:B, 2, FALSE), ""))
</f>
        <v/>
      </c>
      <c r="G79" s="3" t="str">
        <f t="shared" si="1"/>
        <v>ACTIVE</v>
      </c>
    </row>
    <row r="80" ht="22.5" customHeight="1">
      <c r="A80" s="11" t="str">
        <f t="array" ref="A80">IFERROR(
  INDEX('Starlink Launches'!$A:$A, MATCH($E80, 'Starlink Launches'!$B:$B, 0)),
  ""
)
</f>
        <v>6-5</v>
      </c>
      <c r="B80" s="3" t="s">
        <v>25</v>
      </c>
      <c r="C80" s="12" t="s">
        <v>92</v>
      </c>
      <c r="D80" s="13">
        <v>57291.0</v>
      </c>
      <c r="E80" s="4">
        <v>45117.0</v>
      </c>
      <c r="F80" s="4" t="str">
        <f>IF(D80="","", IFNA(VLOOKUP(D80, SATCAT_DECAY!A:B, 2, FALSE), ""))
</f>
        <v/>
      </c>
      <c r="G80" s="3" t="str">
        <f t="shared" si="1"/>
        <v>ACTIVE</v>
      </c>
    </row>
    <row r="81" ht="22.5" customHeight="1">
      <c r="A81" s="11" t="str">
        <f t="array" ref="A81">IFERROR(
  INDEX('Starlink Launches'!$A:$A, MATCH($E81, 'Starlink Launches'!$B:$B, 0)),
  ""
)
</f>
        <v>6-5</v>
      </c>
      <c r="B81" s="3" t="s">
        <v>25</v>
      </c>
      <c r="C81" s="12" t="s">
        <v>93</v>
      </c>
      <c r="D81" s="13">
        <v>57292.0</v>
      </c>
      <c r="E81" s="4">
        <v>45117.0</v>
      </c>
      <c r="F81" s="4" t="str">
        <f>IF(D81="","", IFNA(VLOOKUP(D81, SATCAT_DECAY!A:B, 2, FALSE), ""))
</f>
        <v/>
      </c>
      <c r="G81" s="3" t="str">
        <f t="shared" si="1"/>
        <v>ACTIVE</v>
      </c>
    </row>
    <row r="82" ht="22.5" customHeight="1">
      <c r="A82" s="11" t="str">
        <f t="array" ref="A82">IFERROR(
  INDEX('Starlink Launches'!$A:$A, MATCH($E82, 'Starlink Launches'!$B:$B, 0)),
  ""
)
</f>
        <v>6-5</v>
      </c>
      <c r="B82" s="3" t="s">
        <v>25</v>
      </c>
      <c r="C82" s="12" t="s">
        <v>94</v>
      </c>
      <c r="D82" s="13">
        <v>57294.0</v>
      </c>
      <c r="E82" s="4">
        <v>45117.0</v>
      </c>
      <c r="F82" s="4" t="str">
        <f>IF(D82="","", IFNA(VLOOKUP(D82, SATCAT_DECAY!A:B, 2, FALSE), ""))
</f>
        <v/>
      </c>
      <c r="G82" s="3" t="str">
        <f t="shared" si="1"/>
        <v>ACTIVE</v>
      </c>
    </row>
    <row r="83" ht="22.5" customHeight="1">
      <c r="A83" s="11" t="str">
        <f t="array" ref="A83">IFERROR(
  INDEX('Starlink Launches'!$A:$A, MATCH($E83, 'Starlink Launches'!$B:$B, 0)),
  ""
)
</f>
        <v>6-5</v>
      </c>
      <c r="B83" s="3" t="s">
        <v>25</v>
      </c>
      <c r="C83" s="12" t="s">
        <v>95</v>
      </c>
      <c r="D83" s="13">
        <v>57296.0</v>
      </c>
      <c r="E83" s="4">
        <v>45117.0</v>
      </c>
      <c r="F83" s="4" t="str">
        <f>IF(D83="","", IFNA(VLOOKUP(D83, SATCAT_DECAY!A:B, 2, FALSE), ""))
</f>
        <v/>
      </c>
      <c r="G83" s="3" t="str">
        <f t="shared" si="1"/>
        <v>ACTIVE</v>
      </c>
    </row>
    <row r="84" ht="22.5" customHeight="1">
      <c r="A84" s="11" t="str">
        <f t="array" ref="A84">IFERROR(
  INDEX('Starlink Launches'!$A:$A, MATCH($E84, 'Starlink Launches'!$B:$B, 0)),
  ""
)
</f>
        <v>6-5</v>
      </c>
      <c r="B84" s="3" t="s">
        <v>25</v>
      </c>
      <c r="C84" s="12" t="s">
        <v>96</v>
      </c>
      <c r="D84" s="13">
        <v>57298.0</v>
      </c>
      <c r="E84" s="4">
        <v>45117.0</v>
      </c>
      <c r="F84" s="4" t="str">
        <f>IF(D84="","", IFNA(VLOOKUP(D84, SATCAT_DECAY!A:B, 2, FALSE), ""))
</f>
        <v/>
      </c>
      <c r="G84" s="3" t="str">
        <f t="shared" si="1"/>
        <v>ACTIVE</v>
      </c>
    </row>
    <row r="85" ht="22.5" customHeight="1">
      <c r="A85" s="11" t="str">
        <f t="array" ref="A85">IFERROR(
  INDEX('Starlink Launches'!$A:$A, MATCH($E85, 'Starlink Launches'!$B:$B, 0)),
  ""
)
</f>
        <v>6-5</v>
      </c>
      <c r="B85" s="3" t="s">
        <v>25</v>
      </c>
      <c r="C85" s="12" t="s">
        <v>97</v>
      </c>
      <c r="D85" s="13">
        <v>57300.0</v>
      </c>
      <c r="E85" s="14">
        <v>45117.0</v>
      </c>
      <c r="F85" s="4" t="str">
        <f>IF(D85="","", IFNA(VLOOKUP(D85, SATCAT_DECAY!A:B, 2, FALSE), ""))
</f>
        <v/>
      </c>
      <c r="G85" s="3" t="str">
        <f t="shared" si="1"/>
        <v>ACTIVE</v>
      </c>
    </row>
    <row r="86" ht="22.5" customHeight="1">
      <c r="A86" s="11" t="str">
        <f t="array" ref="A86">IFERROR(
  INDEX('Starlink Launches'!$A:$A, MATCH($E86, 'Starlink Launches'!$B:$B, 0)),
  ""
)
</f>
        <v>6-5</v>
      </c>
      <c r="B86" s="3" t="s">
        <v>25</v>
      </c>
      <c r="C86" s="12" t="s">
        <v>98</v>
      </c>
      <c r="D86" s="13">
        <v>57301.0</v>
      </c>
      <c r="E86" s="4">
        <v>45117.0</v>
      </c>
      <c r="F86" s="4" t="str">
        <f>IF(D86="","", IFNA(VLOOKUP(D86, SATCAT_DECAY!A:B, 2, FALSE), ""))
</f>
        <v/>
      </c>
      <c r="G86" s="3" t="str">
        <f t="shared" si="1"/>
        <v>ACTIVE</v>
      </c>
    </row>
    <row r="87" ht="22.5" customHeight="1">
      <c r="A87" s="11" t="str">
        <f t="array" ref="A87">IFERROR(
  INDEX('Starlink Launches'!$A:$A, MATCH($E87, 'Starlink Launches'!$B:$B, 0)),
  ""
)
</f>
        <v>6-5</v>
      </c>
      <c r="B87" s="3" t="s">
        <v>25</v>
      </c>
      <c r="C87" s="12" t="s">
        <v>99</v>
      </c>
      <c r="D87" s="13">
        <v>57302.0</v>
      </c>
      <c r="E87" s="4">
        <v>45117.0</v>
      </c>
      <c r="F87" s="4" t="str">
        <f>IF(D87="","", IFNA(VLOOKUP(D87, SATCAT_DECAY!A:B, 2, FALSE), ""))
</f>
        <v/>
      </c>
      <c r="G87" s="3" t="str">
        <f t="shared" si="1"/>
        <v>ACTIVE</v>
      </c>
    </row>
    <row r="88" ht="22.5" customHeight="1">
      <c r="A88" s="11" t="str">
        <f t="array" ref="A88">IFERROR(
  INDEX('Starlink Launches'!$A:$A, MATCH($E88, 'Starlink Launches'!$B:$B, 0)),
  ""
)
</f>
        <v>6-5</v>
      </c>
      <c r="B88" s="3" t="s">
        <v>25</v>
      </c>
      <c r="C88" s="12" t="s">
        <v>100</v>
      </c>
      <c r="D88" s="13">
        <v>57303.0</v>
      </c>
      <c r="E88" s="4">
        <v>45117.0</v>
      </c>
      <c r="F88" s="4" t="str">
        <f>IF(D88="","", IFNA(VLOOKUP(D88, SATCAT_DECAY!A:B, 2, FALSE), ""))
</f>
        <v/>
      </c>
      <c r="G88" s="3" t="str">
        <f t="shared" si="1"/>
        <v>ACTIVE</v>
      </c>
    </row>
    <row r="89" ht="22.5" customHeight="1">
      <c r="A89" s="11" t="str">
        <f t="array" ref="A89">IFERROR(
  INDEX('Starlink Launches'!$A:$A, MATCH($E89, 'Starlink Launches'!$B:$B, 0)),
  ""
)
</f>
        <v>6-5</v>
      </c>
      <c r="B89" s="3" t="s">
        <v>25</v>
      </c>
      <c r="C89" s="12" t="s">
        <v>101</v>
      </c>
      <c r="D89" s="13">
        <v>57305.0</v>
      </c>
      <c r="E89" s="4">
        <v>45117.0</v>
      </c>
      <c r="F89" s="4" t="str">
        <f>IF(D89="","", IFNA(VLOOKUP(D89, SATCAT_DECAY!A:B, 2, FALSE), ""))
</f>
        <v/>
      </c>
      <c r="G89" s="3" t="str">
        <f t="shared" si="1"/>
        <v>ACTIVE</v>
      </c>
    </row>
    <row r="90" ht="22.5" customHeight="1">
      <c r="A90" s="11" t="str">
        <f t="array" ref="A90">IFERROR(
  INDEX('Starlink Launches'!$A:$A, MATCH($E90, 'Starlink Launches'!$B:$B, 0)),
  ""
)
</f>
        <v>6-5</v>
      </c>
      <c r="B90" s="3" t="s">
        <v>25</v>
      </c>
      <c r="C90" s="12" t="s">
        <v>102</v>
      </c>
      <c r="D90" s="13">
        <v>57306.0</v>
      </c>
      <c r="E90" s="4">
        <v>45117.0</v>
      </c>
      <c r="F90" s="4" t="str">
        <f>IF(D90="","", IFNA(VLOOKUP(D90, SATCAT_DECAY!A:B, 2, FALSE), ""))
</f>
        <v/>
      </c>
      <c r="G90" s="3" t="str">
        <f t="shared" si="1"/>
        <v>ACTIVE</v>
      </c>
    </row>
    <row r="91" ht="22.5" customHeight="1">
      <c r="A91" s="11" t="str">
        <f t="array" ref="A91">IFERROR(
  INDEX('Starlink Launches'!$A:$A, MATCH($E91, 'Starlink Launches'!$B:$B, 0)),
  ""
)
</f>
        <v>6-5</v>
      </c>
      <c r="B91" s="3" t="s">
        <v>25</v>
      </c>
      <c r="C91" s="12" t="s">
        <v>103</v>
      </c>
      <c r="D91" s="13">
        <v>57307.0</v>
      </c>
      <c r="E91" s="4">
        <v>45117.0</v>
      </c>
      <c r="F91" s="4" t="str">
        <f>IF(D91="","", IFNA(VLOOKUP(D91, SATCAT_DECAY!A:B, 2, FALSE), ""))
</f>
        <v/>
      </c>
      <c r="G91" s="3" t="str">
        <f t="shared" si="1"/>
        <v>ACTIVE</v>
      </c>
    </row>
    <row r="92" ht="22.5" customHeight="1">
      <c r="A92" s="11" t="str">
        <f t="array" ref="A92">IFERROR(
  INDEX('Starlink Launches'!$A:$A, MATCH($E92, 'Starlink Launches'!$B:$B, 0)),
  ""
)
</f>
        <v>6-5</v>
      </c>
      <c r="B92" s="3" t="s">
        <v>25</v>
      </c>
      <c r="C92" s="12" t="s">
        <v>104</v>
      </c>
      <c r="D92" s="13">
        <v>57310.0</v>
      </c>
      <c r="E92" s="4">
        <v>45117.0</v>
      </c>
      <c r="F92" s="4" t="str">
        <f>IF(D92="","", IFNA(VLOOKUP(D92, SATCAT_DECAY!A:B, 2, FALSE), ""))
</f>
        <v/>
      </c>
      <c r="G92" s="3" t="str">
        <f t="shared" si="1"/>
        <v>ACTIVE</v>
      </c>
    </row>
    <row r="93" ht="22.5" customHeight="1">
      <c r="A93" s="11" t="str">
        <f t="array" ref="A93">IFERROR(
  INDEX('Starlink Launches'!$A:$A, MATCH($E93, 'Starlink Launches'!$B:$B, 0)),
  ""
)
</f>
        <v>6-5</v>
      </c>
      <c r="B93" s="3" t="s">
        <v>25</v>
      </c>
      <c r="C93" s="12" t="s">
        <v>105</v>
      </c>
      <c r="D93" s="13">
        <v>57311.0</v>
      </c>
      <c r="E93" s="4">
        <v>45117.0</v>
      </c>
      <c r="F93" s="4" t="str">
        <f>IF(D93="","", IFNA(VLOOKUP(D93, SATCAT_DECAY!A:B, 2, FALSE), ""))
</f>
        <v/>
      </c>
      <c r="G93" s="3" t="str">
        <f t="shared" si="1"/>
        <v>ACTIVE</v>
      </c>
    </row>
    <row r="94" ht="22.5" customHeight="1">
      <c r="A94" s="11" t="str">
        <f t="array" ref="A94">IFERROR(
  INDEX('Starlink Launches'!$A:$A, MATCH($E94, 'Starlink Launches'!$B:$B, 0)),
  ""
)
</f>
        <v>6-15</v>
      </c>
      <c r="B94" s="3" t="s">
        <v>25</v>
      </c>
      <c r="C94" s="12" t="s">
        <v>106</v>
      </c>
      <c r="D94" s="13">
        <v>57404.0</v>
      </c>
      <c r="E94" s="4">
        <v>45127.0</v>
      </c>
      <c r="F94" s="4" t="str">
        <f>IF(D94="","", IFNA(VLOOKUP(D94, SATCAT_DECAY!A:B, 2, FALSE), ""))
</f>
        <v/>
      </c>
      <c r="G94" s="3" t="str">
        <f t="shared" si="1"/>
        <v>ACTIVE</v>
      </c>
    </row>
    <row r="95" ht="22.5" customHeight="1">
      <c r="A95" s="11" t="str">
        <f t="array" ref="A95">IFERROR(
  INDEX('Starlink Launches'!$A:$A, MATCH($E95, 'Starlink Launches'!$B:$B, 0)),
  ""
)
</f>
        <v>6-15</v>
      </c>
      <c r="B95" s="3" t="s">
        <v>25</v>
      </c>
      <c r="C95" s="12" t="s">
        <v>107</v>
      </c>
      <c r="D95" s="13">
        <v>57406.0</v>
      </c>
      <c r="E95" s="4">
        <v>45127.0</v>
      </c>
      <c r="F95" s="4" t="str">
        <f>IF(D95="","", IFNA(VLOOKUP(D95, SATCAT_DECAY!A:B, 2, FALSE), ""))
</f>
        <v/>
      </c>
      <c r="G95" s="3" t="str">
        <f t="shared" si="1"/>
        <v>ACTIVE</v>
      </c>
    </row>
    <row r="96" ht="22.5" customHeight="1">
      <c r="A96" s="11" t="str">
        <f t="array" ref="A96">IFERROR(
  INDEX('Starlink Launches'!$A:$A, MATCH($E96, 'Starlink Launches'!$B:$B, 0)),
  ""
)
</f>
        <v>6-15</v>
      </c>
      <c r="B96" s="3" t="s">
        <v>25</v>
      </c>
      <c r="C96" s="12" t="s">
        <v>108</v>
      </c>
      <c r="D96" s="13">
        <v>57407.0</v>
      </c>
      <c r="E96" s="4">
        <v>45127.0</v>
      </c>
      <c r="F96" s="4" t="str">
        <f>IF(D96="","", IFNA(VLOOKUP(D96, SATCAT_DECAY!A:B, 2, FALSE), ""))
</f>
        <v/>
      </c>
      <c r="G96" s="3" t="str">
        <f t="shared" si="1"/>
        <v>ACTIVE</v>
      </c>
    </row>
    <row r="97" ht="22.5" customHeight="1">
      <c r="A97" s="11" t="str">
        <f t="array" ref="A97">IFERROR(
  INDEX('Starlink Launches'!$A:$A, MATCH($E97, 'Starlink Launches'!$B:$B, 0)),
  ""
)
</f>
        <v>6-15</v>
      </c>
      <c r="B97" s="3" t="s">
        <v>25</v>
      </c>
      <c r="C97" s="12" t="s">
        <v>109</v>
      </c>
      <c r="D97" s="13">
        <v>57408.0</v>
      </c>
      <c r="E97" s="4">
        <v>45127.0</v>
      </c>
      <c r="F97" s="4" t="str">
        <f>IF(D97="","", IFNA(VLOOKUP(D97, SATCAT_DECAY!A:B, 2, FALSE), ""))
</f>
        <v/>
      </c>
      <c r="G97" s="3" t="str">
        <f t="shared" si="1"/>
        <v>ACTIVE</v>
      </c>
    </row>
    <row r="98" ht="22.5" customHeight="1">
      <c r="A98" s="11" t="str">
        <f t="array" ref="A98">IFERROR(
  INDEX('Starlink Launches'!$A:$A, MATCH($E98, 'Starlink Launches'!$B:$B, 0)),
  ""
)
</f>
        <v>6-15</v>
      </c>
      <c r="B98" s="3" t="s">
        <v>25</v>
      </c>
      <c r="C98" s="12" t="s">
        <v>110</v>
      </c>
      <c r="D98" s="13">
        <v>57409.0</v>
      </c>
      <c r="E98" s="4">
        <v>45127.0</v>
      </c>
      <c r="F98" s="4" t="str">
        <f>IF(D98="","", IFNA(VLOOKUP(D98, SATCAT_DECAY!A:B, 2, FALSE), ""))
</f>
        <v/>
      </c>
      <c r="G98" s="3" t="str">
        <f t="shared" si="1"/>
        <v>ACTIVE</v>
      </c>
    </row>
    <row r="99" ht="22.5" customHeight="1">
      <c r="A99" s="11" t="str">
        <f t="array" ref="A99">IFERROR(
  INDEX('Starlink Launches'!$A:$A, MATCH($E99, 'Starlink Launches'!$B:$B, 0)),
  ""
)
</f>
        <v>6-15</v>
      </c>
      <c r="B99" s="3" t="s">
        <v>25</v>
      </c>
      <c r="C99" s="12" t="s">
        <v>111</v>
      </c>
      <c r="D99" s="13">
        <v>57410.0</v>
      </c>
      <c r="E99" s="4">
        <v>45127.0</v>
      </c>
      <c r="F99" s="4" t="str">
        <f>IF(D99="","", IFNA(VLOOKUP(D99, SATCAT_DECAY!A:B, 2, FALSE), ""))
</f>
        <v/>
      </c>
      <c r="G99" s="3" t="str">
        <f t="shared" si="1"/>
        <v>ACTIVE</v>
      </c>
    </row>
    <row r="100" ht="22.5" customHeight="1">
      <c r="A100" s="11" t="str">
        <f t="array" ref="A100">IFERROR(
  INDEX('Starlink Launches'!$A:$A, MATCH($E100, 'Starlink Launches'!$B:$B, 0)),
  ""
)
</f>
        <v>6-15</v>
      </c>
      <c r="B100" s="3" t="s">
        <v>25</v>
      </c>
      <c r="C100" s="12" t="s">
        <v>112</v>
      </c>
      <c r="D100" s="13">
        <v>57411.0</v>
      </c>
      <c r="E100" s="4">
        <v>45127.0</v>
      </c>
      <c r="F100" s="4" t="str">
        <f>IF(D100="","", IFNA(VLOOKUP(D100, SATCAT_DECAY!A:B, 2, FALSE), ""))
</f>
        <v/>
      </c>
      <c r="G100" s="3" t="str">
        <f t="shared" si="1"/>
        <v>ACTIVE</v>
      </c>
    </row>
    <row r="101" ht="22.5" customHeight="1">
      <c r="A101" s="11" t="str">
        <f t="array" ref="A101">IFERROR(
  INDEX('Starlink Launches'!$A:$A, MATCH($E101, 'Starlink Launches'!$B:$B, 0)),
  ""
)
</f>
        <v>6-15</v>
      </c>
      <c r="B101" s="3" t="s">
        <v>25</v>
      </c>
      <c r="C101" s="12" t="s">
        <v>113</v>
      </c>
      <c r="D101" s="13">
        <v>57412.0</v>
      </c>
      <c r="E101" s="4">
        <v>45127.0</v>
      </c>
      <c r="F101" s="4" t="str">
        <f>IF(D101="","", IFNA(VLOOKUP(D101, SATCAT_DECAY!A:B, 2, FALSE), ""))
</f>
        <v/>
      </c>
      <c r="G101" s="3" t="str">
        <f t="shared" si="1"/>
        <v>ACTIVE</v>
      </c>
    </row>
    <row r="102" ht="22.5" customHeight="1">
      <c r="A102" s="11" t="str">
        <f t="array" ref="A102">IFERROR(
  INDEX('Starlink Launches'!$A:$A, MATCH($E102, 'Starlink Launches'!$B:$B, 0)),
  ""
)
</f>
        <v>6-15</v>
      </c>
      <c r="B102" s="3" t="s">
        <v>25</v>
      </c>
      <c r="C102" s="12" t="s">
        <v>114</v>
      </c>
      <c r="D102" s="13">
        <v>57413.0</v>
      </c>
      <c r="E102" s="4">
        <v>45127.0</v>
      </c>
      <c r="F102" s="4" t="str">
        <f>IF(D102="","", IFNA(VLOOKUP(D102, SATCAT_DECAY!A:B, 2, FALSE), ""))
</f>
        <v/>
      </c>
      <c r="G102" s="3" t="str">
        <f t="shared" si="1"/>
        <v>ACTIVE</v>
      </c>
    </row>
    <row r="103" ht="22.5" customHeight="1">
      <c r="A103" s="11" t="str">
        <f t="array" ref="A103">IFERROR(
  INDEX('Starlink Launches'!$A:$A, MATCH($E103, 'Starlink Launches'!$B:$B, 0)),
  ""
)
</f>
        <v>6-15</v>
      </c>
      <c r="B103" s="3" t="s">
        <v>25</v>
      </c>
      <c r="C103" s="12" t="s">
        <v>115</v>
      </c>
      <c r="D103" s="13">
        <v>57414.0</v>
      </c>
      <c r="E103" s="4">
        <v>45127.0</v>
      </c>
      <c r="F103" s="4" t="str">
        <f>IF(D103="","", IFNA(VLOOKUP(D103, SATCAT_DECAY!A:B, 2, FALSE), ""))
</f>
        <v/>
      </c>
      <c r="G103" s="3" t="str">
        <f t="shared" si="1"/>
        <v>ACTIVE</v>
      </c>
    </row>
    <row r="104" ht="22.5" customHeight="1">
      <c r="A104" s="11" t="str">
        <f t="array" ref="A104">IFERROR(
  INDEX('Starlink Launches'!$A:$A, MATCH($E104, 'Starlink Launches'!$B:$B, 0)),
  ""
)
</f>
        <v>6-15</v>
      </c>
      <c r="B104" s="3" t="s">
        <v>25</v>
      </c>
      <c r="C104" s="12" t="s">
        <v>116</v>
      </c>
      <c r="D104" s="13">
        <v>57415.0</v>
      </c>
      <c r="E104" s="4">
        <v>45127.0</v>
      </c>
      <c r="F104" s="4" t="str">
        <f>IF(D104="","", IFNA(VLOOKUP(D104, SATCAT_DECAY!A:B, 2, FALSE), ""))
</f>
        <v/>
      </c>
      <c r="G104" s="3" t="str">
        <f t="shared" si="1"/>
        <v>ACTIVE</v>
      </c>
    </row>
    <row r="105" ht="22.5" customHeight="1">
      <c r="A105" s="11" t="str">
        <f t="array" ref="A105">IFERROR(
  INDEX('Starlink Launches'!$A:$A, MATCH($E105, 'Starlink Launches'!$B:$B, 0)),
  ""
)
</f>
        <v>6-15</v>
      </c>
      <c r="B105" s="3" t="s">
        <v>25</v>
      </c>
      <c r="C105" s="12" t="s">
        <v>117</v>
      </c>
      <c r="D105" s="13">
        <v>57416.0</v>
      </c>
      <c r="E105" s="4">
        <v>45127.0</v>
      </c>
      <c r="F105" s="4" t="str">
        <f>IF(D105="","", IFNA(VLOOKUP(D105, SATCAT_DECAY!A:B, 2, FALSE), ""))
</f>
        <v/>
      </c>
      <c r="G105" s="3" t="str">
        <f t="shared" si="1"/>
        <v>ACTIVE</v>
      </c>
    </row>
    <row r="106" ht="22.5" customHeight="1">
      <c r="A106" s="11" t="str">
        <f t="array" ref="A106">IFERROR(
  INDEX('Starlink Launches'!$A:$A, MATCH($E106, 'Starlink Launches'!$B:$B, 0)),
  ""
)
</f>
        <v>6-15</v>
      </c>
      <c r="B106" s="3" t="s">
        <v>25</v>
      </c>
      <c r="C106" s="12" t="s">
        <v>118</v>
      </c>
      <c r="D106" s="13">
        <v>57417.0</v>
      </c>
      <c r="E106" s="4">
        <v>45127.0</v>
      </c>
      <c r="F106" s="4" t="str">
        <f>IF(D106="","", IFNA(VLOOKUP(D106, SATCAT_DECAY!A:B, 2, FALSE), ""))
</f>
        <v/>
      </c>
      <c r="G106" s="3" t="str">
        <f t="shared" si="1"/>
        <v>ACTIVE</v>
      </c>
    </row>
    <row r="107" ht="22.5" customHeight="1">
      <c r="A107" s="11" t="str">
        <f t="array" ref="A107">IFERROR(
  INDEX('Starlink Launches'!$A:$A, MATCH($E107, 'Starlink Launches'!$B:$B, 0)),
  ""
)
</f>
        <v>6-15</v>
      </c>
      <c r="B107" s="3" t="s">
        <v>25</v>
      </c>
      <c r="C107" s="12" t="s">
        <v>119</v>
      </c>
      <c r="D107" s="13">
        <v>57418.0</v>
      </c>
      <c r="E107" s="14">
        <v>45127.0</v>
      </c>
      <c r="F107" s="4" t="str">
        <f>IF(D107="","", IFNA(VLOOKUP(D107, SATCAT_DECAY!A:B, 2, FALSE), ""))
</f>
        <v/>
      </c>
      <c r="G107" s="3" t="str">
        <f t="shared" si="1"/>
        <v>ACTIVE</v>
      </c>
    </row>
    <row r="108" ht="22.5" customHeight="1">
      <c r="A108" s="11" t="str">
        <f t="array" ref="A108">IFERROR(
  INDEX('Starlink Launches'!$A:$A, MATCH($E108, 'Starlink Launches'!$B:$B, 0)),
  ""
)
</f>
        <v>6-6</v>
      </c>
      <c r="B108" s="3" t="s">
        <v>25</v>
      </c>
      <c r="C108" s="12" t="s">
        <v>120</v>
      </c>
      <c r="D108" s="13">
        <v>57430.0</v>
      </c>
      <c r="E108" s="4">
        <v>45131.0</v>
      </c>
      <c r="F108" s="4" t="str">
        <f>IF(D108="","", IFNA(VLOOKUP(D108, SATCAT_DECAY!A:B, 2, FALSE), ""))
</f>
        <v/>
      </c>
      <c r="G108" s="3" t="str">
        <f t="shared" si="1"/>
        <v>ACTIVE</v>
      </c>
    </row>
    <row r="109" ht="22.5" customHeight="1">
      <c r="A109" s="11" t="str">
        <f t="array" ref="A109">IFERROR(
  INDEX('Starlink Launches'!$A:$A, MATCH($E109, 'Starlink Launches'!$B:$B, 0)),
  ""
)
</f>
        <v>6-6</v>
      </c>
      <c r="B109" s="3" t="s">
        <v>25</v>
      </c>
      <c r="C109" s="12" t="s">
        <v>121</v>
      </c>
      <c r="D109" s="13">
        <v>57432.0</v>
      </c>
      <c r="E109" s="4">
        <v>45131.0</v>
      </c>
      <c r="F109" s="4" t="str">
        <f>IF(D109="","", IFNA(VLOOKUP(D109, SATCAT_DECAY!A:B, 2, FALSE), ""))
</f>
        <v/>
      </c>
      <c r="G109" s="3" t="str">
        <f t="shared" si="1"/>
        <v>ACTIVE</v>
      </c>
    </row>
    <row r="110" ht="22.5" customHeight="1">
      <c r="A110" s="11" t="str">
        <f t="array" ref="A110">IFERROR(
  INDEX('Starlink Launches'!$A:$A, MATCH($E110, 'Starlink Launches'!$B:$B, 0)),
  ""
)
</f>
        <v>6-6</v>
      </c>
      <c r="B110" s="3" t="s">
        <v>25</v>
      </c>
      <c r="C110" s="12" t="s">
        <v>122</v>
      </c>
      <c r="D110" s="13">
        <v>57433.0</v>
      </c>
      <c r="E110" s="4">
        <v>45131.0</v>
      </c>
      <c r="F110" s="4" t="str">
        <f>IF(D110="","", IFNA(VLOOKUP(D110, SATCAT_DECAY!A:B, 2, FALSE), ""))
</f>
        <v/>
      </c>
      <c r="G110" s="3" t="str">
        <f t="shared" si="1"/>
        <v>ACTIVE</v>
      </c>
    </row>
    <row r="111" ht="22.5" customHeight="1">
      <c r="A111" s="11" t="str">
        <f t="array" ref="A111">IFERROR(
  INDEX('Starlink Launches'!$A:$A, MATCH($E111, 'Starlink Launches'!$B:$B, 0)),
  ""
)
</f>
        <v>6-6</v>
      </c>
      <c r="B111" s="3" t="s">
        <v>25</v>
      </c>
      <c r="C111" s="12" t="s">
        <v>123</v>
      </c>
      <c r="D111" s="13">
        <v>57434.0</v>
      </c>
      <c r="E111" s="4">
        <v>45131.0</v>
      </c>
      <c r="F111" s="4" t="str">
        <f>IF(D111="","", IFNA(VLOOKUP(D111, SATCAT_DECAY!A:B, 2, FALSE), ""))
</f>
        <v/>
      </c>
      <c r="G111" s="3" t="str">
        <f t="shared" si="1"/>
        <v>ACTIVE</v>
      </c>
    </row>
    <row r="112" ht="22.5" customHeight="1">
      <c r="A112" s="11" t="str">
        <f t="array" ref="A112">IFERROR(
  INDEX('Starlink Launches'!$A:$A, MATCH($E112, 'Starlink Launches'!$B:$B, 0)),
  ""
)
</f>
        <v>6-6</v>
      </c>
      <c r="B112" s="3" t="s">
        <v>25</v>
      </c>
      <c r="C112" s="12" t="s">
        <v>124</v>
      </c>
      <c r="D112" s="13">
        <v>57437.0</v>
      </c>
      <c r="E112" s="4">
        <v>45131.0</v>
      </c>
      <c r="F112" s="4" t="str">
        <f>IF(D112="","", IFNA(VLOOKUP(D112, SATCAT_DECAY!A:B, 2, FALSE), ""))
</f>
        <v/>
      </c>
      <c r="G112" s="3" t="str">
        <f t="shared" si="1"/>
        <v>ACTIVE</v>
      </c>
    </row>
    <row r="113" ht="22.5" customHeight="1">
      <c r="A113" s="11" t="str">
        <f t="array" ref="A113">IFERROR(
  INDEX('Starlink Launches'!$A:$A, MATCH($E113, 'Starlink Launches'!$B:$B, 0)),
  ""
)
</f>
        <v>6-6</v>
      </c>
      <c r="B113" s="3" t="s">
        <v>25</v>
      </c>
      <c r="C113" s="12" t="s">
        <v>125</v>
      </c>
      <c r="D113" s="13">
        <v>57438.0</v>
      </c>
      <c r="E113" s="4">
        <v>45131.0</v>
      </c>
      <c r="F113" s="4" t="str">
        <f>IF(D113="","", IFNA(VLOOKUP(D113, SATCAT_DECAY!A:B, 2, FALSE), ""))
</f>
        <v/>
      </c>
      <c r="G113" s="3" t="str">
        <f t="shared" si="1"/>
        <v>ACTIVE</v>
      </c>
    </row>
    <row r="114" ht="22.5" customHeight="1">
      <c r="A114" s="11" t="str">
        <f t="array" ref="A114">IFERROR(
  INDEX('Starlink Launches'!$A:$A, MATCH($E114, 'Starlink Launches'!$B:$B, 0)),
  ""
)
</f>
        <v>6-6</v>
      </c>
      <c r="B114" s="3" t="s">
        <v>25</v>
      </c>
      <c r="C114" s="12" t="s">
        <v>126</v>
      </c>
      <c r="D114" s="13">
        <v>57441.0</v>
      </c>
      <c r="E114" s="4">
        <v>45131.0</v>
      </c>
      <c r="F114" s="4" t="str">
        <f>IF(D114="","", IFNA(VLOOKUP(D114, SATCAT_DECAY!A:B, 2, FALSE), ""))
</f>
        <v/>
      </c>
      <c r="G114" s="3" t="str">
        <f t="shared" si="1"/>
        <v>ACTIVE</v>
      </c>
    </row>
    <row r="115" ht="22.5" customHeight="1">
      <c r="A115" s="11" t="str">
        <f t="array" ref="A115">IFERROR(
  INDEX('Starlink Launches'!$A:$A, MATCH($E115, 'Starlink Launches'!$B:$B, 0)),
  ""
)
</f>
        <v>6-6</v>
      </c>
      <c r="B115" s="3" t="s">
        <v>25</v>
      </c>
      <c r="C115" s="12" t="s">
        <v>127</v>
      </c>
      <c r="D115" s="13">
        <v>57442.0</v>
      </c>
      <c r="E115" s="4">
        <v>45131.0</v>
      </c>
      <c r="F115" s="4" t="str">
        <f>IF(D115="","", IFNA(VLOOKUP(D115, SATCAT_DECAY!A:B, 2, FALSE), ""))
</f>
        <v/>
      </c>
      <c r="G115" s="3" t="str">
        <f t="shared" si="1"/>
        <v>ACTIVE</v>
      </c>
    </row>
    <row r="116" ht="22.5" customHeight="1">
      <c r="A116" s="11" t="str">
        <f t="array" ref="A116">IFERROR(
  INDEX('Starlink Launches'!$A:$A, MATCH($E116, 'Starlink Launches'!$B:$B, 0)),
  ""
)
</f>
        <v>6-6</v>
      </c>
      <c r="B116" s="3" t="s">
        <v>25</v>
      </c>
      <c r="C116" s="12" t="s">
        <v>128</v>
      </c>
      <c r="D116" s="13">
        <v>57443.0</v>
      </c>
      <c r="E116" s="4">
        <v>45131.0</v>
      </c>
      <c r="F116" s="4" t="str">
        <f>IF(D116="","", IFNA(VLOOKUP(D116, SATCAT_DECAY!A:B, 2, FALSE), ""))
</f>
        <v/>
      </c>
      <c r="G116" s="3" t="str">
        <f t="shared" si="1"/>
        <v>ACTIVE</v>
      </c>
    </row>
    <row r="117" ht="22.5" customHeight="1">
      <c r="A117" s="11" t="str">
        <f t="array" ref="A117">IFERROR(
  INDEX('Starlink Launches'!$A:$A, MATCH($E117, 'Starlink Launches'!$B:$B, 0)),
  ""
)
</f>
        <v>6-6</v>
      </c>
      <c r="B117" s="3" t="s">
        <v>25</v>
      </c>
      <c r="C117" s="12" t="s">
        <v>129</v>
      </c>
      <c r="D117" s="13">
        <v>57444.0</v>
      </c>
      <c r="E117" s="4">
        <v>45131.0</v>
      </c>
      <c r="F117" s="4" t="str">
        <f>IF(D117="","", IFNA(VLOOKUP(D117, SATCAT_DECAY!A:B, 2, FALSE), ""))
</f>
        <v/>
      </c>
      <c r="G117" s="3" t="str">
        <f t="shared" si="1"/>
        <v>ACTIVE</v>
      </c>
    </row>
    <row r="118" ht="22.5" customHeight="1">
      <c r="A118" s="11" t="str">
        <f t="array" ref="A118">IFERROR(
  INDEX('Starlink Launches'!$A:$A, MATCH($E118, 'Starlink Launches'!$B:$B, 0)),
  ""
)
</f>
        <v>6-6</v>
      </c>
      <c r="B118" s="3" t="s">
        <v>25</v>
      </c>
      <c r="C118" s="12" t="s">
        <v>130</v>
      </c>
      <c r="D118" s="13">
        <v>57445.0</v>
      </c>
      <c r="E118" s="4">
        <v>45131.0</v>
      </c>
      <c r="F118" s="4" t="str">
        <f>IF(D118="","", IFNA(VLOOKUP(D118, SATCAT_DECAY!A:B, 2, FALSE), ""))
</f>
        <v/>
      </c>
      <c r="G118" s="3" t="str">
        <f t="shared" si="1"/>
        <v>ACTIVE</v>
      </c>
    </row>
    <row r="119" ht="22.5" customHeight="1">
      <c r="A119" s="11" t="str">
        <f t="array" ref="A119">IFERROR(
  INDEX('Starlink Launches'!$A:$A, MATCH($E119, 'Starlink Launches'!$B:$B, 0)),
  ""
)
</f>
        <v>6-6</v>
      </c>
      <c r="B119" s="3" t="s">
        <v>25</v>
      </c>
      <c r="C119" s="12" t="s">
        <v>131</v>
      </c>
      <c r="D119" s="13">
        <v>57446.0</v>
      </c>
      <c r="E119" s="4">
        <v>45131.0</v>
      </c>
      <c r="F119" s="4" t="str">
        <f>IF(D119="","", IFNA(VLOOKUP(D119, SATCAT_DECAY!A:B, 2, FALSE), ""))
</f>
        <v/>
      </c>
      <c r="G119" s="3" t="str">
        <f t="shared" si="1"/>
        <v>ACTIVE</v>
      </c>
    </row>
    <row r="120" ht="22.5" customHeight="1">
      <c r="A120" s="11" t="str">
        <f t="array" ref="A120">IFERROR(
  INDEX('Starlink Launches'!$A:$A, MATCH($E120, 'Starlink Launches'!$B:$B, 0)),
  ""
)
</f>
        <v>6-6</v>
      </c>
      <c r="B120" s="3" t="s">
        <v>25</v>
      </c>
      <c r="C120" s="12" t="s">
        <v>132</v>
      </c>
      <c r="D120" s="13">
        <v>57447.0</v>
      </c>
      <c r="E120" s="4">
        <v>45131.0</v>
      </c>
      <c r="F120" s="4" t="str">
        <f>IF(D120="","", IFNA(VLOOKUP(D120, SATCAT_DECAY!A:B, 2, FALSE), ""))
</f>
        <v/>
      </c>
      <c r="G120" s="3" t="str">
        <f t="shared" si="1"/>
        <v>ACTIVE</v>
      </c>
    </row>
    <row r="121" ht="22.5" customHeight="1">
      <c r="A121" s="11" t="str">
        <f t="array" ref="A121">IFERROR(
  INDEX('Starlink Launches'!$A:$A, MATCH($E121, 'Starlink Launches'!$B:$B, 0)),
  ""
)
</f>
        <v>6-6</v>
      </c>
      <c r="B121" s="3" t="s">
        <v>25</v>
      </c>
      <c r="C121" s="12" t="s">
        <v>133</v>
      </c>
      <c r="D121" s="13">
        <v>57448.0</v>
      </c>
      <c r="E121" s="4">
        <v>45131.0</v>
      </c>
      <c r="F121" s="4" t="str">
        <f>IF(D121="","", IFNA(VLOOKUP(D121, SATCAT_DECAY!A:B, 2, FALSE), ""))
</f>
        <v/>
      </c>
      <c r="G121" s="3" t="str">
        <f t="shared" si="1"/>
        <v>ACTIVE</v>
      </c>
    </row>
    <row r="122" ht="22.5" customHeight="1">
      <c r="A122" s="11" t="str">
        <f t="array" ref="A122">IFERROR(
  INDEX('Starlink Launches'!$A:$A, MATCH($E122, 'Starlink Launches'!$B:$B, 0)),
  ""
)
</f>
        <v>6-6</v>
      </c>
      <c r="B122" s="3" t="s">
        <v>25</v>
      </c>
      <c r="C122" s="12" t="s">
        <v>134</v>
      </c>
      <c r="D122" s="13">
        <v>57449.0</v>
      </c>
      <c r="E122" s="4">
        <v>45131.0</v>
      </c>
      <c r="F122" s="4" t="str">
        <f>IF(D122="","", IFNA(VLOOKUP(D122, SATCAT_DECAY!A:B, 2, FALSE), ""))
</f>
        <v/>
      </c>
      <c r="G122" s="3" t="str">
        <f t="shared" si="1"/>
        <v>ACTIVE</v>
      </c>
    </row>
    <row r="123" ht="22.5" customHeight="1">
      <c r="A123" s="11" t="str">
        <f t="array" ref="A123">IFERROR(
  INDEX('Starlink Launches'!$A:$A, MATCH($E123, 'Starlink Launches'!$B:$B, 0)),
  ""
)
</f>
        <v>6-6</v>
      </c>
      <c r="B123" s="3" t="s">
        <v>25</v>
      </c>
      <c r="C123" s="12" t="s">
        <v>135</v>
      </c>
      <c r="D123" s="13">
        <v>57450.0</v>
      </c>
      <c r="E123" s="4">
        <v>45131.0</v>
      </c>
      <c r="F123" s="4" t="str">
        <f>IF(D123="","", IFNA(VLOOKUP(D123, SATCAT_DECAY!A:B, 2, FALSE), ""))
</f>
        <v/>
      </c>
      <c r="G123" s="3" t="str">
        <f t="shared" si="1"/>
        <v>ACTIVE</v>
      </c>
    </row>
    <row r="124" ht="22.5" customHeight="1">
      <c r="A124" s="11" t="str">
        <f t="array" ref="A124">IFERROR(
  INDEX('Starlink Launches'!$A:$A, MATCH($E124, 'Starlink Launches'!$B:$B, 0)),
  ""
)
</f>
        <v>6-6</v>
      </c>
      <c r="B124" s="3" t="s">
        <v>25</v>
      </c>
      <c r="C124" s="12" t="s">
        <v>136</v>
      </c>
      <c r="D124" s="13">
        <v>57451.0</v>
      </c>
      <c r="E124" s="4">
        <v>45131.0</v>
      </c>
      <c r="F124" s="4" t="str">
        <f>IF(D124="","", IFNA(VLOOKUP(D124, SATCAT_DECAY!A:B, 2, FALSE), ""))
</f>
        <v/>
      </c>
      <c r="G124" s="3" t="str">
        <f t="shared" si="1"/>
        <v>ACTIVE</v>
      </c>
    </row>
    <row r="125" ht="22.5" customHeight="1">
      <c r="A125" s="11" t="str">
        <f t="array" ref="A125">IFERROR(
  INDEX('Starlink Launches'!$A:$A, MATCH($E125, 'Starlink Launches'!$B:$B, 0)),
  ""
)
</f>
        <v>6-7</v>
      </c>
      <c r="B125" s="3" t="s">
        <v>25</v>
      </c>
      <c r="C125" s="12" t="s">
        <v>137</v>
      </c>
      <c r="D125" s="13">
        <v>57457.0</v>
      </c>
      <c r="E125" s="4">
        <v>45135.0</v>
      </c>
      <c r="F125" s="4" t="str">
        <f>IF(D125="","", IFNA(VLOOKUP(D125, SATCAT_DECAY!A:B, 2, FALSE), ""))
</f>
        <v/>
      </c>
      <c r="G125" s="3" t="str">
        <f t="shared" si="1"/>
        <v>ACTIVE</v>
      </c>
    </row>
    <row r="126" ht="22.5" customHeight="1">
      <c r="A126" s="11" t="str">
        <f t="array" ref="A126">IFERROR(
  INDEX('Starlink Launches'!$A:$A, MATCH($E126, 'Starlink Launches'!$B:$B, 0)),
  ""
)
</f>
        <v>6-7</v>
      </c>
      <c r="B126" s="3" t="s">
        <v>25</v>
      </c>
      <c r="C126" s="12" t="s">
        <v>138</v>
      </c>
      <c r="D126" s="13">
        <v>57458.0</v>
      </c>
      <c r="E126" s="4">
        <v>45135.0</v>
      </c>
      <c r="F126" s="4" t="str">
        <f>IF(D126="","", IFNA(VLOOKUP(D126, SATCAT_DECAY!A:B, 2, FALSE), ""))
</f>
        <v/>
      </c>
      <c r="G126" s="3" t="str">
        <f t="shared" si="1"/>
        <v>ACTIVE</v>
      </c>
    </row>
    <row r="127" ht="22.5" customHeight="1">
      <c r="A127" s="11" t="str">
        <f t="array" ref="A127">IFERROR(
  INDEX('Starlink Launches'!$A:$A, MATCH($E127, 'Starlink Launches'!$B:$B, 0)),
  ""
)
</f>
        <v>6-7</v>
      </c>
      <c r="B127" s="3" t="s">
        <v>25</v>
      </c>
      <c r="C127" s="12" t="s">
        <v>139</v>
      </c>
      <c r="D127" s="13">
        <v>57459.0</v>
      </c>
      <c r="E127" s="4">
        <v>45135.0</v>
      </c>
      <c r="F127" s="4" t="str">
        <f>IF(D127="","", IFNA(VLOOKUP(D127, SATCAT_DECAY!A:B, 2, FALSE), ""))
</f>
        <v/>
      </c>
      <c r="G127" s="3" t="str">
        <f t="shared" si="1"/>
        <v>ACTIVE</v>
      </c>
    </row>
    <row r="128" ht="22.5" customHeight="1">
      <c r="A128" s="11" t="str">
        <f t="array" ref="A128">IFERROR(
  INDEX('Starlink Launches'!$A:$A, MATCH($E128, 'Starlink Launches'!$B:$B, 0)),
  ""
)
</f>
        <v>6-7</v>
      </c>
      <c r="B128" s="3" t="s">
        <v>25</v>
      </c>
      <c r="C128" s="12" t="s">
        <v>140</v>
      </c>
      <c r="D128" s="13">
        <v>57460.0</v>
      </c>
      <c r="E128" s="4">
        <v>45135.0</v>
      </c>
      <c r="F128" s="4" t="str">
        <f>IF(D128="","", IFNA(VLOOKUP(D128, SATCAT_DECAY!A:B, 2, FALSE), ""))
</f>
        <v/>
      </c>
      <c r="G128" s="3" t="str">
        <f t="shared" si="1"/>
        <v>ACTIVE</v>
      </c>
    </row>
    <row r="129" ht="22.5" customHeight="1">
      <c r="A129" s="11" t="str">
        <f t="array" ref="A129">IFERROR(
  INDEX('Starlink Launches'!$A:$A, MATCH($E129, 'Starlink Launches'!$B:$B, 0)),
  ""
)
</f>
        <v>6-7</v>
      </c>
      <c r="B129" s="3" t="s">
        <v>25</v>
      </c>
      <c r="C129" s="12" t="s">
        <v>141</v>
      </c>
      <c r="D129" s="13">
        <v>57461.0</v>
      </c>
      <c r="E129" s="4">
        <v>45135.0</v>
      </c>
      <c r="F129" s="4" t="str">
        <f>IF(D129="","", IFNA(VLOOKUP(D129, SATCAT_DECAY!A:B, 2, FALSE), ""))
</f>
        <v/>
      </c>
      <c r="G129" s="3" t="str">
        <f t="shared" si="1"/>
        <v>ACTIVE</v>
      </c>
    </row>
    <row r="130" ht="22.5" customHeight="1">
      <c r="A130" s="11" t="str">
        <f t="array" ref="A130">IFERROR(
  INDEX('Starlink Launches'!$A:$A, MATCH($E130, 'Starlink Launches'!$B:$B, 0)),
  ""
)
</f>
        <v>6-7</v>
      </c>
      <c r="B130" s="3" t="s">
        <v>25</v>
      </c>
      <c r="C130" s="12" t="s">
        <v>142</v>
      </c>
      <c r="D130" s="13">
        <v>57462.0</v>
      </c>
      <c r="E130" s="4">
        <v>45135.0</v>
      </c>
      <c r="F130" s="4" t="str">
        <f>IF(D130="","", IFNA(VLOOKUP(D130, SATCAT_DECAY!A:B, 2, FALSE), ""))
</f>
        <v/>
      </c>
      <c r="G130" s="3" t="str">
        <f t="shared" si="1"/>
        <v>ACTIVE</v>
      </c>
    </row>
    <row r="131" ht="22.5" customHeight="1">
      <c r="A131" s="11" t="str">
        <f t="array" ref="A131">IFERROR(
  INDEX('Starlink Launches'!$A:$A, MATCH($E131, 'Starlink Launches'!$B:$B, 0)),
  ""
)
</f>
        <v>6-7</v>
      </c>
      <c r="B131" s="3" t="s">
        <v>25</v>
      </c>
      <c r="C131" s="12" t="s">
        <v>143</v>
      </c>
      <c r="D131" s="13">
        <v>57463.0</v>
      </c>
      <c r="E131" s="4">
        <v>45135.0</v>
      </c>
      <c r="F131" s="4" t="str">
        <f>IF(D131="","", IFNA(VLOOKUP(D131, SATCAT_DECAY!A:B, 2, FALSE), ""))
</f>
        <v/>
      </c>
      <c r="G131" s="3" t="str">
        <f t="shared" si="1"/>
        <v>ACTIVE</v>
      </c>
    </row>
    <row r="132" ht="22.5" hidden="1" customHeight="1">
      <c r="A132" s="11" t="str">
        <f t="array" ref="A132">IFERROR(
  INDEX('Starlink Launches'!$A:$A, MATCH($E132, 'Starlink Launches'!$B:$B, 0)),
  ""
)
</f>
        <v>6-7</v>
      </c>
      <c r="B132" s="3" t="s">
        <v>25</v>
      </c>
      <c r="C132" s="12" t="s">
        <v>144</v>
      </c>
      <c r="D132" s="13">
        <v>57464.0</v>
      </c>
      <c r="E132" s="4">
        <v>45135.0</v>
      </c>
      <c r="F132" s="4">
        <f>IF(D132="","", IFNA(VLOOKUP(D132, SATCAT_DECAY!A:B, 2, FALSE), ""))
</f>
        <v>45806</v>
      </c>
      <c r="G132" s="3" t="str">
        <f t="shared" si="1"/>
        <v>DECAYED</v>
      </c>
    </row>
    <row r="133" ht="22.5" customHeight="1">
      <c r="A133" s="11" t="str">
        <f t="array" ref="A133">IFERROR(
  INDEX('Starlink Launches'!$A:$A, MATCH($E133, 'Starlink Launches'!$B:$B, 0)),
  ""
)
</f>
        <v>6-7</v>
      </c>
      <c r="B133" s="3" t="s">
        <v>25</v>
      </c>
      <c r="C133" s="12" t="s">
        <v>145</v>
      </c>
      <c r="D133" s="13">
        <v>57465.0</v>
      </c>
      <c r="E133" s="4">
        <v>45135.0</v>
      </c>
      <c r="F133" s="4" t="str">
        <f>IF(D133="","", IFNA(VLOOKUP(D133, SATCAT_DECAY!A:B, 2, FALSE), ""))
</f>
        <v/>
      </c>
      <c r="G133" s="3" t="str">
        <f t="shared" si="1"/>
        <v>ACTIVE</v>
      </c>
    </row>
    <row r="134" ht="22.5" hidden="1" customHeight="1">
      <c r="A134" s="11" t="str">
        <f t="array" ref="A134">IFERROR(
  INDEX('Starlink Launches'!$A:$A, MATCH($E134, 'Starlink Launches'!$B:$B, 0)),
  ""
)
</f>
        <v>6-7</v>
      </c>
      <c r="B134" s="3" t="s">
        <v>25</v>
      </c>
      <c r="C134" s="12" t="s">
        <v>146</v>
      </c>
      <c r="D134" s="13">
        <v>57466.0</v>
      </c>
      <c r="E134" s="4">
        <v>45135.0</v>
      </c>
      <c r="F134" s="4">
        <f>IF(D134="","", IFNA(VLOOKUP(D134, SATCAT_DECAY!A:B, 2, FALSE), ""))
</f>
        <v>45216</v>
      </c>
      <c r="G134" s="3" t="str">
        <f t="shared" si="1"/>
        <v>DECAYED</v>
      </c>
    </row>
    <row r="135" ht="22.5" customHeight="1">
      <c r="A135" s="11" t="str">
        <f t="array" ref="A135">IFERROR(
  INDEX('Starlink Launches'!$A:$A, MATCH($E135, 'Starlink Launches'!$B:$B, 0)),
  ""
)
</f>
        <v>6-7</v>
      </c>
      <c r="B135" s="3" t="s">
        <v>25</v>
      </c>
      <c r="C135" s="12" t="s">
        <v>147</v>
      </c>
      <c r="D135" s="13">
        <v>57467.0</v>
      </c>
      <c r="E135" s="4">
        <v>45135.0</v>
      </c>
      <c r="F135" s="4" t="str">
        <f>IF(D135="","", IFNA(VLOOKUP(D135, SATCAT_DECAY!A:B, 2, FALSE), ""))
</f>
        <v/>
      </c>
      <c r="G135" s="3" t="str">
        <f t="shared" si="1"/>
        <v>ACTIVE</v>
      </c>
    </row>
    <row r="136" ht="22.5" customHeight="1">
      <c r="A136" s="11" t="str">
        <f t="array" ref="A136">IFERROR(
  INDEX('Starlink Launches'!$A:$A, MATCH($E136, 'Starlink Launches'!$B:$B, 0)),
  ""
)
</f>
        <v>6-7</v>
      </c>
      <c r="B136" s="3" t="s">
        <v>25</v>
      </c>
      <c r="C136" s="12" t="s">
        <v>148</v>
      </c>
      <c r="D136" s="13">
        <v>57468.0</v>
      </c>
      <c r="E136" s="4">
        <v>45135.0</v>
      </c>
      <c r="F136" s="4" t="str">
        <f>IF(D136="","", IFNA(VLOOKUP(D136, SATCAT_DECAY!A:B, 2, FALSE), ""))
</f>
        <v/>
      </c>
      <c r="G136" s="3" t="str">
        <f t="shared" si="1"/>
        <v>ACTIVE</v>
      </c>
    </row>
    <row r="137" ht="22.5" customHeight="1">
      <c r="A137" s="11" t="str">
        <f t="array" ref="A137">IFERROR(
  INDEX('Starlink Launches'!$A:$A, MATCH($E137, 'Starlink Launches'!$B:$B, 0)),
  ""
)
</f>
        <v>6-7</v>
      </c>
      <c r="B137" s="3" t="s">
        <v>25</v>
      </c>
      <c r="C137" s="12" t="s">
        <v>149</v>
      </c>
      <c r="D137" s="13">
        <v>57469.0</v>
      </c>
      <c r="E137" s="4">
        <v>45135.0</v>
      </c>
      <c r="F137" s="4" t="str">
        <f>IF(D137="","", IFNA(VLOOKUP(D137, SATCAT_DECAY!A:B, 2, FALSE), ""))
</f>
        <v/>
      </c>
      <c r="G137" s="3" t="str">
        <f t="shared" si="1"/>
        <v>ACTIVE</v>
      </c>
    </row>
    <row r="138" ht="22.5" customHeight="1">
      <c r="A138" s="11" t="str">
        <f t="array" ref="A138">IFERROR(
  INDEX('Starlink Launches'!$A:$A, MATCH($E138, 'Starlink Launches'!$B:$B, 0)),
  ""
)
</f>
        <v>6-7</v>
      </c>
      <c r="B138" s="3" t="s">
        <v>25</v>
      </c>
      <c r="C138" s="12" t="s">
        <v>150</v>
      </c>
      <c r="D138" s="13">
        <v>57470.0</v>
      </c>
      <c r="E138" s="4">
        <v>45135.0</v>
      </c>
      <c r="F138" s="4" t="str">
        <f>IF(D138="","", IFNA(VLOOKUP(D138, SATCAT_DECAY!A:B, 2, FALSE), ""))
</f>
        <v/>
      </c>
      <c r="G138" s="3" t="str">
        <f t="shared" si="1"/>
        <v>ACTIVE</v>
      </c>
    </row>
    <row r="139" ht="22.5" hidden="1" customHeight="1">
      <c r="A139" s="11" t="str">
        <f t="array" ref="A139">IFERROR(
  INDEX('Starlink Launches'!$A:$A, MATCH($E139, 'Starlink Launches'!$B:$B, 0)),
  ""
)
</f>
        <v>6-7</v>
      </c>
      <c r="B139" s="3" t="s">
        <v>25</v>
      </c>
      <c r="C139" s="12" t="s">
        <v>151</v>
      </c>
      <c r="D139" s="13">
        <v>57471.0</v>
      </c>
      <c r="E139" s="4">
        <v>45135.0</v>
      </c>
      <c r="F139" s="4">
        <f>IF(D139="","", IFNA(VLOOKUP(D139, SATCAT_DECAY!A:B, 2, FALSE), ""))
</f>
        <v>46002</v>
      </c>
      <c r="G139" s="3" t="str">
        <f t="shared" si="1"/>
        <v>DECAYED</v>
      </c>
    </row>
    <row r="140" ht="22.5" customHeight="1">
      <c r="A140" s="11" t="str">
        <f t="array" ref="A140">IFERROR(
  INDEX('Starlink Launches'!$A:$A, MATCH($E140, 'Starlink Launches'!$B:$B, 0)),
  ""
)
</f>
        <v>6-7</v>
      </c>
      <c r="B140" s="3" t="s">
        <v>25</v>
      </c>
      <c r="C140" s="12" t="s">
        <v>152</v>
      </c>
      <c r="D140" s="13">
        <v>57472.0</v>
      </c>
      <c r="E140" s="4">
        <v>45135.0</v>
      </c>
      <c r="F140" s="4" t="str">
        <f>IF(D140="","", IFNA(VLOOKUP(D140, SATCAT_DECAY!A:B, 2, FALSE), ""))
</f>
        <v/>
      </c>
      <c r="G140" s="3" t="str">
        <f t="shared" si="1"/>
        <v>ACTIVE</v>
      </c>
    </row>
    <row r="141" ht="22.5" customHeight="1">
      <c r="A141" s="11" t="str">
        <f t="array" ref="A141">IFERROR(
  INDEX('Starlink Launches'!$A:$A, MATCH($E141, 'Starlink Launches'!$B:$B, 0)),
  ""
)
</f>
        <v>6-7</v>
      </c>
      <c r="B141" s="3" t="s">
        <v>25</v>
      </c>
      <c r="C141" s="12" t="s">
        <v>153</v>
      </c>
      <c r="D141" s="13">
        <v>57473.0</v>
      </c>
      <c r="E141" s="4">
        <v>45135.0</v>
      </c>
      <c r="F141" s="4" t="str">
        <f>IF(D141="","", IFNA(VLOOKUP(D141, SATCAT_DECAY!A:B, 2, FALSE), ""))
</f>
        <v/>
      </c>
      <c r="G141" s="3" t="str">
        <f t="shared" si="1"/>
        <v>ACTIVE</v>
      </c>
    </row>
    <row r="142" ht="22.5" customHeight="1">
      <c r="A142" s="11" t="str">
        <f t="array" ref="A142">IFERROR(
  INDEX('Starlink Launches'!$A:$A, MATCH($E142, 'Starlink Launches'!$B:$B, 0)),
  ""
)
</f>
        <v>6-7</v>
      </c>
      <c r="B142" s="3" t="s">
        <v>25</v>
      </c>
      <c r="C142" s="12" t="s">
        <v>154</v>
      </c>
      <c r="D142" s="13">
        <v>57474.0</v>
      </c>
      <c r="E142" s="4">
        <v>45135.0</v>
      </c>
      <c r="F142" s="4" t="str">
        <f>IF(D142="","", IFNA(VLOOKUP(D142, SATCAT_DECAY!A:B, 2, FALSE), ""))
</f>
        <v/>
      </c>
      <c r="G142" s="3" t="str">
        <f t="shared" si="1"/>
        <v>ACTIVE</v>
      </c>
    </row>
    <row r="143" ht="22.5" customHeight="1">
      <c r="A143" s="11" t="str">
        <f t="array" ref="A143">IFERROR(
  INDEX('Starlink Launches'!$A:$A, MATCH($E143, 'Starlink Launches'!$B:$B, 0)),
  ""
)
</f>
        <v>6-7</v>
      </c>
      <c r="B143" s="3" t="s">
        <v>25</v>
      </c>
      <c r="C143" s="12" t="s">
        <v>155</v>
      </c>
      <c r="D143" s="13">
        <v>57475.0</v>
      </c>
      <c r="E143" s="4">
        <v>45135.0</v>
      </c>
      <c r="F143" s="4" t="str">
        <f>IF(D143="","", IFNA(VLOOKUP(D143, SATCAT_DECAY!A:B, 2, FALSE), ""))
</f>
        <v/>
      </c>
      <c r="G143" s="3" t="str">
        <f t="shared" si="1"/>
        <v>ACTIVE</v>
      </c>
    </row>
    <row r="144" ht="22.5" customHeight="1">
      <c r="A144" s="11" t="str">
        <f t="array" ref="A144">IFERROR(
  INDEX('Starlink Launches'!$A:$A, MATCH($E144, 'Starlink Launches'!$B:$B, 0)),
  ""
)
</f>
        <v>6-7</v>
      </c>
      <c r="B144" s="3" t="s">
        <v>25</v>
      </c>
      <c r="C144" s="12" t="s">
        <v>156</v>
      </c>
      <c r="D144" s="13">
        <v>57476.0</v>
      </c>
      <c r="E144" s="4">
        <v>45135.0</v>
      </c>
      <c r="F144" s="4" t="str">
        <f>IF(D144="","", IFNA(VLOOKUP(D144, SATCAT_DECAY!A:B, 2, FALSE), ""))
</f>
        <v/>
      </c>
      <c r="G144" s="3" t="str">
        <f t="shared" si="1"/>
        <v>ACTIVE</v>
      </c>
    </row>
    <row r="145" ht="22.5" customHeight="1">
      <c r="A145" s="11" t="str">
        <f t="array" ref="A145">IFERROR(
  INDEX('Starlink Launches'!$A:$A, MATCH($E145, 'Starlink Launches'!$B:$B, 0)),
  ""
)
</f>
        <v>6-7</v>
      </c>
      <c r="B145" s="3" t="s">
        <v>25</v>
      </c>
      <c r="C145" s="12" t="s">
        <v>157</v>
      </c>
      <c r="D145" s="13">
        <v>57477.0</v>
      </c>
      <c r="E145" s="4">
        <v>45135.0</v>
      </c>
      <c r="F145" s="4" t="str">
        <f>IF(D145="","", IFNA(VLOOKUP(D145, SATCAT_DECAY!A:B, 2, FALSE), ""))
</f>
        <v/>
      </c>
      <c r="G145" s="3" t="str">
        <f t="shared" si="1"/>
        <v>ACTIVE</v>
      </c>
    </row>
    <row r="146" ht="22.5" hidden="1" customHeight="1">
      <c r="A146" s="11" t="str">
        <f t="array" ref="A146">IFERROR(
  INDEX('Starlink Launches'!$A:$A, MATCH($E146, 'Starlink Launches'!$B:$B, 0)),
  ""
)
</f>
        <v>6-7</v>
      </c>
      <c r="B146" s="3" t="s">
        <v>25</v>
      </c>
      <c r="C146" s="12" t="s">
        <v>158</v>
      </c>
      <c r="D146" s="13">
        <v>57478.0</v>
      </c>
      <c r="E146" s="4">
        <v>45135.0</v>
      </c>
      <c r="F146" s="4">
        <f>IF(D146="","", IFNA(VLOOKUP(D146, SATCAT_DECAY!A:B, 2, FALSE), ""))
</f>
        <v>45176</v>
      </c>
      <c r="G146" s="3" t="str">
        <f t="shared" si="1"/>
        <v>DECAYED</v>
      </c>
    </row>
    <row r="147" ht="22.5" customHeight="1">
      <c r="A147" s="11" t="str">
        <f t="array" ref="A147">IFERROR(
  INDEX('Starlink Launches'!$A:$A, MATCH($E147, 'Starlink Launches'!$B:$B, 0)),
  ""
)
</f>
        <v>6-8</v>
      </c>
      <c r="B147" s="3" t="s">
        <v>25</v>
      </c>
      <c r="C147" s="12" t="s">
        <v>159</v>
      </c>
      <c r="D147" s="13">
        <v>57495.0</v>
      </c>
      <c r="E147" s="4">
        <v>45145.0</v>
      </c>
      <c r="F147" s="4" t="str">
        <f>IF(D147="","", IFNA(VLOOKUP(D147, SATCAT_DECAY!A:B, 2, FALSE), ""))
</f>
        <v/>
      </c>
      <c r="G147" s="3" t="str">
        <f t="shared" si="1"/>
        <v>ACTIVE</v>
      </c>
    </row>
    <row r="148" ht="22.5" customHeight="1">
      <c r="A148" s="11" t="str">
        <f t="array" ref="A148">IFERROR(
  INDEX('Starlink Launches'!$A:$A, MATCH($E148, 'Starlink Launches'!$B:$B, 0)),
  ""
)
</f>
        <v>6-8</v>
      </c>
      <c r="B148" s="3" t="s">
        <v>25</v>
      </c>
      <c r="C148" s="12" t="s">
        <v>160</v>
      </c>
      <c r="D148" s="13">
        <v>57496.0</v>
      </c>
      <c r="E148" s="4">
        <v>45145.0</v>
      </c>
      <c r="F148" s="4" t="str">
        <f>IF(D148="","", IFNA(VLOOKUP(D148, SATCAT_DECAY!A:B, 2, FALSE), ""))
</f>
        <v/>
      </c>
      <c r="G148" s="3" t="str">
        <f t="shared" si="1"/>
        <v>ACTIVE</v>
      </c>
    </row>
    <row r="149" ht="22.5" customHeight="1">
      <c r="A149" s="11" t="str">
        <f t="array" ref="A149">IFERROR(
  INDEX('Starlink Launches'!$A:$A, MATCH($E149, 'Starlink Launches'!$B:$B, 0)),
  ""
)
</f>
        <v>6-8</v>
      </c>
      <c r="B149" s="3" t="s">
        <v>25</v>
      </c>
      <c r="C149" s="12" t="s">
        <v>161</v>
      </c>
      <c r="D149" s="13">
        <v>57497.0</v>
      </c>
      <c r="E149" s="4">
        <v>45145.0</v>
      </c>
      <c r="F149" s="4" t="str">
        <f>IF(D149="","", IFNA(VLOOKUP(D149, SATCAT_DECAY!A:B, 2, FALSE), ""))
</f>
        <v/>
      </c>
      <c r="G149" s="3" t="str">
        <f t="shared" si="1"/>
        <v>ACTIVE</v>
      </c>
    </row>
    <row r="150" ht="22.5" customHeight="1">
      <c r="A150" s="11" t="str">
        <f t="array" ref="A150">IFERROR(
  INDEX('Starlink Launches'!$A:$A, MATCH($E150, 'Starlink Launches'!$B:$B, 0)),
  ""
)
</f>
        <v>6-8</v>
      </c>
      <c r="B150" s="3" t="s">
        <v>25</v>
      </c>
      <c r="C150" s="12" t="s">
        <v>162</v>
      </c>
      <c r="D150" s="13">
        <v>57498.0</v>
      </c>
      <c r="E150" s="4">
        <v>45145.0</v>
      </c>
      <c r="F150" s="4" t="str">
        <f>IF(D150="","", IFNA(VLOOKUP(D150, SATCAT_DECAY!A:B, 2, FALSE), ""))
</f>
        <v/>
      </c>
      <c r="G150" s="3" t="str">
        <f t="shared" si="1"/>
        <v>ACTIVE</v>
      </c>
    </row>
    <row r="151" ht="22.5" customHeight="1">
      <c r="A151" s="11" t="str">
        <f t="array" ref="A151">IFERROR(
  INDEX('Starlink Launches'!$A:$A, MATCH($E151, 'Starlink Launches'!$B:$B, 0)),
  ""
)
</f>
        <v>6-8</v>
      </c>
      <c r="B151" s="3" t="s">
        <v>25</v>
      </c>
      <c r="C151" s="12" t="s">
        <v>163</v>
      </c>
      <c r="D151" s="13">
        <v>57499.0</v>
      </c>
      <c r="E151" s="4">
        <v>45145.0</v>
      </c>
      <c r="F151" s="4" t="str">
        <f>IF(D151="","", IFNA(VLOOKUP(D151, SATCAT_DECAY!A:B, 2, FALSE), ""))
</f>
        <v/>
      </c>
      <c r="G151" s="3" t="str">
        <f t="shared" si="1"/>
        <v>ACTIVE</v>
      </c>
    </row>
    <row r="152" ht="22.5" customHeight="1">
      <c r="A152" s="11" t="str">
        <f t="array" ref="A152">IFERROR(
  INDEX('Starlink Launches'!$A:$A, MATCH($E152, 'Starlink Launches'!$B:$B, 0)),
  ""
)
</f>
        <v>6-8</v>
      </c>
      <c r="B152" s="3" t="s">
        <v>25</v>
      </c>
      <c r="C152" s="12" t="s">
        <v>164</v>
      </c>
      <c r="D152" s="13">
        <v>57500.0</v>
      </c>
      <c r="E152" s="4">
        <v>45145.0</v>
      </c>
      <c r="F152" s="4" t="str">
        <f>IF(D152="","", IFNA(VLOOKUP(D152, SATCAT_DECAY!A:B, 2, FALSE), ""))
</f>
        <v/>
      </c>
      <c r="G152" s="3" t="str">
        <f t="shared" si="1"/>
        <v>ACTIVE</v>
      </c>
    </row>
    <row r="153" ht="22.5" customHeight="1">
      <c r="A153" s="11" t="str">
        <f t="array" ref="A153">IFERROR(
  INDEX('Starlink Launches'!$A:$A, MATCH($E153, 'Starlink Launches'!$B:$B, 0)),
  ""
)
</f>
        <v>6-8</v>
      </c>
      <c r="B153" s="3" t="s">
        <v>25</v>
      </c>
      <c r="C153" s="12" t="s">
        <v>165</v>
      </c>
      <c r="D153" s="13">
        <v>57501.0</v>
      </c>
      <c r="E153" s="4">
        <v>45145.0</v>
      </c>
      <c r="F153" s="4" t="str">
        <f>IF(D153="","", IFNA(VLOOKUP(D153, SATCAT_DECAY!A:B, 2, FALSE), ""))
</f>
        <v/>
      </c>
      <c r="G153" s="3" t="str">
        <f t="shared" si="1"/>
        <v>ACTIVE</v>
      </c>
    </row>
    <row r="154" ht="22.5" customHeight="1">
      <c r="A154" s="11" t="str">
        <f t="array" ref="A154">IFERROR(
  INDEX('Starlink Launches'!$A:$A, MATCH($E154, 'Starlink Launches'!$B:$B, 0)),
  ""
)
</f>
        <v>6-8</v>
      </c>
      <c r="B154" s="3" t="s">
        <v>25</v>
      </c>
      <c r="C154" s="12" t="s">
        <v>166</v>
      </c>
      <c r="D154" s="13">
        <v>57503.0</v>
      </c>
      <c r="E154" s="4">
        <v>45145.0</v>
      </c>
      <c r="F154" s="4" t="str">
        <f>IF(D154="","", IFNA(VLOOKUP(D154, SATCAT_DECAY!A:B, 2, FALSE), ""))
</f>
        <v/>
      </c>
      <c r="G154" s="3" t="str">
        <f t="shared" si="1"/>
        <v>ACTIVE</v>
      </c>
    </row>
    <row r="155" ht="22.5" customHeight="1">
      <c r="A155" s="11" t="str">
        <f t="array" ref="A155">IFERROR(
  INDEX('Starlink Launches'!$A:$A, MATCH($E155, 'Starlink Launches'!$B:$B, 0)),
  ""
)
</f>
        <v>6-8</v>
      </c>
      <c r="B155" s="3" t="s">
        <v>25</v>
      </c>
      <c r="C155" s="12" t="s">
        <v>167</v>
      </c>
      <c r="D155" s="13">
        <v>57504.0</v>
      </c>
      <c r="E155" s="4">
        <v>45145.0</v>
      </c>
      <c r="F155" s="4" t="str">
        <f>IF(D155="","", IFNA(VLOOKUP(D155, SATCAT_DECAY!A:B, 2, FALSE), ""))
</f>
        <v/>
      </c>
      <c r="G155" s="3" t="str">
        <f t="shared" si="1"/>
        <v>ACTIVE</v>
      </c>
    </row>
    <row r="156" ht="22.5" customHeight="1">
      <c r="A156" s="11" t="str">
        <f t="array" ref="A156">IFERROR(
  INDEX('Starlink Launches'!$A:$A, MATCH($E156, 'Starlink Launches'!$B:$B, 0)),
  ""
)
</f>
        <v>6-8</v>
      </c>
      <c r="B156" s="3" t="s">
        <v>25</v>
      </c>
      <c r="C156" s="12" t="s">
        <v>168</v>
      </c>
      <c r="D156" s="13">
        <v>57505.0</v>
      </c>
      <c r="E156" s="4">
        <v>45145.0</v>
      </c>
      <c r="F156" s="4" t="str">
        <f>IF(D156="","", IFNA(VLOOKUP(D156, SATCAT_DECAY!A:B, 2, FALSE), ""))
</f>
        <v/>
      </c>
      <c r="G156" s="3" t="str">
        <f t="shared" si="1"/>
        <v>ACTIVE</v>
      </c>
    </row>
    <row r="157" ht="22.5" customHeight="1">
      <c r="A157" s="11" t="str">
        <f t="array" ref="A157">IFERROR(
  INDEX('Starlink Launches'!$A:$A, MATCH($E157, 'Starlink Launches'!$B:$B, 0)),
  ""
)
</f>
        <v>6-8</v>
      </c>
      <c r="B157" s="3" t="s">
        <v>25</v>
      </c>
      <c r="C157" s="12" t="s">
        <v>169</v>
      </c>
      <c r="D157" s="13">
        <v>57506.0</v>
      </c>
      <c r="E157" s="4">
        <v>45145.0</v>
      </c>
      <c r="F157" s="4" t="str">
        <f>IF(D157="","", IFNA(VLOOKUP(D157, SATCAT_DECAY!A:B, 2, FALSE), ""))
</f>
        <v/>
      </c>
      <c r="G157" s="3" t="str">
        <f t="shared" si="1"/>
        <v>ACTIVE</v>
      </c>
    </row>
    <row r="158" ht="22.5" customHeight="1">
      <c r="A158" s="11" t="str">
        <f t="array" ref="A158">IFERROR(
  INDEX('Starlink Launches'!$A:$A, MATCH($E158, 'Starlink Launches'!$B:$B, 0)),
  ""
)
</f>
        <v>6-8</v>
      </c>
      <c r="B158" s="3" t="s">
        <v>25</v>
      </c>
      <c r="C158" s="12" t="s">
        <v>170</v>
      </c>
      <c r="D158" s="13">
        <v>57507.0</v>
      </c>
      <c r="E158" s="4">
        <v>45145.0</v>
      </c>
      <c r="F158" s="4" t="str">
        <f>IF(D158="","", IFNA(VLOOKUP(D158, SATCAT_DECAY!A:B, 2, FALSE), ""))
</f>
        <v/>
      </c>
      <c r="G158" s="3" t="str">
        <f t="shared" si="1"/>
        <v>ACTIVE</v>
      </c>
    </row>
    <row r="159" ht="22.5" customHeight="1">
      <c r="A159" s="11" t="str">
        <f t="array" ref="A159">IFERROR(
  INDEX('Starlink Launches'!$A:$A, MATCH($E159, 'Starlink Launches'!$B:$B, 0)),
  ""
)
</f>
        <v>6-8</v>
      </c>
      <c r="B159" s="3" t="s">
        <v>25</v>
      </c>
      <c r="C159" s="12" t="s">
        <v>171</v>
      </c>
      <c r="D159" s="13">
        <v>57508.0</v>
      </c>
      <c r="E159" s="4">
        <v>45145.0</v>
      </c>
      <c r="F159" s="4" t="str">
        <f>IF(D159="","", IFNA(VLOOKUP(D159, SATCAT_DECAY!A:B, 2, FALSE), ""))
</f>
        <v/>
      </c>
      <c r="G159" s="3" t="str">
        <f t="shared" si="1"/>
        <v>ACTIVE</v>
      </c>
    </row>
    <row r="160" ht="22.5" customHeight="1">
      <c r="A160" s="11" t="str">
        <f t="array" ref="A160">IFERROR(
  INDEX('Starlink Launches'!$A:$A, MATCH($E160, 'Starlink Launches'!$B:$B, 0)),
  ""
)
</f>
        <v>6-8</v>
      </c>
      <c r="B160" s="3" t="s">
        <v>25</v>
      </c>
      <c r="C160" s="12" t="s">
        <v>172</v>
      </c>
      <c r="D160" s="13">
        <v>57509.0</v>
      </c>
      <c r="E160" s="4">
        <v>45145.0</v>
      </c>
      <c r="F160" s="4" t="str">
        <f>IF(D160="","", IFNA(VLOOKUP(D160, SATCAT_DECAY!A:B, 2, FALSE), ""))
</f>
        <v/>
      </c>
      <c r="G160" s="3" t="str">
        <f t="shared" si="1"/>
        <v>ACTIVE</v>
      </c>
    </row>
    <row r="161" ht="22.5" customHeight="1">
      <c r="A161" s="11" t="str">
        <f t="array" ref="A161">IFERROR(
  INDEX('Starlink Launches'!$A:$A, MATCH($E161, 'Starlink Launches'!$B:$B, 0)),
  ""
)
</f>
        <v>6-8</v>
      </c>
      <c r="B161" s="3" t="s">
        <v>25</v>
      </c>
      <c r="C161" s="12" t="s">
        <v>173</v>
      </c>
      <c r="D161" s="13">
        <v>57510.0</v>
      </c>
      <c r="E161" s="4">
        <v>45145.0</v>
      </c>
      <c r="F161" s="4" t="str">
        <f>IF(D161="","", IFNA(VLOOKUP(D161, SATCAT_DECAY!A:B, 2, FALSE), ""))
</f>
        <v/>
      </c>
      <c r="G161" s="3" t="str">
        <f t="shared" si="1"/>
        <v>ACTIVE</v>
      </c>
    </row>
    <row r="162" ht="22.5" customHeight="1">
      <c r="A162" s="11" t="str">
        <f t="array" ref="A162">IFERROR(
  INDEX('Starlink Launches'!$A:$A, MATCH($E162, 'Starlink Launches'!$B:$B, 0)),
  ""
)
</f>
        <v>6-8</v>
      </c>
      <c r="B162" s="3" t="s">
        <v>25</v>
      </c>
      <c r="C162" s="12" t="s">
        <v>174</v>
      </c>
      <c r="D162" s="13">
        <v>57511.0</v>
      </c>
      <c r="E162" s="4">
        <v>45145.0</v>
      </c>
      <c r="F162" s="4" t="str">
        <f>IF(D162="","", IFNA(VLOOKUP(D162, SATCAT_DECAY!A:B, 2, FALSE), ""))
</f>
        <v/>
      </c>
      <c r="G162" s="3" t="str">
        <f t="shared" si="1"/>
        <v>ACTIVE</v>
      </c>
    </row>
    <row r="163" ht="22.5" customHeight="1">
      <c r="A163" s="11" t="str">
        <f t="array" ref="A163">IFERROR(
  INDEX('Starlink Launches'!$A:$A, MATCH($E163, 'Starlink Launches'!$B:$B, 0)),
  ""
)
</f>
        <v>6-8</v>
      </c>
      <c r="B163" s="3" t="s">
        <v>25</v>
      </c>
      <c r="C163" s="12" t="s">
        <v>175</v>
      </c>
      <c r="D163" s="13">
        <v>57512.0</v>
      </c>
      <c r="E163" s="4">
        <v>45145.0</v>
      </c>
      <c r="F163" s="4" t="str">
        <f>IF(D163="","", IFNA(VLOOKUP(D163, SATCAT_DECAY!A:B, 2, FALSE), ""))
</f>
        <v/>
      </c>
      <c r="G163" s="3" t="str">
        <f t="shared" si="1"/>
        <v>ACTIVE</v>
      </c>
    </row>
    <row r="164" ht="22.5" customHeight="1">
      <c r="A164" s="11" t="str">
        <f t="array" ref="A164">IFERROR(
  INDEX('Starlink Launches'!$A:$A, MATCH($E164, 'Starlink Launches'!$B:$B, 0)),
  ""
)
</f>
        <v>6-8</v>
      </c>
      <c r="B164" s="3" t="s">
        <v>25</v>
      </c>
      <c r="C164" s="12" t="s">
        <v>176</v>
      </c>
      <c r="D164" s="13">
        <v>57513.0</v>
      </c>
      <c r="E164" s="4">
        <v>45145.0</v>
      </c>
      <c r="F164" s="4" t="str">
        <f>IF(D164="","", IFNA(VLOOKUP(D164, SATCAT_DECAY!A:B, 2, FALSE), ""))
</f>
        <v/>
      </c>
      <c r="G164" s="3" t="str">
        <f t="shared" si="1"/>
        <v>ACTIVE</v>
      </c>
    </row>
    <row r="165" ht="22.5" customHeight="1">
      <c r="A165" s="11" t="str">
        <f t="array" ref="A165">IFERROR(
  INDEX('Starlink Launches'!$A:$A, MATCH($E165, 'Starlink Launches'!$B:$B, 0)),
  ""
)
</f>
        <v>6-8</v>
      </c>
      <c r="B165" s="3" t="s">
        <v>25</v>
      </c>
      <c r="C165" s="12" t="s">
        <v>177</v>
      </c>
      <c r="D165" s="13">
        <v>57514.0</v>
      </c>
      <c r="E165" s="4">
        <v>45145.0</v>
      </c>
      <c r="F165" s="4" t="str">
        <f>IF(D165="","", IFNA(VLOOKUP(D165, SATCAT_DECAY!A:B, 2, FALSE), ""))
</f>
        <v/>
      </c>
      <c r="G165" s="3" t="str">
        <f t="shared" si="1"/>
        <v>ACTIVE</v>
      </c>
    </row>
    <row r="166" ht="22.5" customHeight="1">
      <c r="A166" s="11" t="str">
        <f t="array" ref="A166">IFERROR(
  INDEX('Starlink Launches'!$A:$A, MATCH($E166, 'Starlink Launches'!$B:$B, 0)),
  ""
)
</f>
        <v>6-8</v>
      </c>
      <c r="B166" s="3" t="s">
        <v>25</v>
      </c>
      <c r="C166" s="12" t="s">
        <v>178</v>
      </c>
      <c r="D166" s="13">
        <v>57515.0</v>
      </c>
      <c r="E166" s="4">
        <v>45145.0</v>
      </c>
      <c r="F166" s="4" t="str">
        <f>IF(D166="","", IFNA(VLOOKUP(D166, SATCAT_DECAY!A:B, 2, FALSE), ""))
</f>
        <v/>
      </c>
      <c r="G166" s="3" t="str">
        <f t="shared" si="1"/>
        <v>ACTIVE</v>
      </c>
    </row>
    <row r="167" ht="22.5" customHeight="1">
      <c r="A167" s="11" t="str">
        <f t="array" ref="A167">IFERROR(
  INDEX('Starlink Launches'!$A:$A, MATCH($E167, 'Starlink Launches'!$B:$B, 0)),
  ""
)
</f>
        <v>6-8</v>
      </c>
      <c r="B167" s="3" t="s">
        <v>25</v>
      </c>
      <c r="C167" s="12" t="s">
        <v>179</v>
      </c>
      <c r="D167" s="13">
        <v>57516.0</v>
      </c>
      <c r="E167" s="4">
        <v>45145.0</v>
      </c>
      <c r="F167" s="4" t="str">
        <f>IF(D167="","", IFNA(VLOOKUP(D167, SATCAT_DECAY!A:B, 2, FALSE), ""))
</f>
        <v/>
      </c>
      <c r="G167" s="3" t="str">
        <f t="shared" si="1"/>
        <v>ACTIVE</v>
      </c>
    </row>
    <row r="168" ht="22.5" customHeight="1">
      <c r="A168" s="11" t="str">
        <f t="array" ref="A168">IFERROR(
  INDEX('Starlink Launches'!$A:$A, MATCH($E168, 'Starlink Launches'!$B:$B, 0)),
  ""
)
</f>
        <v>6-20</v>
      </c>
      <c r="B168" s="3" t="s">
        <v>25</v>
      </c>
      <c r="C168" s="12" t="s">
        <v>180</v>
      </c>
      <c r="D168" s="13">
        <v>57521.0</v>
      </c>
      <c r="E168" s="4">
        <v>45146.0</v>
      </c>
      <c r="F168" s="4" t="str">
        <f>IF(D168="","", IFNA(VLOOKUP(D168, SATCAT_DECAY!A:B, 2, FALSE), ""))
</f>
        <v/>
      </c>
      <c r="G168" s="3" t="str">
        <f t="shared" si="1"/>
        <v>ACTIVE</v>
      </c>
    </row>
    <row r="169" ht="22.5" customHeight="1">
      <c r="A169" s="11" t="str">
        <f t="array" ref="A169">IFERROR(
  INDEX('Starlink Launches'!$A:$A, MATCH($E169, 'Starlink Launches'!$B:$B, 0)),
  ""
)
</f>
        <v>6-20</v>
      </c>
      <c r="B169" s="3" t="s">
        <v>25</v>
      </c>
      <c r="C169" s="12" t="s">
        <v>181</v>
      </c>
      <c r="D169" s="13">
        <v>57522.0</v>
      </c>
      <c r="E169" s="4">
        <v>45146.0</v>
      </c>
      <c r="F169" s="4" t="str">
        <f>IF(D169="","", IFNA(VLOOKUP(D169, SATCAT_DECAY!A:B, 2, FALSE), ""))
</f>
        <v/>
      </c>
      <c r="G169" s="3" t="str">
        <f t="shared" si="1"/>
        <v>ACTIVE</v>
      </c>
    </row>
    <row r="170" ht="22.5" customHeight="1">
      <c r="A170" s="11" t="str">
        <f t="array" ref="A170">IFERROR(
  INDEX('Starlink Launches'!$A:$A, MATCH($E170, 'Starlink Launches'!$B:$B, 0)),
  ""
)
</f>
        <v>6-20</v>
      </c>
      <c r="B170" s="3" t="s">
        <v>25</v>
      </c>
      <c r="C170" s="12" t="s">
        <v>182</v>
      </c>
      <c r="D170" s="13">
        <v>57523.0</v>
      </c>
      <c r="E170" s="4">
        <v>45146.0</v>
      </c>
      <c r="F170" s="4" t="str">
        <f>IF(D170="","", IFNA(VLOOKUP(D170, SATCAT_DECAY!A:B, 2, FALSE), ""))
</f>
        <v/>
      </c>
      <c r="G170" s="3" t="str">
        <f t="shared" si="1"/>
        <v>ACTIVE</v>
      </c>
    </row>
    <row r="171" ht="22.5" customHeight="1">
      <c r="A171" s="11" t="str">
        <f t="array" ref="A171">IFERROR(
  INDEX('Starlink Launches'!$A:$A, MATCH($E171, 'Starlink Launches'!$B:$B, 0)),
  ""
)
</f>
        <v>6-20</v>
      </c>
      <c r="B171" s="3" t="s">
        <v>25</v>
      </c>
      <c r="C171" s="12" t="s">
        <v>183</v>
      </c>
      <c r="D171" s="13">
        <v>57524.0</v>
      </c>
      <c r="E171" s="4">
        <v>45146.0</v>
      </c>
      <c r="F171" s="4" t="str">
        <f>IF(D171="","", IFNA(VLOOKUP(D171, SATCAT_DECAY!A:B, 2, FALSE), ""))
</f>
        <v/>
      </c>
      <c r="G171" s="3" t="str">
        <f t="shared" si="1"/>
        <v>ACTIVE</v>
      </c>
    </row>
    <row r="172" ht="22.5" customHeight="1">
      <c r="A172" s="11" t="str">
        <f t="array" ref="A172">IFERROR(
  INDEX('Starlink Launches'!$A:$A, MATCH($E172, 'Starlink Launches'!$B:$B, 0)),
  ""
)
</f>
        <v>6-20</v>
      </c>
      <c r="B172" s="3" t="s">
        <v>25</v>
      </c>
      <c r="C172" s="12" t="s">
        <v>184</v>
      </c>
      <c r="D172" s="13">
        <v>57525.0</v>
      </c>
      <c r="E172" s="4">
        <v>45146.0</v>
      </c>
      <c r="F172" s="4" t="str">
        <f>IF(D172="","", IFNA(VLOOKUP(D172, SATCAT_DECAY!A:B, 2, FALSE), ""))
</f>
        <v/>
      </c>
      <c r="G172" s="3" t="str">
        <f t="shared" si="1"/>
        <v>ACTIVE</v>
      </c>
    </row>
    <row r="173" ht="22.5" customHeight="1">
      <c r="A173" s="11" t="str">
        <f t="array" ref="A173">IFERROR(
  INDEX('Starlink Launches'!$A:$A, MATCH($E173, 'Starlink Launches'!$B:$B, 0)),
  ""
)
</f>
        <v>6-20</v>
      </c>
      <c r="B173" s="3" t="s">
        <v>25</v>
      </c>
      <c r="C173" s="12" t="s">
        <v>185</v>
      </c>
      <c r="D173" s="13">
        <v>57526.0</v>
      </c>
      <c r="E173" s="4">
        <v>45146.0</v>
      </c>
      <c r="F173" s="4" t="str">
        <f>IF(D173="","", IFNA(VLOOKUP(D173, SATCAT_DECAY!A:B, 2, FALSE), ""))
</f>
        <v/>
      </c>
      <c r="G173" s="3" t="str">
        <f t="shared" si="1"/>
        <v>ACTIVE</v>
      </c>
    </row>
    <row r="174" ht="22.5" customHeight="1">
      <c r="A174" s="11" t="str">
        <f t="array" ref="A174">IFERROR(
  INDEX('Starlink Launches'!$A:$A, MATCH($E174, 'Starlink Launches'!$B:$B, 0)),
  ""
)
</f>
        <v>6-20</v>
      </c>
      <c r="B174" s="3" t="s">
        <v>25</v>
      </c>
      <c r="C174" s="12" t="s">
        <v>186</v>
      </c>
      <c r="D174" s="13">
        <v>57527.0</v>
      </c>
      <c r="E174" s="4">
        <v>45146.0</v>
      </c>
      <c r="F174" s="4" t="str">
        <f>IF(D174="","", IFNA(VLOOKUP(D174, SATCAT_DECAY!A:B, 2, FALSE), ""))
</f>
        <v/>
      </c>
      <c r="G174" s="3" t="str">
        <f t="shared" si="1"/>
        <v>ACTIVE</v>
      </c>
    </row>
    <row r="175" ht="22.5" customHeight="1">
      <c r="A175" s="11" t="str">
        <f t="array" ref="A175">IFERROR(
  INDEX('Starlink Launches'!$A:$A, MATCH($E175, 'Starlink Launches'!$B:$B, 0)),
  ""
)
</f>
        <v>6-20</v>
      </c>
      <c r="B175" s="3" t="s">
        <v>25</v>
      </c>
      <c r="C175" s="12" t="s">
        <v>187</v>
      </c>
      <c r="D175" s="13">
        <v>57528.0</v>
      </c>
      <c r="E175" s="4">
        <v>45146.0</v>
      </c>
      <c r="F175" s="4" t="str">
        <f>IF(D175="","", IFNA(VLOOKUP(D175, SATCAT_DECAY!A:B, 2, FALSE), ""))
</f>
        <v/>
      </c>
      <c r="G175" s="3" t="str">
        <f t="shared" si="1"/>
        <v>ACTIVE</v>
      </c>
    </row>
    <row r="176" ht="22.5" customHeight="1">
      <c r="A176" s="11" t="str">
        <f t="array" ref="A176">IFERROR(
  INDEX('Starlink Launches'!$A:$A, MATCH($E176, 'Starlink Launches'!$B:$B, 0)),
  ""
)
</f>
        <v>6-20</v>
      </c>
      <c r="B176" s="3" t="s">
        <v>25</v>
      </c>
      <c r="C176" s="12" t="s">
        <v>188</v>
      </c>
      <c r="D176" s="13">
        <v>57529.0</v>
      </c>
      <c r="E176" s="4">
        <v>45146.0</v>
      </c>
      <c r="F176" s="4" t="str">
        <f>IF(D176="","", IFNA(VLOOKUP(D176, SATCAT_DECAY!A:B, 2, FALSE), ""))
</f>
        <v/>
      </c>
      <c r="G176" s="3" t="str">
        <f t="shared" si="1"/>
        <v>ACTIVE</v>
      </c>
    </row>
    <row r="177" ht="22.5" customHeight="1">
      <c r="A177" s="11" t="str">
        <f t="array" ref="A177">IFERROR(
  INDEX('Starlink Launches'!$A:$A, MATCH($E177, 'Starlink Launches'!$B:$B, 0)),
  ""
)
</f>
        <v>6-20</v>
      </c>
      <c r="B177" s="3" t="s">
        <v>25</v>
      </c>
      <c r="C177" s="12" t="s">
        <v>189</v>
      </c>
      <c r="D177" s="13">
        <v>57530.0</v>
      </c>
      <c r="E177" s="4">
        <v>45146.0</v>
      </c>
      <c r="F177" s="4" t="str">
        <f>IF(D177="","", IFNA(VLOOKUP(D177, SATCAT_DECAY!A:B, 2, FALSE), ""))
</f>
        <v/>
      </c>
      <c r="G177" s="3" t="str">
        <f t="shared" si="1"/>
        <v>ACTIVE</v>
      </c>
    </row>
    <row r="178" ht="22.5" customHeight="1">
      <c r="A178" s="11" t="str">
        <f t="array" ref="A178">IFERROR(
  INDEX('Starlink Launches'!$A:$A, MATCH($E178, 'Starlink Launches'!$B:$B, 0)),
  ""
)
</f>
        <v>6-20</v>
      </c>
      <c r="B178" s="3" t="s">
        <v>25</v>
      </c>
      <c r="C178" s="12" t="s">
        <v>190</v>
      </c>
      <c r="D178" s="13">
        <v>57531.0</v>
      </c>
      <c r="E178" s="4">
        <v>45146.0</v>
      </c>
      <c r="F178" s="4" t="str">
        <f>IF(D178="","", IFNA(VLOOKUP(D178, SATCAT_DECAY!A:B, 2, FALSE), ""))
</f>
        <v/>
      </c>
      <c r="G178" s="3" t="str">
        <f t="shared" si="1"/>
        <v>ACTIVE</v>
      </c>
    </row>
    <row r="179" ht="22.5" customHeight="1">
      <c r="A179" s="11" t="str">
        <f t="array" ref="A179">IFERROR(
  INDEX('Starlink Launches'!$A:$A, MATCH($E179, 'Starlink Launches'!$B:$B, 0)),
  ""
)
</f>
        <v>6-20</v>
      </c>
      <c r="B179" s="3" t="s">
        <v>25</v>
      </c>
      <c r="C179" s="12" t="s">
        <v>191</v>
      </c>
      <c r="D179" s="13">
        <v>57532.0</v>
      </c>
      <c r="E179" s="4">
        <v>45146.0</v>
      </c>
      <c r="F179" s="4" t="str">
        <f>IF(D179="","", IFNA(VLOOKUP(D179, SATCAT_DECAY!A:B, 2, FALSE), ""))
</f>
        <v/>
      </c>
      <c r="G179" s="3" t="str">
        <f t="shared" si="1"/>
        <v>ACTIVE</v>
      </c>
    </row>
    <row r="180" ht="22.5" customHeight="1">
      <c r="A180" s="11" t="str">
        <f t="array" ref="A180">IFERROR(
  INDEX('Starlink Launches'!$A:$A, MATCH($E180, 'Starlink Launches'!$B:$B, 0)),
  ""
)
</f>
        <v>6-20</v>
      </c>
      <c r="B180" s="3" t="s">
        <v>25</v>
      </c>
      <c r="C180" s="12" t="s">
        <v>192</v>
      </c>
      <c r="D180" s="13">
        <v>57533.0</v>
      </c>
      <c r="E180" s="4">
        <v>45146.0</v>
      </c>
      <c r="F180" s="4" t="str">
        <f>IF(D180="","", IFNA(VLOOKUP(D180, SATCAT_DECAY!A:B, 2, FALSE), ""))
</f>
        <v/>
      </c>
      <c r="G180" s="3" t="str">
        <f t="shared" si="1"/>
        <v>ACTIVE</v>
      </c>
    </row>
    <row r="181" ht="22.5" customHeight="1">
      <c r="A181" s="11" t="str">
        <f t="array" ref="A181">IFERROR(
  INDEX('Starlink Launches'!$A:$A, MATCH($E181, 'Starlink Launches'!$B:$B, 0)),
  ""
)
</f>
        <v>6-20</v>
      </c>
      <c r="B181" s="3" t="s">
        <v>25</v>
      </c>
      <c r="C181" s="12" t="s">
        <v>193</v>
      </c>
      <c r="D181" s="13">
        <v>57534.0</v>
      </c>
      <c r="E181" s="4">
        <v>45146.0</v>
      </c>
      <c r="F181" s="4" t="str">
        <f>IF(D181="","", IFNA(VLOOKUP(D181, SATCAT_DECAY!A:B, 2, FALSE), ""))
</f>
        <v/>
      </c>
      <c r="G181" s="3" t="str">
        <f t="shared" si="1"/>
        <v>ACTIVE</v>
      </c>
    </row>
    <row r="182" ht="22.5" customHeight="1">
      <c r="A182" s="11" t="str">
        <f t="array" ref="A182">IFERROR(
  INDEX('Starlink Launches'!$A:$A, MATCH($E182, 'Starlink Launches'!$B:$B, 0)),
  ""
)
</f>
        <v>6-9</v>
      </c>
      <c r="B182" s="3" t="s">
        <v>25</v>
      </c>
      <c r="C182" s="12" t="s">
        <v>194</v>
      </c>
      <c r="D182" s="13">
        <v>57602.0</v>
      </c>
      <c r="E182" s="4">
        <v>45149.0</v>
      </c>
      <c r="F182" s="4" t="str">
        <f>IF(D182="","", IFNA(VLOOKUP(D182, SATCAT_DECAY!A:B, 2, FALSE), ""))
</f>
        <v/>
      </c>
      <c r="G182" s="3" t="str">
        <f t="shared" si="1"/>
        <v>ACTIVE</v>
      </c>
    </row>
    <row r="183" ht="22.5" customHeight="1">
      <c r="A183" s="11" t="str">
        <f t="array" ref="A183">IFERROR(
  INDEX('Starlink Launches'!$A:$A, MATCH($E183, 'Starlink Launches'!$B:$B, 0)),
  ""
)
</f>
        <v>6-9</v>
      </c>
      <c r="B183" s="3" t="s">
        <v>25</v>
      </c>
      <c r="C183" s="12" t="s">
        <v>195</v>
      </c>
      <c r="D183" s="13">
        <v>57603.0</v>
      </c>
      <c r="E183" s="4">
        <v>45149.0</v>
      </c>
      <c r="F183" s="4" t="str">
        <f>IF(D183="","", IFNA(VLOOKUP(D183, SATCAT_DECAY!A:B, 2, FALSE), ""))
</f>
        <v/>
      </c>
      <c r="G183" s="3" t="str">
        <f t="shared" si="1"/>
        <v>ACTIVE</v>
      </c>
    </row>
    <row r="184" ht="22.5" customHeight="1">
      <c r="A184" s="11" t="str">
        <f t="array" ref="A184">IFERROR(
  INDEX('Starlink Launches'!$A:$A, MATCH($E184, 'Starlink Launches'!$B:$B, 0)),
  ""
)
</f>
        <v>6-9</v>
      </c>
      <c r="B184" s="3" t="s">
        <v>25</v>
      </c>
      <c r="C184" s="12" t="s">
        <v>196</v>
      </c>
      <c r="D184" s="13">
        <v>57604.0</v>
      </c>
      <c r="E184" s="4">
        <v>45149.0</v>
      </c>
      <c r="F184" s="4" t="str">
        <f>IF(D184="","", IFNA(VLOOKUP(D184, SATCAT_DECAY!A:B, 2, FALSE), ""))
</f>
        <v/>
      </c>
      <c r="G184" s="3" t="str">
        <f t="shared" si="1"/>
        <v>ACTIVE</v>
      </c>
    </row>
    <row r="185" ht="22.5" customHeight="1">
      <c r="A185" s="11" t="str">
        <f t="array" ref="A185">IFERROR(
  INDEX('Starlink Launches'!$A:$A, MATCH($E185, 'Starlink Launches'!$B:$B, 0)),
  ""
)
</f>
        <v>6-9</v>
      </c>
      <c r="B185" s="3" t="s">
        <v>25</v>
      </c>
      <c r="C185" s="12" t="s">
        <v>197</v>
      </c>
      <c r="D185" s="13">
        <v>57605.0</v>
      </c>
      <c r="E185" s="4">
        <v>45149.0</v>
      </c>
      <c r="F185" s="4" t="str">
        <f>IF(D185="","", IFNA(VLOOKUP(D185, SATCAT_DECAY!A:B, 2, FALSE), ""))
</f>
        <v/>
      </c>
      <c r="G185" s="3" t="str">
        <f t="shared" si="1"/>
        <v>ACTIVE</v>
      </c>
    </row>
    <row r="186" ht="22.5" customHeight="1">
      <c r="A186" s="11" t="str">
        <f t="array" ref="A186">IFERROR(
  INDEX('Starlink Launches'!$A:$A, MATCH($E186, 'Starlink Launches'!$B:$B, 0)),
  ""
)
</f>
        <v>6-9</v>
      </c>
      <c r="B186" s="3" t="s">
        <v>25</v>
      </c>
      <c r="C186" s="12" t="s">
        <v>198</v>
      </c>
      <c r="D186" s="13">
        <v>57606.0</v>
      </c>
      <c r="E186" s="4">
        <v>45149.0</v>
      </c>
      <c r="F186" s="4" t="str">
        <f>IF(D186="","", IFNA(VLOOKUP(D186, SATCAT_DECAY!A:B, 2, FALSE), ""))
</f>
        <v/>
      </c>
      <c r="G186" s="3" t="str">
        <f t="shared" si="1"/>
        <v>ACTIVE</v>
      </c>
    </row>
    <row r="187" ht="22.5" customHeight="1">
      <c r="A187" s="11" t="str">
        <f t="array" ref="A187">IFERROR(
  INDEX('Starlink Launches'!$A:$A, MATCH($E187, 'Starlink Launches'!$B:$B, 0)),
  ""
)
</f>
        <v>6-9</v>
      </c>
      <c r="B187" s="3" t="s">
        <v>25</v>
      </c>
      <c r="C187" s="12" t="s">
        <v>199</v>
      </c>
      <c r="D187" s="13">
        <v>57607.0</v>
      </c>
      <c r="E187" s="4">
        <v>45149.0</v>
      </c>
      <c r="F187" s="4" t="str">
        <f>IF(D187="","", IFNA(VLOOKUP(D187, SATCAT_DECAY!A:B, 2, FALSE), ""))
</f>
        <v/>
      </c>
      <c r="G187" s="3" t="str">
        <f t="shared" si="1"/>
        <v>ACTIVE</v>
      </c>
    </row>
    <row r="188" ht="22.5" customHeight="1">
      <c r="A188" s="11" t="str">
        <f t="array" ref="A188">IFERROR(
  INDEX('Starlink Launches'!$A:$A, MATCH($E188, 'Starlink Launches'!$B:$B, 0)),
  ""
)
</f>
        <v>6-9</v>
      </c>
      <c r="B188" s="3" t="s">
        <v>25</v>
      </c>
      <c r="C188" s="12" t="s">
        <v>200</v>
      </c>
      <c r="D188" s="13">
        <v>57608.0</v>
      </c>
      <c r="E188" s="4">
        <v>45149.0</v>
      </c>
      <c r="F188" s="4" t="str">
        <f>IF(D188="","", IFNA(VLOOKUP(D188, SATCAT_DECAY!A:B, 2, FALSE), ""))
</f>
        <v/>
      </c>
      <c r="G188" s="3" t="str">
        <f t="shared" si="1"/>
        <v>ACTIVE</v>
      </c>
    </row>
    <row r="189" ht="22.5" customHeight="1">
      <c r="A189" s="11" t="str">
        <f t="array" ref="A189">IFERROR(
  INDEX('Starlink Launches'!$A:$A, MATCH($E189, 'Starlink Launches'!$B:$B, 0)),
  ""
)
</f>
        <v>6-9</v>
      </c>
      <c r="B189" s="3" t="s">
        <v>25</v>
      </c>
      <c r="C189" s="12" t="s">
        <v>201</v>
      </c>
      <c r="D189" s="13">
        <v>57609.0</v>
      </c>
      <c r="E189" s="4">
        <v>45149.0</v>
      </c>
      <c r="F189" s="4" t="str">
        <f>IF(D189="","", IFNA(VLOOKUP(D189, SATCAT_DECAY!A:B, 2, FALSE), ""))
</f>
        <v/>
      </c>
      <c r="G189" s="3" t="str">
        <f t="shared" si="1"/>
        <v>ACTIVE</v>
      </c>
    </row>
    <row r="190" ht="22.5" customHeight="1">
      <c r="A190" s="11" t="str">
        <f t="array" ref="A190">IFERROR(
  INDEX('Starlink Launches'!$A:$A, MATCH($E190, 'Starlink Launches'!$B:$B, 0)),
  ""
)
</f>
        <v>6-9</v>
      </c>
      <c r="B190" s="3" t="s">
        <v>25</v>
      </c>
      <c r="C190" s="12" t="s">
        <v>202</v>
      </c>
      <c r="D190" s="13">
        <v>57610.0</v>
      </c>
      <c r="E190" s="4">
        <v>45149.0</v>
      </c>
      <c r="F190" s="4" t="str">
        <f>IF(D190="","", IFNA(VLOOKUP(D190, SATCAT_DECAY!A:B, 2, FALSE), ""))
</f>
        <v/>
      </c>
      <c r="G190" s="3" t="str">
        <f t="shared" si="1"/>
        <v>ACTIVE</v>
      </c>
    </row>
    <row r="191" ht="22.5" customHeight="1">
      <c r="A191" s="11" t="str">
        <f t="array" ref="A191">IFERROR(
  INDEX('Starlink Launches'!$A:$A, MATCH($E191, 'Starlink Launches'!$B:$B, 0)),
  ""
)
</f>
        <v>6-9</v>
      </c>
      <c r="B191" s="3" t="s">
        <v>25</v>
      </c>
      <c r="C191" s="12" t="s">
        <v>203</v>
      </c>
      <c r="D191" s="13">
        <v>57611.0</v>
      </c>
      <c r="E191" s="4">
        <v>45149.0</v>
      </c>
      <c r="F191" s="4" t="str">
        <f>IF(D191="","", IFNA(VLOOKUP(D191, SATCAT_DECAY!A:B, 2, FALSE), ""))
</f>
        <v/>
      </c>
      <c r="G191" s="3" t="str">
        <f t="shared" si="1"/>
        <v>ACTIVE</v>
      </c>
    </row>
    <row r="192" ht="22.5" customHeight="1">
      <c r="A192" s="11" t="str">
        <f t="array" ref="A192">IFERROR(
  INDEX('Starlink Launches'!$A:$A, MATCH($E192, 'Starlink Launches'!$B:$B, 0)),
  ""
)
</f>
        <v>6-9</v>
      </c>
      <c r="B192" s="3" t="s">
        <v>25</v>
      </c>
      <c r="C192" s="12" t="s">
        <v>204</v>
      </c>
      <c r="D192" s="13">
        <v>57612.0</v>
      </c>
      <c r="E192" s="4">
        <v>45149.0</v>
      </c>
      <c r="F192" s="4" t="str">
        <f>IF(D192="","", IFNA(VLOOKUP(D192, SATCAT_DECAY!A:B, 2, FALSE), ""))
</f>
        <v/>
      </c>
      <c r="G192" s="3" t="str">
        <f t="shared" si="1"/>
        <v>ACTIVE</v>
      </c>
    </row>
    <row r="193" ht="22.5" customHeight="1">
      <c r="A193" s="11" t="str">
        <f t="array" ref="A193">IFERROR(
  INDEX('Starlink Launches'!$A:$A, MATCH($E193, 'Starlink Launches'!$B:$B, 0)),
  ""
)
</f>
        <v>6-9</v>
      </c>
      <c r="B193" s="3" t="s">
        <v>25</v>
      </c>
      <c r="C193" s="12" t="s">
        <v>205</v>
      </c>
      <c r="D193" s="13">
        <v>57613.0</v>
      </c>
      <c r="E193" s="4">
        <v>45149.0</v>
      </c>
      <c r="F193" s="4" t="str">
        <f>IF(D193="","", IFNA(VLOOKUP(D193, SATCAT_DECAY!A:B, 2, FALSE), ""))
</f>
        <v/>
      </c>
      <c r="G193" s="3" t="str">
        <f t="shared" si="1"/>
        <v>ACTIVE</v>
      </c>
    </row>
    <row r="194" ht="22.5" customHeight="1">
      <c r="A194" s="11" t="str">
        <f t="array" ref="A194">IFERROR(
  INDEX('Starlink Launches'!$A:$A, MATCH($E194, 'Starlink Launches'!$B:$B, 0)),
  ""
)
</f>
        <v>6-9</v>
      </c>
      <c r="B194" s="3" t="s">
        <v>25</v>
      </c>
      <c r="C194" s="12" t="s">
        <v>206</v>
      </c>
      <c r="D194" s="13">
        <v>57614.0</v>
      </c>
      <c r="E194" s="4">
        <v>45149.0</v>
      </c>
      <c r="F194" s="4" t="str">
        <f>IF(D194="","", IFNA(VLOOKUP(D194, SATCAT_DECAY!A:B, 2, FALSE), ""))
</f>
        <v/>
      </c>
      <c r="G194" s="3" t="str">
        <f t="shared" si="1"/>
        <v>ACTIVE</v>
      </c>
    </row>
    <row r="195" ht="22.5" customHeight="1">
      <c r="A195" s="11" t="str">
        <f t="array" ref="A195">IFERROR(
  INDEX('Starlink Launches'!$A:$A, MATCH($E195, 'Starlink Launches'!$B:$B, 0)),
  ""
)
</f>
        <v>6-9</v>
      </c>
      <c r="B195" s="3" t="s">
        <v>25</v>
      </c>
      <c r="C195" s="12" t="s">
        <v>207</v>
      </c>
      <c r="D195" s="13">
        <v>57615.0</v>
      </c>
      <c r="E195" s="4">
        <v>45149.0</v>
      </c>
      <c r="F195" s="4" t="str">
        <f>IF(D195="","", IFNA(VLOOKUP(D195, SATCAT_DECAY!A:B, 2, FALSE), ""))
</f>
        <v/>
      </c>
      <c r="G195" s="3" t="str">
        <f t="shared" si="1"/>
        <v>ACTIVE</v>
      </c>
    </row>
    <row r="196" ht="22.5" customHeight="1">
      <c r="A196" s="11" t="str">
        <f t="array" ref="A196">IFERROR(
  INDEX('Starlink Launches'!$A:$A, MATCH($E196, 'Starlink Launches'!$B:$B, 0)),
  ""
)
</f>
        <v>6-9</v>
      </c>
      <c r="B196" s="3" t="s">
        <v>25</v>
      </c>
      <c r="C196" s="12" t="s">
        <v>208</v>
      </c>
      <c r="D196" s="13">
        <v>57616.0</v>
      </c>
      <c r="E196" s="4">
        <v>45149.0</v>
      </c>
      <c r="F196" s="4" t="str">
        <f>IF(D196="","", IFNA(VLOOKUP(D196, SATCAT_DECAY!A:B, 2, FALSE), ""))
</f>
        <v/>
      </c>
      <c r="G196" s="3" t="str">
        <f t="shared" si="1"/>
        <v>ACTIVE</v>
      </c>
    </row>
    <row r="197" ht="22.5" customHeight="1">
      <c r="A197" s="11" t="str">
        <f t="array" ref="A197">IFERROR(
  INDEX('Starlink Launches'!$A:$A, MATCH($E197, 'Starlink Launches'!$B:$B, 0)),
  ""
)
</f>
        <v>6-9</v>
      </c>
      <c r="B197" s="3" t="s">
        <v>25</v>
      </c>
      <c r="C197" s="12" t="s">
        <v>209</v>
      </c>
      <c r="D197" s="13">
        <v>57617.0</v>
      </c>
      <c r="E197" s="4">
        <v>45149.0</v>
      </c>
      <c r="F197" s="4" t="str">
        <f>IF(D197="","", IFNA(VLOOKUP(D197, SATCAT_DECAY!A:B, 2, FALSE), ""))
</f>
        <v/>
      </c>
      <c r="G197" s="3" t="str">
        <f t="shared" si="1"/>
        <v>ACTIVE</v>
      </c>
    </row>
    <row r="198" ht="22.5" customHeight="1">
      <c r="A198" s="11" t="str">
        <f t="array" ref="A198">IFERROR(
  INDEX('Starlink Launches'!$A:$A, MATCH($E198, 'Starlink Launches'!$B:$B, 0)),
  ""
)
</f>
        <v>6-9</v>
      </c>
      <c r="B198" s="3" t="s">
        <v>25</v>
      </c>
      <c r="C198" s="12" t="s">
        <v>210</v>
      </c>
      <c r="D198" s="13">
        <v>57618.0</v>
      </c>
      <c r="E198" s="4">
        <v>45149.0</v>
      </c>
      <c r="F198" s="4" t="str">
        <f>IF(D198="","", IFNA(VLOOKUP(D198, SATCAT_DECAY!A:B, 2, FALSE), ""))
</f>
        <v/>
      </c>
      <c r="G198" s="3" t="str">
        <f t="shared" si="1"/>
        <v>ACTIVE</v>
      </c>
    </row>
    <row r="199" ht="22.5" hidden="1" customHeight="1">
      <c r="A199" s="11" t="str">
        <f t="array" ref="A199">IFERROR(
  INDEX('Starlink Launches'!$A:$A, MATCH($E199, 'Starlink Launches'!$B:$B, 0)),
  ""
)
</f>
        <v>6-9</v>
      </c>
      <c r="B199" s="3" t="s">
        <v>25</v>
      </c>
      <c r="C199" s="12" t="s">
        <v>211</v>
      </c>
      <c r="D199" s="13">
        <v>57619.0</v>
      </c>
      <c r="E199" s="4">
        <v>45149.0</v>
      </c>
      <c r="F199" s="4">
        <f>IF(D199="","", IFNA(VLOOKUP(D199, SATCAT_DECAY!A:B, 2, FALSE), ""))
</f>
        <v>45180</v>
      </c>
      <c r="G199" s="3" t="str">
        <f t="shared" si="1"/>
        <v>DECAYED</v>
      </c>
    </row>
    <row r="200" ht="22.5" customHeight="1">
      <c r="A200" s="11" t="str">
        <f t="array" ref="A200">IFERROR(
  INDEX('Starlink Launches'!$A:$A, MATCH($E200, 'Starlink Launches'!$B:$B, 0)),
  ""
)
</f>
        <v>6-9</v>
      </c>
      <c r="B200" s="3" t="s">
        <v>25</v>
      </c>
      <c r="C200" s="12" t="s">
        <v>212</v>
      </c>
      <c r="D200" s="13">
        <v>57620.0</v>
      </c>
      <c r="E200" s="4">
        <v>45149.0</v>
      </c>
      <c r="F200" s="4" t="str">
        <f>IF(D200="","", IFNA(VLOOKUP(D200, SATCAT_DECAY!A:B, 2, FALSE), ""))
</f>
        <v/>
      </c>
      <c r="G200" s="3" t="str">
        <f t="shared" si="1"/>
        <v>ACTIVE</v>
      </c>
    </row>
    <row r="201" ht="22.5" customHeight="1">
      <c r="A201" s="11" t="str">
        <f t="array" ref="A201">IFERROR(
  INDEX('Starlink Launches'!$A:$A, MATCH($E201, 'Starlink Launches'!$B:$B, 0)),
  ""
)
</f>
        <v>6-9</v>
      </c>
      <c r="B201" s="3" t="s">
        <v>25</v>
      </c>
      <c r="C201" s="12" t="s">
        <v>213</v>
      </c>
      <c r="D201" s="13">
        <v>57621.0</v>
      </c>
      <c r="E201" s="4">
        <v>45149.0</v>
      </c>
      <c r="F201" s="4" t="str">
        <f>IF(D201="","", IFNA(VLOOKUP(D201, SATCAT_DECAY!A:B, 2, FALSE), ""))
</f>
        <v/>
      </c>
      <c r="G201" s="3" t="str">
        <f t="shared" si="1"/>
        <v>ACTIVE</v>
      </c>
    </row>
    <row r="202" ht="22.5" customHeight="1">
      <c r="A202" s="11" t="str">
        <f t="array" ref="A202">IFERROR(
  INDEX('Starlink Launches'!$A:$A, MATCH($E202, 'Starlink Launches'!$B:$B, 0)),
  ""
)
</f>
        <v>6-9</v>
      </c>
      <c r="B202" s="3" t="s">
        <v>25</v>
      </c>
      <c r="C202" s="12" t="s">
        <v>214</v>
      </c>
      <c r="D202" s="13">
        <v>57622.0</v>
      </c>
      <c r="E202" s="4">
        <v>45149.0</v>
      </c>
      <c r="F202" s="4" t="str">
        <f>IF(D202="","", IFNA(VLOOKUP(D202, SATCAT_DECAY!A:B, 2, FALSE), ""))
</f>
        <v/>
      </c>
      <c r="G202" s="3" t="str">
        <f t="shared" si="1"/>
        <v>ACTIVE</v>
      </c>
    </row>
    <row r="203" ht="22.5" customHeight="1">
      <c r="A203" s="11" t="str">
        <f t="array" ref="A203">IFERROR(
  INDEX('Starlink Launches'!$A:$A, MATCH($E203, 'Starlink Launches'!$B:$B, 0)),
  ""
)
</f>
        <v>6-9</v>
      </c>
      <c r="B203" s="3" t="s">
        <v>25</v>
      </c>
      <c r="C203" s="12" t="s">
        <v>215</v>
      </c>
      <c r="D203" s="13">
        <v>57623.0</v>
      </c>
      <c r="E203" s="4">
        <v>45149.0</v>
      </c>
      <c r="F203" s="4" t="str">
        <f>IF(D203="","", IFNA(VLOOKUP(D203, SATCAT_DECAY!A:B, 2, FALSE), ""))
</f>
        <v/>
      </c>
      <c r="G203" s="3" t="str">
        <f t="shared" si="1"/>
        <v>ACTIVE</v>
      </c>
    </row>
    <row r="204" ht="22.5" customHeight="1">
      <c r="A204" s="11" t="str">
        <f t="array" ref="A204">IFERROR(
  INDEX('Starlink Launches'!$A:$A, MATCH($E204, 'Starlink Launches'!$B:$B, 0)),
  ""
)
</f>
        <v>6-10</v>
      </c>
      <c r="B204" s="3" t="s">
        <v>25</v>
      </c>
      <c r="C204" s="12" t="s">
        <v>216</v>
      </c>
      <c r="D204" s="13">
        <v>57632.0</v>
      </c>
      <c r="E204" s="4">
        <v>45155.0</v>
      </c>
      <c r="F204" s="4" t="str">
        <f>IF(D204="","", IFNA(VLOOKUP(D204, SATCAT_DECAY!A:B, 2, FALSE), ""))
</f>
        <v/>
      </c>
      <c r="G204" s="3" t="str">
        <f t="shared" si="1"/>
        <v>ACTIVE</v>
      </c>
    </row>
    <row r="205" ht="22.5" customHeight="1">
      <c r="A205" s="11" t="str">
        <f t="array" ref="A205">IFERROR(
  INDEX('Starlink Launches'!$A:$A, MATCH($E205, 'Starlink Launches'!$B:$B, 0)),
  ""
)
</f>
        <v>6-10</v>
      </c>
      <c r="B205" s="3" t="s">
        <v>25</v>
      </c>
      <c r="C205" s="12" t="s">
        <v>217</v>
      </c>
      <c r="D205" s="13">
        <v>57633.0</v>
      </c>
      <c r="E205" s="4">
        <v>45155.0</v>
      </c>
      <c r="F205" s="4" t="str">
        <f>IF(D205="","", IFNA(VLOOKUP(D205, SATCAT_DECAY!A:B, 2, FALSE), ""))
</f>
        <v/>
      </c>
      <c r="G205" s="3" t="str">
        <f t="shared" si="1"/>
        <v>ACTIVE</v>
      </c>
    </row>
    <row r="206" ht="22.5" customHeight="1">
      <c r="A206" s="11" t="str">
        <f t="array" ref="A206">IFERROR(
  INDEX('Starlink Launches'!$A:$A, MATCH($E206, 'Starlink Launches'!$B:$B, 0)),
  ""
)
</f>
        <v>6-10</v>
      </c>
      <c r="B206" s="3" t="s">
        <v>25</v>
      </c>
      <c r="C206" s="12" t="s">
        <v>218</v>
      </c>
      <c r="D206" s="13">
        <v>57634.0</v>
      </c>
      <c r="E206" s="4">
        <v>45155.0</v>
      </c>
      <c r="F206" s="4" t="str">
        <f>IF(D206="","", IFNA(VLOOKUP(D206, SATCAT_DECAY!A:B, 2, FALSE), ""))
</f>
        <v/>
      </c>
      <c r="G206" s="3" t="str">
        <f t="shared" si="1"/>
        <v>ACTIVE</v>
      </c>
    </row>
    <row r="207" ht="22.5" customHeight="1">
      <c r="A207" s="11" t="str">
        <f t="array" ref="A207">IFERROR(
  INDEX('Starlink Launches'!$A:$A, MATCH($E207, 'Starlink Launches'!$B:$B, 0)),
  ""
)
</f>
        <v>6-10</v>
      </c>
      <c r="B207" s="3" t="s">
        <v>25</v>
      </c>
      <c r="C207" s="12" t="s">
        <v>219</v>
      </c>
      <c r="D207" s="13">
        <v>57635.0</v>
      </c>
      <c r="E207" s="4">
        <v>45155.0</v>
      </c>
      <c r="F207" s="4" t="str">
        <f>IF(D207="","", IFNA(VLOOKUP(D207, SATCAT_DECAY!A:B, 2, FALSE), ""))
</f>
        <v/>
      </c>
      <c r="G207" s="3" t="str">
        <f t="shared" si="1"/>
        <v>ACTIVE</v>
      </c>
    </row>
    <row r="208" ht="22.5" customHeight="1">
      <c r="A208" s="11" t="str">
        <f t="array" ref="A208">IFERROR(
  INDEX('Starlink Launches'!$A:$A, MATCH($E208, 'Starlink Launches'!$B:$B, 0)),
  ""
)
</f>
        <v>6-10</v>
      </c>
      <c r="B208" s="3" t="s">
        <v>25</v>
      </c>
      <c r="C208" s="12" t="s">
        <v>220</v>
      </c>
      <c r="D208" s="13">
        <v>57636.0</v>
      </c>
      <c r="E208" s="4">
        <v>45155.0</v>
      </c>
      <c r="F208" s="4" t="str">
        <f>IF(D208="","", IFNA(VLOOKUP(D208, SATCAT_DECAY!A:B, 2, FALSE), ""))
</f>
        <v/>
      </c>
      <c r="G208" s="3" t="str">
        <f t="shared" si="1"/>
        <v>ACTIVE</v>
      </c>
    </row>
    <row r="209" ht="22.5" customHeight="1">
      <c r="A209" s="11" t="str">
        <f t="array" ref="A209">IFERROR(
  INDEX('Starlink Launches'!$A:$A, MATCH($E209, 'Starlink Launches'!$B:$B, 0)),
  ""
)
</f>
        <v>6-10</v>
      </c>
      <c r="B209" s="3" t="s">
        <v>25</v>
      </c>
      <c r="C209" s="12" t="s">
        <v>221</v>
      </c>
      <c r="D209" s="13">
        <v>57637.0</v>
      </c>
      <c r="E209" s="4">
        <v>45155.0</v>
      </c>
      <c r="F209" s="4" t="str">
        <f>IF(D209="","", IFNA(VLOOKUP(D209, SATCAT_DECAY!A:B, 2, FALSE), ""))
</f>
        <v/>
      </c>
      <c r="G209" s="3" t="str">
        <f t="shared" si="1"/>
        <v>ACTIVE</v>
      </c>
    </row>
    <row r="210" ht="22.5" customHeight="1">
      <c r="A210" s="11" t="str">
        <f t="array" ref="A210">IFERROR(
  INDEX('Starlink Launches'!$A:$A, MATCH($E210, 'Starlink Launches'!$B:$B, 0)),
  ""
)
</f>
        <v>6-10</v>
      </c>
      <c r="B210" s="3" t="s">
        <v>25</v>
      </c>
      <c r="C210" s="12" t="s">
        <v>222</v>
      </c>
      <c r="D210" s="13">
        <v>57638.0</v>
      </c>
      <c r="E210" s="4">
        <v>45155.0</v>
      </c>
      <c r="F210" s="4" t="str">
        <f>IF(D210="","", IFNA(VLOOKUP(D210, SATCAT_DECAY!A:B, 2, FALSE), ""))
</f>
        <v/>
      </c>
      <c r="G210" s="3" t="str">
        <f t="shared" si="1"/>
        <v>ACTIVE</v>
      </c>
    </row>
    <row r="211" ht="22.5" customHeight="1">
      <c r="A211" s="11" t="str">
        <f t="array" ref="A211">IFERROR(
  INDEX('Starlink Launches'!$A:$A, MATCH($E211, 'Starlink Launches'!$B:$B, 0)),
  ""
)
</f>
        <v>6-10</v>
      </c>
      <c r="B211" s="3" t="s">
        <v>25</v>
      </c>
      <c r="C211" s="12" t="s">
        <v>223</v>
      </c>
      <c r="D211" s="13">
        <v>57639.0</v>
      </c>
      <c r="E211" s="4">
        <v>45155.0</v>
      </c>
      <c r="F211" s="4" t="str">
        <f>IF(D211="","", IFNA(VLOOKUP(D211, SATCAT_DECAY!A:B, 2, FALSE), ""))
</f>
        <v/>
      </c>
      <c r="G211" s="3" t="str">
        <f t="shared" si="1"/>
        <v>ACTIVE</v>
      </c>
    </row>
    <row r="212" ht="22.5" customHeight="1">
      <c r="A212" s="11" t="str">
        <f t="array" ref="A212">IFERROR(
  INDEX('Starlink Launches'!$A:$A, MATCH($E212, 'Starlink Launches'!$B:$B, 0)),
  ""
)
</f>
        <v>6-10</v>
      </c>
      <c r="B212" s="3" t="s">
        <v>25</v>
      </c>
      <c r="C212" s="12" t="s">
        <v>224</v>
      </c>
      <c r="D212" s="13">
        <v>57640.0</v>
      </c>
      <c r="E212" s="4">
        <v>45155.0</v>
      </c>
      <c r="F212" s="4" t="str">
        <f>IF(D212="","", IFNA(VLOOKUP(D212, SATCAT_DECAY!A:B, 2, FALSE), ""))
</f>
        <v/>
      </c>
      <c r="G212" s="3" t="str">
        <f t="shared" si="1"/>
        <v>ACTIVE</v>
      </c>
    </row>
    <row r="213" ht="22.5" customHeight="1">
      <c r="A213" s="11" t="str">
        <f t="array" ref="A213">IFERROR(
  INDEX('Starlink Launches'!$A:$A, MATCH($E213, 'Starlink Launches'!$B:$B, 0)),
  ""
)
</f>
        <v>6-10</v>
      </c>
      <c r="B213" s="3" t="s">
        <v>25</v>
      </c>
      <c r="C213" s="12" t="s">
        <v>225</v>
      </c>
      <c r="D213" s="13">
        <v>57641.0</v>
      </c>
      <c r="E213" s="4">
        <v>45155.0</v>
      </c>
      <c r="F213" s="4" t="str">
        <f>IF(D213="","", IFNA(VLOOKUP(D213, SATCAT_DECAY!A:B, 2, FALSE), ""))
</f>
        <v/>
      </c>
      <c r="G213" s="3" t="str">
        <f t="shared" si="1"/>
        <v>ACTIVE</v>
      </c>
    </row>
    <row r="214" ht="22.5" customHeight="1">
      <c r="A214" s="11" t="str">
        <f t="array" ref="A214">IFERROR(
  INDEX('Starlink Launches'!$A:$A, MATCH($E214, 'Starlink Launches'!$B:$B, 0)),
  ""
)
</f>
        <v>6-10</v>
      </c>
      <c r="B214" s="3" t="s">
        <v>25</v>
      </c>
      <c r="C214" s="12" t="s">
        <v>226</v>
      </c>
      <c r="D214" s="13">
        <v>57642.0</v>
      </c>
      <c r="E214" s="4">
        <v>45155.0</v>
      </c>
      <c r="F214" s="4" t="str">
        <f>IF(D214="","", IFNA(VLOOKUP(D214, SATCAT_DECAY!A:B, 2, FALSE), ""))
</f>
        <v/>
      </c>
      <c r="G214" s="3" t="str">
        <f t="shared" si="1"/>
        <v>ACTIVE</v>
      </c>
    </row>
    <row r="215" ht="22.5" customHeight="1">
      <c r="A215" s="11" t="str">
        <f t="array" ref="A215">IFERROR(
  INDEX('Starlink Launches'!$A:$A, MATCH($E215, 'Starlink Launches'!$B:$B, 0)),
  ""
)
</f>
        <v>6-10</v>
      </c>
      <c r="B215" s="3" t="s">
        <v>25</v>
      </c>
      <c r="C215" s="12" t="s">
        <v>227</v>
      </c>
      <c r="D215" s="13">
        <v>57643.0</v>
      </c>
      <c r="E215" s="4">
        <v>45155.0</v>
      </c>
      <c r="F215" s="4" t="str">
        <f>IF(D215="","", IFNA(VLOOKUP(D215, SATCAT_DECAY!A:B, 2, FALSE), ""))
</f>
        <v/>
      </c>
      <c r="G215" s="3" t="str">
        <f t="shared" si="1"/>
        <v>ACTIVE</v>
      </c>
    </row>
    <row r="216" ht="22.5" customHeight="1">
      <c r="A216" s="11" t="str">
        <f t="array" ref="A216">IFERROR(
  INDEX('Starlink Launches'!$A:$A, MATCH($E216, 'Starlink Launches'!$B:$B, 0)),
  ""
)
</f>
        <v>6-10</v>
      </c>
      <c r="B216" s="3" t="s">
        <v>25</v>
      </c>
      <c r="C216" s="12" t="s">
        <v>228</v>
      </c>
      <c r="D216" s="13">
        <v>57644.0</v>
      </c>
      <c r="E216" s="4">
        <v>45155.0</v>
      </c>
      <c r="F216" s="4" t="str">
        <f>IF(D216="","", IFNA(VLOOKUP(D216, SATCAT_DECAY!A:B, 2, FALSE), ""))
</f>
        <v/>
      </c>
      <c r="G216" s="3" t="str">
        <f t="shared" si="1"/>
        <v>ACTIVE</v>
      </c>
    </row>
    <row r="217" ht="22.5" customHeight="1">
      <c r="A217" s="11" t="str">
        <f t="array" ref="A217">IFERROR(
  INDEX('Starlink Launches'!$A:$A, MATCH($E217, 'Starlink Launches'!$B:$B, 0)),
  ""
)
</f>
        <v>6-10</v>
      </c>
      <c r="B217" s="3" t="s">
        <v>25</v>
      </c>
      <c r="C217" s="12" t="s">
        <v>229</v>
      </c>
      <c r="D217" s="13">
        <v>57645.0</v>
      </c>
      <c r="E217" s="4">
        <v>45155.0</v>
      </c>
      <c r="F217" s="4" t="str">
        <f>IF(D217="","", IFNA(VLOOKUP(D217, SATCAT_DECAY!A:B, 2, FALSE), ""))
</f>
        <v/>
      </c>
      <c r="G217" s="3" t="str">
        <f t="shared" si="1"/>
        <v>ACTIVE</v>
      </c>
    </row>
    <row r="218" ht="22.5" customHeight="1">
      <c r="A218" s="11" t="str">
        <f t="array" ref="A218">IFERROR(
  INDEX('Starlink Launches'!$A:$A, MATCH($E218, 'Starlink Launches'!$B:$B, 0)),
  ""
)
</f>
        <v>6-10</v>
      </c>
      <c r="B218" s="3" t="s">
        <v>25</v>
      </c>
      <c r="C218" s="12" t="s">
        <v>230</v>
      </c>
      <c r="D218" s="13">
        <v>57646.0</v>
      </c>
      <c r="E218" s="4">
        <v>45155.0</v>
      </c>
      <c r="F218" s="4" t="str">
        <f>IF(D218="","", IFNA(VLOOKUP(D218, SATCAT_DECAY!A:B, 2, FALSE), ""))
</f>
        <v/>
      </c>
      <c r="G218" s="3" t="str">
        <f t="shared" si="1"/>
        <v>ACTIVE</v>
      </c>
    </row>
    <row r="219" ht="22.5" customHeight="1">
      <c r="A219" s="11" t="str">
        <f t="array" ref="A219">IFERROR(
  INDEX('Starlink Launches'!$A:$A, MATCH($E219, 'Starlink Launches'!$B:$B, 0)),
  ""
)
</f>
        <v>6-10</v>
      </c>
      <c r="B219" s="3" t="s">
        <v>25</v>
      </c>
      <c r="C219" s="12" t="s">
        <v>231</v>
      </c>
      <c r="D219" s="13">
        <v>57647.0</v>
      </c>
      <c r="E219" s="4">
        <v>45155.0</v>
      </c>
      <c r="F219" s="4" t="str">
        <f>IF(D219="","", IFNA(VLOOKUP(D219, SATCAT_DECAY!A:B, 2, FALSE), ""))
</f>
        <v/>
      </c>
      <c r="G219" s="3" t="str">
        <f t="shared" si="1"/>
        <v>ACTIVE</v>
      </c>
    </row>
    <row r="220" ht="22.5" customHeight="1">
      <c r="A220" s="11" t="str">
        <f t="array" ref="A220">IFERROR(
  INDEX('Starlink Launches'!$A:$A, MATCH($E220, 'Starlink Launches'!$B:$B, 0)),
  ""
)
</f>
        <v>6-10</v>
      </c>
      <c r="B220" s="3" t="s">
        <v>25</v>
      </c>
      <c r="C220" s="12" t="s">
        <v>232</v>
      </c>
      <c r="D220" s="13">
        <v>57648.0</v>
      </c>
      <c r="E220" s="4">
        <v>45155.0</v>
      </c>
      <c r="F220" s="4" t="str">
        <f>IF(D220="","", IFNA(VLOOKUP(D220, SATCAT_DECAY!A:B, 2, FALSE), ""))
</f>
        <v/>
      </c>
      <c r="G220" s="3" t="str">
        <f t="shared" si="1"/>
        <v>ACTIVE</v>
      </c>
    </row>
    <row r="221" ht="22.5" customHeight="1">
      <c r="A221" s="11" t="str">
        <f t="array" ref="A221">IFERROR(
  INDEX('Starlink Launches'!$A:$A, MATCH($E221, 'Starlink Launches'!$B:$B, 0)),
  ""
)
</f>
        <v>6-10</v>
      </c>
      <c r="B221" s="3" t="s">
        <v>25</v>
      </c>
      <c r="C221" s="12" t="s">
        <v>233</v>
      </c>
      <c r="D221" s="13">
        <v>57650.0</v>
      </c>
      <c r="E221" s="4">
        <v>45155.0</v>
      </c>
      <c r="F221" s="4" t="str">
        <f>IF(D221="","", IFNA(VLOOKUP(D221, SATCAT_DECAY!A:B, 2, FALSE), ""))
</f>
        <v/>
      </c>
      <c r="G221" s="3" t="str">
        <f t="shared" si="1"/>
        <v>ACTIVE</v>
      </c>
    </row>
    <row r="222" ht="22.5" customHeight="1">
      <c r="A222" s="11" t="str">
        <f t="array" ref="A222">IFERROR(
  INDEX('Starlink Launches'!$A:$A, MATCH($E222, 'Starlink Launches'!$B:$B, 0)),
  ""
)
</f>
        <v>6-10</v>
      </c>
      <c r="B222" s="3" t="s">
        <v>25</v>
      </c>
      <c r="C222" s="12" t="s">
        <v>234</v>
      </c>
      <c r="D222" s="13">
        <v>57651.0</v>
      </c>
      <c r="E222" s="4">
        <v>45155.0</v>
      </c>
      <c r="F222" s="4" t="str">
        <f>IF(D222="","", IFNA(VLOOKUP(D222, SATCAT_DECAY!A:B, 2, FALSE), ""))
</f>
        <v/>
      </c>
      <c r="G222" s="3" t="str">
        <f t="shared" si="1"/>
        <v>ACTIVE</v>
      </c>
    </row>
    <row r="223" ht="22.5" customHeight="1">
      <c r="A223" s="11" t="str">
        <f t="array" ref="A223">IFERROR(
  INDEX('Starlink Launches'!$A:$A, MATCH($E223, 'Starlink Launches'!$B:$B, 0)),
  ""
)
</f>
        <v>6-10</v>
      </c>
      <c r="B223" s="3" t="s">
        <v>25</v>
      </c>
      <c r="C223" s="12" t="s">
        <v>235</v>
      </c>
      <c r="D223" s="13">
        <v>57652.0</v>
      </c>
      <c r="E223" s="4">
        <v>45155.0</v>
      </c>
      <c r="F223" s="4" t="str">
        <f>IF(D223="","", IFNA(VLOOKUP(D223, SATCAT_DECAY!A:B, 2, FALSE), ""))
</f>
        <v/>
      </c>
      <c r="G223" s="3" t="str">
        <f t="shared" si="1"/>
        <v>ACTIVE</v>
      </c>
    </row>
    <row r="224" ht="22.5" customHeight="1">
      <c r="A224" s="11" t="str">
        <f t="array" ref="A224">IFERROR(
  INDEX('Starlink Launches'!$A:$A, MATCH($E224, 'Starlink Launches'!$B:$B, 0)),
  ""
)
</f>
        <v>6-10</v>
      </c>
      <c r="B224" s="3" t="s">
        <v>25</v>
      </c>
      <c r="C224" s="12" t="s">
        <v>236</v>
      </c>
      <c r="D224" s="13">
        <v>57653.0</v>
      </c>
      <c r="E224" s="4">
        <v>45155.0</v>
      </c>
      <c r="F224" s="4" t="str">
        <f>IF(D224="","", IFNA(VLOOKUP(D224, SATCAT_DECAY!A:B, 2, FALSE), ""))
</f>
        <v/>
      </c>
      <c r="G224" s="3" t="str">
        <f t="shared" si="1"/>
        <v>ACTIVE</v>
      </c>
    </row>
    <row r="225" ht="22.5" customHeight="1">
      <c r="A225" s="11" t="str">
        <f t="array" ref="A225">IFERROR(
  INDEX('Starlink Launches'!$A:$A, MATCH($E225, 'Starlink Launches'!$B:$B, 0)),
  ""
)
</f>
        <v>6-11</v>
      </c>
      <c r="B225" s="3" t="s">
        <v>25</v>
      </c>
      <c r="C225" s="12" t="s">
        <v>237</v>
      </c>
      <c r="D225" s="13">
        <v>57698.0</v>
      </c>
      <c r="E225" s="4">
        <v>45165.0</v>
      </c>
      <c r="F225" s="4" t="str">
        <f>IF(D225="","", IFNA(VLOOKUP(D225, SATCAT_DECAY!A:B, 2, FALSE), ""))
</f>
        <v/>
      </c>
      <c r="G225" s="3" t="str">
        <f t="shared" si="1"/>
        <v>ACTIVE</v>
      </c>
    </row>
    <row r="226" ht="22.5" customHeight="1">
      <c r="A226" s="11" t="str">
        <f t="array" ref="A226">IFERROR(
  INDEX('Starlink Launches'!$A:$A, MATCH($E226, 'Starlink Launches'!$B:$B, 0)),
  ""
)
</f>
        <v>6-11</v>
      </c>
      <c r="B226" s="3" t="s">
        <v>25</v>
      </c>
      <c r="C226" s="12" t="s">
        <v>238</v>
      </c>
      <c r="D226" s="13">
        <v>57699.0</v>
      </c>
      <c r="E226" s="4">
        <v>45165.0</v>
      </c>
      <c r="F226" s="4" t="str">
        <f>IF(D226="","", IFNA(VLOOKUP(D226, SATCAT_DECAY!A:B, 2, FALSE), ""))
</f>
        <v/>
      </c>
      <c r="G226" s="3" t="str">
        <f t="shared" si="1"/>
        <v>ACTIVE</v>
      </c>
    </row>
    <row r="227" ht="22.5" customHeight="1">
      <c r="A227" s="11" t="str">
        <f t="array" ref="A227">IFERROR(
  INDEX('Starlink Launches'!$A:$A, MATCH($E227, 'Starlink Launches'!$B:$B, 0)),
  ""
)
</f>
        <v>6-11</v>
      </c>
      <c r="B227" s="3" t="s">
        <v>25</v>
      </c>
      <c r="C227" s="12" t="s">
        <v>239</v>
      </c>
      <c r="D227" s="13">
        <v>57700.0</v>
      </c>
      <c r="E227" s="4">
        <v>45165.0</v>
      </c>
      <c r="F227" s="4" t="str">
        <f>IF(D227="","", IFNA(VLOOKUP(D227, SATCAT_DECAY!A:B, 2, FALSE), ""))
</f>
        <v/>
      </c>
      <c r="G227" s="3" t="str">
        <f t="shared" si="1"/>
        <v>ACTIVE</v>
      </c>
    </row>
    <row r="228" ht="22.5" customHeight="1">
      <c r="A228" s="11" t="str">
        <f t="array" ref="A228">IFERROR(
  INDEX('Starlink Launches'!$A:$A, MATCH($E228, 'Starlink Launches'!$B:$B, 0)),
  ""
)
</f>
        <v>6-11</v>
      </c>
      <c r="B228" s="3" t="s">
        <v>25</v>
      </c>
      <c r="C228" s="12" t="s">
        <v>240</v>
      </c>
      <c r="D228" s="13">
        <v>57701.0</v>
      </c>
      <c r="E228" s="4">
        <v>45165.0</v>
      </c>
      <c r="F228" s="4" t="str">
        <f>IF(D228="","", IFNA(VLOOKUP(D228, SATCAT_DECAY!A:B, 2, FALSE), ""))
</f>
        <v/>
      </c>
      <c r="G228" s="3" t="str">
        <f t="shared" si="1"/>
        <v>ACTIVE</v>
      </c>
    </row>
    <row r="229" ht="22.5" customHeight="1">
      <c r="A229" s="11" t="str">
        <f t="array" ref="A229">IFERROR(
  INDEX('Starlink Launches'!$A:$A, MATCH($E229, 'Starlink Launches'!$B:$B, 0)),
  ""
)
</f>
        <v>6-11</v>
      </c>
      <c r="B229" s="3" t="s">
        <v>25</v>
      </c>
      <c r="C229" s="12" t="s">
        <v>241</v>
      </c>
      <c r="D229" s="13">
        <v>57702.0</v>
      </c>
      <c r="E229" s="4">
        <v>45165.0</v>
      </c>
      <c r="F229" s="4" t="str">
        <f>IF(D229="","", IFNA(VLOOKUP(D229, SATCAT_DECAY!A:B, 2, FALSE), ""))
</f>
        <v/>
      </c>
      <c r="G229" s="3" t="str">
        <f t="shared" si="1"/>
        <v>ACTIVE</v>
      </c>
    </row>
    <row r="230" ht="22.5" customHeight="1">
      <c r="A230" s="11" t="str">
        <f t="array" ref="A230">IFERROR(
  INDEX('Starlink Launches'!$A:$A, MATCH($E230, 'Starlink Launches'!$B:$B, 0)),
  ""
)
</f>
        <v>6-11</v>
      </c>
      <c r="B230" s="3" t="s">
        <v>25</v>
      </c>
      <c r="C230" s="12" t="s">
        <v>242</v>
      </c>
      <c r="D230" s="13">
        <v>57703.0</v>
      </c>
      <c r="E230" s="4">
        <v>45165.0</v>
      </c>
      <c r="F230" s="4" t="str">
        <f>IF(D230="","", IFNA(VLOOKUP(D230, SATCAT_DECAY!A:B, 2, FALSE), ""))
</f>
        <v/>
      </c>
      <c r="G230" s="3" t="str">
        <f t="shared" si="1"/>
        <v>ACTIVE</v>
      </c>
    </row>
    <row r="231" ht="22.5" customHeight="1">
      <c r="A231" s="11" t="str">
        <f t="array" ref="A231">IFERROR(
  INDEX('Starlink Launches'!$A:$A, MATCH($E231, 'Starlink Launches'!$B:$B, 0)),
  ""
)
</f>
        <v>6-11</v>
      </c>
      <c r="B231" s="3" t="s">
        <v>25</v>
      </c>
      <c r="C231" s="12" t="s">
        <v>243</v>
      </c>
      <c r="D231" s="13">
        <v>57704.0</v>
      </c>
      <c r="E231" s="4">
        <v>45165.0</v>
      </c>
      <c r="F231" s="4" t="str">
        <f>IF(D231="","", IFNA(VLOOKUP(D231, SATCAT_DECAY!A:B, 2, FALSE), ""))
</f>
        <v/>
      </c>
      <c r="G231" s="3" t="str">
        <f t="shared" si="1"/>
        <v>ACTIVE</v>
      </c>
    </row>
    <row r="232" ht="22.5" customHeight="1">
      <c r="A232" s="11" t="str">
        <f t="array" ref="A232">IFERROR(
  INDEX('Starlink Launches'!$A:$A, MATCH($E232, 'Starlink Launches'!$B:$B, 0)),
  ""
)
</f>
        <v>6-11</v>
      </c>
      <c r="B232" s="3" t="s">
        <v>25</v>
      </c>
      <c r="C232" s="12" t="s">
        <v>244</v>
      </c>
      <c r="D232" s="13">
        <v>57705.0</v>
      </c>
      <c r="E232" s="4">
        <v>45165.0</v>
      </c>
      <c r="F232" s="4" t="str">
        <f>IF(D232="","", IFNA(VLOOKUP(D232, SATCAT_DECAY!A:B, 2, FALSE), ""))
</f>
        <v/>
      </c>
      <c r="G232" s="3" t="str">
        <f t="shared" si="1"/>
        <v>ACTIVE</v>
      </c>
    </row>
    <row r="233" ht="22.5" hidden="1" customHeight="1">
      <c r="A233" s="11" t="str">
        <f t="array" ref="A233">IFERROR(
  INDEX('Starlink Launches'!$A:$A, MATCH($E233, 'Starlink Launches'!$B:$B, 0)),
  ""
)
</f>
        <v>6-11</v>
      </c>
      <c r="B233" s="3" t="s">
        <v>25</v>
      </c>
      <c r="C233" s="12" t="s">
        <v>245</v>
      </c>
      <c r="D233" s="13">
        <v>57706.0</v>
      </c>
      <c r="E233" s="4">
        <v>45165.0</v>
      </c>
      <c r="F233" s="4">
        <f>IF(D233="","", IFNA(VLOOKUP(D233, SATCAT_DECAY!A:B, 2, FALSE), ""))
</f>
        <v>45318</v>
      </c>
      <c r="G233" s="3" t="str">
        <f t="shared" si="1"/>
        <v>DECAYED</v>
      </c>
    </row>
    <row r="234" ht="22.5" customHeight="1">
      <c r="A234" s="11" t="str">
        <f t="array" ref="A234">IFERROR(
  INDEX('Starlink Launches'!$A:$A, MATCH($E234, 'Starlink Launches'!$B:$B, 0)),
  ""
)
</f>
        <v>6-11</v>
      </c>
      <c r="B234" s="3" t="s">
        <v>25</v>
      </c>
      <c r="C234" s="12" t="s">
        <v>246</v>
      </c>
      <c r="D234" s="13">
        <v>57707.0</v>
      </c>
      <c r="E234" s="4">
        <v>45165.0</v>
      </c>
      <c r="F234" s="4" t="str">
        <f>IF(D234="","", IFNA(VLOOKUP(D234, SATCAT_DECAY!A:B, 2, FALSE), ""))
</f>
        <v/>
      </c>
      <c r="G234" s="3" t="str">
        <f t="shared" si="1"/>
        <v>ACTIVE</v>
      </c>
    </row>
    <row r="235" ht="22.5" customHeight="1">
      <c r="A235" s="11" t="str">
        <f t="array" ref="A235">IFERROR(
  INDEX('Starlink Launches'!$A:$A, MATCH($E235, 'Starlink Launches'!$B:$B, 0)),
  ""
)
</f>
        <v>6-11</v>
      </c>
      <c r="B235" s="3" t="s">
        <v>25</v>
      </c>
      <c r="C235" s="12" t="s">
        <v>247</v>
      </c>
      <c r="D235" s="13">
        <v>57708.0</v>
      </c>
      <c r="E235" s="4">
        <v>45165.0</v>
      </c>
      <c r="F235" s="4" t="str">
        <f>IF(D235="","", IFNA(VLOOKUP(D235, SATCAT_DECAY!A:B, 2, FALSE), ""))
</f>
        <v/>
      </c>
      <c r="G235" s="3" t="str">
        <f t="shared" si="1"/>
        <v>ACTIVE</v>
      </c>
    </row>
    <row r="236" ht="22.5" customHeight="1">
      <c r="A236" s="11" t="str">
        <f t="array" ref="A236">IFERROR(
  INDEX('Starlink Launches'!$A:$A, MATCH($E236, 'Starlink Launches'!$B:$B, 0)),
  ""
)
</f>
        <v>6-11</v>
      </c>
      <c r="B236" s="3" t="s">
        <v>25</v>
      </c>
      <c r="C236" s="12" t="s">
        <v>248</v>
      </c>
      <c r="D236" s="13">
        <v>57709.0</v>
      </c>
      <c r="E236" s="4">
        <v>45165.0</v>
      </c>
      <c r="F236" s="4" t="str">
        <f>IF(D236="","", IFNA(VLOOKUP(D236, SATCAT_DECAY!A:B, 2, FALSE), ""))
</f>
        <v/>
      </c>
      <c r="G236" s="3" t="str">
        <f t="shared" si="1"/>
        <v>ACTIVE</v>
      </c>
    </row>
    <row r="237" ht="22.5" customHeight="1">
      <c r="A237" s="11" t="str">
        <f t="array" ref="A237">IFERROR(
  INDEX('Starlink Launches'!$A:$A, MATCH($E237, 'Starlink Launches'!$B:$B, 0)),
  ""
)
</f>
        <v>6-11</v>
      </c>
      <c r="B237" s="3" t="s">
        <v>25</v>
      </c>
      <c r="C237" s="12" t="s">
        <v>249</v>
      </c>
      <c r="D237" s="13">
        <v>57710.0</v>
      </c>
      <c r="E237" s="4">
        <v>45165.0</v>
      </c>
      <c r="F237" s="4" t="str">
        <f>IF(D237="","", IFNA(VLOOKUP(D237, SATCAT_DECAY!A:B, 2, FALSE), ""))
</f>
        <v/>
      </c>
      <c r="G237" s="3" t="str">
        <f t="shared" si="1"/>
        <v>ACTIVE</v>
      </c>
    </row>
    <row r="238" ht="22.5" customHeight="1">
      <c r="A238" s="11" t="str">
        <f t="array" ref="A238">IFERROR(
  INDEX('Starlink Launches'!$A:$A, MATCH($E238, 'Starlink Launches'!$B:$B, 0)),
  ""
)
</f>
        <v>6-11</v>
      </c>
      <c r="B238" s="3" t="s">
        <v>25</v>
      </c>
      <c r="C238" s="12" t="s">
        <v>250</v>
      </c>
      <c r="D238" s="13">
        <v>57711.0</v>
      </c>
      <c r="E238" s="4">
        <v>45165.0</v>
      </c>
      <c r="F238" s="4" t="str">
        <f>IF(D238="","", IFNA(VLOOKUP(D238, SATCAT_DECAY!A:B, 2, FALSE), ""))
</f>
        <v/>
      </c>
      <c r="G238" s="3" t="str">
        <f t="shared" si="1"/>
        <v>ACTIVE</v>
      </c>
    </row>
    <row r="239" ht="22.5" customHeight="1">
      <c r="A239" s="11" t="str">
        <f t="array" ref="A239">IFERROR(
  INDEX('Starlink Launches'!$A:$A, MATCH($E239, 'Starlink Launches'!$B:$B, 0)),
  ""
)
</f>
        <v>6-11</v>
      </c>
      <c r="B239" s="3" t="s">
        <v>25</v>
      </c>
      <c r="C239" s="12" t="s">
        <v>251</v>
      </c>
      <c r="D239" s="13">
        <v>57712.0</v>
      </c>
      <c r="E239" s="4">
        <v>45165.0</v>
      </c>
      <c r="F239" s="4" t="str">
        <f>IF(D239="","", IFNA(VLOOKUP(D239, SATCAT_DECAY!A:B, 2, FALSE), ""))
</f>
        <v/>
      </c>
      <c r="G239" s="3" t="str">
        <f t="shared" si="1"/>
        <v>ACTIVE</v>
      </c>
    </row>
    <row r="240" ht="22.5" customHeight="1">
      <c r="A240" s="11" t="str">
        <f t="array" ref="A240">IFERROR(
  INDEX('Starlink Launches'!$A:$A, MATCH($E240, 'Starlink Launches'!$B:$B, 0)),
  ""
)
</f>
        <v>6-11</v>
      </c>
      <c r="B240" s="3" t="s">
        <v>25</v>
      </c>
      <c r="C240" s="12" t="s">
        <v>252</v>
      </c>
      <c r="D240" s="13">
        <v>57713.0</v>
      </c>
      <c r="E240" s="4">
        <v>45165.0</v>
      </c>
      <c r="F240" s="4" t="str">
        <f>IF(D240="","", IFNA(VLOOKUP(D240, SATCAT_DECAY!A:B, 2, FALSE), ""))
</f>
        <v/>
      </c>
      <c r="G240" s="3" t="str">
        <f t="shared" si="1"/>
        <v>ACTIVE</v>
      </c>
    </row>
    <row r="241" ht="22.5" customHeight="1">
      <c r="A241" s="11" t="str">
        <f t="array" ref="A241">IFERROR(
  INDEX('Starlink Launches'!$A:$A, MATCH($E241, 'Starlink Launches'!$B:$B, 0)),
  ""
)
</f>
        <v>6-11</v>
      </c>
      <c r="B241" s="3" t="s">
        <v>25</v>
      </c>
      <c r="C241" s="12" t="s">
        <v>253</v>
      </c>
      <c r="D241" s="13">
        <v>57714.0</v>
      </c>
      <c r="E241" s="4">
        <v>45165.0</v>
      </c>
      <c r="F241" s="4" t="str">
        <f>IF(D241="","", IFNA(VLOOKUP(D241, SATCAT_DECAY!A:B, 2, FALSE), ""))
</f>
        <v/>
      </c>
      <c r="G241" s="3" t="str">
        <f t="shared" si="1"/>
        <v>ACTIVE</v>
      </c>
    </row>
    <row r="242" ht="22.5" customHeight="1">
      <c r="A242" s="11" t="str">
        <f t="array" ref="A242">IFERROR(
  INDEX('Starlink Launches'!$A:$A, MATCH($E242, 'Starlink Launches'!$B:$B, 0)),
  ""
)
</f>
        <v>6-11</v>
      </c>
      <c r="B242" s="3" t="s">
        <v>25</v>
      </c>
      <c r="C242" s="12" t="s">
        <v>254</v>
      </c>
      <c r="D242" s="13">
        <v>57715.0</v>
      </c>
      <c r="E242" s="4">
        <v>45165.0</v>
      </c>
      <c r="F242" s="4" t="str">
        <f>IF(D242="","", IFNA(VLOOKUP(D242, SATCAT_DECAY!A:B, 2, FALSE), ""))
</f>
        <v/>
      </c>
      <c r="G242" s="3" t="str">
        <f t="shared" si="1"/>
        <v>ACTIVE</v>
      </c>
    </row>
    <row r="243" ht="22.5" customHeight="1">
      <c r="A243" s="11" t="str">
        <f t="array" ref="A243">IFERROR(
  INDEX('Starlink Launches'!$A:$A, MATCH($E243, 'Starlink Launches'!$B:$B, 0)),
  ""
)
</f>
        <v>6-11</v>
      </c>
      <c r="B243" s="3" t="s">
        <v>25</v>
      </c>
      <c r="C243" s="12" t="s">
        <v>255</v>
      </c>
      <c r="D243" s="13">
        <v>57716.0</v>
      </c>
      <c r="E243" s="4">
        <v>45165.0</v>
      </c>
      <c r="F243" s="4" t="str">
        <f>IF(D243="","", IFNA(VLOOKUP(D243, SATCAT_DECAY!A:B, 2, FALSE), ""))
</f>
        <v/>
      </c>
      <c r="G243" s="3" t="str">
        <f t="shared" si="1"/>
        <v>ACTIVE</v>
      </c>
    </row>
    <row r="244" ht="22.5" customHeight="1">
      <c r="A244" s="11" t="str">
        <f t="array" ref="A244">IFERROR(
  INDEX('Starlink Launches'!$A:$A, MATCH($E244, 'Starlink Launches'!$B:$B, 0)),
  ""
)
</f>
        <v>6-11</v>
      </c>
      <c r="B244" s="3" t="s">
        <v>25</v>
      </c>
      <c r="C244" s="12" t="s">
        <v>256</v>
      </c>
      <c r="D244" s="13">
        <v>57717.0</v>
      </c>
      <c r="E244" s="4">
        <v>45165.0</v>
      </c>
      <c r="F244" s="4" t="str">
        <f>IF(D244="","", IFNA(VLOOKUP(D244, SATCAT_DECAY!A:B, 2, FALSE), ""))
</f>
        <v/>
      </c>
      <c r="G244" s="3" t="str">
        <f t="shared" si="1"/>
        <v>ACTIVE</v>
      </c>
    </row>
    <row r="245" ht="22.5" customHeight="1">
      <c r="A245" s="11" t="str">
        <f t="array" ref="A245">IFERROR(
  INDEX('Starlink Launches'!$A:$A, MATCH($E245, 'Starlink Launches'!$B:$B, 0)),
  ""
)
</f>
        <v>6-11</v>
      </c>
      <c r="B245" s="3" t="s">
        <v>25</v>
      </c>
      <c r="C245" s="12" t="s">
        <v>257</v>
      </c>
      <c r="D245" s="13">
        <v>57718.0</v>
      </c>
      <c r="E245" s="4">
        <v>45165.0</v>
      </c>
      <c r="F245" s="4" t="str">
        <f>IF(D245="","", IFNA(VLOOKUP(D245, SATCAT_DECAY!A:B, 2, FALSE), ""))
</f>
        <v/>
      </c>
      <c r="G245" s="3" t="str">
        <f t="shared" si="1"/>
        <v>ACTIVE</v>
      </c>
    </row>
    <row r="246" ht="22.5" customHeight="1">
      <c r="A246" s="11" t="str">
        <f t="array" ref="A246">IFERROR(
  INDEX('Starlink Launches'!$A:$A, MATCH($E246, 'Starlink Launches'!$B:$B, 0)),
  ""
)
</f>
        <v>6-11</v>
      </c>
      <c r="B246" s="3" t="s">
        <v>25</v>
      </c>
      <c r="C246" s="12" t="s">
        <v>258</v>
      </c>
      <c r="D246" s="13">
        <v>57719.0</v>
      </c>
      <c r="E246" s="4">
        <v>45165.0</v>
      </c>
      <c r="F246" s="4" t="str">
        <f>IF(D246="","", IFNA(VLOOKUP(D246, SATCAT_DECAY!A:B, 2, FALSE), ""))
</f>
        <v/>
      </c>
      <c r="G246" s="3" t="str">
        <f t="shared" si="1"/>
        <v>ACTIVE</v>
      </c>
    </row>
    <row r="247" ht="22.5" customHeight="1">
      <c r="A247" s="11" t="str">
        <f t="array" ref="A247">IFERROR(
  INDEX('Starlink Launches'!$A:$A, MATCH($E247, 'Starlink Launches'!$B:$B, 0)),
  ""
)
</f>
        <v>6-13</v>
      </c>
      <c r="B247" s="3" t="s">
        <v>25</v>
      </c>
      <c r="C247" s="12" t="s">
        <v>259</v>
      </c>
      <c r="D247" s="13">
        <v>57732.0</v>
      </c>
      <c r="E247" s="4">
        <v>45170.0</v>
      </c>
      <c r="F247" s="4" t="str">
        <f>IF(D247="","", IFNA(VLOOKUP(D247, SATCAT_DECAY!A:B, 2, FALSE), ""))
</f>
        <v/>
      </c>
      <c r="G247" s="3" t="str">
        <f t="shared" si="1"/>
        <v>ACTIVE</v>
      </c>
    </row>
    <row r="248" ht="22.5" customHeight="1">
      <c r="A248" s="11" t="str">
        <f t="array" ref="A248">IFERROR(
  INDEX('Starlink Launches'!$A:$A, MATCH($E248, 'Starlink Launches'!$B:$B, 0)),
  ""
)
</f>
        <v>6-13</v>
      </c>
      <c r="B248" s="3" t="s">
        <v>25</v>
      </c>
      <c r="C248" s="12" t="s">
        <v>260</v>
      </c>
      <c r="D248" s="13">
        <v>57733.0</v>
      </c>
      <c r="E248" s="4">
        <v>45170.0</v>
      </c>
      <c r="F248" s="4" t="str">
        <f>IF(D248="","", IFNA(VLOOKUP(D248, SATCAT_DECAY!A:B, 2, FALSE), ""))
</f>
        <v/>
      </c>
      <c r="G248" s="3" t="str">
        <f t="shared" si="1"/>
        <v>ACTIVE</v>
      </c>
    </row>
    <row r="249" ht="22.5" customHeight="1">
      <c r="A249" s="11" t="str">
        <f t="array" ref="A249">IFERROR(
  INDEX('Starlink Launches'!$A:$A, MATCH($E249, 'Starlink Launches'!$B:$B, 0)),
  ""
)
</f>
        <v>6-13</v>
      </c>
      <c r="B249" s="3" t="s">
        <v>25</v>
      </c>
      <c r="C249" s="12" t="s">
        <v>261</v>
      </c>
      <c r="D249" s="13">
        <v>57734.0</v>
      </c>
      <c r="E249" s="4">
        <v>45170.0</v>
      </c>
      <c r="F249" s="4" t="str">
        <f>IF(D249="","", IFNA(VLOOKUP(D249, SATCAT_DECAY!A:B, 2, FALSE), ""))
</f>
        <v/>
      </c>
      <c r="G249" s="3" t="str">
        <f t="shared" si="1"/>
        <v>ACTIVE</v>
      </c>
    </row>
    <row r="250" ht="22.5" customHeight="1">
      <c r="A250" s="11" t="str">
        <f t="array" ref="A250">IFERROR(
  INDEX('Starlink Launches'!$A:$A, MATCH($E250, 'Starlink Launches'!$B:$B, 0)),
  ""
)
</f>
        <v>6-13</v>
      </c>
      <c r="B250" s="3" t="s">
        <v>25</v>
      </c>
      <c r="C250" s="12" t="s">
        <v>262</v>
      </c>
      <c r="D250" s="13">
        <v>57735.0</v>
      </c>
      <c r="E250" s="4">
        <v>45170.0</v>
      </c>
      <c r="F250" s="4" t="str">
        <f>IF(D250="","", IFNA(VLOOKUP(D250, SATCAT_DECAY!A:B, 2, FALSE), ""))
</f>
        <v/>
      </c>
      <c r="G250" s="3" t="str">
        <f t="shared" si="1"/>
        <v>ACTIVE</v>
      </c>
    </row>
    <row r="251" ht="22.5" customHeight="1">
      <c r="A251" s="11" t="str">
        <f t="array" ref="A251">IFERROR(
  INDEX('Starlink Launches'!$A:$A, MATCH($E251, 'Starlink Launches'!$B:$B, 0)),
  ""
)
</f>
        <v>6-13</v>
      </c>
      <c r="B251" s="3" t="s">
        <v>25</v>
      </c>
      <c r="C251" s="12" t="s">
        <v>263</v>
      </c>
      <c r="D251" s="13">
        <v>57736.0</v>
      </c>
      <c r="E251" s="4">
        <v>45170.0</v>
      </c>
      <c r="F251" s="4" t="str">
        <f>IF(D251="","", IFNA(VLOOKUP(D251, SATCAT_DECAY!A:B, 2, FALSE), ""))
</f>
        <v/>
      </c>
      <c r="G251" s="3" t="str">
        <f t="shared" si="1"/>
        <v>ACTIVE</v>
      </c>
    </row>
    <row r="252" ht="22.5" customHeight="1">
      <c r="A252" s="11" t="str">
        <f t="array" ref="A252">IFERROR(
  INDEX('Starlink Launches'!$A:$A, MATCH($E252, 'Starlink Launches'!$B:$B, 0)),
  ""
)
</f>
        <v>6-13</v>
      </c>
      <c r="B252" s="3" t="s">
        <v>25</v>
      </c>
      <c r="C252" s="12" t="s">
        <v>264</v>
      </c>
      <c r="D252" s="13">
        <v>57737.0</v>
      </c>
      <c r="E252" s="4">
        <v>45170.0</v>
      </c>
      <c r="F252" s="4" t="str">
        <f>IF(D252="","", IFNA(VLOOKUP(D252, SATCAT_DECAY!A:B, 2, FALSE), ""))
</f>
        <v/>
      </c>
      <c r="G252" s="3" t="str">
        <f t="shared" si="1"/>
        <v>ACTIVE</v>
      </c>
    </row>
    <row r="253" ht="22.5" customHeight="1">
      <c r="A253" s="11" t="str">
        <f t="array" ref="A253">IFERROR(
  INDEX('Starlink Launches'!$A:$A, MATCH($E253, 'Starlink Launches'!$B:$B, 0)),
  ""
)
</f>
        <v>6-13</v>
      </c>
      <c r="B253" s="3" t="s">
        <v>25</v>
      </c>
      <c r="C253" s="12" t="s">
        <v>265</v>
      </c>
      <c r="D253" s="13">
        <v>57738.0</v>
      </c>
      <c r="E253" s="4">
        <v>45170.0</v>
      </c>
      <c r="F253" s="4" t="str">
        <f>IF(D253="","", IFNA(VLOOKUP(D253, SATCAT_DECAY!A:B, 2, FALSE), ""))
</f>
        <v/>
      </c>
      <c r="G253" s="3" t="str">
        <f t="shared" si="1"/>
        <v>ACTIVE</v>
      </c>
    </row>
    <row r="254" ht="22.5" customHeight="1">
      <c r="A254" s="11" t="str">
        <f t="array" ref="A254">IFERROR(
  INDEX('Starlink Launches'!$A:$A, MATCH($E254, 'Starlink Launches'!$B:$B, 0)),
  ""
)
</f>
        <v>6-13</v>
      </c>
      <c r="B254" s="3" t="s">
        <v>25</v>
      </c>
      <c r="C254" s="12" t="s">
        <v>266</v>
      </c>
      <c r="D254" s="13">
        <v>57739.0</v>
      </c>
      <c r="E254" s="4">
        <v>45170.0</v>
      </c>
      <c r="F254" s="4" t="str">
        <f>IF(D254="","", IFNA(VLOOKUP(D254, SATCAT_DECAY!A:B, 2, FALSE), ""))
</f>
        <v/>
      </c>
      <c r="G254" s="3" t="str">
        <f t="shared" si="1"/>
        <v>ACTIVE</v>
      </c>
    </row>
    <row r="255" ht="22.5" customHeight="1">
      <c r="A255" s="11" t="str">
        <f t="array" ref="A255">IFERROR(
  INDEX('Starlink Launches'!$A:$A, MATCH($E255, 'Starlink Launches'!$B:$B, 0)),
  ""
)
</f>
        <v>6-13</v>
      </c>
      <c r="B255" s="3" t="s">
        <v>25</v>
      </c>
      <c r="C255" s="12" t="s">
        <v>267</v>
      </c>
      <c r="D255" s="13">
        <v>57740.0</v>
      </c>
      <c r="E255" s="4">
        <v>45170.0</v>
      </c>
      <c r="F255" s="4" t="str">
        <f>IF(D255="","", IFNA(VLOOKUP(D255, SATCAT_DECAY!A:B, 2, FALSE), ""))
</f>
        <v/>
      </c>
      <c r="G255" s="3" t="str">
        <f t="shared" si="1"/>
        <v>ACTIVE</v>
      </c>
    </row>
    <row r="256" ht="22.5" customHeight="1">
      <c r="A256" s="11" t="str">
        <f t="array" ref="A256">IFERROR(
  INDEX('Starlink Launches'!$A:$A, MATCH($E256, 'Starlink Launches'!$B:$B, 0)),
  ""
)
</f>
        <v>6-13</v>
      </c>
      <c r="B256" s="3" t="s">
        <v>25</v>
      </c>
      <c r="C256" s="12" t="s">
        <v>268</v>
      </c>
      <c r="D256" s="13">
        <v>57741.0</v>
      </c>
      <c r="E256" s="4">
        <v>45170.0</v>
      </c>
      <c r="F256" s="4" t="str">
        <f>IF(D256="","", IFNA(VLOOKUP(D256, SATCAT_DECAY!A:B, 2, FALSE), ""))
</f>
        <v/>
      </c>
      <c r="G256" s="3" t="str">
        <f t="shared" si="1"/>
        <v>ACTIVE</v>
      </c>
    </row>
    <row r="257" ht="22.5" customHeight="1">
      <c r="A257" s="11" t="str">
        <f t="array" ref="A257">IFERROR(
  INDEX('Starlink Launches'!$A:$A, MATCH($E257, 'Starlink Launches'!$B:$B, 0)),
  ""
)
</f>
        <v>6-13</v>
      </c>
      <c r="B257" s="3" t="s">
        <v>25</v>
      </c>
      <c r="C257" s="12" t="s">
        <v>269</v>
      </c>
      <c r="D257" s="13">
        <v>57742.0</v>
      </c>
      <c r="E257" s="4">
        <v>45170.0</v>
      </c>
      <c r="F257" s="4" t="str">
        <f>IF(D257="","", IFNA(VLOOKUP(D257, SATCAT_DECAY!A:B, 2, FALSE), ""))
</f>
        <v/>
      </c>
      <c r="G257" s="3" t="str">
        <f t="shared" si="1"/>
        <v>ACTIVE</v>
      </c>
    </row>
    <row r="258" ht="22.5" customHeight="1">
      <c r="A258" s="11" t="str">
        <f t="array" ref="A258">IFERROR(
  INDEX('Starlink Launches'!$A:$A, MATCH($E258, 'Starlink Launches'!$B:$B, 0)),
  ""
)
</f>
        <v>6-13</v>
      </c>
      <c r="B258" s="3" t="s">
        <v>25</v>
      </c>
      <c r="C258" s="12" t="s">
        <v>270</v>
      </c>
      <c r="D258" s="13">
        <v>57743.0</v>
      </c>
      <c r="E258" s="4">
        <v>45170.0</v>
      </c>
      <c r="F258" s="4" t="str">
        <f>IF(D258="","", IFNA(VLOOKUP(D258, SATCAT_DECAY!A:B, 2, FALSE), ""))
</f>
        <v/>
      </c>
      <c r="G258" s="3" t="str">
        <f t="shared" si="1"/>
        <v>ACTIVE</v>
      </c>
    </row>
    <row r="259" ht="22.5" customHeight="1">
      <c r="A259" s="11" t="str">
        <f t="array" ref="A259">IFERROR(
  INDEX('Starlink Launches'!$A:$A, MATCH($E259, 'Starlink Launches'!$B:$B, 0)),
  ""
)
</f>
        <v>6-13</v>
      </c>
      <c r="B259" s="3" t="s">
        <v>25</v>
      </c>
      <c r="C259" s="12" t="s">
        <v>271</v>
      </c>
      <c r="D259" s="13">
        <v>57744.0</v>
      </c>
      <c r="E259" s="4">
        <v>45170.0</v>
      </c>
      <c r="F259" s="4" t="str">
        <f>IF(D259="","", IFNA(VLOOKUP(D259, SATCAT_DECAY!A:B, 2, FALSE), ""))
</f>
        <v/>
      </c>
      <c r="G259" s="3" t="str">
        <f t="shared" si="1"/>
        <v>ACTIVE</v>
      </c>
    </row>
    <row r="260" ht="22.5" customHeight="1">
      <c r="A260" s="11" t="str">
        <f t="array" ref="A260">IFERROR(
  INDEX('Starlink Launches'!$A:$A, MATCH($E260, 'Starlink Launches'!$B:$B, 0)),
  ""
)
</f>
        <v>6-13</v>
      </c>
      <c r="B260" s="3" t="s">
        <v>25</v>
      </c>
      <c r="C260" s="12" t="s">
        <v>272</v>
      </c>
      <c r="D260" s="13">
        <v>57745.0</v>
      </c>
      <c r="E260" s="4">
        <v>45170.0</v>
      </c>
      <c r="F260" s="4" t="str">
        <f>IF(D260="","", IFNA(VLOOKUP(D260, SATCAT_DECAY!A:B, 2, FALSE), ""))
</f>
        <v/>
      </c>
      <c r="G260" s="3" t="str">
        <f t="shared" si="1"/>
        <v>ACTIVE</v>
      </c>
    </row>
    <row r="261" ht="22.5" customHeight="1">
      <c r="A261" s="11" t="str">
        <f t="array" ref="A261">IFERROR(
  INDEX('Starlink Launches'!$A:$A, MATCH($E261, 'Starlink Launches'!$B:$B, 0)),
  ""
)
</f>
        <v>6-13</v>
      </c>
      <c r="B261" s="3" t="s">
        <v>25</v>
      </c>
      <c r="C261" s="12" t="s">
        <v>273</v>
      </c>
      <c r="D261" s="13">
        <v>57746.0</v>
      </c>
      <c r="E261" s="4">
        <v>45170.0</v>
      </c>
      <c r="F261" s="4" t="str">
        <f>IF(D261="","", IFNA(VLOOKUP(D261, SATCAT_DECAY!A:B, 2, FALSE), ""))
</f>
        <v/>
      </c>
      <c r="G261" s="3" t="str">
        <f t="shared" si="1"/>
        <v>ACTIVE</v>
      </c>
    </row>
    <row r="262" ht="22.5" customHeight="1">
      <c r="A262" s="11" t="str">
        <f t="array" ref="A262">IFERROR(
  INDEX('Starlink Launches'!$A:$A, MATCH($E262, 'Starlink Launches'!$B:$B, 0)),
  ""
)
</f>
        <v>6-13</v>
      </c>
      <c r="B262" s="3" t="s">
        <v>25</v>
      </c>
      <c r="C262" s="12" t="s">
        <v>274</v>
      </c>
      <c r="D262" s="13">
        <v>57747.0</v>
      </c>
      <c r="E262" s="4">
        <v>45170.0</v>
      </c>
      <c r="F262" s="4" t="str">
        <f>IF(D262="","", IFNA(VLOOKUP(D262, SATCAT_DECAY!A:B, 2, FALSE), ""))
</f>
        <v/>
      </c>
      <c r="G262" s="3" t="str">
        <f t="shared" si="1"/>
        <v>ACTIVE</v>
      </c>
    </row>
    <row r="263" ht="22.5" customHeight="1">
      <c r="A263" s="11" t="str">
        <f t="array" ref="A263">IFERROR(
  INDEX('Starlink Launches'!$A:$A, MATCH($E263, 'Starlink Launches'!$B:$B, 0)),
  ""
)
</f>
        <v>6-13</v>
      </c>
      <c r="B263" s="3" t="s">
        <v>25</v>
      </c>
      <c r="C263" s="12" t="s">
        <v>275</v>
      </c>
      <c r="D263" s="13">
        <v>57748.0</v>
      </c>
      <c r="E263" s="4">
        <v>45170.0</v>
      </c>
      <c r="F263" s="4" t="str">
        <f>IF(D263="","", IFNA(VLOOKUP(D263, SATCAT_DECAY!A:B, 2, FALSE), ""))
</f>
        <v/>
      </c>
      <c r="G263" s="3" t="str">
        <f t="shared" si="1"/>
        <v>ACTIVE</v>
      </c>
    </row>
    <row r="264" ht="22.5" customHeight="1">
      <c r="A264" s="11" t="str">
        <f t="array" ref="A264">IFERROR(
  INDEX('Starlink Launches'!$A:$A, MATCH($E264, 'Starlink Launches'!$B:$B, 0)),
  ""
)
</f>
        <v>6-13</v>
      </c>
      <c r="B264" s="3" t="s">
        <v>25</v>
      </c>
      <c r="C264" s="12" t="s">
        <v>276</v>
      </c>
      <c r="D264" s="13">
        <v>57749.0</v>
      </c>
      <c r="E264" s="4">
        <v>45170.0</v>
      </c>
      <c r="F264" s="4" t="str">
        <f>IF(D264="","", IFNA(VLOOKUP(D264, SATCAT_DECAY!A:B, 2, FALSE), ""))
</f>
        <v/>
      </c>
      <c r="G264" s="3" t="str">
        <f t="shared" si="1"/>
        <v>ACTIVE</v>
      </c>
    </row>
    <row r="265" ht="22.5" customHeight="1">
      <c r="A265" s="11" t="str">
        <f t="array" ref="A265">IFERROR(
  INDEX('Starlink Launches'!$A:$A, MATCH($E265, 'Starlink Launches'!$B:$B, 0)),
  ""
)
</f>
        <v>6-13</v>
      </c>
      <c r="B265" s="3" t="s">
        <v>25</v>
      </c>
      <c r="C265" s="12" t="s">
        <v>277</v>
      </c>
      <c r="D265" s="13">
        <v>57750.0</v>
      </c>
      <c r="E265" s="4">
        <v>45170.0</v>
      </c>
      <c r="F265" s="4" t="str">
        <f>IF(D265="","", IFNA(VLOOKUP(D265, SATCAT_DECAY!A:B, 2, FALSE), ""))
</f>
        <v/>
      </c>
      <c r="G265" s="3" t="str">
        <f t="shared" si="1"/>
        <v>ACTIVE</v>
      </c>
    </row>
    <row r="266" ht="22.5" customHeight="1">
      <c r="A266" s="11" t="str">
        <f t="array" ref="A266">IFERROR(
  INDEX('Starlink Launches'!$A:$A, MATCH($E266, 'Starlink Launches'!$B:$B, 0)),
  ""
)
</f>
        <v>6-13</v>
      </c>
      <c r="B266" s="3" t="s">
        <v>25</v>
      </c>
      <c r="C266" s="12" t="s">
        <v>278</v>
      </c>
      <c r="D266" s="13">
        <v>57751.0</v>
      </c>
      <c r="E266" s="4">
        <v>45170.0</v>
      </c>
      <c r="F266" s="4" t="str">
        <f>IF(D266="","", IFNA(VLOOKUP(D266, SATCAT_DECAY!A:B, 2, FALSE), ""))
</f>
        <v/>
      </c>
      <c r="G266" s="3" t="str">
        <f t="shared" si="1"/>
        <v>ACTIVE</v>
      </c>
    </row>
    <row r="267" ht="22.5" customHeight="1">
      <c r="A267" s="11" t="str">
        <f t="array" ref="A267">IFERROR(
  INDEX('Starlink Launches'!$A:$A, MATCH($E267, 'Starlink Launches'!$B:$B, 0)),
  ""
)
</f>
        <v>6-13</v>
      </c>
      <c r="B267" s="3" t="s">
        <v>25</v>
      </c>
      <c r="C267" s="12" t="s">
        <v>279</v>
      </c>
      <c r="D267" s="13">
        <v>57752.0</v>
      </c>
      <c r="E267" s="4">
        <v>45170.0</v>
      </c>
      <c r="F267" s="4" t="str">
        <f>IF(D267="","", IFNA(VLOOKUP(D267, SATCAT_DECAY!A:B, 2, FALSE), ""))
</f>
        <v/>
      </c>
      <c r="G267" s="3" t="str">
        <f t="shared" si="1"/>
        <v>ACTIVE</v>
      </c>
    </row>
    <row r="268" ht="22.5" customHeight="1">
      <c r="A268" s="11" t="str">
        <f t="array" ref="A268">IFERROR(
  INDEX('Starlink Launches'!$A:$A, MATCH($E268, 'Starlink Launches'!$B:$B, 0)),
  ""
)
</f>
        <v>6-13</v>
      </c>
      <c r="B268" s="3" t="s">
        <v>25</v>
      </c>
      <c r="C268" s="12" t="s">
        <v>280</v>
      </c>
      <c r="D268" s="13">
        <v>57753.0</v>
      </c>
      <c r="E268" s="4">
        <v>45170.0</v>
      </c>
      <c r="F268" s="4" t="str">
        <f>IF(D268="","", IFNA(VLOOKUP(D268, SATCAT_DECAY!A:B, 2, FALSE), ""))
</f>
        <v/>
      </c>
      <c r="G268" s="3" t="str">
        <f t="shared" si="1"/>
        <v>ACTIVE</v>
      </c>
    </row>
    <row r="269" ht="22.5" customHeight="1">
      <c r="A269" s="11" t="str">
        <f t="array" ref="A269">IFERROR(
  INDEX('Starlink Launches'!$A:$A, MATCH($E269, 'Starlink Launches'!$B:$B, 0)),
  ""
)
</f>
        <v>6-12</v>
      </c>
      <c r="B269" s="3" t="s">
        <v>25</v>
      </c>
      <c r="C269" s="12" t="s">
        <v>281</v>
      </c>
      <c r="D269" s="13">
        <v>57771.0</v>
      </c>
      <c r="E269" s="4">
        <v>45173.0</v>
      </c>
      <c r="F269" s="4" t="str">
        <f>IF(D269="","", IFNA(VLOOKUP(D269, SATCAT_DECAY!A:B, 2, FALSE), ""))
</f>
        <v/>
      </c>
      <c r="G269" s="3" t="str">
        <f t="shared" si="1"/>
        <v>ACTIVE</v>
      </c>
    </row>
    <row r="270" ht="22.5" customHeight="1">
      <c r="A270" s="11" t="str">
        <f t="array" ref="A270">IFERROR(
  INDEX('Starlink Launches'!$A:$A, MATCH($E270, 'Starlink Launches'!$B:$B, 0)),
  ""
)
</f>
        <v>6-12</v>
      </c>
      <c r="B270" s="3" t="s">
        <v>25</v>
      </c>
      <c r="C270" s="12" t="s">
        <v>282</v>
      </c>
      <c r="D270" s="13">
        <v>57772.0</v>
      </c>
      <c r="E270" s="4">
        <v>45173.0</v>
      </c>
      <c r="F270" s="4" t="str">
        <f>IF(D270="","", IFNA(VLOOKUP(D270, SATCAT_DECAY!A:B, 2, FALSE), ""))
</f>
        <v/>
      </c>
      <c r="G270" s="3" t="str">
        <f t="shared" si="1"/>
        <v>ACTIVE</v>
      </c>
    </row>
    <row r="271" ht="22.5" customHeight="1">
      <c r="A271" s="11" t="str">
        <f t="array" ref="A271">IFERROR(
  INDEX('Starlink Launches'!$A:$A, MATCH($E271, 'Starlink Launches'!$B:$B, 0)),
  ""
)
</f>
        <v>6-12</v>
      </c>
      <c r="B271" s="3" t="s">
        <v>25</v>
      </c>
      <c r="C271" s="12" t="s">
        <v>283</v>
      </c>
      <c r="D271" s="13">
        <v>57773.0</v>
      </c>
      <c r="E271" s="4">
        <v>45173.0</v>
      </c>
      <c r="F271" s="4" t="str">
        <f>IF(D271="","", IFNA(VLOOKUP(D271, SATCAT_DECAY!A:B, 2, FALSE), ""))
</f>
        <v/>
      </c>
      <c r="G271" s="3" t="str">
        <f t="shared" si="1"/>
        <v>ACTIVE</v>
      </c>
    </row>
    <row r="272" ht="22.5" customHeight="1">
      <c r="A272" s="11" t="str">
        <f t="array" ref="A272">IFERROR(
  INDEX('Starlink Launches'!$A:$A, MATCH($E272, 'Starlink Launches'!$B:$B, 0)),
  ""
)
</f>
        <v>6-12</v>
      </c>
      <c r="B272" s="3" t="s">
        <v>25</v>
      </c>
      <c r="C272" s="12" t="s">
        <v>284</v>
      </c>
      <c r="D272" s="13">
        <v>57774.0</v>
      </c>
      <c r="E272" s="4">
        <v>45173.0</v>
      </c>
      <c r="F272" s="4" t="str">
        <f>IF(D272="","", IFNA(VLOOKUP(D272, SATCAT_DECAY!A:B, 2, FALSE), ""))
</f>
        <v/>
      </c>
      <c r="G272" s="3" t="str">
        <f t="shared" si="1"/>
        <v>ACTIVE</v>
      </c>
    </row>
    <row r="273" ht="22.5" customHeight="1">
      <c r="A273" s="11" t="str">
        <f t="array" ref="A273">IFERROR(
  INDEX('Starlink Launches'!$A:$A, MATCH($E273, 'Starlink Launches'!$B:$B, 0)),
  ""
)
</f>
        <v>6-12</v>
      </c>
      <c r="B273" s="3" t="s">
        <v>25</v>
      </c>
      <c r="C273" s="12" t="s">
        <v>285</v>
      </c>
      <c r="D273" s="13">
        <v>57775.0</v>
      </c>
      <c r="E273" s="4">
        <v>45173.0</v>
      </c>
      <c r="F273" s="4" t="str">
        <f>IF(D273="","", IFNA(VLOOKUP(D273, SATCAT_DECAY!A:B, 2, FALSE), ""))
</f>
        <v/>
      </c>
      <c r="G273" s="3" t="str">
        <f t="shared" si="1"/>
        <v>ACTIVE</v>
      </c>
    </row>
    <row r="274" ht="22.5" customHeight="1">
      <c r="A274" s="11" t="str">
        <f t="array" ref="A274">IFERROR(
  INDEX('Starlink Launches'!$A:$A, MATCH($E274, 'Starlink Launches'!$B:$B, 0)),
  ""
)
</f>
        <v>6-12</v>
      </c>
      <c r="B274" s="3" t="s">
        <v>25</v>
      </c>
      <c r="C274" s="12" t="s">
        <v>286</v>
      </c>
      <c r="D274" s="13">
        <v>57776.0</v>
      </c>
      <c r="E274" s="4">
        <v>45173.0</v>
      </c>
      <c r="F274" s="4" t="str">
        <f>IF(D274="","", IFNA(VLOOKUP(D274, SATCAT_DECAY!A:B, 2, FALSE), ""))
</f>
        <v/>
      </c>
      <c r="G274" s="3" t="str">
        <f t="shared" si="1"/>
        <v>ACTIVE</v>
      </c>
    </row>
    <row r="275" ht="22.5" customHeight="1">
      <c r="A275" s="11" t="str">
        <f t="array" ref="A275">IFERROR(
  INDEX('Starlink Launches'!$A:$A, MATCH($E275, 'Starlink Launches'!$B:$B, 0)),
  ""
)
</f>
        <v>6-12</v>
      </c>
      <c r="B275" s="3" t="s">
        <v>25</v>
      </c>
      <c r="C275" s="12" t="s">
        <v>287</v>
      </c>
      <c r="D275" s="13">
        <v>57777.0</v>
      </c>
      <c r="E275" s="4">
        <v>45173.0</v>
      </c>
      <c r="F275" s="4" t="str">
        <f>IF(D275="","", IFNA(VLOOKUP(D275, SATCAT_DECAY!A:B, 2, FALSE), ""))
</f>
        <v/>
      </c>
      <c r="G275" s="3" t="str">
        <f t="shared" si="1"/>
        <v>ACTIVE</v>
      </c>
    </row>
    <row r="276" ht="22.5" customHeight="1">
      <c r="A276" s="11" t="str">
        <f t="array" ref="A276">IFERROR(
  INDEX('Starlink Launches'!$A:$A, MATCH($E276, 'Starlink Launches'!$B:$B, 0)),
  ""
)
</f>
        <v>6-12</v>
      </c>
      <c r="B276" s="3" t="s">
        <v>25</v>
      </c>
      <c r="C276" s="12" t="s">
        <v>288</v>
      </c>
      <c r="D276" s="13">
        <v>57778.0</v>
      </c>
      <c r="E276" s="4">
        <v>45173.0</v>
      </c>
      <c r="F276" s="4" t="str">
        <f>IF(D276="","", IFNA(VLOOKUP(D276, SATCAT_DECAY!A:B, 2, FALSE), ""))
</f>
        <v/>
      </c>
      <c r="G276" s="3" t="str">
        <f t="shared" si="1"/>
        <v>ACTIVE</v>
      </c>
    </row>
    <row r="277" ht="22.5" customHeight="1">
      <c r="A277" s="11" t="str">
        <f t="array" ref="A277">IFERROR(
  INDEX('Starlink Launches'!$A:$A, MATCH($E277, 'Starlink Launches'!$B:$B, 0)),
  ""
)
</f>
        <v>6-12</v>
      </c>
      <c r="B277" s="3" t="s">
        <v>25</v>
      </c>
      <c r="C277" s="12" t="s">
        <v>289</v>
      </c>
      <c r="D277" s="13">
        <v>57779.0</v>
      </c>
      <c r="E277" s="4">
        <v>45173.0</v>
      </c>
      <c r="F277" s="4" t="str">
        <f>IF(D277="","", IFNA(VLOOKUP(D277, SATCAT_DECAY!A:B, 2, FALSE), ""))
</f>
        <v/>
      </c>
      <c r="G277" s="3" t="str">
        <f t="shared" si="1"/>
        <v>ACTIVE</v>
      </c>
    </row>
    <row r="278" ht="22.5" customHeight="1">
      <c r="A278" s="11" t="str">
        <f t="array" ref="A278">IFERROR(
  INDEX('Starlink Launches'!$A:$A, MATCH($E278, 'Starlink Launches'!$B:$B, 0)),
  ""
)
</f>
        <v>6-12</v>
      </c>
      <c r="B278" s="3" t="s">
        <v>25</v>
      </c>
      <c r="C278" s="12" t="s">
        <v>290</v>
      </c>
      <c r="D278" s="13">
        <v>57780.0</v>
      </c>
      <c r="E278" s="4">
        <v>45173.0</v>
      </c>
      <c r="F278" s="4" t="str">
        <f>IF(D278="","", IFNA(VLOOKUP(D278, SATCAT_DECAY!A:B, 2, FALSE), ""))
</f>
        <v/>
      </c>
      <c r="G278" s="3" t="str">
        <f t="shared" si="1"/>
        <v>ACTIVE</v>
      </c>
    </row>
    <row r="279" ht="22.5" customHeight="1">
      <c r="A279" s="11" t="str">
        <f t="array" ref="A279">IFERROR(
  INDEX('Starlink Launches'!$A:$A, MATCH($E279, 'Starlink Launches'!$B:$B, 0)),
  ""
)
</f>
        <v>6-12</v>
      </c>
      <c r="B279" s="3" t="s">
        <v>25</v>
      </c>
      <c r="C279" s="12" t="s">
        <v>291</v>
      </c>
      <c r="D279" s="13">
        <v>57781.0</v>
      </c>
      <c r="E279" s="4">
        <v>45173.0</v>
      </c>
      <c r="F279" s="4" t="str">
        <f>IF(D279="","", IFNA(VLOOKUP(D279, SATCAT_DECAY!A:B, 2, FALSE), ""))
</f>
        <v/>
      </c>
      <c r="G279" s="3" t="str">
        <f t="shared" si="1"/>
        <v>ACTIVE</v>
      </c>
    </row>
    <row r="280" ht="22.5" customHeight="1">
      <c r="A280" s="11" t="str">
        <f t="array" ref="A280">IFERROR(
  INDEX('Starlink Launches'!$A:$A, MATCH($E280, 'Starlink Launches'!$B:$B, 0)),
  ""
)
</f>
        <v>6-12</v>
      </c>
      <c r="B280" s="3" t="s">
        <v>25</v>
      </c>
      <c r="C280" s="12" t="s">
        <v>292</v>
      </c>
      <c r="D280" s="13">
        <v>57782.0</v>
      </c>
      <c r="E280" s="4">
        <v>45173.0</v>
      </c>
      <c r="F280" s="4" t="str">
        <f>IF(D280="","", IFNA(VLOOKUP(D280, SATCAT_DECAY!A:B, 2, FALSE), ""))
</f>
        <v/>
      </c>
      <c r="G280" s="3" t="str">
        <f t="shared" si="1"/>
        <v>ACTIVE</v>
      </c>
    </row>
    <row r="281" ht="22.5" customHeight="1">
      <c r="A281" s="11" t="str">
        <f t="array" ref="A281">IFERROR(
  INDEX('Starlink Launches'!$A:$A, MATCH($E281, 'Starlink Launches'!$B:$B, 0)),
  ""
)
</f>
        <v>6-12</v>
      </c>
      <c r="B281" s="3" t="s">
        <v>25</v>
      </c>
      <c r="C281" s="12" t="s">
        <v>293</v>
      </c>
      <c r="D281" s="13">
        <v>57783.0</v>
      </c>
      <c r="E281" s="4">
        <v>45173.0</v>
      </c>
      <c r="F281" s="4" t="str">
        <f>IF(D281="","", IFNA(VLOOKUP(D281, SATCAT_DECAY!A:B, 2, FALSE), ""))
</f>
        <v/>
      </c>
      <c r="G281" s="3" t="str">
        <f t="shared" si="1"/>
        <v>ACTIVE</v>
      </c>
    </row>
    <row r="282" ht="22.5" customHeight="1">
      <c r="A282" s="11" t="str">
        <f t="array" ref="A282">IFERROR(
  INDEX('Starlink Launches'!$A:$A, MATCH($E282, 'Starlink Launches'!$B:$B, 0)),
  ""
)
</f>
        <v>6-12</v>
      </c>
      <c r="B282" s="3" t="s">
        <v>25</v>
      </c>
      <c r="C282" s="12" t="s">
        <v>294</v>
      </c>
      <c r="D282" s="13">
        <v>57784.0</v>
      </c>
      <c r="E282" s="4">
        <v>45173.0</v>
      </c>
      <c r="F282" s="4" t="str">
        <f>IF(D282="","", IFNA(VLOOKUP(D282, SATCAT_DECAY!A:B, 2, FALSE), ""))
</f>
        <v/>
      </c>
      <c r="G282" s="3" t="str">
        <f t="shared" si="1"/>
        <v>ACTIVE</v>
      </c>
    </row>
    <row r="283" ht="22.5" customHeight="1">
      <c r="A283" s="11" t="str">
        <f t="array" ref="A283">IFERROR(
  INDEX('Starlink Launches'!$A:$A, MATCH($E283, 'Starlink Launches'!$B:$B, 0)),
  ""
)
</f>
        <v>6-12</v>
      </c>
      <c r="B283" s="3" t="s">
        <v>25</v>
      </c>
      <c r="C283" s="12" t="s">
        <v>295</v>
      </c>
      <c r="D283" s="13">
        <v>57785.0</v>
      </c>
      <c r="E283" s="4">
        <v>45173.0</v>
      </c>
      <c r="F283" s="4" t="str">
        <f>IF(D283="","", IFNA(VLOOKUP(D283, SATCAT_DECAY!A:B, 2, FALSE), ""))
</f>
        <v/>
      </c>
      <c r="G283" s="3" t="str">
        <f t="shared" si="1"/>
        <v>ACTIVE</v>
      </c>
    </row>
    <row r="284" ht="22.5" customHeight="1">
      <c r="A284" s="11" t="str">
        <f t="array" ref="A284">IFERROR(
  INDEX('Starlink Launches'!$A:$A, MATCH($E284, 'Starlink Launches'!$B:$B, 0)),
  ""
)
</f>
        <v>6-12</v>
      </c>
      <c r="B284" s="3" t="s">
        <v>25</v>
      </c>
      <c r="C284" s="12" t="s">
        <v>296</v>
      </c>
      <c r="D284" s="13">
        <v>57786.0</v>
      </c>
      <c r="E284" s="4">
        <v>45173.0</v>
      </c>
      <c r="F284" s="4" t="str">
        <f>IF(D284="","", IFNA(VLOOKUP(D284, SATCAT_DECAY!A:B, 2, FALSE), ""))
</f>
        <v/>
      </c>
      <c r="G284" s="3" t="str">
        <f t="shared" si="1"/>
        <v>ACTIVE</v>
      </c>
    </row>
    <row r="285" ht="22.5" customHeight="1">
      <c r="A285" s="11" t="str">
        <f t="array" ref="A285">IFERROR(
  INDEX('Starlink Launches'!$A:$A, MATCH($E285, 'Starlink Launches'!$B:$B, 0)),
  ""
)
</f>
        <v>6-12</v>
      </c>
      <c r="B285" s="3" t="s">
        <v>25</v>
      </c>
      <c r="C285" s="12" t="s">
        <v>297</v>
      </c>
      <c r="D285" s="13">
        <v>57787.0</v>
      </c>
      <c r="E285" s="4">
        <v>45173.0</v>
      </c>
      <c r="F285" s="4" t="str">
        <f>IF(D285="","", IFNA(VLOOKUP(D285, SATCAT_DECAY!A:B, 2, FALSE), ""))
</f>
        <v/>
      </c>
      <c r="G285" s="3" t="str">
        <f t="shared" si="1"/>
        <v>ACTIVE</v>
      </c>
    </row>
    <row r="286" ht="22.5" customHeight="1">
      <c r="A286" s="11" t="str">
        <f t="array" ref="A286">IFERROR(
  INDEX('Starlink Launches'!$A:$A, MATCH($E286, 'Starlink Launches'!$B:$B, 0)),
  ""
)
</f>
        <v>6-12</v>
      </c>
      <c r="B286" s="3" t="s">
        <v>25</v>
      </c>
      <c r="C286" s="12" t="s">
        <v>298</v>
      </c>
      <c r="D286" s="13">
        <v>57788.0</v>
      </c>
      <c r="E286" s="4">
        <v>45173.0</v>
      </c>
      <c r="F286" s="4" t="str">
        <f>IF(D286="","", IFNA(VLOOKUP(D286, SATCAT_DECAY!A:B, 2, FALSE), ""))
</f>
        <v/>
      </c>
      <c r="G286" s="3" t="str">
        <f t="shared" si="1"/>
        <v>ACTIVE</v>
      </c>
    </row>
    <row r="287" ht="22.5" customHeight="1">
      <c r="A287" s="11" t="str">
        <f t="array" ref="A287">IFERROR(
  INDEX('Starlink Launches'!$A:$A, MATCH($E287, 'Starlink Launches'!$B:$B, 0)),
  ""
)
</f>
        <v>6-12</v>
      </c>
      <c r="B287" s="3" t="s">
        <v>25</v>
      </c>
      <c r="C287" s="12" t="s">
        <v>299</v>
      </c>
      <c r="D287" s="13">
        <v>57789.0</v>
      </c>
      <c r="E287" s="4">
        <v>45173.0</v>
      </c>
      <c r="F287" s="4" t="str">
        <f>IF(D287="","", IFNA(VLOOKUP(D287, SATCAT_DECAY!A:B, 2, FALSE), ""))
</f>
        <v/>
      </c>
      <c r="G287" s="3" t="str">
        <f t="shared" si="1"/>
        <v>ACTIVE</v>
      </c>
    </row>
    <row r="288" ht="22.5" hidden="1" customHeight="1">
      <c r="A288" s="11" t="str">
        <f t="array" ref="A288">IFERROR(
  INDEX('Starlink Launches'!$A:$A, MATCH($E288, 'Starlink Launches'!$B:$B, 0)),
  ""
)
</f>
        <v>6-12</v>
      </c>
      <c r="B288" s="3" t="s">
        <v>25</v>
      </c>
      <c r="C288" s="12" t="s">
        <v>300</v>
      </c>
      <c r="D288" s="13">
        <v>57790.0</v>
      </c>
      <c r="E288" s="4">
        <v>45173.0</v>
      </c>
      <c r="F288" s="4">
        <f>IF(D288="","", IFNA(VLOOKUP(D288, SATCAT_DECAY!A:B, 2, FALSE), ""))
</f>
        <v>45923</v>
      </c>
      <c r="G288" s="3" t="str">
        <f t="shared" si="1"/>
        <v>DECAYED</v>
      </c>
    </row>
    <row r="289" ht="22.5" customHeight="1">
      <c r="A289" s="11" t="str">
        <f t="array" ref="A289">IFERROR(
  INDEX('Starlink Launches'!$A:$A, MATCH($E289, 'Starlink Launches'!$B:$B, 0)),
  ""
)
</f>
        <v>6-12</v>
      </c>
      <c r="B289" s="3" t="s">
        <v>25</v>
      </c>
      <c r="C289" s="12" t="s">
        <v>301</v>
      </c>
      <c r="D289" s="13">
        <v>57791.0</v>
      </c>
      <c r="E289" s="4">
        <v>45173.0</v>
      </c>
      <c r="F289" s="4" t="str">
        <f>IF(D289="","", IFNA(VLOOKUP(D289, SATCAT_DECAY!A:B, 2, FALSE), ""))
</f>
        <v/>
      </c>
      <c r="G289" s="3" t="str">
        <f t="shared" si="1"/>
        <v>ACTIVE</v>
      </c>
    </row>
    <row r="290" ht="22.5" customHeight="1">
      <c r="A290" s="11" t="str">
        <f t="array" ref="A290">IFERROR(
  INDEX('Starlink Launches'!$A:$A, MATCH($E290, 'Starlink Launches'!$B:$B, 0)),
  ""
)
</f>
        <v>6-14</v>
      </c>
      <c r="B290" s="3" t="s">
        <v>25</v>
      </c>
      <c r="C290" s="12" t="s">
        <v>302</v>
      </c>
      <c r="D290" s="13">
        <v>57809.0</v>
      </c>
      <c r="E290" s="4">
        <v>45178.0</v>
      </c>
      <c r="F290" s="4" t="str">
        <f>IF(D290="","", IFNA(VLOOKUP(D290, SATCAT_DECAY!A:B, 2, FALSE), ""))
</f>
        <v/>
      </c>
      <c r="G290" s="3" t="str">
        <f t="shared" si="1"/>
        <v>ACTIVE</v>
      </c>
    </row>
    <row r="291" ht="22.5" customHeight="1">
      <c r="A291" s="11" t="str">
        <f t="array" ref="A291">IFERROR(
  INDEX('Starlink Launches'!$A:$A, MATCH($E291, 'Starlink Launches'!$B:$B, 0)),
  ""
)
</f>
        <v>6-14</v>
      </c>
      <c r="B291" s="3" t="s">
        <v>25</v>
      </c>
      <c r="C291" s="12" t="s">
        <v>303</v>
      </c>
      <c r="D291" s="13">
        <v>57810.0</v>
      </c>
      <c r="E291" s="4">
        <v>45178.0</v>
      </c>
      <c r="F291" s="4" t="str">
        <f>IF(D291="","", IFNA(VLOOKUP(D291, SATCAT_DECAY!A:B, 2, FALSE), ""))
</f>
        <v/>
      </c>
      <c r="G291" s="3" t="str">
        <f t="shared" si="1"/>
        <v>ACTIVE</v>
      </c>
    </row>
    <row r="292" ht="22.5" customHeight="1">
      <c r="A292" s="11" t="str">
        <f t="array" ref="A292">IFERROR(
  INDEX('Starlink Launches'!$A:$A, MATCH($E292, 'Starlink Launches'!$B:$B, 0)),
  ""
)
</f>
        <v>6-14</v>
      </c>
      <c r="B292" s="3" t="s">
        <v>25</v>
      </c>
      <c r="C292" s="12" t="s">
        <v>304</v>
      </c>
      <c r="D292" s="13">
        <v>57811.0</v>
      </c>
      <c r="E292" s="4">
        <v>45178.0</v>
      </c>
      <c r="F292" s="4" t="str">
        <f>IF(D292="","", IFNA(VLOOKUP(D292, SATCAT_DECAY!A:B, 2, FALSE), ""))
</f>
        <v/>
      </c>
      <c r="G292" s="3" t="str">
        <f t="shared" si="1"/>
        <v>ACTIVE</v>
      </c>
    </row>
    <row r="293" ht="22.5" customHeight="1">
      <c r="A293" s="11" t="str">
        <f t="array" ref="A293">IFERROR(
  INDEX('Starlink Launches'!$A:$A, MATCH($E293, 'Starlink Launches'!$B:$B, 0)),
  ""
)
</f>
        <v>6-14</v>
      </c>
      <c r="B293" s="3" t="s">
        <v>25</v>
      </c>
      <c r="C293" s="12" t="s">
        <v>305</v>
      </c>
      <c r="D293" s="13">
        <v>57812.0</v>
      </c>
      <c r="E293" s="4">
        <v>45178.0</v>
      </c>
      <c r="F293" s="4" t="str">
        <f>IF(D293="","", IFNA(VLOOKUP(D293, SATCAT_DECAY!A:B, 2, FALSE), ""))
</f>
        <v/>
      </c>
      <c r="G293" s="3" t="str">
        <f t="shared" si="1"/>
        <v>ACTIVE</v>
      </c>
    </row>
    <row r="294" ht="22.5" customHeight="1">
      <c r="A294" s="11" t="str">
        <f t="array" ref="A294">IFERROR(
  INDEX('Starlink Launches'!$A:$A, MATCH($E294, 'Starlink Launches'!$B:$B, 0)),
  ""
)
</f>
        <v>6-14</v>
      </c>
      <c r="B294" s="3" t="s">
        <v>25</v>
      </c>
      <c r="C294" s="12" t="s">
        <v>306</v>
      </c>
      <c r="D294" s="13">
        <v>57813.0</v>
      </c>
      <c r="E294" s="4">
        <v>45178.0</v>
      </c>
      <c r="F294" s="4" t="str">
        <f>IF(D294="","", IFNA(VLOOKUP(D294, SATCAT_DECAY!A:B, 2, FALSE), ""))
</f>
        <v/>
      </c>
      <c r="G294" s="3" t="str">
        <f t="shared" si="1"/>
        <v>ACTIVE</v>
      </c>
    </row>
    <row r="295" ht="22.5" customHeight="1">
      <c r="A295" s="11" t="str">
        <f t="array" ref="A295">IFERROR(
  INDEX('Starlink Launches'!$A:$A, MATCH($E295, 'Starlink Launches'!$B:$B, 0)),
  ""
)
</f>
        <v>6-14</v>
      </c>
      <c r="B295" s="3" t="s">
        <v>25</v>
      </c>
      <c r="C295" s="12" t="s">
        <v>307</v>
      </c>
      <c r="D295" s="13">
        <v>57814.0</v>
      </c>
      <c r="E295" s="4">
        <v>45178.0</v>
      </c>
      <c r="F295" s="4" t="str">
        <f>IF(D295="","", IFNA(VLOOKUP(D295, SATCAT_DECAY!A:B, 2, FALSE), ""))
</f>
        <v/>
      </c>
      <c r="G295" s="3" t="str">
        <f t="shared" si="1"/>
        <v>ACTIVE</v>
      </c>
    </row>
    <row r="296" ht="22.5" customHeight="1">
      <c r="A296" s="11" t="str">
        <f t="array" ref="A296">IFERROR(
  INDEX('Starlink Launches'!$A:$A, MATCH($E296, 'Starlink Launches'!$B:$B, 0)),
  ""
)
</f>
        <v>6-14</v>
      </c>
      <c r="B296" s="3" t="s">
        <v>25</v>
      </c>
      <c r="C296" s="12" t="s">
        <v>308</v>
      </c>
      <c r="D296" s="13">
        <v>57815.0</v>
      </c>
      <c r="E296" s="4">
        <v>45178.0</v>
      </c>
      <c r="F296" s="4" t="str">
        <f>IF(D296="","", IFNA(VLOOKUP(D296, SATCAT_DECAY!A:B, 2, FALSE), ""))
</f>
        <v/>
      </c>
      <c r="G296" s="3" t="str">
        <f t="shared" si="1"/>
        <v>ACTIVE</v>
      </c>
    </row>
    <row r="297" ht="22.5" customHeight="1">
      <c r="A297" s="11" t="str">
        <f t="array" ref="A297">IFERROR(
  INDEX('Starlink Launches'!$A:$A, MATCH($E297, 'Starlink Launches'!$B:$B, 0)),
  ""
)
</f>
        <v>6-14</v>
      </c>
      <c r="B297" s="3" t="s">
        <v>25</v>
      </c>
      <c r="C297" s="12" t="s">
        <v>309</v>
      </c>
      <c r="D297" s="13">
        <v>57816.0</v>
      </c>
      <c r="E297" s="4">
        <v>45178.0</v>
      </c>
      <c r="F297" s="4" t="str">
        <f>IF(D297="","", IFNA(VLOOKUP(D297, SATCAT_DECAY!A:B, 2, FALSE), ""))
</f>
        <v/>
      </c>
      <c r="G297" s="3" t="str">
        <f t="shared" si="1"/>
        <v>ACTIVE</v>
      </c>
    </row>
    <row r="298" ht="22.5" customHeight="1">
      <c r="A298" s="11" t="str">
        <f t="array" ref="A298">IFERROR(
  INDEX('Starlink Launches'!$A:$A, MATCH($E298, 'Starlink Launches'!$B:$B, 0)),
  ""
)
</f>
        <v>6-14</v>
      </c>
      <c r="B298" s="3" t="s">
        <v>25</v>
      </c>
      <c r="C298" s="12" t="s">
        <v>310</v>
      </c>
      <c r="D298" s="13">
        <v>57817.0</v>
      </c>
      <c r="E298" s="4">
        <v>45178.0</v>
      </c>
      <c r="F298" s="4" t="str">
        <f>IF(D298="","", IFNA(VLOOKUP(D298, SATCAT_DECAY!A:B, 2, FALSE), ""))
</f>
        <v/>
      </c>
      <c r="G298" s="3" t="str">
        <f t="shared" si="1"/>
        <v>ACTIVE</v>
      </c>
    </row>
    <row r="299" ht="22.5" customHeight="1">
      <c r="A299" s="11" t="str">
        <f t="array" ref="A299">IFERROR(
  INDEX('Starlink Launches'!$A:$A, MATCH($E299, 'Starlink Launches'!$B:$B, 0)),
  ""
)
</f>
        <v>6-14</v>
      </c>
      <c r="B299" s="3" t="s">
        <v>25</v>
      </c>
      <c r="C299" s="12" t="s">
        <v>311</v>
      </c>
      <c r="D299" s="13">
        <v>57818.0</v>
      </c>
      <c r="E299" s="4">
        <v>45178.0</v>
      </c>
      <c r="F299" s="4" t="str">
        <f>IF(D299="","", IFNA(VLOOKUP(D299, SATCAT_DECAY!A:B, 2, FALSE), ""))
</f>
        <v/>
      </c>
      <c r="G299" s="3" t="str">
        <f t="shared" si="1"/>
        <v>ACTIVE</v>
      </c>
    </row>
    <row r="300" ht="22.5" customHeight="1">
      <c r="A300" s="11" t="str">
        <f t="array" ref="A300">IFERROR(
  INDEX('Starlink Launches'!$A:$A, MATCH($E300, 'Starlink Launches'!$B:$B, 0)),
  ""
)
</f>
        <v>6-14</v>
      </c>
      <c r="B300" s="3" t="s">
        <v>25</v>
      </c>
      <c r="C300" s="12" t="s">
        <v>312</v>
      </c>
      <c r="D300" s="13">
        <v>57819.0</v>
      </c>
      <c r="E300" s="4">
        <v>45178.0</v>
      </c>
      <c r="F300" s="4" t="str">
        <f>IF(D300="","", IFNA(VLOOKUP(D300, SATCAT_DECAY!A:B, 2, FALSE), ""))
</f>
        <v/>
      </c>
      <c r="G300" s="3" t="str">
        <f t="shared" si="1"/>
        <v>ACTIVE</v>
      </c>
    </row>
    <row r="301" ht="22.5" customHeight="1">
      <c r="A301" s="11" t="str">
        <f t="array" ref="A301">IFERROR(
  INDEX('Starlink Launches'!$A:$A, MATCH($E301, 'Starlink Launches'!$B:$B, 0)),
  ""
)
</f>
        <v>6-14</v>
      </c>
      <c r="B301" s="3" t="s">
        <v>25</v>
      </c>
      <c r="C301" s="12" t="s">
        <v>313</v>
      </c>
      <c r="D301" s="13">
        <v>57820.0</v>
      </c>
      <c r="E301" s="4">
        <v>45178.0</v>
      </c>
      <c r="F301" s="4" t="str">
        <f>IF(D301="","", IFNA(VLOOKUP(D301, SATCAT_DECAY!A:B, 2, FALSE), ""))
</f>
        <v/>
      </c>
      <c r="G301" s="3" t="str">
        <f t="shared" si="1"/>
        <v>ACTIVE</v>
      </c>
    </row>
    <row r="302" ht="22.5" customHeight="1">
      <c r="A302" s="11" t="str">
        <f t="array" ref="A302">IFERROR(
  INDEX('Starlink Launches'!$A:$A, MATCH($E302, 'Starlink Launches'!$B:$B, 0)),
  ""
)
</f>
        <v>6-14</v>
      </c>
      <c r="B302" s="3" t="s">
        <v>25</v>
      </c>
      <c r="C302" s="12" t="s">
        <v>314</v>
      </c>
      <c r="D302" s="13">
        <v>57821.0</v>
      </c>
      <c r="E302" s="4">
        <v>45178.0</v>
      </c>
      <c r="F302" s="4" t="str">
        <f>IF(D302="","", IFNA(VLOOKUP(D302, SATCAT_DECAY!A:B, 2, FALSE), ""))
</f>
        <v/>
      </c>
      <c r="G302" s="3" t="str">
        <f t="shared" si="1"/>
        <v>ACTIVE</v>
      </c>
    </row>
    <row r="303" ht="22.5" customHeight="1">
      <c r="A303" s="11" t="str">
        <f t="array" ref="A303">IFERROR(
  INDEX('Starlink Launches'!$A:$A, MATCH($E303, 'Starlink Launches'!$B:$B, 0)),
  ""
)
</f>
        <v>6-14</v>
      </c>
      <c r="B303" s="3" t="s">
        <v>25</v>
      </c>
      <c r="C303" s="12" t="s">
        <v>315</v>
      </c>
      <c r="D303" s="13">
        <v>57823.0</v>
      </c>
      <c r="E303" s="4">
        <v>45178.0</v>
      </c>
      <c r="F303" s="4" t="str">
        <f>IF(D303="","", IFNA(VLOOKUP(D303, SATCAT_DECAY!A:B, 2, FALSE), ""))
</f>
        <v/>
      </c>
      <c r="G303" s="3" t="str">
        <f t="shared" si="1"/>
        <v>ACTIVE</v>
      </c>
    </row>
    <row r="304" ht="22.5" customHeight="1">
      <c r="A304" s="11" t="str">
        <f t="array" ref="A304">IFERROR(
  INDEX('Starlink Launches'!$A:$A, MATCH($E304, 'Starlink Launches'!$B:$B, 0)),
  ""
)
</f>
        <v>6-14</v>
      </c>
      <c r="B304" s="3" t="s">
        <v>25</v>
      </c>
      <c r="C304" s="12" t="s">
        <v>316</v>
      </c>
      <c r="D304" s="13">
        <v>57824.0</v>
      </c>
      <c r="E304" s="4">
        <v>45178.0</v>
      </c>
      <c r="F304" s="4" t="str">
        <f>IF(D304="","", IFNA(VLOOKUP(D304, SATCAT_DECAY!A:B, 2, FALSE), ""))
</f>
        <v/>
      </c>
      <c r="G304" s="3" t="str">
        <f t="shared" si="1"/>
        <v>ACTIVE</v>
      </c>
    </row>
    <row r="305" ht="22.5" customHeight="1">
      <c r="A305" s="11" t="str">
        <f t="array" ref="A305">IFERROR(
  INDEX('Starlink Launches'!$A:$A, MATCH($E305, 'Starlink Launches'!$B:$B, 0)),
  ""
)
</f>
        <v>6-14</v>
      </c>
      <c r="B305" s="3" t="s">
        <v>25</v>
      </c>
      <c r="C305" s="12" t="s">
        <v>317</v>
      </c>
      <c r="D305" s="13">
        <v>57825.0</v>
      </c>
      <c r="E305" s="4">
        <v>45178.0</v>
      </c>
      <c r="F305" s="4" t="str">
        <f>IF(D305="","", IFNA(VLOOKUP(D305, SATCAT_DECAY!A:B, 2, FALSE), ""))
</f>
        <v/>
      </c>
      <c r="G305" s="3" t="str">
        <f t="shared" si="1"/>
        <v>ACTIVE</v>
      </c>
    </row>
    <row r="306" ht="22.5" customHeight="1">
      <c r="A306" s="11" t="str">
        <f t="array" ref="A306">IFERROR(
  INDEX('Starlink Launches'!$A:$A, MATCH($E306, 'Starlink Launches'!$B:$B, 0)),
  ""
)
</f>
        <v>6-14</v>
      </c>
      <c r="B306" s="3" t="s">
        <v>25</v>
      </c>
      <c r="C306" s="12" t="s">
        <v>318</v>
      </c>
      <c r="D306" s="13">
        <v>57826.0</v>
      </c>
      <c r="E306" s="4">
        <v>45178.0</v>
      </c>
      <c r="F306" s="4" t="str">
        <f>IF(D306="","", IFNA(VLOOKUP(D306, SATCAT_DECAY!A:B, 2, FALSE), ""))
</f>
        <v/>
      </c>
      <c r="G306" s="3" t="str">
        <f t="shared" si="1"/>
        <v>ACTIVE</v>
      </c>
    </row>
    <row r="307" ht="22.5" customHeight="1">
      <c r="A307" s="11" t="str">
        <f t="array" ref="A307">IFERROR(
  INDEX('Starlink Launches'!$A:$A, MATCH($E307, 'Starlink Launches'!$B:$B, 0)),
  ""
)
</f>
        <v>6-14</v>
      </c>
      <c r="B307" s="3" t="s">
        <v>25</v>
      </c>
      <c r="C307" s="12" t="s">
        <v>319</v>
      </c>
      <c r="D307" s="13">
        <v>57827.0</v>
      </c>
      <c r="E307" s="4">
        <v>45178.0</v>
      </c>
      <c r="F307" s="4" t="str">
        <f>IF(D307="","", IFNA(VLOOKUP(D307, SATCAT_DECAY!A:B, 2, FALSE), ""))
</f>
        <v/>
      </c>
      <c r="G307" s="3" t="str">
        <f t="shared" si="1"/>
        <v>ACTIVE</v>
      </c>
    </row>
    <row r="308" ht="22.5" customHeight="1">
      <c r="A308" s="11" t="str">
        <f t="array" ref="A308">IFERROR(
  INDEX('Starlink Launches'!$A:$A, MATCH($E308, 'Starlink Launches'!$B:$B, 0)),
  ""
)
</f>
        <v>6-14</v>
      </c>
      <c r="B308" s="3" t="s">
        <v>25</v>
      </c>
      <c r="C308" s="12" t="s">
        <v>320</v>
      </c>
      <c r="D308" s="13">
        <v>57828.0</v>
      </c>
      <c r="E308" s="4">
        <v>45178.0</v>
      </c>
      <c r="F308" s="4" t="str">
        <f>IF(D308="","", IFNA(VLOOKUP(D308, SATCAT_DECAY!A:B, 2, FALSE), ""))
</f>
        <v/>
      </c>
      <c r="G308" s="3" t="str">
        <f t="shared" si="1"/>
        <v>ACTIVE</v>
      </c>
    </row>
    <row r="309" ht="22.5" customHeight="1">
      <c r="A309" s="11" t="str">
        <f t="array" ref="A309">IFERROR(
  INDEX('Starlink Launches'!$A:$A, MATCH($E309, 'Starlink Launches'!$B:$B, 0)),
  ""
)
</f>
        <v>6-14</v>
      </c>
      <c r="B309" s="3" t="s">
        <v>25</v>
      </c>
      <c r="C309" s="12" t="s">
        <v>321</v>
      </c>
      <c r="D309" s="13">
        <v>57829.0</v>
      </c>
      <c r="E309" s="4">
        <v>45178.0</v>
      </c>
      <c r="F309" s="4" t="str">
        <f>IF(D309="","", IFNA(VLOOKUP(D309, SATCAT_DECAY!A:B, 2, FALSE), ""))
</f>
        <v/>
      </c>
      <c r="G309" s="3" t="str">
        <f t="shared" si="1"/>
        <v>ACTIVE</v>
      </c>
    </row>
    <row r="310" ht="22.5" customHeight="1">
      <c r="A310" s="11" t="str">
        <f t="array" ref="A310">IFERROR(
  INDEX('Starlink Launches'!$A:$A, MATCH($E310, 'Starlink Launches'!$B:$B, 0)),
  ""
)
</f>
        <v>6-16</v>
      </c>
      <c r="B310" s="3" t="s">
        <v>25</v>
      </c>
      <c r="C310" s="12" t="s">
        <v>322</v>
      </c>
      <c r="D310" s="13">
        <v>57864.0</v>
      </c>
      <c r="E310" s="4">
        <v>45185.0</v>
      </c>
      <c r="F310" s="4" t="str">
        <f>IF(D310="","", IFNA(VLOOKUP(D310, SATCAT_DECAY!A:B, 2, FALSE), ""))
</f>
        <v/>
      </c>
      <c r="G310" s="3" t="str">
        <f t="shared" si="1"/>
        <v>ACTIVE</v>
      </c>
    </row>
    <row r="311" ht="22.5" customHeight="1">
      <c r="A311" s="11" t="str">
        <f t="array" ref="A311">IFERROR(
  INDEX('Starlink Launches'!$A:$A, MATCH($E311, 'Starlink Launches'!$B:$B, 0)),
  ""
)
</f>
        <v>6-16</v>
      </c>
      <c r="B311" s="3" t="s">
        <v>25</v>
      </c>
      <c r="C311" s="12" t="s">
        <v>323</v>
      </c>
      <c r="D311" s="13">
        <v>57865.0</v>
      </c>
      <c r="E311" s="4">
        <v>45185.0</v>
      </c>
      <c r="F311" s="4" t="str">
        <f>IF(D311="","", IFNA(VLOOKUP(D311, SATCAT_DECAY!A:B, 2, FALSE), ""))
</f>
        <v/>
      </c>
      <c r="G311" s="3" t="str">
        <f t="shared" si="1"/>
        <v>ACTIVE</v>
      </c>
    </row>
    <row r="312" ht="22.5" customHeight="1">
      <c r="A312" s="11" t="str">
        <f t="array" ref="A312">IFERROR(
  INDEX('Starlink Launches'!$A:$A, MATCH($E312, 'Starlink Launches'!$B:$B, 0)),
  ""
)
</f>
        <v>6-16</v>
      </c>
      <c r="B312" s="3" t="s">
        <v>25</v>
      </c>
      <c r="C312" s="12" t="s">
        <v>324</v>
      </c>
      <c r="D312" s="13">
        <v>57866.0</v>
      </c>
      <c r="E312" s="4">
        <v>45185.0</v>
      </c>
      <c r="F312" s="4" t="str">
        <f>IF(D312="","", IFNA(VLOOKUP(D312, SATCAT_DECAY!A:B, 2, FALSE), ""))
</f>
        <v/>
      </c>
      <c r="G312" s="3" t="str">
        <f t="shared" si="1"/>
        <v>ACTIVE</v>
      </c>
    </row>
    <row r="313" ht="22.5" customHeight="1">
      <c r="A313" s="11" t="str">
        <f t="array" ref="A313">IFERROR(
  INDEX('Starlink Launches'!$A:$A, MATCH($E313, 'Starlink Launches'!$B:$B, 0)),
  ""
)
</f>
        <v>6-16</v>
      </c>
      <c r="B313" s="3" t="s">
        <v>25</v>
      </c>
      <c r="C313" s="12" t="s">
        <v>325</v>
      </c>
      <c r="D313" s="13">
        <v>57867.0</v>
      </c>
      <c r="E313" s="4">
        <v>45185.0</v>
      </c>
      <c r="F313" s="4" t="str">
        <f>IF(D313="","", IFNA(VLOOKUP(D313, SATCAT_DECAY!A:B, 2, FALSE), ""))
</f>
        <v/>
      </c>
      <c r="G313" s="3" t="str">
        <f t="shared" si="1"/>
        <v>ACTIVE</v>
      </c>
    </row>
    <row r="314" ht="22.5" customHeight="1">
      <c r="A314" s="11" t="str">
        <f t="array" ref="A314">IFERROR(
  INDEX('Starlink Launches'!$A:$A, MATCH($E314, 'Starlink Launches'!$B:$B, 0)),
  ""
)
</f>
        <v>6-16</v>
      </c>
      <c r="B314" s="3" t="s">
        <v>25</v>
      </c>
      <c r="C314" s="12" t="s">
        <v>326</v>
      </c>
      <c r="D314" s="13">
        <v>57868.0</v>
      </c>
      <c r="E314" s="4">
        <v>45185.0</v>
      </c>
      <c r="F314" s="4" t="str">
        <f>IF(D314="","", IFNA(VLOOKUP(D314, SATCAT_DECAY!A:B, 2, FALSE), ""))
</f>
        <v/>
      </c>
      <c r="G314" s="3" t="str">
        <f t="shared" si="1"/>
        <v>ACTIVE</v>
      </c>
    </row>
    <row r="315" ht="22.5" customHeight="1">
      <c r="A315" s="11" t="str">
        <f t="array" ref="A315">IFERROR(
  INDEX('Starlink Launches'!$A:$A, MATCH($E315, 'Starlink Launches'!$B:$B, 0)),
  ""
)
</f>
        <v>6-16</v>
      </c>
      <c r="B315" s="3" t="s">
        <v>25</v>
      </c>
      <c r="C315" s="12" t="s">
        <v>327</v>
      </c>
      <c r="D315" s="13">
        <v>57869.0</v>
      </c>
      <c r="E315" s="4">
        <v>45185.0</v>
      </c>
      <c r="F315" s="4" t="str">
        <f>IF(D315="","", IFNA(VLOOKUP(D315, SATCAT_DECAY!A:B, 2, FALSE), ""))
</f>
        <v/>
      </c>
      <c r="G315" s="3" t="str">
        <f t="shared" si="1"/>
        <v>ACTIVE</v>
      </c>
    </row>
    <row r="316" ht="22.5" customHeight="1">
      <c r="A316" s="11" t="str">
        <f t="array" ref="A316">IFERROR(
  INDEX('Starlink Launches'!$A:$A, MATCH($E316, 'Starlink Launches'!$B:$B, 0)),
  ""
)
</f>
        <v>6-16</v>
      </c>
      <c r="B316" s="3" t="s">
        <v>25</v>
      </c>
      <c r="C316" s="12" t="s">
        <v>328</v>
      </c>
      <c r="D316" s="13">
        <v>57870.0</v>
      </c>
      <c r="E316" s="4">
        <v>45185.0</v>
      </c>
      <c r="F316" s="4" t="str">
        <f>IF(D316="","", IFNA(VLOOKUP(D316, SATCAT_DECAY!A:B, 2, FALSE), ""))
</f>
        <v/>
      </c>
      <c r="G316" s="3" t="str">
        <f t="shared" si="1"/>
        <v>ACTIVE</v>
      </c>
    </row>
    <row r="317" ht="22.5" customHeight="1">
      <c r="A317" s="11" t="str">
        <f t="array" ref="A317">IFERROR(
  INDEX('Starlink Launches'!$A:$A, MATCH($E317, 'Starlink Launches'!$B:$B, 0)),
  ""
)
</f>
        <v>6-16</v>
      </c>
      <c r="B317" s="3" t="s">
        <v>25</v>
      </c>
      <c r="C317" s="12" t="s">
        <v>329</v>
      </c>
      <c r="D317" s="13">
        <v>57871.0</v>
      </c>
      <c r="E317" s="4">
        <v>45185.0</v>
      </c>
      <c r="F317" s="4" t="str">
        <f>IF(D317="","", IFNA(VLOOKUP(D317, SATCAT_DECAY!A:B, 2, FALSE), ""))
</f>
        <v/>
      </c>
      <c r="G317" s="3" t="str">
        <f t="shared" si="1"/>
        <v>ACTIVE</v>
      </c>
    </row>
    <row r="318" ht="22.5" customHeight="1">
      <c r="A318" s="11" t="str">
        <f t="array" ref="A318">IFERROR(
  INDEX('Starlink Launches'!$A:$A, MATCH($E318, 'Starlink Launches'!$B:$B, 0)),
  ""
)
</f>
        <v>6-16</v>
      </c>
      <c r="B318" s="3" t="s">
        <v>25</v>
      </c>
      <c r="C318" s="12" t="s">
        <v>330</v>
      </c>
      <c r="D318" s="13">
        <v>57872.0</v>
      </c>
      <c r="E318" s="4">
        <v>45185.0</v>
      </c>
      <c r="F318" s="4" t="str">
        <f>IF(D318="","", IFNA(VLOOKUP(D318, SATCAT_DECAY!A:B, 2, FALSE), ""))
</f>
        <v/>
      </c>
      <c r="G318" s="3" t="str">
        <f t="shared" si="1"/>
        <v>ACTIVE</v>
      </c>
    </row>
    <row r="319" ht="22.5" customHeight="1">
      <c r="A319" s="11" t="str">
        <f t="array" ref="A319">IFERROR(
  INDEX('Starlink Launches'!$A:$A, MATCH($E319, 'Starlink Launches'!$B:$B, 0)),
  ""
)
</f>
        <v>6-16</v>
      </c>
      <c r="B319" s="3" t="s">
        <v>25</v>
      </c>
      <c r="C319" s="12" t="s">
        <v>331</v>
      </c>
      <c r="D319" s="13">
        <v>57873.0</v>
      </c>
      <c r="E319" s="4">
        <v>45185.0</v>
      </c>
      <c r="F319" s="4" t="str">
        <f>IF(D319="","", IFNA(VLOOKUP(D319, SATCAT_DECAY!A:B, 2, FALSE), ""))
</f>
        <v/>
      </c>
      <c r="G319" s="3" t="str">
        <f t="shared" si="1"/>
        <v>ACTIVE</v>
      </c>
    </row>
    <row r="320" ht="22.5" customHeight="1">
      <c r="A320" s="11" t="str">
        <f t="array" ref="A320">IFERROR(
  INDEX('Starlink Launches'!$A:$A, MATCH($E320, 'Starlink Launches'!$B:$B, 0)),
  ""
)
</f>
        <v>6-16</v>
      </c>
      <c r="B320" s="3" t="s">
        <v>25</v>
      </c>
      <c r="C320" s="12" t="s">
        <v>332</v>
      </c>
      <c r="D320" s="13">
        <v>57874.0</v>
      </c>
      <c r="E320" s="4">
        <v>45185.0</v>
      </c>
      <c r="F320" s="4" t="str">
        <f>IF(D320="","", IFNA(VLOOKUP(D320, SATCAT_DECAY!A:B, 2, FALSE), ""))
</f>
        <v/>
      </c>
      <c r="G320" s="3" t="str">
        <f t="shared" si="1"/>
        <v>ACTIVE</v>
      </c>
    </row>
    <row r="321" ht="22.5" customHeight="1">
      <c r="A321" s="11" t="str">
        <f t="array" ref="A321">IFERROR(
  INDEX('Starlink Launches'!$A:$A, MATCH($E321, 'Starlink Launches'!$B:$B, 0)),
  ""
)
</f>
        <v>6-16</v>
      </c>
      <c r="B321" s="3" t="s">
        <v>25</v>
      </c>
      <c r="C321" s="12" t="s">
        <v>333</v>
      </c>
      <c r="D321" s="13">
        <v>57875.0</v>
      </c>
      <c r="E321" s="4">
        <v>45185.0</v>
      </c>
      <c r="F321" s="4" t="str">
        <f>IF(D321="","", IFNA(VLOOKUP(D321, SATCAT_DECAY!A:B, 2, FALSE), ""))
</f>
        <v/>
      </c>
      <c r="G321" s="3" t="str">
        <f t="shared" si="1"/>
        <v>ACTIVE</v>
      </c>
    </row>
    <row r="322" ht="22.5" customHeight="1">
      <c r="A322" s="11" t="str">
        <f t="array" ref="A322">IFERROR(
  INDEX('Starlink Launches'!$A:$A, MATCH($E322, 'Starlink Launches'!$B:$B, 0)),
  ""
)
</f>
        <v>6-16</v>
      </c>
      <c r="B322" s="3" t="s">
        <v>25</v>
      </c>
      <c r="C322" s="12" t="s">
        <v>334</v>
      </c>
      <c r="D322" s="13">
        <v>57876.0</v>
      </c>
      <c r="E322" s="4">
        <v>45185.0</v>
      </c>
      <c r="F322" s="4" t="str">
        <f>IF(D322="","", IFNA(VLOOKUP(D322, SATCAT_DECAY!A:B, 2, FALSE), ""))
</f>
        <v/>
      </c>
      <c r="G322" s="3" t="str">
        <f t="shared" si="1"/>
        <v>ACTIVE</v>
      </c>
    </row>
    <row r="323" ht="22.5" customHeight="1">
      <c r="A323" s="11" t="str">
        <f t="array" ref="A323">IFERROR(
  INDEX('Starlink Launches'!$A:$A, MATCH($E323, 'Starlink Launches'!$B:$B, 0)),
  ""
)
</f>
        <v>6-16</v>
      </c>
      <c r="B323" s="3" t="s">
        <v>25</v>
      </c>
      <c r="C323" s="12" t="s">
        <v>335</v>
      </c>
      <c r="D323" s="13">
        <v>57877.0</v>
      </c>
      <c r="E323" s="4">
        <v>45185.0</v>
      </c>
      <c r="F323" s="4" t="str">
        <f>IF(D323="","", IFNA(VLOOKUP(D323, SATCAT_DECAY!A:B, 2, FALSE), ""))
</f>
        <v/>
      </c>
      <c r="G323" s="3" t="str">
        <f t="shared" si="1"/>
        <v>ACTIVE</v>
      </c>
    </row>
    <row r="324" ht="22.5" customHeight="1">
      <c r="A324" s="11" t="str">
        <f t="array" ref="A324">IFERROR(
  INDEX('Starlink Launches'!$A:$A, MATCH($E324, 'Starlink Launches'!$B:$B, 0)),
  ""
)
</f>
        <v>6-16</v>
      </c>
      <c r="B324" s="3" t="s">
        <v>25</v>
      </c>
      <c r="C324" s="12" t="s">
        <v>336</v>
      </c>
      <c r="D324" s="13">
        <v>57878.0</v>
      </c>
      <c r="E324" s="4">
        <v>45185.0</v>
      </c>
      <c r="F324" s="4" t="str">
        <f>IF(D324="","", IFNA(VLOOKUP(D324, SATCAT_DECAY!A:B, 2, FALSE), ""))
</f>
        <v/>
      </c>
      <c r="G324" s="3" t="str">
        <f t="shared" si="1"/>
        <v>ACTIVE</v>
      </c>
    </row>
    <row r="325" ht="22.5" customHeight="1">
      <c r="A325" s="11" t="str">
        <f t="array" ref="A325">IFERROR(
  INDEX('Starlink Launches'!$A:$A, MATCH($E325, 'Starlink Launches'!$B:$B, 0)),
  ""
)
</f>
        <v>6-16</v>
      </c>
      <c r="B325" s="3" t="s">
        <v>25</v>
      </c>
      <c r="C325" s="12" t="s">
        <v>337</v>
      </c>
      <c r="D325" s="13">
        <v>57879.0</v>
      </c>
      <c r="E325" s="4">
        <v>45185.0</v>
      </c>
      <c r="F325" s="4" t="str">
        <f>IF(D325="","", IFNA(VLOOKUP(D325, SATCAT_DECAY!A:B, 2, FALSE), ""))
</f>
        <v/>
      </c>
      <c r="G325" s="3" t="str">
        <f t="shared" si="1"/>
        <v>ACTIVE</v>
      </c>
    </row>
    <row r="326" ht="22.5" customHeight="1">
      <c r="A326" s="11" t="str">
        <f t="array" ref="A326">IFERROR(
  INDEX('Starlink Launches'!$A:$A, MATCH($E326, 'Starlink Launches'!$B:$B, 0)),
  ""
)
</f>
        <v>6-16</v>
      </c>
      <c r="B326" s="3" t="s">
        <v>25</v>
      </c>
      <c r="C326" s="12" t="s">
        <v>338</v>
      </c>
      <c r="D326" s="13">
        <v>57880.0</v>
      </c>
      <c r="E326" s="4">
        <v>45185.0</v>
      </c>
      <c r="F326" s="4" t="str">
        <f>IF(D326="","", IFNA(VLOOKUP(D326, SATCAT_DECAY!A:B, 2, FALSE), ""))
</f>
        <v/>
      </c>
      <c r="G326" s="3" t="str">
        <f t="shared" si="1"/>
        <v>ACTIVE</v>
      </c>
    </row>
    <row r="327" ht="22.5" customHeight="1">
      <c r="A327" s="11" t="str">
        <f t="array" ref="A327">IFERROR(
  INDEX('Starlink Launches'!$A:$A, MATCH($E327, 'Starlink Launches'!$B:$B, 0)),
  ""
)
</f>
        <v>6-16</v>
      </c>
      <c r="B327" s="3" t="s">
        <v>25</v>
      </c>
      <c r="C327" s="12" t="s">
        <v>339</v>
      </c>
      <c r="D327" s="13">
        <v>57882.0</v>
      </c>
      <c r="E327" s="4">
        <v>45185.0</v>
      </c>
      <c r="F327" s="4" t="str">
        <f>IF(D327="","", IFNA(VLOOKUP(D327, SATCAT_DECAY!A:B, 2, FALSE), ""))
</f>
        <v/>
      </c>
      <c r="G327" s="3" t="str">
        <f t="shared" si="1"/>
        <v>ACTIVE</v>
      </c>
    </row>
    <row r="328" ht="22.5" customHeight="1">
      <c r="A328" s="11" t="str">
        <f t="array" ref="A328">IFERROR(
  INDEX('Starlink Launches'!$A:$A, MATCH($E328, 'Starlink Launches'!$B:$B, 0)),
  ""
)
</f>
        <v>6-16</v>
      </c>
      <c r="B328" s="3" t="s">
        <v>25</v>
      </c>
      <c r="C328" s="12" t="s">
        <v>340</v>
      </c>
      <c r="D328" s="13">
        <v>57883.0</v>
      </c>
      <c r="E328" s="4">
        <v>45185.0</v>
      </c>
      <c r="F328" s="4" t="str">
        <f>IF(D328="","", IFNA(VLOOKUP(D328, SATCAT_DECAY!A:B, 2, FALSE), ""))
</f>
        <v/>
      </c>
      <c r="G328" s="3" t="str">
        <f t="shared" si="1"/>
        <v>ACTIVE</v>
      </c>
    </row>
    <row r="329" ht="22.5" customHeight="1">
      <c r="A329" s="11" t="str">
        <f t="array" ref="A329">IFERROR(
  INDEX('Starlink Launches'!$A:$A, MATCH($E329, 'Starlink Launches'!$B:$B, 0)),
  ""
)
</f>
        <v>6-16</v>
      </c>
      <c r="B329" s="3" t="s">
        <v>25</v>
      </c>
      <c r="C329" s="12" t="s">
        <v>341</v>
      </c>
      <c r="D329" s="13">
        <v>57884.0</v>
      </c>
      <c r="E329" s="4">
        <v>45185.0</v>
      </c>
      <c r="F329" s="4" t="str">
        <f>IF(D329="","", IFNA(VLOOKUP(D329, SATCAT_DECAY!A:B, 2, FALSE), ""))
</f>
        <v/>
      </c>
      <c r="G329" s="3" t="str">
        <f t="shared" si="1"/>
        <v>ACTIVE</v>
      </c>
    </row>
    <row r="330" ht="22.5" customHeight="1">
      <c r="A330" s="11" t="str">
        <f t="array" ref="A330">IFERROR(
  INDEX('Starlink Launches'!$A:$A, MATCH($E330, 'Starlink Launches'!$B:$B, 0)),
  ""
)
</f>
        <v>6-16</v>
      </c>
      <c r="B330" s="3" t="s">
        <v>25</v>
      </c>
      <c r="C330" s="12" t="s">
        <v>342</v>
      </c>
      <c r="D330" s="13">
        <v>57885.0</v>
      </c>
      <c r="E330" s="4">
        <v>45185.0</v>
      </c>
      <c r="F330" s="4" t="str">
        <f>IF(D330="","", IFNA(VLOOKUP(D330, SATCAT_DECAY!A:B, 2, FALSE), ""))
</f>
        <v/>
      </c>
      <c r="G330" s="3" t="str">
        <f t="shared" si="1"/>
        <v>ACTIVE</v>
      </c>
    </row>
    <row r="331" ht="22.5" customHeight="1">
      <c r="A331" s="11" t="str">
        <f t="array" ref="A331">IFERROR(
  INDEX('Starlink Launches'!$A:$A, MATCH($E331, 'Starlink Launches'!$B:$B, 0)),
  ""
)
</f>
        <v>6-17</v>
      </c>
      <c r="B331" s="3" t="s">
        <v>25</v>
      </c>
      <c r="C331" s="12" t="s">
        <v>343</v>
      </c>
      <c r="D331" s="13">
        <v>57891.0</v>
      </c>
      <c r="E331" s="4">
        <v>45189.0</v>
      </c>
      <c r="F331" s="4" t="str">
        <f>IF(D331="","", IFNA(VLOOKUP(D331, SATCAT_DECAY!A:B, 2, FALSE), ""))
</f>
        <v/>
      </c>
      <c r="G331" s="3" t="str">
        <f t="shared" si="1"/>
        <v>ACTIVE</v>
      </c>
    </row>
    <row r="332" ht="22.5" customHeight="1">
      <c r="A332" s="11" t="str">
        <f t="array" ref="A332">IFERROR(
  INDEX('Starlink Launches'!$A:$A, MATCH($E332, 'Starlink Launches'!$B:$B, 0)),
  ""
)
</f>
        <v>6-17</v>
      </c>
      <c r="B332" s="3" t="s">
        <v>25</v>
      </c>
      <c r="C332" s="12" t="s">
        <v>344</v>
      </c>
      <c r="D332" s="13">
        <v>57892.0</v>
      </c>
      <c r="E332" s="4">
        <v>45189.0</v>
      </c>
      <c r="F332" s="4" t="str">
        <f>IF(D332="","", IFNA(VLOOKUP(D332, SATCAT_DECAY!A:B, 2, FALSE), ""))
</f>
        <v/>
      </c>
      <c r="G332" s="3" t="str">
        <f t="shared" si="1"/>
        <v>ACTIVE</v>
      </c>
    </row>
    <row r="333" ht="22.5" customHeight="1">
      <c r="A333" s="11" t="str">
        <f t="array" ref="A333">IFERROR(
  INDEX('Starlink Launches'!$A:$A, MATCH($E333, 'Starlink Launches'!$B:$B, 0)),
  ""
)
</f>
        <v>6-17</v>
      </c>
      <c r="B333" s="3" t="s">
        <v>25</v>
      </c>
      <c r="C333" s="12" t="s">
        <v>345</v>
      </c>
      <c r="D333" s="13">
        <v>57893.0</v>
      </c>
      <c r="E333" s="4">
        <v>45189.0</v>
      </c>
      <c r="F333" s="4" t="str">
        <f>IF(D333="","", IFNA(VLOOKUP(D333, SATCAT_DECAY!A:B, 2, FALSE), ""))
</f>
        <v/>
      </c>
      <c r="G333" s="3" t="str">
        <f t="shared" si="1"/>
        <v>ACTIVE</v>
      </c>
    </row>
    <row r="334" ht="22.5" customHeight="1">
      <c r="A334" s="11" t="str">
        <f t="array" ref="A334">IFERROR(
  INDEX('Starlink Launches'!$A:$A, MATCH($E334, 'Starlink Launches'!$B:$B, 0)),
  ""
)
</f>
        <v>6-17</v>
      </c>
      <c r="B334" s="3" t="s">
        <v>25</v>
      </c>
      <c r="C334" s="12" t="s">
        <v>346</v>
      </c>
      <c r="D334" s="13">
        <v>57894.0</v>
      </c>
      <c r="E334" s="4">
        <v>45189.0</v>
      </c>
      <c r="F334" s="4" t="str">
        <f>IF(D334="","", IFNA(VLOOKUP(D334, SATCAT_DECAY!A:B, 2, FALSE), ""))
</f>
        <v/>
      </c>
      <c r="G334" s="3" t="str">
        <f t="shared" si="1"/>
        <v>ACTIVE</v>
      </c>
    </row>
    <row r="335" ht="22.5" customHeight="1">
      <c r="A335" s="11" t="str">
        <f t="array" ref="A335">IFERROR(
  INDEX('Starlink Launches'!$A:$A, MATCH($E335, 'Starlink Launches'!$B:$B, 0)),
  ""
)
</f>
        <v>6-17</v>
      </c>
      <c r="B335" s="3" t="s">
        <v>25</v>
      </c>
      <c r="C335" s="12" t="s">
        <v>347</v>
      </c>
      <c r="D335" s="13">
        <v>57895.0</v>
      </c>
      <c r="E335" s="4">
        <v>45189.0</v>
      </c>
      <c r="F335" s="4" t="str">
        <f>IF(D335="","", IFNA(VLOOKUP(D335, SATCAT_DECAY!A:B, 2, FALSE), ""))
</f>
        <v/>
      </c>
      <c r="G335" s="3" t="str">
        <f t="shared" si="1"/>
        <v>ACTIVE</v>
      </c>
    </row>
    <row r="336" ht="22.5" customHeight="1">
      <c r="A336" s="11" t="str">
        <f t="array" ref="A336">IFERROR(
  INDEX('Starlink Launches'!$A:$A, MATCH($E336, 'Starlink Launches'!$B:$B, 0)),
  ""
)
</f>
        <v>6-17</v>
      </c>
      <c r="B336" s="3" t="s">
        <v>25</v>
      </c>
      <c r="C336" s="12" t="s">
        <v>348</v>
      </c>
      <c r="D336" s="13">
        <v>57896.0</v>
      </c>
      <c r="E336" s="4">
        <v>45189.0</v>
      </c>
      <c r="F336" s="4" t="str">
        <f>IF(D336="","", IFNA(VLOOKUP(D336, SATCAT_DECAY!A:B, 2, FALSE), ""))
</f>
        <v/>
      </c>
      <c r="G336" s="3" t="str">
        <f t="shared" si="1"/>
        <v>ACTIVE</v>
      </c>
    </row>
    <row r="337" ht="22.5" customHeight="1">
      <c r="A337" s="11" t="str">
        <f t="array" ref="A337">IFERROR(
  INDEX('Starlink Launches'!$A:$A, MATCH($E337, 'Starlink Launches'!$B:$B, 0)),
  ""
)
</f>
        <v>6-17</v>
      </c>
      <c r="B337" s="3" t="s">
        <v>25</v>
      </c>
      <c r="C337" s="12" t="s">
        <v>349</v>
      </c>
      <c r="D337" s="13">
        <v>57897.0</v>
      </c>
      <c r="E337" s="4">
        <v>45189.0</v>
      </c>
      <c r="F337" s="4" t="str">
        <f>IF(D337="","", IFNA(VLOOKUP(D337, SATCAT_DECAY!A:B, 2, FALSE), ""))
</f>
        <v/>
      </c>
      <c r="G337" s="3" t="str">
        <f t="shared" si="1"/>
        <v>ACTIVE</v>
      </c>
    </row>
    <row r="338" ht="22.5" customHeight="1">
      <c r="A338" s="11" t="str">
        <f t="array" ref="A338">IFERROR(
  INDEX('Starlink Launches'!$A:$A, MATCH($E338, 'Starlink Launches'!$B:$B, 0)),
  ""
)
</f>
        <v>6-17</v>
      </c>
      <c r="B338" s="3" t="s">
        <v>25</v>
      </c>
      <c r="C338" s="12" t="s">
        <v>350</v>
      </c>
      <c r="D338" s="13">
        <v>57898.0</v>
      </c>
      <c r="E338" s="4">
        <v>45189.0</v>
      </c>
      <c r="F338" s="4" t="str">
        <f>IF(D338="","", IFNA(VLOOKUP(D338, SATCAT_DECAY!A:B, 2, FALSE), ""))
</f>
        <v/>
      </c>
      <c r="G338" s="3" t="str">
        <f t="shared" si="1"/>
        <v>ACTIVE</v>
      </c>
    </row>
    <row r="339" ht="22.5" customHeight="1">
      <c r="A339" s="11" t="str">
        <f t="array" ref="A339">IFERROR(
  INDEX('Starlink Launches'!$A:$A, MATCH($E339, 'Starlink Launches'!$B:$B, 0)),
  ""
)
</f>
        <v>6-17</v>
      </c>
      <c r="B339" s="3" t="s">
        <v>25</v>
      </c>
      <c r="C339" s="12" t="s">
        <v>351</v>
      </c>
      <c r="D339" s="13">
        <v>57899.0</v>
      </c>
      <c r="E339" s="4">
        <v>45189.0</v>
      </c>
      <c r="F339" s="4" t="str">
        <f>IF(D339="","", IFNA(VLOOKUP(D339, SATCAT_DECAY!A:B, 2, FALSE), ""))
</f>
        <v/>
      </c>
      <c r="G339" s="3" t="str">
        <f t="shared" si="1"/>
        <v>ACTIVE</v>
      </c>
    </row>
    <row r="340" ht="22.5" customHeight="1">
      <c r="A340" s="11" t="str">
        <f t="array" ref="A340">IFERROR(
  INDEX('Starlink Launches'!$A:$A, MATCH($E340, 'Starlink Launches'!$B:$B, 0)),
  ""
)
</f>
        <v>6-17</v>
      </c>
      <c r="B340" s="3" t="s">
        <v>25</v>
      </c>
      <c r="C340" s="12" t="s">
        <v>352</v>
      </c>
      <c r="D340" s="13">
        <v>57900.0</v>
      </c>
      <c r="E340" s="4">
        <v>45189.0</v>
      </c>
      <c r="F340" s="4" t="str">
        <f>IF(D340="","", IFNA(VLOOKUP(D340, SATCAT_DECAY!A:B, 2, FALSE), ""))
</f>
        <v/>
      </c>
      <c r="G340" s="3" t="str">
        <f t="shared" si="1"/>
        <v>ACTIVE</v>
      </c>
    </row>
    <row r="341" ht="22.5" customHeight="1">
      <c r="A341" s="11" t="str">
        <f t="array" ref="A341">IFERROR(
  INDEX('Starlink Launches'!$A:$A, MATCH($E341, 'Starlink Launches'!$B:$B, 0)),
  ""
)
</f>
        <v>6-17</v>
      </c>
      <c r="B341" s="3" t="s">
        <v>25</v>
      </c>
      <c r="C341" s="12" t="s">
        <v>353</v>
      </c>
      <c r="D341" s="13">
        <v>57901.0</v>
      </c>
      <c r="E341" s="4">
        <v>45189.0</v>
      </c>
      <c r="F341" s="4" t="str">
        <f>IF(D341="","", IFNA(VLOOKUP(D341, SATCAT_DECAY!A:B, 2, FALSE), ""))
</f>
        <v/>
      </c>
      <c r="G341" s="3" t="str">
        <f t="shared" si="1"/>
        <v>ACTIVE</v>
      </c>
    </row>
    <row r="342" ht="22.5" customHeight="1">
      <c r="A342" s="11" t="str">
        <f t="array" ref="A342">IFERROR(
  INDEX('Starlink Launches'!$A:$A, MATCH($E342, 'Starlink Launches'!$B:$B, 0)),
  ""
)
</f>
        <v>6-17</v>
      </c>
      <c r="B342" s="3" t="s">
        <v>25</v>
      </c>
      <c r="C342" s="12" t="s">
        <v>354</v>
      </c>
      <c r="D342" s="13">
        <v>57902.0</v>
      </c>
      <c r="E342" s="4">
        <v>45189.0</v>
      </c>
      <c r="F342" s="4" t="str">
        <f>IF(D342="","", IFNA(VLOOKUP(D342, SATCAT_DECAY!A:B, 2, FALSE), ""))
</f>
        <v/>
      </c>
      <c r="G342" s="3" t="str">
        <f t="shared" si="1"/>
        <v>ACTIVE</v>
      </c>
    </row>
    <row r="343" ht="22.5" customHeight="1">
      <c r="A343" s="11" t="str">
        <f t="array" ref="A343">IFERROR(
  INDEX('Starlink Launches'!$A:$A, MATCH($E343, 'Starlink Launches'!$B:$B, 0)),
  ""
)
</f>
        <v>6-17</v>
      </c>
      <c r="B343" s="3" t="s">
        <v>25</v>
      </c>
      <c r="C343" s="12" t="s">
        <v>355</v>
      </c>
      <c r="D343" s="13">
        <v>57903.0</v>
      </c>
      <c r="E343" s="4">
        <v>45189.0</v>
      </c>
      <c r="F343" s="4" t="str">
        <f>IF(D343="","", IFNA(VLOOKUP(D343, SATCAT_DECAY!A:B, 2, FALSE), ""))
</f>
        <v/>
      </c>
      <c r="G343" s="3" t="str">
        <f t="shared" si="1"/>
        <v>ACTIVE</v>
      </c>
    </row>
    <row r="344" ht="22.5" customHeight="1">
      <c r="A344" s="11" t="str">
        <f t="array" ref="A344">IFERROR(
  INDEX('Starlink Launches'!$A:$A, MATCH($E344, 'Starlink Launches'!$B:$B, 0)),
  ""
)
</f>
        <v>6-17</v>
      </c>
      <c r="B344" s="3" t="s">
        <v>25</v>
      </c>
      <c r="C344" s="12" t="s">
        <v>356</v>
      </c>
      <c r="D344" s="13">
        <v>57904.0</v>
      </c>
      <c r="E344" s="4">
        <v>45189.0</v>
      </c>
      <c r="F344" s="4" t="str">
        <f>IF(D344="","", IFNA(VLOOKUP(D344, SATCAT_DECAY!A:B, 2, FALSE), ""))
</f>
        <v/>
      </c>
      <c r="G344" s="3" t="str">
        <f t="shared" si="1"/>
        <v>ACTIVE</v>
      </c>
    </row>
    <row r="345" ht="22.5" customHeight="1">
      <c r="A345" s="11" t="str">
        <f t="array" ref="A345">IFERROR(
  INDEX('Starlink Launches'!$A:$A, MATCH($E345, 'Starlink Launches'!$B:$B, 0)),
  ""
)
</f>
        <v>6-17</v>
      </c>
      <c r="B345" s="3" t="s">
        <v>25</v>
      </c>
      <c r="C345" s="12" t="s">
        <v>357</v>
      </c>
      <c r="D345" s="13">
        <v>57905.0</v>
      </c>
      <c r="E345" s="4">
        <v>45189.0</v>
      </c>
      <c r="F345" s="4" t="str">
        <f>IF(D345="","", IFNA(VLOOKUP(D345, SATCAT_DECAY!A:B, 2, FALSE), ""))
</f>
        <v/>
      </c>
      <c r="G345" s="3" t="str">
        <f t="shared" si="1"/>
        <v>ACTIVE</v>
      </c>
    </row>
    <row r="346" ht="22.5" customHeight="1">
      <c r="A346" s="11" t="str">
        <f t="array" ref="A346">IFERROR(
  INDEX('Starlink Launches'!$A:$A, MATCH($E346, 'Starlink Launches'!$B:$B, 0)),
  ""
)
</f>
        <v>6-17</v>
      </c>
      <c r="B346" s="3" t="s">
        <v>25</v>
      </c>
      <c r="C346" s="12" t="s">
        <v>358</v>
      </c>
      <c r="D346" s="13">
        <v>57906.0</v>
      </c>
      <c r="E346" s="4">
        <v>45189.0</v>
      </c>
      <c r="F346" s="4" t="str">
        <f>IF(D346="","", IFNA(VLOOKUP(D346, SATCAT_DECAY!A:B, 2, FALSE), ""))
</f>
        <v/>
      </c>
      <c r="G346" s="3" t="str">
        <f t="shared" si="1"/>
        <v>ACTIVE</v>
      </c>
    </row>
    <row r="347" ht="22.5" customHeight="1">
      <c r="A347" s="11" t="str">
        <f t="array" ref="A347">IFERROR(
  INDEX('Starlink Launches'!$A:$A, MATCH($E347, 'Starlink Launches'!$B:$B, 0)),
  ""
)
</f>
        <v>6-17</v>
      </c>
      <c r="B347" s="3" t="s">
        <v>25</v>
      </c>
      <c r="C347" s="12" t="s">
        <v>359</v>
      </c>
      <c r="D347" s="13">
        <v>57907.0</v>
      </c>
      <c r="E347" s="4">
        <v>45189.0</v>
      </c>
      <c r="F347" s="4" t="str">
        <f>IF(D347="","", IFNA(VLOOKUP(D347, SATCAT_DECAY!A:B, 2, FALSE), ""))
</f>
        <v/>
      </c>
      <c r="G347" s="3" t="str">
        <f t="shared" si="1"/>
        <v>ACTIVE</v>
      </c>
    </row>
    <row r="348" ht="22.5" customHeight="1">
      <c r="A348" s="11" t="str">
        <f t="array" ref="A348">IFERROR(
  INDEX('Starlink Launches'!$A:$A, MATCH($E348, 'Starlink Launches'!$B:$B, 0)),
  ""
)
</f>
        <v>6-17</v>
      </c>
      <c r="B348" s="3" t="s">
        <v>25</v>
      </c>
      <c r="C348" s="12" t="s">
        <v>360</v>
      </c>
      <c r="D348" s="13">
        <v>57908.0</v>
      </c>
      <c r="E348" s="4">
        <v>45189.0</v>
      </c>
      <c r="F348" s="4" t="str">
        <f>IF(D348="","", IFNA(VLOOKUP(D348, SATCAT_DECAY!A:B, 2, FALSE), ""))
</f>
        <v/>
      </c>
      <c r="G348" s="3" t="str">
        <f t="shared" si="1"/>
        <v>ACTIVE</v>
      </c>
    </row>
    <row r="349" ht="22.5" customHeight="1">
      <c r="A349" s="11" t="str">
        <f t="array" ref="A349">IFERROR(
  INDEX('Starlink Launches'!$A:$A, MATCH($E349, 'Starlink Launches'!$B:$B, 0)),
  ""
)
</f>
        <v>6-17</v>
      </c>
      <c r="B349" s="3" t="s">
        <v>25</v>
      </c>
      <c r="C349" s="12" t="s">
        <v>361</v>
      </c>
      <c r="D349" s="13">
        <v>57909.0</v>
      </c>
      <c r="E349" s="4">
        <v>45189.0</v>
      </c>
      <c r="F349" s="4" t="str">
        <f>IF(D349="","", IFNA(VLOOKUP(D349, SATCAT_DECAY!A:B, 2, FALSE), ""))
</f>
        <v/>
      </c>
      <c r="G349" s="3" t="str">
        <f t="shared" si="1"/>
        <v>ACTIVE</v>
      </c>
    </row>
    <row r="350" ht="22.5" customHeight="1">
      <c r="A350" s="11" t="str">
        <f t="array" ref="A350">IFERROR(
  INDEX('Starlink Launches'!$A:$A, MATCH($E350, 'Starlink Launches'!$B:$B, 0)),
  ""
)
</f>
        <v>6-17</v>
      </c>
      <c r="B350" s="3" t="s">
        <v>25</v>
      </c>
      <c r="C350" s="12" t="s">
        <v>362</v>
      </c>
      <c r="D350" s="13">
        <v>57910.0</v>
      </c>
      <c r="E350" s="4">
        <v>45189.0</v>
      </c>
      <c r="F350" s="4" t="str">
        <f>IF(D350="","", IFNA(VLOOKUP(D350, SATCAT_DECAY!A:B, 2, FALSE), ""))
</f>
        <v/>
      </c>
      <c r="G350" s="3" t="str">
        <f t="shared" si="1"/>
        <v>ACTIVE</v>
      </c>
    </row>
    <row r="351" ht="22.5" customHeight="1">
      <c r="A351" s="11" t="str">
        <f t="array" ref="A351">IFERROR(
  INDEX('Starlink Launches'!$A:$A, MATCH($E351, 'Starlink Launches'!$B:$B, 0)),
  ""
)
</f>
        <v>6-17</v>
      </c>
      <c r="B351" s="3" t="s">
        <v>25</v>
      </c>
      <c r="C351" s="12" t="s">
        <v>363</v>
      </c>
      <c r="D351" s="13">
        <v>57911.0</v>
      </c>
      <c r="E351" s="4">
        <v>45189.0</v>
      </c>
      <c r="F351" s="4" t="str">
        <f>IF(D351="","", IFNA(VLOOKUP(D351, SATCAT_DECAY!A:B, 2, FALSE), ""))
</f>
        <v/>
      </c>
      <c r="G351" s="3" t="str">
        <f t="shared" si="1"/>
        <v>ACTIVE</v>
      </c>
    </row>
    <row r="352" ht="22.5" customHeight="1">
      <c r="A352" s="11" t="str">
        <f t="array" ref="A352">IFERROR(
  INDEX('Starlink Launches'!$A:$A, MATCH($E352, 'Starlink Launches'!$B:$B, 0)),
  ""
)
</f>
        <v>6-17</v>
      </c>
      <c r="B352" s="3" t="s">
        <v>25</v>
      </c>
      <c r="C352" s="12" t="s">
        <v>364</v>
      </c>
      <c r="D352" s="13">
        <v>57912.0</v>
      </c>
      <c r="E352" s="4">
        <v>45189.0</v>
      </c>
      <c r="F352" s="4" t="str">
        <f>IF(D352="","", IFNA(VLOOKUP(D352, SATCAT_DECAY!A:B, 2, FALSE), ""))
</f>
        <v/>
      </c>
      <c r="G352" s="3" t="str">
        <f t="shared" si="1"/>
        <v>ACTIVE</v>
      </c>
    </row>
    <row r="353" ht="22.5" customHeight="1">
      <c r="A353" s="11" t="str">
        <f t="array" ref="A353">IFERROR(
  INDEX('Starlink Launches'!$A:$A, MATCH($E353, 'Starlink Launches'!$B:$B, 0)),
  ""
)
</f>
        <v>6-18</v>
      </c>
      <c r="B353" s="3" t="s">
        <v>25</v>
      </c>
      <c r="C353" s="12" t="s">
        <v>365</v>
      </c>
      <c r="D353" s="13">
        <v>57913.0</v>
      </c>
      <c r="E353" s="4">
        <v>45193.0</v>
      </c>
      <c r="F353" s="4" t="str">
        <f>IF(D353="","", IFNA(VLOOKUP(D353, SATCAT_DECAY!A:B, 2, FALSE), ""))
</f>
        <v/>
      </c>
      <c r="G353" s="3" t="str">
        <f t="shared" si="1"/>
        <v>ACTIVE</v>
      </c>
    </row>
    <row r="354" ht="22.5" customHeight="1">
      <c r="A354" s="11" t="str">
        <f t="array" ref="A354">IFERROR(
  INDEX('Starlink Launches'!$A:$A, MATCH($E354, 'Starlink Launches'!$B:$B, 0)),
  ""
)
</f>
        <v>6-18</v>
      </c>
      <c r="B354" s="3" t="s">
        <v>25</v>
      </c>
      <c r="C354" s="12" t="s">
        <v>366</v>
      </c>
      <c r="D354" s="13">
        <v>57914.0</v>
      </c>
      <c r="E354" s="4">
        <v>45193.0</v>
      </c>
      <c r="F354" s="4" t="str">
        <f>IF(D354="","", IFNA(VLOOKUP(D354, SATCAT_DECAY!A:B, 2, FALSE), ""))
</f>
        <v/>
      </c>
      <c r="G354" s="3" t="str">
        <f t="shared" si="1"/>
        <v>ACTIVE</v>
      </c>
    </row>
    <row r="355" ht="22.5" customHeight="1">
      <c r="A355" s="11" t="str">
        <f t="array" ref="A355">IFERROR(
  INDEX('Starlink Launches'!$A:$A, MATCH($E355, 'Starlink Launches'!$B:$B, 0)),
  ""
)
</f>
        <v>6-18</v>
      </c>
      <c r="B355" s="3" t="s">
        <v>25</v>
      </c>
      <c r="C355" s="12" t="s">
        <v>367</v>
      </c>
      <c r="D355" s="13">
        <v>57915.0</v>
      </c>
      <c r="E355" s="4">
        <v>45193.0</v>
      </c>
      <c r="F355" s="4" t="str">
        <f>IF(D355="","", IFNA(VLOOKUP(D355, SATCAT_DECAY!A:B, 2, FALSE), ""))
</f>
        <v/>
      </c>
      <c r="G355" s="3" t="str">
        <f t="shared" si="1"/>
        <v>ACTIVE</v>
      </c>
    </row>
    <row r="356" ht="22.5" hidden="1" customHeight="1">
      <c r="A356" s="11" t="str">
        <f t="array" ref="A356">IFERROR(
  INDEX('Starlink Launches'!$A:$A, MATCH($E356, 'Starlink Launches'!$B:$B, 0)),
  ""
)
</f>
        <v>6-18</v>
      </c>
      <c r="B356" s="3" t="s">
        <v>25</v>
      </c>
      <c r="C356" s="12" t="s">
        <v>368</v>
      </c>
      <c r="D356" s="13">
        <v>57916.0</v>
      </c>
      <c r="E356" s="4">
        <v>45193.0</v>
      </c>
      <c r="F356" s="4">
        <f>IF(D356="","", IFNA(VLOOKUP(D356, SATCAT_DECAY!A:B, 2, FALSE), ""))
</f>
        <v>45509</v>
      </c>
      <c r="G356" s="3" t="str">
        <f t="shared" si="1"/>
        <v>DECAYED</v>
      </c>
    </row>
    <row r="357" ht="22.5" customHeight="1">
      <c r="A357" s="11" t="str">
        <f t="array" ref="A357">IFERROR(
  INDEX('Starlink Launches'!$A:$A, MATCH($E357, 'Starlink Launches'!$B:$B, 0)),
  ""
)
</f>
        <v>6-18</v>
      </c>
      <c r="B357" s="3" t="s">
        <v>25</v>
      </c>
      <c r="C357" s="12" t="s">
        <v>369</v>
      </c>
      <c r="D357" s="13">
        <v>57917.0</v>
      </c>
      <c r="E357" s="4">
        <v>45193.0</v>
      </c>
      <c r="F357" s="4" t="str">
        <f>IF(D357="","", IFNA(VLOOKUP(D357, SATCAT_DECAY!A:B, 2, FALSE), ""))
</f>
        <v/>
      </c>
      <c r="G357" s="3" t="str">
        <f t="shared" si="1"/>
        <v>ACTIVE</v>
      </c>
    </row>
    <row r="358" ht="22.5" customHeight="1">
      <c r="A358" s="11" t="str">
        <f t="array" ref="A358">IFERROR(
  INDEX('Starlink Launches'!$A:$A, MATCH($E358, 'Starlink Launches'!$B:$B, 0)),
  ""
)
</f>
        <v>6-18</v>
      </c>
      <c r="B358" s="3" t="s">
        <v>25</v>
      </c>
      <c r="C358" s="12" t="s">
        <v>370</v>
      </c>
      <c r="D358" s="13">
        <v>57918.0</v>
      </c>
      <c r="E358" s="4">
        <v>45193.0</v>
      </c>
      <c r="F358" s="4" t="str">
        <f>IF(D358="","", IFNA(VLOOKUP(D358, SATCAT_DECAY!A:B, 2, FALSE), ""))
</f>
        <v/>
      </c>
      <c r="G358" s="3" t="str">
        <f t="shared" si="1"/>
        <v>ACTIVE</v>
      </c>
    </row>
    <row r="359" ht="22.5" customHeight="1">
      <c r="A359" s="11" t="str">
        <f t="array" ref="A359">IFERROR(
  INDEX('Starlink Launches'!$A:$A, MATCH($E359, 'Starlink Launches'!$B:$B, 0)),
  ""
)
</f>
        <v>6-18</v>
      </c>
      <c r="B359" s="3" t="s">
        <v>25</v>
      </c>
      <c r="C359" s="12" t="s">
        <v>371</v>
      </c>
      <c r="D359" s="13">
        <v>57919.0</v>
      </c>
      <c r="E359" s="4">
        <v>45193.0</v>
      </c>
      <c r="F359" s="4" t="str">
        <f>IF(D359="","", IFNA(VLOOKUP(D359, SATCAT_DECAY!A:B, 2, FALSE), ""))
</f>
        <v/>
      </c>
      <c r="G359" s="3" t="str">
        <f t="shared" si="1"/>
        <v>ACTIVE</v>
      </c>
    </row>
    <row r="360" ht="22.5" customHeight="1">
      <c r="A360" s="11" t="str">
        <f t="array" ref="A360">IFERROR(
  INDEX('Starlink Launches'!$A:$A, MATCH($E360, 'Starlink Launches'!$B:$B, 0)),
  ""
)
</f>
        <v>6-18</v>
      </c>
      <c r="B360" s="3" t="s">
        <v>25</v>
      </c>
      <c r="C360" s="12" t="s">
        <v>372</v>
      </c>
      <c r="D360" s="13">
        <v>57920.0</v>
      </c>
      <c r="E360" s="4">
        <v>45193.0</v>
      </c>
      <c r="F360" s="4" t="str">
        <f>IF(D360="","", IFNA(VLOOKUP(D360, SATCAT_DECAY!A:B, 2, FALSE), ""))
</f>
        <v/>
      </c>
      <c r="G360" s="3" t="str">
        <f t="shared" si="1"/>
        <v>ACTIVE</v>
      </c>
    </row>
    <row r="361" ht="22.5" customHeight="1">
      <c r="A361" s="11" t="str">
        <f t="array" ref="A361">IFERROR(
  INDEX('Starlink Launches'!$A:$A, MATCH($E361, 'Starlink Launches'!$B:$B, 0)),
  ""
)
</f>
        <v>6-18</v>
      </c>
      <c r="B361" s="3" t="s">
        <v>25</v>
      </c>
      <c r="C361" s="12" t="s">
        <v>373</v>
      </c>
      <c r="D361" s="13">
        <v>57921.0</v>
      </c>
      <c r="E361" s="4">
        <v>45193.0</v>
      </c>
      <c r="F361" s="4" t="str">
        <f>IF(D361="","", IFNA(VLOOKUP(D361, SATCAT_DECAY!A:B, 2, FALSE), ""))
</f>
        <v/>
      </c>
      <c r="G361" s="3" t="str">
        <f t="shared" si="1"/>
        <v>ACTIVE</v>
      </c>
    </row>
    <row r="362" ht="22.5" hidden="1" customHeight="1">
      <c r="A362" s="11" t="str">
        <f t="array" ref="A362">IFERROR(
  INDEX('Starlink Launches'!$A:$A, MATCH($E362, 'Starlink Launches'!$B:$B, 0)),
  ""
)
</f>
        <v>6-18</v>
      </c>
      <c r="B362" s="3" t="s">
        <v>25</v>
      </c>
      <c r="C362" s="12" t="s">
        <v>374</v>
      </c>
      <c r="D362" s="13">
        <v>57922.0</v>
      </c>
      <c r="E362" s="4">
        <v>45193.0</v>
      </c>
      <c r="F362" s="4">
        <f>IF(D362="","", IFNA(VLOOKUP(D362, SATCAT_DECAY!A:B, 2, FALSE), ""))
</f>
        <v>45200</v>
      </c>
      <c r="G362" s="3" t="str">
        <f t="shared" si="1"/>
        <v>DECAYED</v>
      </c>
    </row>
    <row r="363" ht="22.5" customHeight="1">
      <c r="A363" s="11" t="str">
        <f t="array" ref="A363">IFERROR(
  INDEX('Starlink Launches'!$A:$A, MATCH($E363, 'Starlink Launches'!$B:$B, 0)),
  ""
)
</f>
        <v>6-18</v>
      </c>
      <c r="B363" s="3" t="s">
        <v>25</v>
      </c>
      <c r="C363" s="12" t="s">
        <v>375</v>
      </c>
      <c r="D363" s="13">
        <v>57923.0</v>
      </c>
      <c r="E363" s="4">
        <v>45193.0</v>
      </c>
      <c r="F363" s="4" t="str">
        <f>IF(D363="","", IFNA(VLOOKUP(D363, SATCAT_DECAY!A:B, 2, FALSE), ""))
</f>
        <v/>
      </c>
      <c r="G363" s="3" t="str">
        <f t="shared" si="1"/>
        <v>ACTIVE</v>
      </c>
    </row>
    <row r="364" ht="22.5" customHeight="1">
      <c r="A364" s="11" t="str">
        <f t="array" ref="A364">IFERROR(
  INDEX('Starlink Launches'!$A:$A, MATCH($E364, 'Starlink Launches'!$B:$B, 0)),
  ""
)
</f>
        <v>6-18</v>
      </c>
      <c r="B364" s="3" t="s">
        <v>25</v>
      </c>
      <c r="C364" s="12" t="s">
        <v>376</v>
      </c>
      <c r="D364" s="13">
        <v>57924.0</v>
      </c>
      <c r="E364" s="4">
        <v>45193.0</v>
      </c>
      <c r="F364" s="4" t="str">
        <f>IF(D364="","", IFNA(VLOOKUP(D364, SATCAT_DECAY!A:B, 2, FALSE), ""))
</f>
        <v/>
      </c>
      <c r="G364" s="3" t="str">
        <f t="shared" si="1"/>
        <v>ACTIVE</v>
      </c>
    </row>
    <row r="365" ht="22.5" customHeight="1">
      <c r="A365" s="11" t="str">
        <f t="array" ref="A365">IFERROR(
  INDEX('Starlink Launches'!$A:$A, MATCH($E365, 'Starlink Launches'!$B:$B, 0)),
  ""
)
</f>
        <v>6-18</v>
      </c>
      <c r="B365" s="3" t="s">
        <v>25</v>
      </c>
      <c r="C365" s="12" t="s">
        <v>377</v>
      </c>
      <c r="D365" s="13">
        <v>57925.0</v>
      </c>
      <c r="E365" s="4">
        <v>45193.0</v>
      </c>
      <c r="F365" s="4" t="str">
        <f>IF(D365="","", IFNA(VLOOKUP(D365, SATCAT_DECAY!A:B, 2, FALSE), ""))
</f>
        <v/>
      </c>
      <c r="G365" s="3" t="str">
        <f t="shared" si="1"/>
        <v>ACTIVE</v>
      </c>
    </row>
    <row r="366" ht="22.5" customHeight="1">
      <c r="A366" s="11" t="str">
        <f t="array" ref="A366">IFERROR(
  INDEX('Starlink Launches'!$A:$A, MATCH($E366, 'Starlink Launches'!$B:$B, 0)),
  ""
)
</f>
        <v>6-18</v>
      </c>
      <c r="B366" s="3" t="s">
        <v>25</v>
      </c>
      <c r="C366" s="12" t="s">
        <v>378</v>
      </c>
      <c r="D366" s="13">
        <v>57926.0</v>
      </c>
      <c r="E366" s="4">
        <v>45193.0</v>
      </c>
      <c r="F366" s="4" t="str">
        <f>IF(D366="","", IFNA(VLOOKUP(D366, SATCAT_DECAY!A:B, 2, FALSE), ""))
</f>
        <v/>
      </c>
      <c r="G366" s="3" t="str">
        <f t="shared" si="1"/>
        <v>ACTIVE</v>
      </c>
    </row>
    <row r="367" ht="22.5" hidden="1" customHeight="1">
      <c r="A367" s="11" t="str">
        <f t="array" ref="A367">IFERROR(
  INDEX('Starlink Launches'!$A:$A, MATCH($E367, 'Starlink Launches'!$B:$B, 0)),
  ""
)
</f>
        <v>6-18</v>
      </c>
      <c r="B367" s="3" t="s">
        <v>25</v>
      </c>
      <c r="C367" s="12" t="s">
        <v>379</v>
      </c>
      <c r="D367" s="13">
        <v>57927.0</v>
      </c>
      <c r="E367" s="4">
        <v>45193.0</v>
      </c>
      <c r="F367" s="4">
        <f>IF(D367="","", IFNA(VLOOKUP(D367, SATCAT_DECAY!A:B, 2, FALSE), ""))
</f>
        <v>46037</v>
      </c>
      <c r="G367" s="3" t="str">
        <f t="shared" si="1"/>
        <v>DECAYED</v>
      </c>
    </row>
    <row r="368" ht="22.5" customHeight="1">
      <c r="A368" s="11" t="str">
        <f t="array" ref="A368">IFERROR(
  INDEX('Starlink Launches'!$A:$A, MATCH($E368, 'Starlink Launches'!$B:$B, 0)),
  ""
)
</f>
        <v>6-18</v>
      </c>
      <c r="B368" s="3" t="s">
        <v>25</v>
      </c>
      <c r="C368" s="12" t="s">
        <v>380</v>
      </c>
      <c r="D368" s="13">
        <v>57928.0</v>
      </c>
      <c r="E368" s="4">
        <v>45193.0</v>
      </c>
      <c r="F368" s="4" t="str">
        <f>IF(D368="","", IFNA(VLOOKUP(D368, SATCAT_DECAY!A:B, 2, FALSE), ""))
</f>
        <v/>
      </c>
      <c r="G368" s="3" t="str">
        <f t="shared" si="1"/>
        <v>ACTIVE</v>
      </c>
    </row>
    <row r="369" ht="22.5" hidden="1" customHeight="1">
      <c r="A369" s="11" t="str">
        <f t="array" ref="A369">IFERROR(
  INDEX('Starlink Launches'!$A:$A, MATCH($E369, 'Starlink Launches'!$B:$B, 0)),
  ""
)
</f>
        <v>6-18</v>
      </c>
      <c r="B369" s="3" t="s">
        <v>25</v>
      </c>
      <c r="C369" s="12" t="s">
        <v>381</v>
      </c>
      <c r="D369" s="13">
        <v>57929.0</v>
      </c>
      <c r="E369" s="4">
        <v>45193.0</v>
      </c>
      <c r="F369" s="4">
        <f>IF(D369="","", IFNA(VLOOKUP(D369, SATCAT_DECAY!A:B, 2, FALSE), ""))
</f>
        <v>45742</v>
      </c>
      <c r="G369" s="3" t="str">
        <f t="shared" si="1"/>
        <v>DECAYED</v>
      </c>
    </row>
    <row r="370" ht="22.5" customHeight="1">
      <c r="A370" s="11" t="str">
        <f t="array" ref="A370">IFERROR(
  INDEX('Starlink Launches'!$A:$A, MATCH($E370, 'Starlink Launches'!$B:$B, 0)),
  ""
)
</f>
        <v>6-18</v>
      </c>
      <c r="B370" s="3" t="s">
        <v>25</v>
      </c>
      <c r="C370" s="12" t="s">
        <v>382</v>
      </c>
      <c r="D370" s="13">
        <v>57930.0</v>
      </c>
      <c r="E370" s="4">
        <v>45193.0</v>
      </c>
      <c r="F370" s="4" t="str">
        <f>IF(D370="","", IFNA(VLOOKUP(D370, SATCAT_DECAY!A:B, 2, FALSE), ""))
</f>
        <v/>
      </c>
      <c r="G370" s="3" t="str">
        <f t="shared" si="1"/>
        <v>ACTIVE</v>
      </c>
    </row>
    <row r="371" ht="22.5" customHeight="1">
      <c r="A371" s="11" t="str">
        <f t="array" ref="A371">IFERROR(
  INDEX('Starlink Launches'!$A:$A, MATCH($E371, 'Starlink Launches'!$B:$B, 0)),
  ""
)
</f>
        <v>6-18</v>
      </c>
      <c r="B371" s="3" t="s">
        <v>25</v>
      </c>
      <c r="C371" s="12" t="s">
        <v>383</v>
      </c>
      <c r="D371" s="13">
        <v>57931.0</v>
      </c>
      <c r="E371" s="4">
        <v>45193.0</v>
      </c>
      <c r="F371" s="4" t="str">
        <f>IF(D371="","", IFNA(VLOOKUP(D371, SATCAT_DECAY!A:B, 2, FALSE), ""))
</f>
        <v/>
      </c>
      <c r="G371" s="3" t="str">
        <f t="shared" si="1"/>
        <v>ACTIVE</v>
      </c>
    </row>
    <row r="372" ht="22.5" customHeight="1">
      <c r="A372" s="11" t="str">
        <f t="array" ref="A372">IFERROR(
  INDEX('Starlink Launches'!$A:$A, MATCH($E372, 'Starlink Launches'!$B:$B, 0)),
  ""
)
</f>
        <v>6-18</v>
      </c>
      <c r="B372" s="3" t="s">
        <v>25</v>
      </c>
      <c r="C372" s="12" t="s">
        <v>384</v>
      </c>
      <c r="D372" s="13">
        <v>57932.0</v>
      </c>
      <c r="E372" s="4">
        <v>45193.0</v>
      </c>
      <c r="F372" s="4" t="str">
        <f>IF(D372="","", IFNA(VLOOKUP(D372, SATCAT_DECAY!A:B, 2, FALSE), ""))
</f>
        <v/>
      </c>
      <c r="G372" s="3" t="str">
        <f t="shared" si="1"/>
        <v>ACTIVE</v>
      </c>
    </row>
    <row r="373" ht="22.5" customHeight="1">
      <c r="A373" s="11" t="str">
        <f t="array" ref="A373">IFERROR(
  INDEX('Starlink Launches'!$A:$A, MATCH($E373, 'Starlink Launches'!$B:$B, 0)),
  ""
)
</f>
        <v>6-18</v>
      </c>
      <c r="B373" s="3" t="s">
        <v>25</v>
      </c>
      <c r="C373" s="12" t="s">
        <v>385</v>
      </c>
      <c r="D373" s="13">
        <v>57933.0</v>
      </c>
      <c r="E373" s="4">
        <v>45193.0</v>
      </c>
      <c r="F373" s="4" t="str">
        <f>IF(D373="","", IFNA(VLOOKUP(D373, SATCAT_DECAY!A:B, 2, FALSE), ""))
</f>
        <v/>
      </c>
      <c r="G373" s="3" t="str">
        <f t="shared" si="1"/>
        <v>ACTIVE</v>
      </c>
    </row>
    <row r="374" ht="22.5" hidden="1" customHeight="1">
      <c r="A374" s="11" t="str">
        <f t="array" ref="A374">IFERROR(
  INDEX('Starlink Launches'!$A:$A, MATCH($E374, 'Starlink Launches'!$B:$B, 0)),
  ""
)
</f>
        <v>6-18</v>
      </c>
      <c r="B374" s="3" t="s">
        <v>25</v>
      </c>
      <c r="C374" s="12" t="s">
        <v>386</v>
      </c>
      <c r="D374" s="13">
        <v>57934.0</v>
      </c>
      <c r="E374" s="4">
        <v>45193.0</v>
      </c>
      <c r="F374" s="4">
        <f>IF(D374="","", IFNA(VLOOKUP(D374, SATCAT_DECAY!A:B, 2, FALSE), ""))
</f>
        <v>45937</v>
      </c>
      <c r="G374" s="3" t="str">
        <f t="shared" si="1"/>
        <v>DECAYED</v>
      </c>
    </row>
    <row r="375" ht="22.5" customHeight="1">
      <c r="A375" s="11" t="str">
        <f t="array" ref="A375">IFERROR(
  INDEX('Starlink Launches'!$A:$A, MATCH($E375, 'Starlink Launches'!$B:$B, 0)),
  ""
)
</f>
        <v>6-19</v>
      </c>
      <c r="B375" s="3" t="s">
        <v>25</v>
      </c>
      <c r="C375" s="12" t="s">
        <v>387</v>
      </c>
      <c r="D375" s="13">
        <v>57964.0</v>
      </c>
      <c r="E375" s="4">
        <v>45199.0</v>
      </c>
      <c r="F375" s="4" t="str">
        <f>IF(D375="","", IFNA(VLOOKUP(D375, SATCAT_DECAY!A:B, 2, FALSE), ""))
</f>
        <v/>
      </c>
      <c r="G375" s="3" t="str">
        <f t="shared" si="1"/>
        <v>ACTIVE</v>
      </c>
    </row>
    <row r="376" ht="22.5" customHeight="1">
      <c r="A376" s="11" t="str">
        <f t="array" ref="A376">IFERROR(
  INDEX('Starlink Launches'!$A:$A, MATCH($E376, 'Starlink Launches'!$B:$B, 0)),
  ""
)
</f>
        <v>6-19</v>
      </c>
      <c r="B376" s="3" t="s">
        <v>25</v>
      </c>
      <c r="C376" s="12" t="s">
        <v>388</v>
      </c>
      <c r="D376" s="13">
        <v>57965.0</v>
      </c>
      <c r="E376" s="4">
        <v>45199.0</v>
      </c>
      <c r="F376" s="4" t="str">
        <f>IF(D376="","", IFNA(VLOOKUP(D376, SATCAT_DECAY!A:B, 2, FALSE), ""))
</f>
        <v/>
      </c>
      <c r="G376" s="3" t="str">
        <f t="shared" si="1"/>
        <v>ACTIVE</v>
      </c>
    </row>
    <row r="377" ht="22.5" customHeight="1">
      <c r="A377" s="11" t="str">
        <f t="array" ref="A377">IFERROR(
  INDEX('Starlink Launches'!$A:$A, MATCH($E377, 'Starlink Launches'!$B:$B, 0)),
  ""
)
</f>
        <v>6-19</v>
      </c>
      <c r="B377" s="3" t="s">
        <v>25</v>
      </c>
      <c r="C377" s="12" t="s">
        <v>389</v>
      </c>
      <c r="D377" s="13">
        <v>57966.0</v>
      </c>
      <c r="E377" s="4">
        <v>45199.0</v>
      </c>
      <c r="F377" s="4" t="str">
        <f>IF(D377="","", IFNA(VLOOKUP(D377, SATCAT_DECAY!A:B, 2, FALSE), ""))
</f>
        <v/>
      </c>
      <c r="G377" s="3" t="str">
        <f t="shared" si="1"/>
        <v>ACTIVE</v>
      </c>
    </row>
    <row r="378" ht="22.5" customHeight="1">
      <c r="A378" s="11" t="str">
        <f t="array" ref="A378">IFERROR(
  INDEX('Starlink Launches'!$A:$A, MATCH($E378, 'Starlink Launches'!$B:$B, 0)),
  ""
)
</f>
        <v>6-19</v>
      </c>
      <c r="B378" s="3" t="s">
        <v>25</v>
      </c>
      <c r="C378" s="12" t="s">
        <v>390</v>
      </c>
      <c r="D378" s="13">
        <v>57967.0</v>
      </c>
      <c r="E378" s="4">
        <v>45199.0</v>
      </c>
      <c r="F378" s="4" t="str">
        <f>IF(D378="","", IFNA(VLOOKUP(D378, SATCAT_DECAY!A:B, 2, FALSE), ""))
</f>
        <v/>
      </c>
      <c r="G378" s="3" t="str">
        <f t="shared" si="1"/>
        <v>ACTIVE</v>
      </c>
    </row>
    <row r="379" ht="22.5" customHeight="1">
      <c r="A379" s="11" t="str">
        <f t="array" ref="A379">IFERROR(
  INDEX('Starlink Launches'!$A:$A, MATCH($E379, 'Starlink Launches'!$B:$B, 0)),
  ""
)
</f>
        <v>6-19</v>
      </c>
      <c r="B379" s="3" t="s">
        <v>25</v>
      </c>
      <c r="C379" s="12" t="s">
        <v>391</v>
      </c>
      <c r="D379" s="13">
        <v>57968.0</v>
      </c>
      <c r="E379" s="4">
        <v>45199.0</v>
      </c>
      <c r="F379" s="4" t="str">
        <f>IF(D379="","", IFNA(VLOOKUP(D379, SATCAT_DECAY!A:B, 2, FALSE), ""))
</f>
        <v/>
      </c>
      <c r="G379" s="3" t="str">
        <f t="shared" si="1"/>
        <v>ACTIVE</v>
      </c>
    </row>
    <row r="380" ht="22.5" customHeight="1">
      <c r="A380" s="11" t="str">
        <f t="array" ref="A380">IFERROR(
  INDEX('Starlink Launches'!$A:$A, MATCH($E380, 'Starlink Launches'!$B:$B, 0)),
  ""
)
</f>
        <v>6-19</v>
      </c>
      <c r="B380" s="3" t="s">
        <v>25</v>
      </c>
      <c r="C380" s="12" t="s">
        <v>392</v>
      </c>
      <c r="D380" s="13">
        <v>57970.0</v>
      </c>
      <c r="E380" s="4">
        <v>45199.0</v>
      </c>
      <c r="F380" s="4" t="str">
        <f>IF(D380="","", IFNA(VLOOKUP(D380, SATCAT_DECAY!A:B, 2, FALSE), ""))
</f>
        <v/>
      </c>
      <c r="G380" s="3" t="str">
        <f t="shared" si="1"/>
        <v>ACTIVE</v>
      </c>
    </row>
    <row r="381" ht="22.5" customHeight="1">
      <c r="A381" s="11" t="str">
        <f t="array" ref="A381">IFERROR(
  INDEX('Starlink Launches'!$A:$A, MATCH($E381, 'Starlink Launches'!$B:$B, 0)),
  ""
)
</f>
        <v>6-19</v>
      </c>
      <c r="B381" s="3" t="s">
        <v>25</v>
      </c>
      <c r="C381" s="12" t="s">
        <v>393</v>
      </c>
      <c r="D381" s="13">
        <v>57971.0</v>
      </c>
      <c r="E381" s="4">
        <v>45199.0</v>
      </c>
      <c r="F381" s="4" t="str">
        <f>IF(D381="","", IFNA(VLOOKUP(D381, SATCAT_DECAY!A:B, 2, FALSE), ""))
</f>
        <v/>
      </c>
      <c r="G381" s="3" t="str">
        <f t="shared" si="1"/>
        <v>ACTIVE</v>
      </c>
    </row>
    <row r="382" ht="22.5" customHeight="1">
      <c r="A382" s="11" t="str">
        <f t="array" ref="A382">IFERROR(
  INDEX('Starlink Launches'!$A:$A, MATCH($E382, 'Starlink Launches'!$B:$B, 0)),
  ""
)
</f>
        <v>6-19</v>
      </c>
      <c r="B382" s="3" t="s">
        <v>25</v>
      </c>
      <c r="C382" s="12" t="s">
        <v>394</v>
      </c>
      <c r="D382" s="13">
        <v>57972.0</v>
      </c>
      <c r="E382" s="4">
        <v>45199.0</v>
      </c>
      <c r="F382" s="4" t="str">
        <f>IF(D382="","", IFNA(VLOOKUP(D382, SATCAT_DECAY!A:B, 2, FALSE), ""))
</f>
        <v/>
      </c>
      <c r="G382" s="3" t="str">
        <f t="shared" si="1"/>
        <v>ACTIVE</v>
      </c>
    </row>
    <row r="383" ht="22.5" customHeight="1">
      <c r="A383" s="11" t="str">
        <f t="array" ref="A383">IFERROR(
  INDEX('Starlink Launches'!$A:$A, MATCH($E383, 'Starlink Launches'!$B:$B, 0)),
  ""
)
</f>
        <v>6-19</v>
      </c>
      <c r="B383" s="3" t="s">
        <v>25</v>
      </c>
      <c r="C383" s="12" t="s">
        <v>395</v>
      </c>
      <c r="D383" s="13">
        <v>57973.0</v>
      </c>
      <c r="E383" s="4">
        <v>45199.0</v>
      </c>
      <c r="F383" s="4" t="str">
        <f>IF(D383="","", IFNA(VLOOKUP(D383, SATCAT_DECAY!A:B, 2, FALSE), ""))
</f>
        <v/>
      </c>
      <c r="G383" s="3" t="str">
        <f t="shared" si="1"/>
        <v>ACTIVE</v>
      </c>
    </row>
    <row r="384" ht="22.5" customHeight="1">
      <c r="A384" s="11" t="str">
        <f t="array" ref="A384">IFERROR(
  INDEX('Starlink Launches'!$A:$A, MATCH($E384, 'Starlink Launches'!$B:$B, 0)),
  ""
)
</f>
        <v>6-19</v>
      </c>
      <c r="B384" s="3" t="s">
        <v>25</v>
      </c>
      <c r="C384" s="12" t="s">
        <v>396</v>
      </c>
      <c r="D384" s="13">
        <v>57974.0</v>
      </c>
      <c r="E384" s="4">
        <v>45199.0</v>
      </c>
      <c r="F384" s="4" t="str">
        <f>IF(D384="","", IFNA(VLOOKUP(D384, SATCAT_DECAY!A:B, 2, FALSE), ""))
</f>
        <v/>
      </c>
      <c r="G384" s="3" t="str">
        <f t="shared" si="1"/>
        <v>ACTIVE</v>
      </c>
    </row>
    <row r="385" ht="22.5" customHeight="1">
      <c r="A385" s="11" t="str">
        <f t="array" ref="A385">IFERROR(
  INDEX('Starlink Launches'!$A:$A, MATCH($E385, 'Starlink Launches'!$B:$B, 0)),
  ""
)
</f>
        <v>6-19</v>
      </c>
      <c r="B385" s="3" t="s">
        <v>25</v>
      </c>
      <c r="C385" s="12" t="s">
        <v>397</v>
      </c>
      <c r="D385" s="13">
        <v>57975.0</v>
      </c>
      <c r="E385" s="4">
        <v>45199.0</v>
      </c>
      <c r="F385" s="4" t="str">
        <f>IF(D385="","", IFNA(VLOOKUP(D385, SATCAT_DECAY!A:B, 2, FALSE), ""))
</f>
        <v/>
      </c>
      <c r="G385" s="3" t="str">
        <f t="shared" si="1"/>
        <v>ACTIVE</v>
      </c>
    </row>
    <row r="386" ht="22.5" customHeight="1">
      <c r="A386" s="11" t="str">
        <f t="array" ref="A386">IFERROR(
  INDEX('Starlink Launches'!$A:$A, MATCH($E386, 'Starlink Launches'!$B:$B, 0)),
  ""
)
</f>
        <v>6-19</v>
      </c>
      <c r="B386" s="3" t="s">
        <v>25</v>
      </c>
      <c r="C386" s="12" t="s">
        <v>398</v>
      </c>
      <c r="D386" s="13">
        <v>57976.0</v>
      </c>
      <c r="E386" s="4">
        <v>45199.0</v>
      </c>
      <c r="F386" s="4" t="str">
        <f>IF(D386="","", IFNA(VLOOKUP(D386, SATCAT_DECAY!A:B, 2, FALSE), ""))
</f>
        <v/>
      </c>
      <c r="G386" s="3" t="str">
        <f t="shared" si="1"/>
        <v>ACTIVE</v>
      </c>
    </row>
    <row r="387" ht="22.5" customHeight="1">
      <c r="A387" s="11" t="str">
        <f t="array" ref="A387">IFERROR(
  INDEX('Starlink Launches'!$A:$A, MATCH($E387, 'Starlink Launches'!$B:$B, 0)),
  ""
)
</f>
        <v>6-19</v>
      </c>
      <c r="B387" s="3" t="s">
        <v>25</v>
      </c>
      <c r="C387" s="12" t="s">
        <v>399</v>
      </c>
      <c r="D387" s="13">
        <v>57977.0</v>
      </c>
      <c r="E387" s="4">
        <v>45199.0</v>
      </c>
      <c r="F387" s="4" t="str">
        <f>IF(D387="","", IFNA(VLOOKUP(D387, SATCAT_DECAY!A:B, 2, FALSE), ""))
</f>
        <v/>
      </c>
      <c r="G387" s="3" t="str">
        <f t="shared" si="1"/>
        <v>ACTIVE</v>
      </c>
    </row>
    <row r="388" ht="22.5" customHeight="1">
      <c r="A388" s="11" t="str">
        <f t="array" ref="A388">IFERROR(
  INDEX('Starlink Launches'!$A:$A, MATCH($E388, 'Starlink Launches'!$B:$B, 0)),
  ""
)
</f>
        <v>6-19</v>
      </c>
      <c r="B388" s="3" t="s">
        <v>25</v>
      </c>
      <c r="C388" s="12" t="s">
        <v>400</v>
      </c>
      <c r="D388" s="13">
        <v>57978.0</v>
      </c>
      <c r="E388" s="4">
        <v>45199.0</v>
      </c>
      <c r="F388" s="4" t="str">
        <f>IF(D388="","", IFNA(VLOOKUP(D388, SATCAT_DECAY!A:B, 2, FALSE), ""))
</f>
        <v/>
      </c>
      <c r="G388" s="3" t="str">
        <f t="shared" si="1"/>
        <v>ACTIVE</v>
      </c>
    </row>
    <row r="389" ht="22.5" customHeight="1">
      <c r="A389" s="11" t="str">
        <f t="array" ref="A389">IFERROR(
  INDEX('Starlink Launches'!$A:$A, MATCH($E389, 'Starlink Launches'!$B:$B, 0)),
  ""
)
</f>
        <v>6-19</v>
      </c>
      <c r="B389" s="3" t="s">
        <v>25</v>
      </c>
      <c r="C389" s="12" t="s">
        <v>401</v>
      </c>
      <c r="D389" s="13">
        <v>57979.0</v>
      </c>
      <c r="E389" s="4">
        <v>45199.0</v>
      </c>
      <c r="F389" s="4" t="str">
        <f>IF(D389="","", IFNA(VLOOKUP(D389, SATCAT_DECAY!A:B, 2, FALSE), ""))
</f>
        <v/>
      </c>
      <c r="G389" s="3" t="str">
        <f t="shared" si="1"/>
        <v>ACTIVE</v>
      </c>
    </row>
    <row r="390" ht="22.5" customHeight="1">
      <c r="A390" s="11" t="str">
        <f t="array" ref="A390">IFERROR(
  INDEX('Starlink Launches'!$A:$A, MATCH($E390, 'Starlink Launches'!$B:$B, 0)),
  ""
)
</f>
        <v>6-19</v>
      </c>
      <c r="B390" s="3" t="s">
        <v>25</v>
      </c>
      <c r="C390" s="12" t="s">
        <v>402</v>
      </c>
      <c r="D390" s="13">
        <v>57980.0</v>
      </c>
      <c r="E390" s="4">
        <v>45199.0</v>
      </c>
      <c r="F390" s="4" t="str">
        <f>IF(D390="","", IFNA(VLOOKUP(D390, SATCAT_DECAY!A:B, 2, FALSE), ""))
</f>
        <v/>
      </c>
      <c r="G390" s="3" t="str">
        <f t="shared" si="1"/>
        <v>ACTIVE</v>
      </c>
    </row>
    <row r="391" ht="22.5" customHeight="1">
      <c r="A391" s="11" t="str">
        <f t="array" ref="A391">IFERROR(
  INDEX('Starlink Launches'!$A:$A, MATCH($E391, 'Starlink Launches'!$B:$B, 0)),
  ""
)
</f>
        <v>6-19</v>
      </c>
      <c r="B391" s="3" t="s">
        <v>25</v>
      </c>
      <c r="C391" s="12" t="s">
        <v>403</v>
      </c>
      <c r="D391" s="13">
        <v>57981.0</v>
      </c>
      <c r="E391" s="4">
        <v>45199.0</v>
      </c>
      <c r="F391" s="4" t="str">
        <f>IF(D391="","", IFNA(VLOOKUP(D391, SATCAT_DECAY!A:B, 2, FALSE), ""))
</f>
        <v/>
      </c>
      <c r="G391" s="3" t="str">
        <f t="shared" si="1"/>
        <v>ACTIVE</v>
      </c>
    </row>
    <row r="392" ht="22.5" customHeight="1">
      <c r="A392" s="11" t="str">
        <f t="array" ref="A392">IFERROR(
  INDEX('Starlink Launches'!$A:$A, MATCH($E392, 'Starlink Launches'!$B:$B, 0)),
  ""
)
</f>
        <v>6-19</v>
      </c>
      <c r="B392" s="3" t="s">
        <v>25</v>
      </c>
      <c r="C392" s="12" t="s">
        <v>404</v>
      </c>
      <c r="D392" s="13">
        <v>57982.0</v>
      </c>
      <c r="E392" s="4">
        <v>45199.0</v>
      </c>
      <c r="F392" s="4" t="str">
        <f>IF(D392="","", IFNA(VLOOKUP(D392, SATCAT_DECAY!A:B, 2, FALSE), ""))
</f>
        <v/>
      </c>
      <c r="G392" s="3" t="str">
        <f t="shared" si="1"/>
        <v>ACTIVE</v>
      </c>
    </row>
    <row r="393" ht="22.5" customHeight="1">
      <c r="A393" s="11" t="str">
        <f t="array" ref="A393">IFERROR(
  INDEX('Starlink Launches'!$A:$A, MATCH($E393, 'Starlink Launches'!$B:$B, 0)),
  ""
)
</f>
        <v>6-19</v>
      </c>
      <c r="B393" s="3" t="s">
        <v>25</v>
      </c>
      <c r="C393" s="12" t="s">
        <v>405</v>
      </c>
      <c r="D393" s="13">
        <v>57983.0</v>
      </c>
      <c r="E393" s="4">
        <v>45199.0</v>
      </c>
      <c r="F393" s="4" t="str">
        <f>IF(D393="","", IFNA(VLOOKUP(D393, SATCAT_DECAY!A:B, 2, FALSE), ""))
</f>
        <v/>
      </c>
      <c r="G393" s="3" t="str">
        <f t="shared" si="1"/>
        <v>ACTIVE</v>
      </c>
    </row>
    <row r="394" ht="22.5" customHeight="1">
      <c r="A394" s="11" t="str">
        <f t="array" ref="A394">IFERROR(
  INDEX('Starlink Launches'!$A:$A, MATCH($E394, 'Starlink Launches'!$B:$B, 0)),
  ""
)
</f>
        <v>6-19</v>
      </c>
      <c r="B394" s="3" t="s">
        <v>25</v>
      </c>
      <c r="C394" s="12" t="s">
        <v>406</v>
      </c>
      <c r="D394" s="13">
        <v>57984.0</v>
      </c>
      <c r="E394" s="4">
        <v>45199.0</v>
      </c>
      <c r="F394" s="4" t="str">
        <f>IF(D394="","", IFNA(VLOOKUP(D394, SATCAT_DECAY!A:B, 2, FALSE), ""))
</f>
        <v/>
      </c>
      <c r="G394" s="3" t="str">
        <f t="shared" si="1"/>
        <v>ACTIVE</v>
      </c>
    </row>
    <row r="395" ht="22.5" customHeight="1">
      <c r="A395" s="11" t="str">
        <f t="array" ref="A395">IFERROR(
  INDEX('Starlink Launches'!$A:$A, MATCH($E395, 'Starlink Launches'!$B:$B, 0)),
  ""
)
</f>
        <v>6-19</v>
      </c>
      <c r="B395" s="3" t="s">
        <v>25</v>
      </c>
      <c r="C395" s="12" t="s">
        <v>407</v>
      </c>
      <c r="D395" s="13">
        <v>57985.0</v>
      </c>
      <c r="E395" s="4">
        <v>45199.0</v>
      </c>
      <c r="F395" s="4" t="str">
        <f>IF(D395="","", IFNA(VLOOKUP(D395, SATCAT_DECAY!A:B, 2, FALSE), ""))
</f>
        <v/>
      </c>
      <c r="G395" s="3" t="str">
        <f t="shared" si="1"/>
        <v>ACTIVE</v>
      </c>
    </row>
    <row r="396" ht="22.5" customHeight="1">
      <c r="A396" s="11" t="str">
        <f t="array" ref="A396">IFERROR(
  INDEX('Starlink Launches'!$A:$A, MATCH($E396, 'Starlink Launches'!$B:$B, 0)),
  ""
)
</f>
        <v>6-21</v>
      </c>
      <c r="B396" s="3" t="s">
        <v>25</v>
      </c>
      <c r="C396" s="12" t="s">
        <v>408</v>
      </c>
      <c r="D396" s="13">
        <v>57991.0</v>
      </c>
      <c r="E396" s="4">
        <v>45204.0</v>
      </c>
      <c r="F396" s="4" t="str">
        <f>IF(D396="","", IFNA(VLOOKUP(D396, SATCAT_DECAY!A:B, 2, FALSE), ""))
</f>
        <v/>
      </c>
      <c r="G396" s="3" t="str">
        <f t="shared" si="1"/>
        <v>ACTIVE</v>
      </c>
    </row>
    <row r="397" ht="22.5" customHeight="1">
      <c r="A397" s="11" t="str">
        <f t="array" ref="A397">IFERROR(
  INDEX('Starlink Launches'!$A:$A, MATCH($E397, 'Starlink Launches'!$B:$B, 0)),
  ""
)
</f>
        <v>6-21</v>
      </c>
      <c r="B397" s="3" t="s">
        <v>25</v>
      </c>
      <c r="C397" s="12" t="s">
        <v>409</v>
      </c>
      <c r="D397" s="13">
        <v>57992.0</v>
      </c>
      <c r="E397" s="4">
        <v>45204.0</v>
      </c>
      <c r="F397" s="4" t="str">
        <f>IF(D397="","", IFNA(VLOOKUP(D397, SATCAT_DECAY!A:B, 2, FALSE), ""))
</f>
        <v/>
      </c>
      <c r="G397" s="3" t="str">
        <f t="shared" si="1"/>
        <v>ACTIVE</v>
      </c>
    </row>
    <row r="398" ht="22.5" customHeight="1">
      <c r="A398" s="11" t="str">
        <f t="array" ref="A398">IFERROR(
  INDEX('Starlink Launches'!$A:$A, MATCH($E398, 'Starlink Launches'!$B:$B, 0)),
  ""
)
</f>
        <v>6-21</v>
      </c>
      <c r="B398" s="3" t="s">
        <v>25</v>
      </c>
      <c r="C398" s="12" t="s">
        <v>410</v>
      </c>
      <c r="D398" s="13">
        <v>57993.0</v>
      </c>
      <c r="E398" s="4">
        <v>45204.0</v>
      </c>
      <c r="F398" s="4" t="str">
        <f>IF(D398="","", IFNA(VLOOKUP(D398, SATCAT_DECAY!A:B, 2, FALSE), ""))
</f>
        <v/>
      </c>
      <c r="G398" s="3" t="str">
        <f t="shared" si="1"/>
        <v>ACTIVE</v>
      </c>
    </row>
    <row r="399" ht="22.5" customHeight="1">
      <c r="A399" s="11" t="str">
        <f t="array" ref="A399">IFERROR(
  INDEX('Starlink Launches'!$A:$A, MATCH($E399, 'Starlink Launches'!$B:$B, 0)),
  ""
)
</f>
        <v>6-21</v>
      </c>
      <c r="B399" s="3" t="s">
        <v>25</v>
      </c>
      <c r="C399" s="12" t="s">
        <v>411</v>
      </c>
      <c r="D399" s="13">
        <v>57994.0</v>
      </c>
      <c r="E399" s="4">
        <v>45204.0</v>
      </c>
      <c r="F399" s="4" t="str">
        <f>IF(D399="","", IFNA(VLOOKUP(D399, SATCAT_DECAY!A:B, 2, FALSE), ""))
</f>
        <v/>
      </c>
      <c r="G399" s="3" t="str">
        <f t="shared" si="1"/>
        <v>ACTIVE</v>
      </c>
    </row>
    <row r="400" ht="22.5" customHeight="1">
      <c r="A400" s="11" t="str">
        <f t="array" ref="A400">IFERROR(
  INDEX('Starlink Launches'!$A:$A, MATCH($E400, 'Starlink Launches'!$B:$B, 0)),
  ""
)
</f>
        <v>6-21</v>
      </c>
      <c r="B400" s="3" t="s">
        <v>25</v>
      </c>
      <c r="C400" s="12" t="s">
        <v>412</v>
      </c>
      <c r="D400" s="13">
        <v>57995.0</v>
      </c>
      <c r="E400" s="4">
        <v>45204.0</v>
      </c>
      <c r="F400" s="4" t="str">
        <f>IF(D400="","", IFNA(VLOOKUP(D400, SATCAT_DECAY!A:B, 2, FALSE), ""))
</f>
        <v/>
      </c>
      <c r="G400" s="3" t="str">
        <f t="shared" si="1"/>
        <v>ACTIVE</v>
      </c>
    </row>
    <row r="401" ht="22.5" customHeight="1">
      <c r="A401" s="11" t="str">
        <f t="array" ref="A401">IFERROR(
  INDEX('Starlink Launches'!$A:$A, MATCH($E401, 'Starlink Launches'!$B:$B, 0)),
  ""
)
</f>
        <v>6-21</v>
      </c>
      <c r="B401" s="3" t="s">
        <v>25</v>
      </c>
      <c r="C401" s="12" t="s">
        <v>413</v>
      </c>
      <c r="D401" s="13">
        <v>57997.0</v>
      </c>
      <c r="E401" s="4">
        <v>45204.0</v>
      </c>
      <c r="F401" s="4" t="str">
        <f>IF(D401="","", IFNA(VLOOKUP(D401, SATCAT_DECAY!A:B, 2, FALSE), ""))
</f>
        <v/>
      </c>
      <c r="G401" s="3" t="str">
        <f t="shared" si="1"/>
        <v>ACTIVE</v>
      </c>
    </row>
    <row r="402" ht="22.5" customHeight="1">
      <c r="A402" s="11" t="str">
        <f t="array" ref="A402">IFERROR(
  INDEX('Starlink Launches'!$A:$A, MATCH($E402, 'Starlink Launches'!$B:$B, 0)),
  ""
)
</f>
        <v>6-21</v>
      </c>
      <c r="B402" s="3" t="s">
        <v>25</v>
      </c>
      <c r="C402" s="12" t="s">
        <v>414</v>
      </c>
      <c r="D402" s="13">
        <v>57998.0</v>
      </c>
      <c r="E402" s="4">
        <v>45204.0</v>
      </c>
      <c r="F402" s="4" t="str">
        <f>IF(D402="","", IFNA(VLOOKUP(D402, SATCAT_DECAY!A:B, 2, FALSE), ""))
</f>
        <v/>
      </c>
      <c r="G402" s="3" t="str">
        <f t="shared" si="1"/>
        <v>ACTIVE</v>
      </c>
    </row>
    <row r="403" ht="22.5" customHeight="1">
      <c r="A403" s="11" t="str">
        <f t="array" ref="A403">IFERROR(
  INDEX('Starlink Launches'!$A:$A, MATCH($E403, 'Starlink Launches'!$B:$B, 0)),
  ""
)
</f>
        <v>6-21</v>
      </c>
      <c r="B403" s="3" t="s">
        <v>25</v>
      </c>
      <c r="C403" s="12" t="s">
        <v>415</v>
      </c>
      <c r="D403" s="13">
        <v>57999.0</v>
      </c>
      <c r="E403" s="4">
        <v>45204.0</v>
      </c>
      <c r="F403" s="4" t="str">
        <f>IF(D403="","", IFNA(VLOOKUP(D403, SATCAT_DECAY!A:B, 2, FALSE), ""))
</f>
        <v/>
      </c>
      <c r="G403" s="3" t="str">
        <f t="shared" si="1"/>
        <v>ACTIVE</v>
      </c>
    </row>
    <row r="404" ht="22.5" customHeight="1">
      <c r="A404" s="11" t="str">
        <f t="array" ref="A404">IFERROR(
  INDEX('Starlink Launches'!$A:$A, MATCH($E404, 'Starlink Launches'!$B:$B, 0)),
  ""
)
</f>
        <v>6-21</v>
      </c>
      <c r="B404" s="3" t="s">
        <v>25</v>
      </c>
      <c r="C404" s="12" t="s">
        <v>416</v>
      </c>
      <c r="D404" s="13">
        <v>58000.0</v>
      </c>
      <c r="E404" s="4">
        <v>45204.0</v>
      </c>
      <c r="F404" s="4" t="str">
        <f>IF(D404="","", IFNA(VLOOKUP(D404, SATCAT_DECAY!A:B, 2, FALSE), ""))
</f>
        <v/>
      </c>
      <c r="G404" s="3" t="str">
        <f t="shared" si="1"/>
        <v>ACTIVE</v>
      </c>
    </row>
    <row r="405" ht="22.5" customHeight="1">
      <c r="A405" s="11" t="str">
        <f t="array" ref="A405">IFERROR(
  INDEX('Starlink Launches'!$A:$A, MATCH($E405, 'Starlink Launches'!$B:$B, 0)),
  ""
)
</f>
        <v>6-21</v>
      </c>
      <c r="B405" s="3" t="s">
        <v>25</v>
      </c>
      <c r="C405" s="12" t="s">
        <v>417</v>
      </c>
      <c r="D405" s="13">
        <v>58001.0</v>
      </c>
      <c r="E405" s="4">
        <v>45204.0</v>
      </c>
      <c r="F405" s="4" t="str">
        <f>IF(D405="","", IFNA(VLOOKUP(D405, SATCAT_DECAY!A:B, 2, FALSE), ""))
</f>
        <v/>
      </c>
      <c r="G405" s="3" t="str">
        <f t="shared" si="1"/>
        <v>ACTIVE</v>
      </c>
    </row>
    <row r="406" ht="22.5" customHeight="1">
      <c r="A406" s="11" t="str">
        <f t="array" ref="A406">IFERROR(
  INDEX('Starlink Launches'!$A:$A, MATCH($E406, 'Starlink Launches'!$B:$B, 0)),
  ""
)
</f>
        <v>6-21</v>
      </c>
      <c r="B406" s="3" t="s">
        <v>25</v>
      </c>
      <c r="C406" s="12" t="s">
        <v>418</v>
      </c>
      <c r="D406" s="13">
        <v>58002.0</v>
      </c>
      <c r="E406" s="4">
        <v>45204.0</v>
      </c>
      <c r="F406" s="4" t="str">
        <f>IF(D406="","", IFNA(VLOOKUP(D406, SATCAT_DECAY!A:B, 2, FALSE), ""))
</f>
        <v/>
      </c>
      <c r="G406" s="3" t="str">
        <f t="shared" si="1"/>
        <v>ACTIVE</v>
      </c>
    </row>
    <row r="407" ht="22.5" customHeight="1">
      <c r="A407" s="11" t="str">
        <f t="array" ref="A407">IFERROR(
  INDEX('Starlink Launches'!$A:$A, MATCH($E407, 'Starlink Launches'!$B:$B, 0)),
  ""
)
</f>
        <v>6-21</v>
      </c>
      <c r="B407" s="3" t="s">
        <v>25</v>
      </c>
      <c r="C407" s="12" t="s">
        <v>419</v>
      </c>
      <c r="D407" s="13">
        <v>58003.0</v>
      </c>
      <c r="E407" s="4">
        <v>45204.0</v>
      </c>
      <c r="F407" s="4" t="str">
        <f>IF(D407="","", IFNA(VLOOKUP(D407, SATCAT_DECAY!A:B, 2, FALSE), ""))
</f>
        <v/>
      </c>
      <c r="G407" s="3" t="str">
        <f t="shared" si="1"/>
        <v>ACTIVE</v>
      </c>
    </row>
    <row r="408" ht="22.5" customHeight="1">
      <c r="A408" s="11" t="str">
        <f t="array" ref="A408">IFERROR(
  INDEX('Starlink Launches'!$A:$A, MATCH($E408, 'Starlink Launches'!$B:$B, 0)),
  ""
)
</f>
        <v>6-21</v>
      </c>
      <c r="B408" s="3" t="s">
        <v>25</v>
      </c>
      <c r="C408" s="12" t="s">
        <v>420</v>
      </c>
      <c r="D408" s="13">
        <v>58004.0</v>
      </c>
      <c r="E408" s="4">
        <v>45204.0</v>
      </c>
      <c r="F408" s="4" t="str">
        <f>IF(D408="","", IFNA(VLOOKUP(D408, SATCAT_DECAY!A:B, 2, FALSE), ""))
</f>
        <v/>
      </c>
      <c r="G408" s="3" t="str">
        <f t="shared" si="1"/>
        <v>ACTIVE</v>
      </c>
    </row>
    <row r="409" ht="22.5" customHeight="1">
      <c r="A409" s="11" t="str">
        <f t="array" ref="A409">IFERROR(
  INDEX('Starlink Launches'!$A:$A, MATCH($E409, 'Starlink Launches'!$B:$B, 0)),
  ""
)
</f>
        <v>6-21</v>
      </c>
      <c r="B409" s="3" t="s">
        <v>25</v>
      </c>
      <c r="C409" s="12" t="s">
        <v>421</v>
      </c>
      <c r="D409" s="13">
        <v>58005.0</v>
      </c>
      <c r="E409" s="4">
        <v>45204.0</v>
      </c>
      <c r="F409" s="4" t="str">
        <f>IF(D409="","", IFNA(VLOOKUP(D409, SATCAT_DECAY!A:B, 2, FALSE), ""))
</f>
        <v/>
      </c>
      <c r="G409" s="3" t="str">
        <f t="shared" si="1"/>
        <v>ACTIVE</v>
      </c>
    </row>
    <row r="410" ht="22.5" customHeight="1">
      <c r="A410" s="11" t="str">
        <f t="array" ref="A410">IFERROR(
  INDEX('Starlink Launches'!$A:$A, MATCH($E410, 'Starlink Launches'!$B:$B, 0)),
  ""
)
</f>
        <v>6-21</v>
      </c>
      <c r="B410" s="3" t="s">
        <v>25</v>
      </c>
      <c r="C410" s="12" t="s">
        <v>422</v>
      </c>
      <c r="D410" s="13">
        <v>58006.0</v>
      </c>
      <c r="E410" s="4">
        <v>45204.0</v>
      </c>
      <c r="F410" s="4" t="str">
        <f>IF(D410="","", IFNA(VLOOKUP(D410, SATCAT_DECAY!A:B, 2, FALSE), ""))
</f>
        <v/>
      </c>
      <c r="G410" s="3" t="str">
        <f t="shared" si="1"/>
        <v>ACTIVE</v>
      </c>
    </row>
    <row r="411" ht="22.5" customHeight="1">
      <c r="A411" s="11" t="str">
        <f t="array" ref="A411">IFERROR(
  INDEX('Starlink Launches'!$A:$A, MATCH($E411, 'Starlink Launches'!$B:$B, 0)),
  ""
)
</f>
        <v>6-21</v>
      </c>
      <c r="B411" s="3" t="s">
        <v>25</v>
      </c>
      <c r="C411" s="12" t="s">
        <v>423</v>
      </c>
      <c r="D411" s="13">
        <v>58007.0</v>
      </c>
      <c r="E411" s="4">
        <v>45204.0</v>
      </c>
      <c r="F411" s="4" t="str">
        <f>IF(D411="","", IFNA(VLOOKUP(D411, SATCAT_DECAY!A:B, 2, FALSE), ""))
</f>
        <v/>
      </c>
      <c r="G411" s="3" t="str">
        <f t="shared" si="1"/>
        <v>ACTIVE</v>
      </c>
    </row>
    <row r="412" ht="22.5" customHeight="1">
      <c r="A412" s="11" t="str">
        <f t="array" ref="A412">IFERROR(
  INDEX('Starlink Launches'!$A:$A, MATCH($E412, 'Starlink Launches'!$B:$B, 0)),
  ""
)
</f>
        <v>6-21</v>
      </c>
      <c r="B412" s="3" t="s">
        <v>25</v>
      </c>
      <c r="C412" s="12" t="s">
        <v>424</v>
      </c>
      <c r="D412" s="13">
        <v>58008.0</v>
      </c>
      <c r="E412" s="4">
        <v>45204.0</v>
      </c>
      <c r="F412" s="4" t="str">
        <f>IF(D412="","", IFNA(VLOOKUP(D412, SATCAT_DECAY!A:B, 2, FALSE), ""))
</f>
        <v/>
      </c>
      <c r="G412" s="3" t="str">
        <f t="shared" si="1"/>
        <v>ACTIVE</v>
      </c>
    </row>
    <row r="413" ht="22.5" customHeight="1">
      <c r="A413" s="11" t="str">
        <f t="array" ref="A413">IFERROR(
  INDEX('Starlink Launches'!$A:$A, MATCH($E413, 'Starlink Launches'!$B:$B, 0)),
  ""
)
</f>
        <v>6-21</v>
      </c>
      <c r="B413" s="3" t="s">
        <v>25</v>
      </c>
      <c r="C413" s="12" t="s">
        <v>425</v>
      </c>
      <c r="D413" s="13">
        <v>58009.0</v>
      </c>
      <c r="E413" s="4">
        <v>45204.0</v>
      </c>
      <c r="F413" s="4" t="str">
        <f>IF(D413="","", IFNA(VLOOKUP(D413, SATCAT_DECAY!A:B, 2, FALSE), ""))
</f>
        <v/>
      </c>
      <c r="G413" s="3" t="str">
        <f t="shared" si="1"/>
        <v>ACTIVE</v>
      </c>
    </row>
    <row r="414" ht="22.5" customHeight="1">
      <c r="A414" s="11" t="str">
        <f t="array" ref="A414">IFERROR(
  INDEX('Starlink Launches'!$A:$A, MATCH($E414, 'Starlink Launches'!$B:$B, 0)),
  ""
)
</f>
        <v>6-21</v>
      </c>
      <c r="B414" s="3" t="s">
        <v>25</v>
      </c>
      <c r="C414" s="12" t="s">
        <v>426</v>
      </c>
      <c r="D414" s="13">
        <v>58010.0</v>
      </c>
      <c r="E414" s="4">
        <v>45204.0</v>
      </c>
      <c r="F414" s="4" t="str">
        <f>IF(D414="","", IFNA(VLOOKUP(D414, SATCAT_DECAY!A:B, 2, FALSE), ""))
</f>
        <v/>
      </c>
      <c r="G414" s="3" t="str">
        <f t="shared" si="1"/>
        <v>ACTIVE</v>
      </c>
    </row>
    <row r="415" ht="22.5" customHeight="1">
      <c r="A415" s="11" t="str">
        <f t="array" ref="A415">IFERROR(
  INDEX('Starlink Launches'!$A:$A, MATCH($E415, 'Starlink Launches'!$B:$B, 0)),
  ""
)
</f>
        <v>6-21</v>
      </c>
      <c r="B415" s="3" t="s">
        <v>25</v>
      </c>
      <c r="C415" s="12" t="s">
        <v>427</v>
      </c>
      <c r="D415" s="13">
        <v>58011.0</v>
      </c>
      <c r="E415" s="4">
        <v>45204.0</v>
      </c>
      <c r="F415" s="4" t="str">
        <f>IF(D415="","", IFNA(VLOOKUP(D415, SATCAT_DECAY!A:B, 2, FALSE), ""))
</f>
        <v/>
      </c>
      <c r="G415" s="3" t="str">
        <f t="shared" si="1"/>
        <v>ACTIVE</v>
      </c>
    </row>
    <row r="416" ht="22.5" customHeight="1">
      <c r="A416" s="11" t="str">
        <f t="array" ref="A416">IFERROR(
  INDEX('Starlink Launches'!$A:$A, MATCH($E416, 'Starlink Launches'!$B:$B, 0)),
  ""
)
</f>
        <v>6-21</v>
      </c>
      <c r="B416" s="3" t="s">
        <v>25</v>
      </c>
      <c r="C416" s="12" t="s">
        <v>428</v>
      </c>
      <c r="D416" s="13">
        <v>58012.0</v>
      </c>
      <c r="E416" s="4">
        <v>45204.0</v>
      </c>
      <c r="F416" s="4" t="str">
        <f>IF(D416="","", IFNA(VLOOKUP(D416, SATCAT_DECAY!A:B, 2, FALSE), ""))
</f>
        <v/>
      </c>
      <c r="G416" s="3" t="str">
        <f t="shared" si="1"/>
        <v>ACTIVE</v>
      </c>
    </row>
    <row r="417" ht="22.5" customHeight="1">
      <c r="A417" s="11" t="str">
        <f t="array" ref="A417">IFERROR(
  INDEX('Starlink Launches'!$A:$A, MATCH($E417, 'Starlink Launches'!$B:$B, 0)),
  ""
)
</f>
        <v>6-22</v>
      </c>
      <c r="B417" s="3" t="s">
        <v>25</v>
      </c>
      <c r="C417" s="12" t="s">
        <v>429</v>
      </c>
      <c r="D417" s="13">
        <v>58051.0</v>
      </c>
      <c r="E417" s="4">
        <v>45212.0</v>
      </c>
      <c r="F417" s="4" t="str">
        <f>IF(D417="","", IFNA(VLOOKUP(D417, SATCAT_DECAY!A:B, 2, FALSE), ""))
</f>
        <v/>
      </c>
      <c r="G417" s="3" t="str">
        <f t="shared" si="1"/>
        <v>ACTIVE</v>
      </c>
    </row>
    <row r="418" ht="22.5" customHeight="1">
      <c r="A418" s="11" t="str">
        <f t="array" ref="A418">IFERROR(
  INDEX('Starlink Launches'!$A:$A, MATCH($E418, 'Starlink Launches'!$B:$B, 0)),
  ""
)
</f>
        <v>6-22</v>
      </c>
      <c r="B418" s="3" t="s">
        <v>25</v>
      </c>
      <c r="C418" s="12" t="s">
        <v>430</v>
      </c>
      <c r="D418" s="13">
        <v>58052.0</v>
      </c>
      <c r="E418" s="4">
        <v>45212.0</v>
      </c>
      <c r="F418" s="4" t="str">
        <f>IF(D418="","", IFNA(VLOOKUP(D418, SATCAT_DECAY!A:B, 2, FALSE), ""))
</f>
        <v/>
      </c>
      <c r="G418" s="3" t="str">
        <f t="shared" si="1"/>
        <v>ACTIVE</v>
      </c>
    </row>
    <row r="419" ht="22.5" customHeight="1">
      <c r="A419" s="11" t="str">
        <f t="array" ref="A419">IFERROR(
  INDEX('Starlink Launches'!$A:$A, MATCH($E419, 'Starlink Launches'!$B:$B, 0)),
  ""
)
</f>
        <v>6-22</v>
      </c>
      <c r="B419" s="3" t="s">
        <v>25</v>
      </c>
      <c r="C419" s="12" t="s">
        <v>431</v>
      </c>
      <c r="D419" s="13">
        <v>58053.0</v>
      </c>
      <c r="E419" s="4">
        <v>45212.0</v>
      </c>
      <c r="F419" s="4" t="str">
        <f>IF(D419="","", IFNA(VLOOKUP(D419, SATCAT_DECAY!A:B, 2, FALSE), ""))
</f>
        <v/>
      </c>
      <c r="G419" s="3" t="str">
        <f t="shared" si="1"/>
        <v>ACTIVE</v>
      </c>
    </row>
    <row r="420" ht="22.5" customHeight="1">
      <c r="A420" s="11" t="str">
        <f t="array" ref="A420">IFERROR(
  INDEX('Starlink Launches'!$A:$A, MATCH($E420, 'Starlink Launches'!$B:$B, 0)),
  ""
)
</f>
        <v>6-22</v>
      </c>
      <c r="B420" s="3" t="s">
        <v>25</v>
      </c>
      <c r="C420" s="12" t="s">
        <v>432</v>
      </c>
      <c r="D420" s="13">
        <v>58054.0</v>
      </c>
      <c r="E420" s="4">
        <v>45212.0</v>
      </c>
      <c r="F420" s="4" t="str">
        <f>IF(D420="","", IFNA(VLOOKUP(D420, SATCAT_DECAY!A:B, 2, FALSE), ""))
</f>
        <v/>
      </c>
      <c r="G420" s="3" t="str">
        <f t="shared" si="1"/>
        <v>ACTIVE</v>
      </c>
    </row>
    <row r="421" ht="22.5" customHeight="1">
      <c r="A421" s="11" t="str">
        <f t="array" ref="A421">IFERROR(
  INDEX('Starlink Launches'!$A:$A, MATCH($E421, 'Starlink Launches'!$B:$B, 0)),
  ""
)
</f>
        <v>6-22</v>
      </c>
      <c r="B421" s="3" t="s">
        <v>25</v>
      </c>
      <c r="C421" s="12" t="s">
        <v>433</v>
      </c>
      <c r="D421" s="13">
        <v>58055.0</v>
      </c>
      <c r="E421" s="4">
        <v>45212.0</v>
      </c>
      <c r="F421" s="4" t="str">
        <f>IF(D421="","", IFNA(VLOOKUP(D421, SATCAT_DECAY!A:B, 2, FALSE), ""))
</f>
        <v/>
      </c>
      <c r="G421" s="3" t="str">
        <f t="shared" si="1"/>
        <v>ACTIVE</v>
      </c>
    </row>
    <row r="422" ht="22.5" customHeight="1">
      <c r="A422" s="11" t="str">
        <f t="array" ref="A422">IFERROR(
  INDEX('Starlink Launches'!$A:$A, MATCH($E422, 'Starlink Launches'!$B:$B, 0)),
  ""
)
</f>
        <v>6-22</v>
      </c>
      <c r="B422" s="3" t="s">
        <v>25</v>
      </c>
      <c r="C422" s="12" t="s">
        <v>434</v>
      </c>
      <c r="D422" s="13">
        <v>58056.0</v>
      </c>
      <c r="E422" s="4">
        <v>45212.0</v>
      </c>
      <c r="F422" s="4" t="str">
        <f>IF(D422="","", IFNA(VLOOKUP(D422, SATCAT_DECAY!A:B, 2, FALSE), ""))
</f>
        <v/>
      </c>
      <c r="G422" s="3" t="str">
        <f t="shared" si="1"/>
        <v>ACTIVE</v>
      </c>
    </row>
    <row r="423" ht="22.5" customHeight="1">
      <c r="A423" s="11" t="str">
        <f t="array" ref="A423">IFERROR(
  INDEX('Starlink Launches'!$A:$A, MATCH($E423, 'Starlink Launches'!$B:$B, 0)),
  ""
)
</f>
        <v>6-22</v>
      </c>
      <c r="B423" s="3" t="s">
        <v>25</v>
      </c>
      <c r="C423" s="12" t="s">
        <v>435</v>
      </c>
      <c r="D423" s="13">
        <v>58057.0</v>
      </c>
      <c r="E423" s="4">
        <v>45212.0</v>
      </c>
      <c r="F423" s="4" t="str">
        <f>IF(D423="","", IFNA(VLOOKUP(D423, SATCAT_DECAY!A:B, 2, FALSE), ""))
</f>
        <v/>
      </c>
      <c r="G423" s="3" t="str">
        <f t="shared" si="1"/>
        <v>ACTIVE</v>
      </c>
    </row>
    <row r="424" ht="22.5" customHeight="1">
      <c r="A424" s="11" t="str">
        <f t="array" ref="A424">IFERROR(
  INDEX('Starlink Launches'!$A:$A, MATCH($E424, 'Starlink Launches'!$B:$B, 0)),
  ""
)
</f>
        <v>6-22</v>
      </c>
      <c r="B424" s="3" t="s">
        <v>25</v>
      </c>
      <c r="C424" s="12" t="s">
        <v>436</v>
      </c>
      <c r="D424" s="13">
        <v>58058.0</v>
      </c>
      <c r="E424" s="4">
        <v>45212.0</v>
      </c>
      <c r="F424" s="4" t="str">
        <f>IF(D424="","", IFNA(VLOOKUP(D424, SATCAT_DECAY!A:B, 2, FALSE), ""))
</f>
        <v/>
      </c>
      <c r="G424" s="3" t="str">
        <f t="shared" si="1"/>
        <v>ACTIVE</v>
      </c>
    </row>
    <row r="425" ht="22.5" customHeight="1">
      <c r="A425" s="11" t="str">
        <f t="array" ref="A425">IFERROR(
  INDEX('Starlink Launches'!$A:$A, MATCH($E425, 'Starlink Launches'!$B:$B, 0)),
  ""
)
</f>
        <v>6-22</v>
      </c>
      <c r="B425" s="3" t="s">
        <v>25</v>
      </c>
      <c r="C425" s="12" t="s">
        <v>437</v>
      </c>
      <c r="D425" s="13">
        <v>58059.0</v>
      </c>
      <c r="E425" s="4">
        <v>45212.0</v>
      </c>
      <c r="F425" s="4" t="str">
        <f>IF(D425="","", IFNA(VLOOKUP(D425, SATCAT_DECAY!A:B, 2, FALSE), ""))
</f>
        <v/>
      </c>
      <c r="G425" s="3" t="str">
        <f t="shared" si="1"/>
        <v>ACTIVE</v>
      </c>
    </row>
    <row r="426" ht="22.5" customHeight="1">
      <c r="A426" s="11" t="str">
        <f t="array" ref="A426">IFERROR(
  INDEX('Starlink Launches'!$A:$A, MATCH($E426, 'Starlink Launches'!$B:$B, 0)),
  ""
)
</f>
        <v>6-22</v>
      </c>
      <c r="B426" s="3" t="s">
        <v>25</v>
      </c>
      <c r="C426" s="12" t="s">
        <v>438</v>
      </c>
      <c r="D426" s="13">
        <v>58060.0</v>
      </c>
      <c r="E426" s="4">
        <v>45212.0</v>
      </c>
      <c r="F426" s="4" t="str">
        <f>IF(D426="","", IFNA(VLOOKUP(D426, SATCAT_DECAY!A:B, 2, FALSE), ""))
</f>
        <v/>
      </c>
      <c r="G426" s="3" t="str">
        <f t="shared" si="1"/>
        <v>ACTIVE</v>
      </c>
    </row>
    <row r="427" ht="22.5" customHeight="1">
      <c r="A427" s="11" t="str">
        <f t="array" ref="A427">IFERROR(
  INDEX('Starlink Launches'!$A:$A, MATCH($E427, 'Starlink Launches'!$B:$B, 0)),
  ""
)
</f>
        <v>6-22</v>
      </c>
      <c r="B427" s="3" t="s">
        <v>25</v>
      </c>
      <c r="C427" s="12" t="s">
        <v>439</v>
      </c>
      <c r="D427" s="13">
        <v>58061.0</v>
      </c>
      <c r="E427" s="4">
        <v>45212.0</v>
      </c>
      <c r="F427" s="4" t="str">
        <f>IF(D427="","", IFNA(VLOOKUP(D427, SATCAT_DECAY!A:B, 2, FALSE), ""))
</f>
        <v/>
      </c>
      <c r="G427" s="3" t="str">
        <f t="shared" si="1"/>
        <v>ACTIVE</v>
      </c>
    </row>
    <row r="428" ht="22.5" customHeight="1">
      <c r="A428" s="11" t="str">
        <f t="array" ref="A428">IFERROR(
  INDEX('Starlink Launches'!$A:$A, MATCH($E428, 'Starlink Launches'!$B:$B, 0)),
  ""
)
</f>
        <v>6-22</v>
      </c>
      <c r="B428" s="3" t="s">
        <v>25</v>
      </c>
      <c r="C428" s="12" t="s">
        <v>440</v>
      </c>
      <c r="D428" s="13">
        <v>58062.0</v>
      </c>
      <c r="E428" s="4">
        <v>45212.0</v>
      </c>
      <c r="F428" s="4" t="str">
        <f>IF(D428="","", IFNA(VLOOKUP(D428, SATCAT_DECAY!A:B, 2, FALSE), ""))
</f>
        <v/>
      </c>
      <c r="G428" s="3" t="str">
        <f t="shared" si="1"/>
        <v>ACTIVE</v>
      </c>
    </row>
    <row r="429" ht="22.5" customHeight="1">
      <c r="A429" s="11" t="str">
        <f t="array" ref="A429">IFERROR(
  INDEX('Starlink Launches'!$A:$A, MATCH($E429, 'Starlink Launches'!$B:$B, 0)),
  ""
)
</f>
        <v>6-22</v>
      </c>
      <c r="B429" s="3" t="s">
        <v>25</v>
      </c>
      <c r="C429" s="12" t="s">
        <v>441</v>
      </c>
      <c r="D429" s="13">
        <v>58063.0</v>
      </c>
      <c r="E429" s="4">
        <v>45212.0</v>
      </c>
      <c r="F429" s="4" t="str">
        <f>IF(D429="","", IFNA(VLOOKUP(D429, SATCAT_DECAY!A:B, 2, FALSE), ""))
</f>
        <v/>
      </c>
      <c r="G429" s="3" t="str">
        <f t="shared" si="1"/>
        <v>ACTIVE</v>
      </c>
    </row>
    <row r="430" ht="22.5" customHeight="1">
      <c r="A430" s="11" t="str">
        <f t="array" ref="A430">IFERROR(
  INDEX('Starlink Launches'!$A:$A, MATCH($E430, 'Starlink Launches'!$B:$B, 0)),
  ""
)
</f>
        <v>6-22</v>
      </c>
      <c r="B430" s="3" t="s">
        <v>25</v>
      </c>
      <c r="C430" s="12" t="s">
        <v>442</v>
      </c>
      <c r="D430" s="13">
        <v>58064.0</v>
      </c>
      <c r="E430" s="4">
        <v>45212.0</v>
      </c>
      <c r="F430" s="4" t="str">
        <f>IF(D430="","", IFNA(VLOOKUP(D430, SATCAT_DECAY!A:B, 2, FALSE), ""))
</f>
        <v/>
      </c>
      <c r="G430" s="3" t="str">
        <f t="shared" si="1"/>
        <v>ACTIVE</v>
      </c>
    </row>
    <row r="431" ht="22.5" customHeight="1">
      <c r="A431" s="11" t="str">
        <f t="array" ref="A431">IFERROR(
  INDEX('Starlink Launches'!$A:$A, MATCH($E431, 'Starlink Launches'!$B:$B, 0)),
  ""
)
</f>
        <v>6-22</v>
      </c>
      <c r="B431" s="3" t="s">
        <v>25</v>
      </c>
      <c r="C431" s="12" t="s">
        <v>443</v>
      </c>
      <c r="D431" s="13">
        <v>58065.0</v>
      </c>
      <c r="E431" s="4">
        <v>45212.0</v>
      </c>
      <c r="F431" s="4" t="str">
        <f>IF(D431="","", IFNA(VLOOKUP(D431, SATCAT_DECAY!A:B, 2, FALSE), ""))
</f>
        <v/>
      </c>
      <c r="G431" s="3" t="str">
        <f t="shared" si="1"/>
        <v>ACTIVE</v>
      </c>
    </row>
    <row r="432" ht="22.5" customHeight="1">
      <c r="A432" s="11" t="str">
        <f t="array" ref="A432">IFERROR(
  INDEX('Starlink Launches'!$A:$A, MATCH($E432, 'Starlink Launches'!$B:$B, 0)),
  ""
)
</f>
        <v>6-22</v>
      </c>
      <c r="B432" s="3" t="s">
        <v>25</v>
      </c>
      <c r="C432" s="12" t="s">
        <v>444</v>
      </c>
      <c r="D432" s="13">
        <v>58066.0</v>
      </c>
      <c r="E432" s="4">
        <v>45212.0</v>
      </c>
      <c r="F432" s="4" t="str">
        <f>IF(D432="","", IFNA(VLOOKUP(D432, SATCAT_DECAY!A:B, 2, FALSE), ""))
</f>
        <v/>
      </c>
      <c r="G432" s="3" t="str">
        <f t="shared" si="1"/>
        <v>ACTIVE</v>
      </c>
    </row>
    <row r="433" ht="22.5" customHeight="1">
      <c r="A433" s="11" t="str">
        <f t="array" ref="A433">IFERROR(
  INDEX('Starlink Launches'!$A:$A, MATCH($E433, 'Starlink Launches'!$B:$B, 0)),
  ""
)
</f>
        <v>6-22</v>
      </c>
      <c r="B433" s="3" t="s">
        <v>25</v>
      </c>
      <c r="C433" s="12" t="s">
        <v>445</v>
      </c>
      <c r="D433" s="13">
        <v>58067.0</v>
      </c>
      <c r="E433" s="4">
        <v>45212.0</v>
      </c>
      <c r="F433" s="4" t="str">
        <f>IF(D433="","", IFNA(VLOOKUP(D433, SATCAT_DECAY!A:B, 2, FALSE), ""))
</f>
        <v/>
      </c>
      <c r="G433" s="3" t="str">
        <f t="shared" si="1"/>
        <v>ACTIVE</v>
      </c>
    </row>
    <row r="434" ht="22.5" customHeight="1">
      <c r="A434" s="11" t="str">
        <f t="array" ref="A434">IFERROR(
  INDEX('Starlink Launches'!$A:$A, MATCH($E434, 'Starlink Launches'!$B:$B, 0)),
  ""
)
</f>
        <v>6-22</v>
      </c>
      <c r="B434" s="3" t="s">
        <v>25</v>
      </c>
      <c r="C434" s="12" t="s">
        <v>446</v>
      </c>
      <c r="D434" s="13">
        <v>58068.0</v>
      </c>
      <c r="E434" s="4">
        <v>45212.0</v>
      </c>
      <c r="F434" s="4" t="str">
        <f>IF(D434="","", IFNA(VLOOKUP(D434, SATCAT_DECAY!A:B, 2, FALSE), ""))
</f>
        <v/>
      </c>
      <c r="G434" s="3" t="str">
        <f t="shared" si="1"/>
        <v>ACTIVE</v>
      </c>
    </row>
    <row r="435" ht="22.5" customHeight="1">
      <c r="A435" s="11" t="str">
        <f t="array" ref="A435">IFERROR(
  INDEX('Starlink Launches'!$A:$A, MATCH($E435, 'Starlink Launches'!$B:$B, 0)),
  ""
)
</f>
        <v>6-22</v>
      </c>
      <c r="B435" s="3" t="s">
        <v>25</v>
      </c>
      <c r="C435" s="12" t="s">
        <v>447</v>
      </c>
      <c r="D435" s="13">
        <v>58069.0</v>
      </c>
      <c r="E435" s="4">
        <v>45212.0</v>
      </c>
      <c r="F435" s="4" t="str">
        <f>IF(D435="","", IFNA(VLOOKUP(D435, SATCAT_DECAY!A:B, 2, FALSE), ""))
</f>
        <v/>
      </c>
      <c r="G435" s="3" t="str">
        <f t="shared" si="1"/>
        <v>ACTIVE</v>
      </c>
    </row>
    <row r="436" ht="22.5" customHeight="1">
      <c r="A436" s="11" t="str">
        <f t="array" ref="A436">IFERROR(
  INDEX('Starlink Launches'!$A:$A, MATCH($E436, 'Starlink Launches'!$B:$B, 0)),
  ""
)
</f>
        <v>6-22</v>
      </c>
      <c r="B436" s="3" t="s">
        <v>25</v>
      </c>
      <c r="C436" s="12" t="s">
        <v>448</v>
      </c>
      <c r="D436" s="13">
        <v>58070.0</v>
      </c>
      <c r="E436" s="4">
        <v>45212.0</v>
      </c>
      <c r="F436" s="4" t="str">
        <f>IF(D436="","", IFNA(VLOOKUP(D436, SATCAT_DECAY!A:B, 2, FALSE), ""))
</f>
        <v/>
      </c>
      <c r="G436" s="3" t="str">
        <f t="shared" si="1"/>
        <v>ACTIVE</v>
      </c>
    </row>
    <row r="437" ht="22.5" customHeight="1">
      <c r="A437" s="11" t="str">
        <f t="array" ref="A437">IFERROR(
  INDEX('Starlink Launches'!$A:$A, MATCH($E437, 'Starlink Launches'!$B:$B, 0)),
  ""
)
</f>
        <v>6-22</v>
      </c>
      <c r="B437" s="3" t="s">
        <v>25</v>
      </c>
      <c r="C437" s="12" t="s">
        <v>449</v>
      </c>
      <c r="D437" s="13">
        <v>58071.0</v>
      </c>
      <c r="E437" s="4">
        <v>45212.0</v>
      </c>
      <c r="F437" s="4" t="str">
        <f>IF(D437="","", IFNA(VLOOKUP(D437, SATCAT_DECAY!A:B, 2, FALSE), ""))
</f>
        <v/>
      </c>
      <c r="G437" s="3" t="str">
        <f t="shared" si="1"/>
        <v>ACTIVE</v>
      </c>
    </row>
    <row r="438" ht="22.5" customHeight="1">
      <c r="A438" s="11" t="str">
        <f t="array" ref="A438">IFERROR(
  INDEX('Starlink Launches'!$A:$A, MATCH($E438, 'Starlink Launches'!$B:$B, 0)),
  ""
)
</f>
        <v>6-22</v>
      </c>
      <c r="B438" s="3" t="s">
        <v>25</v>
      </c>
      <c r="C438" s="12" t="s">
        <v>450</v>
      </c>
      <c r="D438" s="13">
        <v>58072.0</v>
      </c>
      <c r="E438" s="4">
        <v>45212.0</v>
      </c>
      <c r="F438" s="4" t="str">
        <f>IF(D438="","", IFNA(VLOOKUP(D438, SATCAT_DECAY!A:B, 2, FALSE), ""))
</f>
        <v/>
      </c>
      <c r="G438" s="3" t="str">
        <f t="shared" si="1"/>
        <v>ACTIVE</v>
      </c>
    </row>
    <row r="439" ht="22.5" customHeight="1">
      <c r="A439" s="11" t="str">
        <f t="array" ref="A439">IFERROR(
  INDEX('Starlink Launches'!$A:$A, MATCH($E439, 'Starlink Launches'!$B:$B, 0)),
  ""
)
</f>
        <v>6-23</v>
      </c>
      <c r="B439" s="3" t="s">
        <v>25</v>
      </c>
      <c r="C439" s="12" t="s">
        <v>451</v>
      </c>
      <c r="D439" s="13">
        <v>58075.0</v>
      </c>
      <c r="E439" s="4">
        <v>45217.0</v>
      </c>
      <c r="F439" s="4" t="str">
        <f>IF(D439="","", IFNA(VLOOKUP(D439, SATCAT_DECAY!A:B, 2, FALSE), ""))
</f>
        <v/>
      </c>
      <c r="G439" s="3" t="str">
        <f t="shared" si="1"/>
        <v>ACTIVE</v>
      </c>
    </row>
    <row r="440" ht="22.5" customHeight="1">
      <c r="A440" s="11" t="str">
        <f t="array" ref="A440">IFERROR(
  INDEX('Starlink Launches'!$A:$A, MATCH($E440, 'Starlink Launches'!$B:$B, 0)),
  ""
)
</f>
        <v>6-23</v>
      </c>
      <c r="B440" s="3" t="s">
        <v>25</v>
      </c>
      <c r="C440" s="12" t="s">
        <v>452</v>
      </c>
      <c r="D440" s="13">
        <v>58076.0</v>
      </c>
      <c r="E440" s="4">
        <v>45217.0</v>
      </c>
      <c r="F440" s="4" t="str">
        <f>IF(D440="","", IFNA(VLOOKUP(D440, SATCAT_DECAY!A:B, 2, FALSE), ""))
</f>
        <v/>
      </c>
      <c r="G440" s="3" t="str">
        <f t="shared" si="1"/>
        <v>ACTIVE</v>
      </c>
    </row>
    <row r="441" ht="22.5" customHeight="1">
      <c r="A441" s="11" t="str">
        <f t="array" ref="A441">IFERROR(
  INDEX('Starlink Launches'!$A:$A, MATCH($E441, 'Starlink Launches'!$B:$B, 0)),
  ""
)
</f>
        <v>6-23</v>
      </c>
      <c r="B441" s="3" t="s">
        <v>25</v>
      </c>
      <c r="C441" s="12" t="s">
        <v>453</v>
      </c>
      <c r="D441" s="13">
        <v>58077.0</v>
      </c>
      <c r="E441" s="4">
        <v>45217.0</v>
      </c>
      <c r="F441" s="4" t="str">
        <f>IF(D441="","", IFNA(VLOOKUP(D441, SATCAT_DECAY!A:B, 2, FALSE), ""))
</f>
        <v/>
      </c>
      <c r="G441" s="3" t="str">
        <f t="shared" si="1"/>
        <v>ACTIVE</v>
      </c>
    </row>
    <row r="442" ht="22.5" customHeight="1">
      <c r="A442" s="11" t="str">
        <f t="array" ref="A442">IFERROR(
  INDEX('Starlink Launches'!$A:$A, MATCH($E442, 'Starlink Launches'!$B:$B, 0)),
  ""
)
</f>
        <v>6-23</v>
      </c>
      <c r="B442" s="3" t="s">
        <v>25</v>
      </c>
      <c r="C442" s="12" t="s">
        <v>454</v>
      </c>
      <c r="D442" s="13">
        <v>58078.0</v>
      </c>
      <c r="E442" s="4">
        <v>45217.0</v>
      </c>
      <c r="F442" s="4" t="str">
        <f>IF(D442="","", IFNA(VLOOKUP(D442, SATCAT_DECAY!A:B, 2, FALSE), ""))
</f>
        <v/>
      </c>
      <c r="G442" s="3" t="str">
        <f t="shared" si="1"/>
        <v>ACTIVE</v>
      </c>
    </row>
    <row r="443" ht="22.5" customHeight="1">
      <c r="A443" s="11" t="str">
        <f t="array" ref="A443">IFERROR(
  INDEX('Starlink Launches'!$A:$A, MATCH($E443, 'Starlink Launches'!$B:$B, 0)),
  ""
)
</f>
        <v>6-23</v>
      </c>
      <c r="B443" s="3" t="s">
        <v>25</v>
      </c>
      <c r="C443" s="12" t="s">
        <v>455</v>
      </c>
      <c r="D443" s="13">
        <v>58079.0</v>
      </c>
      <c r="E443" s="4">
        <v>45217.0</v>
      </c>
      <c r="F443" s="4" t="str">
        <f>IF(D443="","", IFNA(VLOOKUP(D443, SATCAT_DECAY!A:B, 2, FALSE), ""))
</f>
        <v/>
      </c>
      <c r="G443" s="3" t="str">
        <f t="shared" si="1"/>
        <v>ACTIVE</v>
      </c>
    </row>
    <row r="444" ht="22.5" customHeight="1">
      <c r="A444" s="11" t="str">
        <f t="array" ref="A444">IFERROR(
  INDEX('Starlink Launches'!$A:$A, MATCH($E444, 'Starlink Launches'!$B:$B, 0)),
  ""
)
</f>
        <v>6-23</v>
      </c>
      <c r="B444" s="3" t="s">
        <v>25</v>
      </c>
      <c r="C444" s="12" t="s">
        <v>456</v>
      </c>
      <c r="D444" s="13">
        <v>58080.0</v>
      </c>
      <c r="E444" s="4">
        <v>45217.0</v>
      </c>
      <c r="F444" s="4" t="str">
        <f>IF(D444="","", IFNA(VLOOKUP(D444, SATCAT_DECAY!A:B, 2, FALSE), ""))
</f>
        <v/>
      </c>
      <c r="G444" s="3" t="str">
        <f t="shared" si="1"/>
        <v>ACTIVE</v>
      </c>
    </row>
    <row r="445" ht="22.5" customHeight="1">
      <c r="A445" s="11" t="str">
        <f t="array" ref="A445">IFERROR(
  INDEX('Starlink Launches'!$A:$A, MATCH($E445, 'Starlink Launches'!$B:$B, 0)),
  ""
)
</f>
        <v>6-23</v>
      </c>
      <c r="B445" s="3" t="s">
        <v>25</v>
      </c>
      <c r="C445" s="12" t="s">
        <v>457</v>
      </c>
      <c r="D445" s="13">
        <v>58081.0</v>
      </c>
      <c r="E445" s="4">
        <v>45217.0</v>
      </c>
      <c r="F445" s="4" t="str">
        <f>IF(D445="","", IFNA(VLOOKUP(D445, SATCAT_DECAY!A:B, 2, FALSE), ""))
</f>
        <v/>
      </c>
      <c r="G445" s="3" t="str">
        <f t="shared" si="1"/>
        <v>ACTIVE</v>
      </c>
    </row>
    <row r="446" ht="22.5" customHeight="1">
      <c r="A446" s="11" t="str">
        <f t="array" ref="A446">IFERROR(
  INDEX('Starlink Launches'!$A:$A, MATCH($E446, 'Starlink Launches'!$B:$B, 0)),
  ""
)
</f>
        <v>6-23</v>
      </c>
      <c r="B446" s="3" t="s">
        <v>25</v>
      </c>
      <c r="C446" s="12" t="s">
        <v>458</v>
      </c>
      <c r="D446" s="13">
        <v>58082.0</v>
      </c>
      <c r="E446" s="4">
        <v>45217.0</v>
      </c>
      <c r="F446" s="4" t="str">
        <f>IF(D446="","", IFNA(VLOOKUP(D446, SATCAT_DECAY!A:B, 2, FALSE), ""))
</f>
        <v/>
      </c>
      <c r="G446" s="3" t="str">
        <f t="shared" si="1"/>
        <v>ACTIVE</v>
      </c>
    </row>
    <row r="447" ht="22.5" customHeight="1">
      <c r="A447" s="11" t="str">
        <f t="array" ref="A447">IFERROR(
  INDEX('Starlink Launches'!$A:$A, MATCH($E447, 'Starlink Launches'!$B:$B, 0)),
  ""
)
</f>
        <v>6-23</v>
      </c>
      <c r="B447" s="3" t="s">
        <v>25</v>
      </c>
      <c r="C447" s="12" t="s">
        <v>459</v>
      </c>
      <c r="D447" s="13">
        <v>58083.0</v>
      </c>
      <c r="E447" s="4">
        <v>45217.0</v>
      </c>
      <c r="F447" s="4" t="str">
        <f>IF(D447="","", IFNA(VLOOKUP(D447, SATCAT_DECAY!A:B, 2, FALSE), ""))
</f>
        <v/>
      </c>
      <c r="G447" s="3" t="str">
        <f t="shared" si="1"/>
        <v>ACTIVE</v>
      </c>
    </row>
    <row r="448" ht="22.5" customHeight="1">
      <c r="A448" s="11" t="str">
        <f t="array" ref="A448">IFERROR(
  INDEX('Starlink Launches'!$A:$A, MATCH($E448, 'Starlink Launches'!$B:$B, 0)),
  ""
)
</f>
        <v>6-23</v>
      </c>
      <c r="B448" s="3" t="s">
        <v>25</v>
      </c>
      <c r="C448" s="12" t="s">
        <v>460</v>
      </c>
      <c r="D448" s="13">
        <v>58084.0</v>
      </c>
      <c r="E448" s="4">
        <v>45217.0</v>
      </c>
      <c r="F448" s="4" t="str">
        <f>IF(D448="","", IFNA(VLOOKUP(D448, SATCAT_DECAY!A:B, 2, FALSE), ""))
</f>
        <v/>
      </c>
      <c r="G448" s="3" t="str">
        <f t="shared" si="1"/>
        <v>ACTIVE</v>
      </c>
    </row>
    <row r="449" ht="22.5" customHeight="1">
      <c r="A449" s="11" t="str">
        <f t="array" ref="A449">IFERROR(
  INDEX('Starlink Launches'!$A:$A, MATCH($E449, 'Starlink Launches'!$B:$B, 0)),
  ""
)
</f>
        <v>6-23</v>
      </c>
      <c r="B449" s="3" t="s">
        <v>25</v>
      </c>
      <c r="C449" s="12" t="s">
        <v>461</v>
      </c>
      <c r="D449" s="13">
        <v>58085.0</v>
      </c>
      <c r="E449" s="4">
        <v>45217.0</v>
      </c>
      <c r="F449" s="4" t="str">
        <f>IF(D449="","", IFNA(VLOOKUP(D449, SATCAT_DECAY!A:B, 2, FALSE), ""))
</f>
        <v/>
      </c>
      <c r="G449" s="3" t="str">
        <f t="shared" si="1"/>
        <v>ACTIVE</v>
      </c>
    </row>
    <row r="450" ht="22.5" customHeight="1">
      <c r="A450" s="11" t="str">
        <f t="array" ref="A450">IFERROR(
  INDEX('Starlink Launches'!$A:$A, MATCH($E450, 'Starlink Launches'!$B:$B, 0)),
  ""
)
</f>
        <v>6-23</v>
      </c>
      <c r="B450" s="3" t="s">
        <v>25</v>
      </c>
      <c r="C450" s="12" t="s">
        <v>462</v>
      </c>
      <c r="D450" s="13">
        <v>58086.0</v>
      </c>
      <c r="E450" s="4">
        <v>45217.0</v>
      </c>
      <c r="F450" s="4" t="str">
        <f>IF(D450="","", IFNA(VLOOKUP(D450, SATCAT_DECAY!A:B, 2, FALSE), ""))
</f>
        <v/>
      </c>
      <c r="G450" s="3" t="str">
        <f t="shared" si="1"/>
        <v>ACTIVE</v>
      </c>
    </row>
    <row r="451" ht="22.5" customHeight="1">
      <c r="A451" s="11" t="str">
        <f t="array" ref="A451">IFERROR(
  INDEX('Starlink Launches'!$A:$A, MATCH($E451, 'Starlink Launches'!$B:$B, 0)),
  ""
)
</f>
        <v>6-23</v>
      </c>
      <c r="B451" s="3" t="s">
        <v>25</v>
      </c>
      <c r="C451" s="12" t="s">
        <v>463</v>
      </c>
      <c r="D451" s="13">
        <v>58087.0</v>
      </c>
      <c r="E451" s="4">
        <v>45217.0</v>
      </c>
      <c r="F451" s="4" t="str">
        <f>IF(D451="","", IFNA(VLOOKUP(D451, SATCAT_DECAY!A:B, 2, FALSE), ""))
</f>
        <v/>
      </c>
      <c r="G451" s="3" t="str">
        <f t="shared" si="1"/>
        <v>ACTIVE</v>
      </c>
    </row>
    <row r="452" ht="22.5" customHeight="1">
      <c r="A452" s="11" t="str">
        <f t="array" ref="A452">IFERROR(
  INDEX('Starlink Launches'!$A:$A, MATCH($E452, 'Starlink Launches'!$B:$B, 0)),
  ""
)
</f>
        <v>6-23</v>
      </c>
      <c r="B452" s="3" t="s">
        <v>25</v>
      </c>
      <c r="C452" s="12" t="s">
        <v>464</v>
      </c>
      <c r="D452" s="13">
        <v>58088.0</v>
      </c>
      <c r="E452" s="4">
        <v>45217.0</v>
      </c>
      <c r="F452" s="4" t="str">
        <f>IF(D452="","", IFNA(VLOOKUP(D452, SATCAT_DECAY!A:B, 2, FALSE), ""))
</f>
        <v/>
      </c>
      <c r="G452" s="3" t="str">
        <f t="shared" si="1"/>
        <v>ACTIVE</v>
      </c>
    </row>
    <row r="453" ht="22.5" customHeight="1">
      <c r="A453" s="11" t="str">
        <f t="array" ref="A453">IFERROR(
  INDEX('Starlink Launches'!$A:$A, MATCH($E453, 'Starlink Launches'!$B:$B, 0)),
  ""
)
</f>
        <v>6-23</v>
      </c>
      <c r="B453" s="3" t="s">
        <v>25</v>
      </c>
      <c r="C453" s="12" t="s">
        <v>465</v>
      </c>
      <c r="D453" s="13">
        <v>58089.0</v>
      </c>
      <c r="E453" s="4">
        <v>45217.0</v>
      </c>
      <c r="F453" s="4" t="str">
        <f>IF(D453="","", IFNA(VLOOKUP(D453, SATCAT_DECAY!A:B, 2, FALSE), ""))
</f>
        <v/>
      </c>
      <c r="G453" s="3" t="str">
        <f t="shared" si="1"/>
        <v>ACTIVE</v>
      </c>
    </row>
    <row r="454" ht="22.5" customHeight="1">
      <c r="A454" s="11" t="str">
        <f t="array" ref="A454">IFERROR(
  INDEX('Starlink Launches'!$A:$A, MATCH($E454, 'Starlink Launches'!$B:$B, 0)),
  ""
)
</f>
        <v>6-23</v>
      </c>
      <c r="B454" s="3" t="s">
        <v>25</v>
      </c>
      <c r="C454" s="12" t="s">
        <v>466</v>
      </c>
      <c r="D454" s="13">
        <v>58090.0</v>
      </c>
      <c r="E454" s="4">
        <v>45217.0</v>
      </c>
      <c r="F454" s="4" t="str">
        <f>IF(D454="","", IFNA(VLOOKUP(D454, SATCAT_DECAY!A:B, 2, FALSE), ""))
</f>
        <v/>
      </c>
      <c r="G454" s="3" t="str">
        <f t="shared" si="1"/>
        <v>ACTIVE</v>
      </c>
    </row>
    <row r="455" ht="22.5" customHeight="1">
      <c r="A455" s="11" t="str">
        <f t="array" ref="A455">IFERROR(
  INDEX('Starlink Launches'!$A:$A, MATCH($E455, 'Starlink Launches'!$B:$B, 0)),
  ""
)
</f>
        <v>6-23</v>
      </c>
      <c r="B455" s="3" t="s">
        <v>25</v>
      </c>
      <c r="C455" s="12" t="s">
        <v>467</v>
      </c>
      <c r="D455" s="13">
        <v>58091.0</v>
      </c>
      <c r="E455" s="4">
        <v>45217.0</v>
      </c>
      <c r="F455" s="4" t="str">
        <f>IF(D455="","", IFNA(VLOOKUP(D455, SATCAT_DECAY!A:B, 2, FALSE), ""))
</f>
        <v/>
      </c>
      <c r="G455" s="3" t="str">
        <f t="shared" si="1"/>
        <v>ACTIVE</v>
      </c>
    </row>
    <row r="456" ht="22.5" customHeight="1">
      <c r="A456" s="11" t="str">
        <f t="array" ref="A456">IFERROR(
  INDEX('Starlink Launches'!$A:$A, MATCH($E456, 'Starlink Launches'!$B:$B, 0)),
  ""
)
</f>
        <v>6-23</v>
      </c>
      <c r="B456" s="3" t="s">
        <v>25</v>
      </c>
      <c r="C456" s="12" t="s">
        <v>468</v>
      </c>
      <c r="D456" s="13">
        <v>58092.0</v>
      </c>
      <c r="E456" s="4">
        <v>45217.0</v>
      </c>
      <c r="F456" s="4" t="str">
        <f>IF(D456="","", IFNA(VLOOKUP(D456, SATCAT_DECAY!A:B, 2, FALSE), ""))
</f>
        <v/>
      </c>
      <c r="G456" s="3" t="str">
        <f t="shared" si="1"/>
        <v>ACTIVE</v>
      </c>
    </row>
    <row r="457" ht="22.5" customHeight="1">
      <c r="A457" s="11" t="str">
        <f t="array" ref="A457">IFERROR(
  INDEX('Starlink Launches'!$A:$A, MATCH($E457, 'Starlink Launches'!$B:$B, 0)),
  ""
)
</f>
        <v>6-23</v>
      </c>
      <c r="B457" s="3" t="s">
        <v>25</v>
      </c>
      <c r="C457" s="12" t="s">
        <v>469</v>
      </c>
      <c r="D457" s="13">
        <v>58093.0</v>
      </c>
      <c r="E457" s="4">
        <v>45217.0</v>
      </c>
      <c r="F457" s="4" t="str">
        <f>IF(D457="","", IFNA(VLOOKUP(D457, SATCAT_DECAY!A:B, 2, FALSE), ""))
</f>
        <v/>
      </c>
      <c r="G457" s="3" t="str">
        <f t="shared" si="1"/>
        <v>ACTIVE</v>
      </c>
    </row>
    <row r="458" ht="22.5" customHeight="1">
      <c r="A458" s="11" t="str">
        <f t="array" ref="A458">IFERROR(
  INDEX('Starlink Launches'!$A:$A, MATCH($E458, 'Starlink Launches'!$B:$B, 0)),
  ""
)
</f>
        <v>6-23</v>
      </c>
      <c r="B458" s="3" t="s">
        <v>25</v>
      </c>
      <c r="C458" s="12" t="s">
        <v>470</v>
      </c>
      <c r="D458" s="13">
        <v>58094.0</v>
      </c>
      <c r="E458" s="4">
        <v>45217.0</v>
      </c>
      <c r="F458" s="4" t="str">
        <f>IF(D458="","", IFNA(VLOOKUP(D458, SATCAT_DECAY!A:B, 2, FALSE), ""))
</f>
        <v/>
      </c>
      <c r="G458" s="3" t="str">
        <f t="shared" si="1"/>
        <v>ACTIVE</v>
      </c>
    </row>
    <row r="459" ht="22.5" customHeight="1">
      <c r="A459" s="11" t="str">
        <f t="array" ref="A459">IFERROR(
  INDEX('Starlink Launches'!$A:$A, MATCH($E459, 'Starlink Launches'!$B:$B, 0)),
  ""
)
</f>
        <v>6-23</v>
      </c>
      <c r="B459" s="3" t="s">
        <v>25</v>
      </c>
      <c r="C459" s="12" t="s">
        <v>471</v>
      </c>
      <c r="D459" s="13">
        <v>58095.0</v>
      </c>
      <c r="E459" s="4">
        <v>45217.0</v>
      </c>
      <c r="F459" s="4" t="str">
        <f>IF(D459="","", IFNA(VLOOKUP(D459, SATCAT_DECAY!A:B, 2, FALSE), ""))
</f>
        <v/>
      </c>
      <c r="G459" s="3" t="str">
        <f t="shared" si="1"/>
        <v>ACTIVE</v>
      </c>
    </row>
    <row r="460" ht="22.5" customHeight="1">
      <c r="A460" s="11" t="str">
        <f t="array" ref="A460">IFERROR(
  INDEX('Starlink Launches'!$A:$A, MATCH($E460, 'Starlink Launches'!$B:$B, 0)),
  ""
)
</f>
        <v>6-23</v>
      </c>
      <c r="B460" s="3" t="s">
        <v>25</v>
      </c>
      <c r="C460" s="12" t="s">
        <v>472</v>
      </c>
      <c r="D460" s="13">
        <v>58096.0</v>
      </c>
      <c r="E460" s="4">
        <v>45217.0</v>
      </c>
      <c r="F460" s="4" t="str">
        <f>IF(D460="","", IFNA(VLOOKUP(D460, SATCAT_DECAY!A:B, 2, FALSE), ""))
</f>
        <v/>
      </c>
      <c r="G460" s="3" t="str">
        <f t="shared" si="1"/>
        <v>ACTIVE</v>
      </c>
    </row>
    <row r="461" ht="22.5" customHeight="1">
      <c r="A461" s="11" t="str">
        <f t="array" ref="A461">IFERROR(
  INDEX('Starlink Launches'!$A:$A, MATCH($E461, 'Starlink Launches'!$B:$B, 0)),
  ""
)
</f>
        <v>6-24</v>
      </c>
      <c r="B461" s="3" t="s">
        <v>25</v>
      </c>
      <c r="C461" s="12" t="s">
        <v>473</v>
      </c>
      <c r="D461" s="13">
        <v>58118.0</v>
      </c>
      <c r="E461" s="4">
        <v>45221.0</v>
      </c>
      <c r="F461" s="4" t="str">
        <f>IF(D461="","", IFNA(VLOOKUP(D461, SATCAT_DECAY!A:B, 2, FALSE), ""))
</f>
        <v/>
      </c>
      <c r="G461" s="3" t="str">
        <f t="shared" si="1"/>
        <v>ACTIVE</v>
      </c>
    </row>
    <row r="462" ht="22.5" customHeight="1">
      <c r="A462" s="11" t="str">
        <f t="array" ref="A462">IFERROR(
  INDEX('Starlink Launches'!$A:$A, MATCH($E462, 'Starlink Launches'!$B:$B, 0)),
  ""
)
</f>
        <v>6-24</v>
      </c>
      <c r="B462" s="3" t="s">
        <v>25</v>
      </c>
      <c r="C462" s="12" t="s">
        <v>474</v>
      </c>
      <c r="D462" s="13">
        <v>58119.0</v>
      </c>
      <c r="E462" s="4">
        <v>45221.0</v>
      </c>
      <c r="F462" s="4" t="str">
        <f>IF(D462="","", IFNA(VLOOKUP(D462, SATCAT_DECAY!A:B, 2, FALSE), ""))
</f>
        <v/>
      </c>
      <c r="G462" s="3" t="str">
        <f t="shared" si="1"/>
        <v>ACTIVE</v>
      </c>
    </row>
    <row r="463" ht="22.5" customHeight="1">
      <c r="A463" s="11" t="str">
        <f t="array" ref="A463">IFERROR(
  INDEX('Starlink Launches'!$A:$A, MATCH($E463, 'Starlink Launches'!$B:$B, 0)),
  ""
)
</f>
        <v>6-24</v>
      </c>
      <c r="B463" s="3" t="s">
        <v>25</v>
      </c>
      <c r="C463" s="12" t="s">
        <v>475</v>
      </c>
      <c r="D463" s="13">
        <v>58120.0</v>
      </c>
      <c r="E463" s="4">
        <v>45221.0</v>
      </c>
      <c r="F463" s="4" t="str">
        <f>IF(D463="","", IFNA(VLOOKUP(D463, SATCAT_DECAY!A:B, 2, FALSE), ""))
</f>
        <v/>
      </c>
      <c r="G463" s="3" t="str">
        <f t="shared" si="1"/>
        <v>ACTIVE</v>
      </c>
    </row>
    <row r="464" ht="22.5" customHeight="1">
      <c r="A464" s="11" t="str">
        <f t="array" ref="A464">IFERROR(
  INDEX('Starlink Launches'!$A:$A, MATCH($E464, 'Starlink Launches'!$B:$B, 0)),
  ""
)
</f>
        <v>6-24</v>
      </c>
      <c r="B464" s="3" t="s">
        <v>25</v>
      </c>
      <c r="C464" s="12" t="s">
        <v>476</v>
      </c>
      <c r="D464" s="13">
        <v>58121.0</v>
      </c>
      <c r="E464" s="4">
        <v>45221.0</v>
      </c>
      <c r="F464" s="4" t="str">
        <f>IF(D464="","", IFNA(VLOOKUP(D464, SATCAT_DECAY!A:B, 2, FALSE), ""))
</f>
        <v/>
      </c>
      <c r="G464" s="3" t="str">
        <f t="shared" si="1"/>
        <v>ACTIVE</v>
      </c>
    </row>
    <row r="465" ht="22.5" customHeight="1">
      <c r="A465" s="11" t="str">
        <f t="array" ref="A465">IFERROR(
  INDEX('Starlink Launches'!$A:$A, MATCH($E465, 'Starlink Launches'!$B:$B, 0)),
  ""
)
</f>
        <v>6-24</v>
      </c>
      <c r="B465" s="3" t="s">
        <v>25</v>
      </c>
      <c r="C465" s="12" t="s">
        <v>477</v>
      </c>
      <c r="D465" s="13">
        <v>58122.0</v>
      </c>
      <c r="E465" s="4">
        <v>45221.0</v>
      </c>
      <c r="F465" s="4" t="str">
        <f>IF(D465="","", IFNA(VLOOKUP(D465, SATCAT_DECAY!A:B, 2, FALSE), ""))
</f>
        <v/>
      </c>
      <c r="G465" s="3" t="str">
        <f t="shared" si="1"/>
        <v>ACTIVE</v>
      </c>
    </row>
    <row r="466" ht="22.5" customHeight="1">
      <c r="A466" s="11" t="str">
        <f t="array" ref="A466">IFERROR(
  INDEX('Starlink Launches'!$A:$A, MATCH($E466, 'Starlink Launches'!$B:$B, 0)),
  ""
)
</f>
        <v>6-24</v>
      </c>
      <c r="B466" s="3" t="s">
        <v>25</v>
      </c>
      <c r="C466" s="12" t="s">
        <v>478</v>
      </c>
      <c r="D466" s="13">
        <v>58123.0</v>
      </c>
      <c r="E466" s="4">
        <v>45221.0</v>
      </c>
      <c r="F466" s="4" t="str">
        <f>IF(D466="","", IFNA(VLOOKUP(D466, SATCAT_DECAY!A:B, 2, FALSE), ""))
</f>
        <v/>
      </c>
      <c r="G466" s="3" t="str">
        <f t="shared" si="1"/>
        <v>ACTIVE</v>
      </c>
    </row>
    <row r="467" ht="22.5" customHeight="1">
      <c r="A467" s="11" t="str">
        <f t="array" ref="A467">IFERROR(
  INDEX('Starlink Launches'!$A:$A, MATCH($E467, 'Starlink Launches'!$B:$B, 0)),
  ""
)
</f>
        <v>6-24</v>
      </c>
      <c r="B467" s="3" t="s">
        <v>25</v>
      </c>
      <c r="C467" s="12" t="s">
        <v>479</v>
      </c>
      <c r="D467" s="13">
        <v>58124.0</v>
      </c>
      <c r="E467" s="4">
        <v>45221.0</v>
      </c>
      <c r="F467" s="4" t="str">
        <f>IF(D467="","", IFNA(VLOOKUP(D467, SATCAT_DECAY!A:B, 2, FALSE), ""))
</f>
        <v/>
      </c>
      <c r="G467" s="3" t="str">
        <f t="shared" si="1"/>
        <v>ACTIVE</v>
      </c>
    </row>
    <row r="468" ht="22.5" customHeight="1">
      <c r="A468" s="11" t="str">
        <f t="array" ref="A468">IFERROR(
  INDEX('Starlink Launches'!$A:$A, MATCH($E468, 'Starlink Launches'!$B:$B, 0)),
  ""
)
</f>
        <v>6-24</v>
      </c>
      <c r="B468" s="3" t="s">
        <v>25</v>
      </c>
      <c r="C468" s="12" t="s">
        <v>480</v>
      </c>
      <c r="D468" s="13">
        <v>58125.0</v>
      </c>
      <c r="E468" s="4">
        <v>45221.0</v>
      </c>
      <c r="F468" s="4" t="str">
        <f>IF(D468="","", IFNA(VLOOKUP(D468, SATCAT_DECAY!A:B, 2, FALSE), ""))
</f>
        <v/>
      </c>
      <c r="G468" s="3" t="str">
        <f t="shared" si="1"/>
        <v>ACTIVE</v>
      </c>
    </row>
    <row r="469" ht="22.5" customHeight="1">
      <c r="A469" s="11" t="str">
        <f t="array" ref="A469">IFERROR(
  INDEX('Starlink Launches'!$A:$A, MATCH($E469, 'Starlink Launches'!$B:$B, 0)),
  ""
)
</f>
        <v>6-24</v>
      </c>
      <c r="B469" s="3" t="s">
        <v>25</v>
      </c>
      <c r="C469" s="12" t="s">
        <v>481</v>
      </c>
      <c r="D469" s="13">
        <v>58126.0</v>
      </c>
      <c r="E469" s="4">
        <v>45221.0</v>
      </c>
      <c r="F469" s="4" t="str">
        <f>IF(D469="","", IFNA(VLOOKUP(D469, SATCAT_DECAY!A:B, 2, FALSE), ""))
</f>
        <v/>
      </c>
      <c r="G469" s="3" t="str">
        <f t="shared" si="1"/>
        <v>ACTIVE</v>
      </c>
    </row>
    <row r="470" ht="22.5" customHeight="1">
      <c r="A470" s="11" t="str">
        <f t="array" ref="A470">IFERROR(
  INDEX('Starlink Launches'!$A:$A, MATCH($E470, 'Starlink Launches'!$B:$B, 0)),
  ""
)
</f>
        <v>6-24</v>
      </c>
      <c r="B470" s="3" t="s">
        <v>25</v>
      </c>
      <c r="C470" s="12" t="s">
        <v>482</v>
      </c>
      <c r="D470" s="13">
        <v>58127.0</v>
      </c>
      <c r="E470" s="4">
        <v>45221.0</v>
      </c>
      <c r="F470" s="4" t="str">
        <f>IF(D470="","", IFNA(VLOOKUP(D470, SATCAT_DECAY!A:B, 2, FALSE), ""))
</f>
        <v/>
      </c>
      <c r="G470" s="3" t="str">
        <f t="shared" si="1"/>
        <v>ACTIVE</v>
      </c>
    </row>
    <row r="471" ht="22.5" customHeight="1">
      <c r="A471" s="11" t="str">
        <f t="array" ref="A471">IFERROR(
  INDEX('Starlink Launches'!$A:$A, MATCH($E471, 'Starlink Launches'!$B:$B, 0)),
  ""
)
</f>
        <v>6-24</v>
      </c>
      <c r="B471" s="3" t="s">
        <v>25</v>
      </c>
      <c r="C471" s="12" t="s">
        <v>483</v>
      </c>
      <c r="D471" s="13">
        <v>58128.0</v>
      </c>
      <c r="E471" s="4">
        <v>45221.0</v>
      </c>
      <c r="F471" s="4" t="str">
        <f>IF(D471="","", IFNA(VLOOKUP(D471, SATCAT_DECAY!A:B, 2, FALSE), ""))
</f>
        <v/>
      </c>
      <c r="G471" s="3" t="str">
        <f t="shared" si="1"/>
        <v>ACTIVE</v>
      </c>
    </row>
    <row r="472" ht="22.5" customHeight="1">
      <c r="A472" s="11" t="str">
        <f t="array" ref="A472">IFERROR(
  INDEX('Starlink Launches'!$A:$A, MATCH($E472, 'Starlink Launches'!$B:$B, 0)),
  ""
)
</f>
        <v>6-24</v>
      </c>
      <c r="B472" s="3" t="s">
        <v>25</v>
      </c>
      <c r="C472" s="12" t="s">
        <v>484</v>
      </c>
      <c r="D472" s="13">
        <v>58129.0</v>
      </c>
      <c r="E472" s="4">
        <v>45221.0</v>
      </c>
      <c r="F472" s="4" t="str">
        <f>IF(D472="","", IFNA(VLOOKUP(D472, SATCAT_DECAY!A:B, 2, FALSE), ""))
</f>
        <v/>
      </c>
      <c r="G472" s="3" t="str">
        <f t="shared" si="1"/>
        <v>ACTIVE</v>
      </c>
    </row>
    <row r="473" ht="22.5" customHeight="1">
      <c r="A473" s="11" t="str">
        <f t="array" ref="A473">IFERROR(
  INDEX('Starlink Launches'!$A:$A, MATCH($E473, 'Starlink Launches'!$B:$B, 0)),
  ""
)
</f>
        <v>6-24</v>
      </c>
      <c r="B473" s="3" t="s">
        <v>25</v>
      </c>
      <c r="C473" s="12" t="s">
        <v>485</v>
      </c>
      <c r="D473" s="13">
        <v>58130.0</v>
      </c>
      <c r="E473" s="4">
        <v>45221.0</v>
      </c>
      <c r="F473" s="4" t="str">
        <f>IF(D473="","", IFNA(VLOOKUP(D473, SATCAT_DECAY!A:B, 2, FALSE), ""))
</f>
        <v/>
      </c>
      <c r="G473" s="3" t="str">
        <f t="shared" si="1"/>
        <v>ACTIVE</v>
      </c>
    </row>
    <row r="474" ht="22.5" customHeight="1">
      <c r="A474" s="11" t="str">
        <f t="array" ref="A474">IFERROR(
  INDEX('Starlink Launches'!$A:$A, MATCH($E474, 'Starlink Launches'!$B:$B, 0)),
  ""
)
</f>
        <v>6-24</v>
      </c>
      <c r="B474" s="3" t="s">
        <v>25</v>
      </c>
      <c r="C474" s="12" t="s">
        <v>486</v>
      </c>
      <c r="D474" s="13">
        <v>58131.0</v>
      </c>
      <c r="E474" s="4">
        <v>45221.0</v>
      </c>
      <c r="F474" s="4" t="str">
        <f>IF(D474="","", IFNA(VLOOKUP(D474, SATCAT_DECAY!A:B, 2, FALSE), ""))
</f>
        <v/>
      </c>
      <c r="G474" s="3" t="str">
        <f t="shared" si="1"/>
        <v>ACTIVE</v>
      </c>
    </row>
    <row r="475" ht="22.5" customHeight="1">
      <c r="A475" s="11" t="str">
        <f t="array" ref="A475">IFERROR(
  INDEX('Starlink Launches'!$A:$A, MATCH($E475, 'Starlink Launches'!$B:$B, 0)),
  ""
)
</f>
        <v>6-24</v>
      </c>
      <c r="B475" s="3" t="s">
        <v>25</v>
      </c>
      <c r="C475" s="12" t="s">
        <v>487</v>
      </c>
      <c r="D475" s="13">
        <v>58132.0</v>
      </c>
      <c r="E475" s="4">
        <v>45221.0</v>
      </c>
      <c r="F475" s="4" t="str">
        <f>IF(D475="","", IFNA(VLOOKUP(D475, SATCAT_DECAY!A:B, 2, FALSE), ""))
</f>
        <v/>
      </c>
      <c r="G475" s="3" t="str">
        <f t="shared" si="1"/>
        <v>ACTIVE</v>
      </c>
    </row>
    <row r="476" ht="22.5" customHeight="1">
      <c r="A476" s="11" t="str">
        <f t="array" ref="A476">IFERROR(
  INDEX('Starlink Launches'!$A:$A, MATCH($E476, 'Starlink Launches'!$B:$B, 0)),
  ""
)
</f>
        <v>6-24</v>
      </c>
      <c r="B476" s="3" t="s">
        <v>25</v>
      </c>
      <c r="C476" s="12" t="s">
        <v>488</v>
      </c>
      <c r="D476" s="13">
        <v>58133.0</v>
      </c>
      <c r="E476" s="4">
        <v>45221.0</v>
      </c>
      <c r="F476" s="4" t="str">
        <f>IF(D476="","", IFNA(VLOOKUP(D476, SATCAT_DECAY!A:B, 2, FALSE), ""))
</f>
        <v/>
      </c>
      <c r="G476" s="3" t="str">
        <f t="shared" si="1"/>
        <v>ACTIVE</v>
      </c>
    </row>
    <row r="477" ht="22.5" customHeight="1">
      <c r="A477" s="11" t="str">
        <f t="array" ref="A477">IFERROR(
  INDEX('Starlink Launches'!$A:$A, MATCH($E477, 'Starlink Launches'!$B:$B, 0)),
  ""
)
</f>
        <v>6-24</v>
      </c>
      <c r="B477" s="3" t="s">
        <v>25</v>
      </c>
      <c r="C477" s="12" t="s">
        <v>489</v>
      </c>
      <c r="D477" s="13">
        <v>58134.0</v>
      </c>
      <c r="E477" s="4">
        <v>45221.0</v>
      </c>
      <c r="F477" s="4" t="str">
        <f>IF(D477="","", IFNA(VLOOKUP(D477, SATCAT_DECAY!A:B, 2, FALSE), ""))
</f>
        <v/>
      </c>
      <c r="G477" s="3" t="str">
        <f t="shared" si="1"/>
        <v>ACTIVE</v>
      </c>
    </row>
    <row r="478" ht="22.5" customHeight="1">
      <c r="A478" s="11" t="str">
        <f t="array" ref="A478">IFERROR(
  INDEX('Starlink Launches'!$A:$A, MATCH($E478, 'Starlink Launches'!$B:$B, 0)),
  ""
)
</f>
        <v>6-24</v>
      </c>
      <c r="B478" s="3" t="s">
        <v>25</v>
      </c>
      <c r="C478" s="12" t="s">
        <v>490</v>
      </c>
      <c r="D478" s="13">
        <v>58135.0</v>
      </c>
      <c r="E478" s="4">
        <v>45221.0</v>
      </c>
      <c r="F478" s="4" t="str">
        <f>IF(D478="","", IFNA(VLOOKUP(D478, SATCAT_DECAY!A:B, 2, FALSE), ""))
</f>
        <v/>
      </c>
      <c r="G478" s="3" t="str">
        <f t="shared" si="1"/>
        <v>ACTIVE</v>
      </c>
    </row>
    <row r="479" ht="22.5" customHeight="1">
      <c r="A479" s="11" t="str">
        <f t="array" ref="A479">IFERROR(
  INDEX('Starlink Launches'!$A:$A, MATCH($E479, 'Starlink Launches'!$B:$B, 0)),
  ""
)
</f>
        <v>6-24</v>
      </c>
      <c r="B479" s="3" t="s">
        <v>25</v>
      </c>
      <c r="C479" s="12" t="s">
        <v>491</v>
      </c>
      <c r="D479" s="13">
        <v>58136.0</v>
      </c>
      <c r="E479" s="4">
        <v>45221.0</v>
      </c>
      <c r="F479" s="4" t="str">
        <f>IF(D479="","", IFNA(VLOOKUP(D479, SATCAT_DECAY!A:B, 2, FALSE), ""))
</f>
        <v/>
      </c>
      <c r="G479" s="3" t="str">
        <f t="shared" si="1"/>
        <v>ACTIVE</v>
      </c>
    </row>
    <row r="480" ht="22.5" customHeight="1">
      <c r="A480" s="11" t="str">
        <f t="array" ref="A480">IFERROR(
  INDEX('Starlink Launches'!$A:$A, MATCH($E480, 'Starlink Launches'!$B:$B, 0)),
  ""
)
</f>
        <v>6-24</v>
      </c>
      <c r="B480" s="3" t="s">
        <v>25</v>
      </c>
      <c r="C480" s="12" t="s">
        <v>492</v>
      </c>
      <c r="D480" s="13">
        <v>58137.0</v>
      </c>
      <c r="E480" s="4">
        <v>45221.0</v>
      </c>
      <c r="F480" s="4" t="str">
        <f>IF(D480="","", IFNA(VLOOKUP(D480, SATCAT_DECAY!A:B, 2, FALSE), ""))
</f>
        <v/>
      </c>
      <c r="G480" s="3" t="str">
        <f t="shared" si="1"/>
        <v>ACTIVE</v>
      </c>
    </row>
    <row r="481" ht="22.5" customHeight="1">
      <c r="A481" s="11" t="str">
        <f t="array" ref="A481">IFERROR(
  INDEX('Starlink Launches'!$A:$A, MATCH($E481, 'Starlink Launches'!$B:$B, 0)),
  ""
)
</f>
        <v>6-24</v>
      </c>
      <c r="B481" s="3" t="s">
        <v>25</v>
      </c>
      <c r="C481" s="12" t="s">
        <v>493</v>
      </c>
      <c r="D481" s="13">
        <v>58138.0</v>
      </c>
      <c r="E481" s="4">
        <v>45221.0</v>
      </c>
      <c r="F481" s="4" t="str">
        <f>IF(D481="","", IFNA(VLOOKUP(D481, SATCAT_DECAY!A:B, 2, FALSE), ""))
</f>
        <v/>
      </c>
      <c r="G481" s="3" t="str">
        <f t="shared" si="1"/>
        <v>ACTIVE</v>
      </c>
    </row>
    <row r="482" ht="22.5" customHeight="1">
      <c r="A482" s="11" t="str">
        <f t="array" ref="A482">IFERROR(
  INDEX('Starlink Launches'!$A:$A, MATCH($E482, 'Starlink Launches'!$B:$B, 0)),
  ""
)
</f>
        <v>6-24</v>
      </c>
      <c r="B482" s="3" t="s">
        <v>25</v>
      </c>
      <c r="C482" s="12" t="s">
        <v>494</v>
      </c>
      <c r="D482" s="13">
        <v>58139.0</v>
      </c>
      <c r="E482" s="4">
        <v>45221.0</v>
      </c>
      <c r="F482" s="4" t="str">
        <f>IF(D482="","", IFNA(VLOOKUP(D482, SATCAT_DECAY!A:B, 2, FALSE), ""))
</f>
        <v/>
      </c>
      <c r="G482" s="3" t="str">
        <f t="shared" si="1"/>
        <v>ACTIVE</v>
      </c>
    </row>
    <row r="483" ht="22.5" customHeight="1">
      <c r="A483" s="11" t="str">
        <f t="array" ref="A483">IFERROR(
  INDEX('Starlink Launches'!$A:$A, MATCH($E483, 'Starlink Launches'!$B:$B, 0)),
  ""
)
</f>
        <v>6-24</v>
      </c>
      <c r="B483" s="3" t="s">
        <v>25</v>
      </c>
      <c r="C483" s="12" t="s">
        <v>495</v>
      </c>
      <c r="D483" s="13">
        <v>58140.0</v>
      </c>
      <c r="E483" s="4">
        <v>45221.0</v>
      </c>
      <c r="F483" s="4" t="str">
        <f>IF(D483="","", IFNA(VLOOKUP(D483, SATCAT_DECAY!A:B, 2, FALSE), ""))
</f>
        <v/>
      </c>
      <c r="G483" s="3" t="str">
        <f t="shared" si="1"/>
        <v>ACTIVE</v>
      </c>
    </row>
    <row r="484" ht="22.5" customHeight="1">
      <c r="A484" s="11" t="str">
        <f t="array" ref="A484">IFERROR(
  INDEX('Starlink Launches'!$A:$A, MATCH($E484, 'Starlink Launches'!$B:$B, 0)),
  ""
)
</f>
        <v>6-25</v>
      </c>
      <c r="B484" s="3" t="s">
        <v>25</v>
      </c>
      <c r="C484" s="12" t="s">
        <v>496</v>
      </c>
      <c r="D484" s="13">
        <v>58175.0</v>
      </c>
      <c r="E484" s="4">
        <v>45229.0</v>
      </c>
      <c r="F484" s="4" t="str">
        <f>IF(D484="","", IFNA(VLOOKUP(D484, SATCAT_DECAY!A:B, 2, FALSE), ""))
</f>
        <v/>
      </c>
      <c r="G484" s="3" t="str">
        <f t="shared" si="1"/>
        <v>ACTIVE</v>
      </c>
    </row>
    <row r="485" ht="22.5" customHeight="1">
      <c r="A485" s="11" t="str">
        <f t="array" ref="A485">IFERROR(
  INDEX('Starlink Launches'!$A:$A, MATCH($E485, 'Starlink Launches'!$B:$B, 0)),
  ""
)
</f>
        <v>6-25</v>
      </c>
      <c r="B485" s="3" t="s">
        <v>25</v>
      </c>
      <c r="C485" s="12" t="s">
        <v>497</v>
      </c>
      <c r="D485" s="13">
        <v>58176.0</v>
      </c>
      <c r="E485" s="4">
        <v>45229.0</v>
      </c>
      <c r="F485" s="4" t="str">
        <f>IF(D485="","", IFNA(VLOOKUP(D485, SATCAT_DECAY!A:B, 2, FALSE), ""))
</f>
        <v/>
      </c>
      <c r="G485" s="3" t="str">
        <f t="shared" si="1"/>
        <v>ACTIVE</v>
      </c>
    </row>
    <row r="486" ht="22.5" customHeight="1">
      <c r="A486" s="11" t="str">
        <f t="array" ref="A486">IFERROR(
  INDEX('Starlink Launches'!$A:$A, MATCH($E486, 'Starlink Launches'!$B:$B, 0)),
  ""
)
</f>
        <v>6-25</v>
      </c>
      <c r="B486" s="3" t="s">
        <v>25</v>
      </c>
      <c r="C486" s="12" t="s">
        <v>498</v>
      </c>
      <c r="D486" s="13">
        <v>58177.0</v>
      </c>
      <c r="E486" s="4">
        <v>45229.0</v>
      </c>
      <c r="F486" s="4" t="str">
        <f>IF(D486="","", IFNA(VLOOKUP(D486, SATCAT_DECAY!A:B, 2, FALSE), ""))
</f>
        <v/>
      </c>
      <c r="G486" s="3" t="str">
        <f t="shared" si="1"/>
        <v>ACTIVE</v>
      </c>
    </row>
    <row r="487" ht="22.5" customHeight="1">
      <c r="A487" s="11" t="str">
        <f t="array" ref="A487">IFERROR(
  INDEX('Starlink Launches'!$A:$A, MATCH($E487, 'Starlink Launches'!$B:$B, 0)),
  ""
)
</f>
        <v>6-25</v>
      </c>
      <c r="B487" s="3" t="s">
        <v>25</v>
      </c>
      <c r="C487" s="12" t="s">
        <v>499</v>
      </c>
      <c r="D487" s="13">
        <v>58178.0</v>
      </c>
      <c r="E487" s="4">
        <v>45229.0</v>
      </c>
      <c r="F487" s="4" t="str">
        <f>IF(D487="","", IFNA(VLOOKUP(D487, SATCAT_DECAY!A:B, 2, FALSE), ""))
</f>
        <v/>
      </c>
      <c r="G487" s="3" t="str">
        <f t="shared" si="1"/>
        <v>ACTIVE</v>
      </c>
    </row>
    <row r="488" ht="22.5" customHeight="1">
      <c r="A488" s="11" t="str">
        <f t="array" ref="A488">IFERROR(
  INDEX('Starlink Launches'!$A:$A, MATCH($E488, 'Starlink Launches'!$B:$B, 0)),
  ""
)
</f>
        <v>6-25</v>
      </c>
      <c r="B488" s="3" t="s">
        <v>25</v>
      </c>
      <c r="C488" s="12" t="s">
        <v>500</v>
      </c>
      <c r="D488" s="13">
        <v>58179.0</v>
      </c>
      <c r="E488" s="4">
        <v>45229.0</v>
      </c>
      <c r="F488" s="4" t="str">
        <f>IF(D488="","", IFNA(VLOOKUP(D488, SATCAT_DECAY!A:B, 2, FALSE), ""))
</f>
        <v/>
      </c>
      <c r="G488" s="3" t="str">
        <f t="shared" si="1"/>
        <v>ACTIVE</v>
      </c>
    </row>
    <row r="489" ht="22.5" customHeight="1">
      <c r="A489" s="11" t="str">
        <f t="array" ref="A489">IFERROR(
  INDEX('Starlink Launches'!$A:$A, MATCH($E489, 'Starlink Launches'!$B:$B, 0)),
  ""
)
</f>
        <v>6-25</v>
      </c>
      <c r="B489" s="3" t="s">
        <v>25</v>
      </c>
      <c r="C489" s="12" t="s">
        <v>501</v>
      </c>
      <c r="D489" s="13">
        <v>58180.0</v>
      </c>
      <c r="E489" s="4">
        <v>45229.0</v>
      </c>
      <c r="F489" s="4" t="str">
        <f>IF(D489="","", IFNA(VLOOKUP(D489, SATCAT_DECAY!A:B, 2, FALSE), ""))
</f>
        <v/>
      </c>
      <c r="G489" s="3" t="str">
        <f t="shared" si="1"/>
        <v>ACTIVE</v>
      </c>
    </row>
    <row r="490" ht="22.5" customHeight="1">
      <c r="A490" s="11" t="str">
        <f t="array" ref="A490">IFERROR(
  INDEX('Starlink Launches'!$A:$A, MATCH($E490, 'Starlink Launches'!$B:$B, 0)),
  ""
)
</f>
        <v>6-25</v>
      </c>
      <c r="B490" s="3" t="s">
        <v>25</v>
      </c>
      <c r="C490" s="12" t="s">
        <v>502</v>
      </c>
      <c r="D490" s="13">
        <v>58181.0</v>
      </c>
      <c r="E490" s="4">
        <v>45229.0</v>
      </c>
      <c r="F490" s="4" t="str">
        <f>IF(D490="","", IFNA(VLOOKUP(D490, SATCAT_DECAY!A:B, 2, FALSE), ""))
</f>
        <v/>
      </c>
      <c r="G490" s="3" t="str">
        <f t="shared" si="1"/>
        <v>ACTIVE</v>
      </c>
    </row>
    <row r="491" ht="22.5" customHeight="1">
      <c r="A491" s="11" t="str">
        <f t="array" ref="A491">IFERROR(
  INDEX('Starlink Launches'!$A:$A, MATCH($E491, 'Starlink Launches'!$B:$B, 0)),
  ""
)
</f>
        <v>6-25</v>
      </c>
      <c r="B491" s="3" t="s">
        <v>25</v>
      </c>
      <c r="C491" s="12" t="s">
        <v>503</v>
      </c>
      <c r="D491" s="13">
        <v>58182.0</v>
      </c>
      <c r="E491" s="4">
        <v>45229.0</v>
      </c>
      <c r="F491" s="4" t="str">
        <f>IF(D491="","", IFNA(VLOOKUP(D491, SATCAT_DECAY!A:B, 2, FALSE), ""))
</f>
        <v/>
      </c>
      <c r="G491" s="3" t="str">
        <f t="shared" si="1"/>
        <v>ACTIVE</v>
      </c>
    </row>
    <row r="492" ht="22.5" customHeight="1">
      <c r="A492" s="11" t="str">
        <f t="array" ref="A492">IFERROR(
  INDEX('Starlink Launches'!$A:$A, MATCH($E492, 'Starlink Launches'!$B:$B, 0)),
  ""
)
</f>
        <v>6-25</v>
      </c>
      <c r="B492" s="3" t="s">
        <v>25</v>
      </c>
      <c r="C492" s="12" t="s">
        <v>504</v>
      </c>
      <c r="D492" s="13">
        <v>58183.0</v>
      </c>
      <c r="E492" s="4">
        <v>45229.0</v>
      </c>
      <c r="F492" s="4" t="str">
        <f>IF(D492="","", IFNA(VLOOKUP(D492, SATCAT_DECAY!A:B, 2, FALSE), ""))
</f>
        <v/>
      </c>
      <c r="G492" s="3" t="str">
        <f t="shared" si="1"/>
        <v>ACTIVE</v>
      </c>
    </row>
    <row r="493" ht="22.5" customHeight="1">
      <c r="A493" s="11" t="str">
        <f t="array" ref="A493">IFERROR(
  INDEX('Starlink Launches'!$A:$A, MATCH($E493, 'Starlink Launches'!$B:$B, 0)),
  ""
)
</f>
        <v>6-25</v>
      </c>
      <c r="B493" s="3" t="s">
        <v>25</v>
      </c>
      <c r="C493" s="12" t="s">
        <v>505</v>
      </c>
      <c r="D493" s="13">
        <v>58184.0</v>
      </c>
      <c r="E493" s="4">
        <v>45229.0</v>
      </c>
      <c r="F493" s="4" t="str">
        <f>IF(D493="","", IFNA(VLOOKUP(D493, SATCAT_DECAY!A:B, 2, FALSE), ""))
</f>
        <v/>
      </c>
      <c r="G493" s="3" t="str">
        <f t="shared" si="1"/>
        <v>ACTIVE</v>
      </c>
    </row>
    <row r="494" ht="22.5" customHeight="1">
      <c r="A494" s="11" t="str">
        <f t="array" ref="A494">IFERROR(
  INDEX('Starlink Launches'!$A:$A, MATCH($E494, 'Starlink Launches'!$B:$B, 0)),
  ""
)
</f>
        <v>6-25</v>
      </c>
      <c r="B494" s="3" t="s">
        <v>25</v>
      </c>
      <c r="C494" s="12" t="s">
        <v>506</v>
      </c>
      <c r="D494" s="13">
        <v>58185.0</v>
      </c>
      <c r="E494" s="4">
        <v>45229.0</v>
      </c>
      <c r="F494" s="4" t="str">
        <f>IF(D494="","", IFNA(VLOOKUP(D494, SATCAT_DECAY!A:B, 2, FALSE), ""))
</f>
        <v/>
      </c>
      <c r="G494" s="3" t="str">
        <f t="shared" si="1"/>
        <v>ACTIVE</v>
      </c>
    </row>
    <row r="495" ht="22.5" customHeight="1">
      <c r="A495" s="11" t="str">
        <f t="array" ref="A495">IFERROR(
  INDEX('Starlink Launches'!$A:$A, MATCH($E495, 'Starlink Launches'!$B:$B, 0)),
  ""
)
</f>
        <v>6-25</v>
      </c>
      <c r="B495" s="3" t="s">
        <v>25</v>
      </c>
      <c r="C495" s="12" t="s">
        <v>507</v>
      </c>
      <c r="D495" s="13">
        <v>58186.0</v>
      </c>
      <c r="E495" s="4">
        <v>45229.0</v>
      </c>
      <c r="F495" s="4" t="str">
        <f>IF(D495="","", IFNA(VLOOKUP(D495, SATCAT_DECAY!A:B, 2, FALSE), ""))
</f>
        <v/>
      </c>
      <c r="G495" s="3" t="str">
        <f t="shared" si="1"/>
        <v>ACTIVE</v>
      </c>
    </row>
    <row r="496" ht="22.5" customHeight="1">
      <c r="A496" s="11" t="str">
        <f t="array" ref="A496">IFERROR(
  INDEX('Starlink Launches'!$A:$A, MATCH($E496, 'Starlink Launches'!$B:$B, 0)),
  ""
)
</f>
        <v>6-25</v>
      </c>
      <c r="B496" s="3" t="s">
        <v>25</v>
      </c>
      <c r="C496" s="12" t="s">
        <v>508</v>
      </c>
      <c r="D496" s="13">
        <v>58187.0</v>
      </c>
      <c r="E496" s="4">
        <v>45229.0</v>
      </c>
      <c r="F496" s="4" t="str">
        <f>IF(D496="","", IFNA(VLOOKUP(D496, SATCAT_DECAY!A:B, 2, FALSE), ""))
</f>
        <v/>
      </c>
      <c r="G496" s="3" t="str">
        <f t="shared" si="1"/>
        <v>ACTIVE</v>
      </c>
    </row>
    <row r="497" ht="22.5" customHeight="1">
      <c r="A497" s="11" t="str">
        <f t="array" ref="A497">IFERROR(
  INDEX('Starlink Launches'!$A:$A, MATCH($E497, 'Starlink Launches'!$B:$B, 0)),
  ""
)
</f>
        <v>6-25</v>
      </c>
      <c r="B497" s="3" t="s">
        <v>25</v>
      </c>
      <c r="C497" s="12" t="s">
        <v>509</v>
      </c>
      <c r="D497" s="13">
        <v>58188.0</v>
      </c>
      <c r="E497" s="4">
        <v>45229.0</v>
      </c>
      <c r="F497" s="4" t="str">
        <f>IF(D497="","", IFNA(VLOOKUP(D497, SATCAT_DECAY!A:B, 2, FALSE), ""))
</f>
        <v/>
      </c>
      <c r="G497" s="3" t="str">
        <f t="shared" si="1"/>
        <v>ACTIVE</v>
      </c>
    </row>
    <row r="498" ht="22.5" customHeight="1">
      <c r="A498" s="11" t="str">
        <f t="array" ref="A498">IFERROR(
  INDEX('Starlink Launches'!$A:$A, MATCH($E498, 'Starlink Launches'!$B:$B, 0)),
  ""
)
</f>
        <v>6-25</v>
      </c>
      <c r="B498" s="3" t="s">
        <v>25</v>
      </c>
      <c r="C498" s="12" t="s">
        <v>510</v>
      </c>
      <c r="D498" s="13">
        <v>58189.0</v>
      </c>
      <c r="E498" s="4">
        <v>45229.0</v>
      </c>
      <c r="F498" s="4" t="str">
        <f>IF(D498="","", IFNA(VLOOKUP(D498, SATCAT_DECAY!A:B, 2, FALSE), ""))
</f>
        <v/>
      </c>
      <c r="G498" s="3" t="str">
        <f t="shared" si="1"/>
        <v>ACTIVE</v>
      </c>
    </row>
    <row r="499" ht="22.5" customHeight="1">
      <c r="A499" s="11" t="str">
        <f t="array" ref="A499">IFERROR(
  INDEX('Starlink Launches'!$A:$A, MATCH($E499, 'Starlink Launches'!$B:$B, 0)),
  ""
)
</f>
        <v>6-25</v>
      </c>
      <c r="B499" s="3" t="s">
        <v>25</v>
      </c>
      <c r="C499" s="12" t="s">
        <v>511</v>
      </c>
      <c r="D499" s="13">
        <v>58190.0</v>
      </c>
      <c r="E499" s="4">
        <v>45229.0</v>
      </c>
      <c r="F499" s="4" t="str">
        <f>IF(D499="","", IFNA(VLOOKUP(D499, SATCAT_DECAY!A:B, 2, FALSE), ""))
</f>
        <v/>
      </c>
      <c r="G499" s="3" t="str">
        <f t="shared" si="1"/>
        <v>ACTIVE</v>
      </c>
    </row>
    <row r="500" ht="22.5" customHeight="1">
      <c r="A500" s="11" t="str">
        <f t="array" ref="A500">IFERROR(
  INDEX('Starlink Launches'!$A:$A, MATCH($E500, 'Starlink Launches'!$B:$B, 0)),
  ""
)
</f>
        <v>6-25</v>
      </c>
      <c r="B500" s="3" t="s">
        <v>25</v>
      </c>
      <c r="C500" s="12" t="s">
        <v>512</v>
      </c>
      <c r="D500" s="13">
        <v>58191.0</v>
      </c>
      <c r="E500" s="4">
        <v>45229.0</v>
      </c>
      <c r="F500" s="4" t="str">
        <f>IF(D500="","", IFNA(VLOOKUP(D500, SATCAT_DECAY!A:B, 2, FALSE), ""))
</f>
        <v/>
      </c>
      <c r="G500" s="3" t="str">
        <f t="shared" si="1"/>
        <v>ACTIVE</v>
      </c>
    </row>
    <row r="501" ht="22.5" customHeight="1">
      <c r="A501" s="11" t="str">
        <f t="array" ref="A501">IFERROR(
  INDEX('Starlink Launches'!$A:$A, MATCH($E501, 'Starlink Launches'!$B:$B, 0)),
  ""
)
</f>
        <v>6-25</v>
      </c>
      <c r="B501" s="3" t="s">
        <v>25</v>
      </c>
      <c r="C501" s="12" t="s">
        <v>513</v>
      </c>
      <c r="D501" s="13">
        <v>58192.0</v>
      </c>
      <c r="E501" s="4">
        <v>45229.0</v>
      </c>
      <c r="F501" s="4" t="str">
        <f>IF(D501="","", IFNA(VLOOKUP(D501, SATCAT_DECAY!A:B, 2, FALSE), ""))
</f>
        <v/>
      </c>
      <c r="G501" s="3" t="str">
        <f t="shared" si="1"/>
        <v>ACTIVE</v>
      </c>
    </row>
    <row r="502" ht="22.5" customHeight="1">
      <c r="A502" s="11" t="str">
        <f t="array" ref="A502">IFERROR(
  INDEX('Starlink Launches'!$A:$A, MATCH($E502, 'Starlink Launches'!$B:$B, 0)),
  ""
)
</f>
        <v>6-25</v>
      </c>
      <c r="B502" s="3" t="s">
        <v>25</v>
      </c>
      <c r="C502" s="12" t="s">
        <v>514</v>
      </c>
      <c r="D502" s="13">
        <v>58193.0</v>
      </c>
      <c r="E502" s="4">
        <v>45229.0</v>
      </c>
      <c r="F502" s="4" t="str">
        <f>IF(D502="","", IFNA(VLOOKUP(D502, SATCAT_DECAY!A:B, 2, FALSE), ""))
</f>
        <v/>
      </c>
      <c r="G502" s="3" t="str">
        <f t="shared" si="1"/>
        <v>ACTIVE</v>
      </c>
    </row>
    <row r="503" ht="22.5" customHeight="1">
      <c r="A503" s="11" t="str">
        <f t="array" ref="A503">IFERROR(
  INDEX('Starlink Launches'!$A:$A, MATCH($E503, 'Starlink Launches'!$B:$B, 0)),
  ""
)
</f>
        <v>6-25</v>
      </c>
      <c r="B503" s="3" t="s">
        <v>25</v>
      </c>
      <c r="C503" s="12" t="s">
        <v>515</v>
      </c>
      <c r="D503" s="13">
        <v>58194.0</v>
      </c>
      <c r="E503" s="4">
        <v>45229.0</v>
      </c>
      <c r="F503" s="4" t="str">
        <f>IF(D503="","", IFNA(VLOOKUP(D503, SATCAT_DECAY!A:B, 2, FALSE), ""))
</f>
        <v/>
      </c>
      <c r="G503" s="3" t="str">
        <f t="shared" si="1"/>
        <v>ACTIVE</v>
      </c>
    </row>
    <row r="504" ht="22.5" customHeight="1">
      <c r="A504" s="11" t="str">
        <f t="array" ref="A504">IFERROR(
  INDEX('Starlink Launches'!$A:$A, MATCH($E504, 'Starlink Launches'!$B:$B, 0)),
  ""
)
</f>
        <v>6-25</v>
      </c>
      <c r="B504" s="3" t="s">
        <v>25</v>
      </c>
      <c r="C504" s="12" t="s">
        <v>516</v>
      </c>
      <c r="D504" s="13">
        <v>58195.0</v>
      </c>
      <c r="E504" s="4">
        <v>45229.0</v>
      </c>
      <c r="F504" s="4" t="str">
        <f>IF(D504="","", IFNA(VLOOKUP(D504, SATCAT_DECAY!A:B, 2, FALSE), ""))
</f>
        <v/>
      </c>
      <c r="G504" s="3" t="str">
        <f t="shared" si="1"/>
        <v>ACTIVE</v>
      </c>
    </row>
    <row r="505" ht="22.5" customHeight="1">
      <c r="A505" s="11" t="str">
        <f t="array" ref="A505">IFERROR(
  INDEX('Starlink Launches'!$A:$A, MATCH($E505, 'Starlink Launches'!$B:$B, 0)),
  ""
)
</f>
        <v>6-25</v>
      </c>
      <c r="B505" s="3" t="s">
        <v>25</v>
      </c>
      <c r="C505" s="12" t="s">
        <v>517</v>
      </c>
      <c r="D505" s="13">
        <v>58196.0</v>
      </c>
      <c r="E505" s="4">
        <v>45229.0</v>
      </c>
      <c r="F505" s="4" t="str">
        <f>IF(D505="","", IFNA(VLOOKUP(D505, SATCAT_DECAY!A:B, 2, FALSE), ""))
</f>
        <v/>
      </c>
      <c r="G505" s="3" t="str">
        <f t="shared" si="1"/>
        <v>ACTIVE</v>
      </c>
    </row>
    <row r="506" ht="22.5" customHeight="1">
      <c r="A506" s="11" t="str">
        <f t="array" ref="A506">IFERROR(
  INDEX('Starlink Launches'!$A:$A, MATCH($E506, 'Starlink Launches'!$B:$B, 0)),
  ""
)
</f>
        <v>6-25</v>
      </c>
      <c r="B506" s="3" t="s">
        <v>25</v>
      </c>
      <c r="C506" s="12" t="s">
        <v>518</v>
      </c>
      <c r="D506" s="13">
        <v>58197.0</v>
      </c>
      <c r="E506" s="4">
        <v>45229.0</v>
      </c>
      <c r="F506" s="4" t="str">
        <f>IF(D506="","", IFNA(VLOOKUP(D506, SATCAT_DECAY!A:B, 2, FALSE), ""))
</f>
        <v/>
      </c>
      <c r="G506" s="3" t="str">
        <f t="shared" si="1"/>
        <v>ACTIVE</v>
      </c>
    </row>
    <row r="507" ht="22.5" customHeight="1">
      <c r="A507" s="11" t="str">
        <f t="array" ref="A507">IFERROR(
  INDEX('Starlink Launches'!$A:$A, MATCH($E507, 'Starlink Launches'!$B:$B, 0)),
  ""
)
</f>
        <v>6-26</v>
      </c>
      <c r="B507" s="3" t="s">
        <v>25</v>
      </c>
      <c r="C507" s="12" t="s">
        <v>519</v>
      </c>
      <c r="D507" s="13">
        <v>58206.0</v>
      </c>
      <c r="E507" s="4">
        <v>45233.0</v>
      </c>
      <c r="F507" s="4" t="str">
        <f>IF(D507="","", IFNA(VLOOKUP(D507, SATCAT_DECAY!A:B, 2, FALSE), ""))
</f>
        <v/>
      </c>
      <c r="G507" s="3" t="str">
        <f t="shared" si="1"/>
        <v>ACTIVE</v>
      </c>
    </row>
    <row r="508" ht="22.5" customHeight="1">
      <c r="A508" s="11" t="str">
        <f t="array" ref="A508">IFERROR(
  INDEX('Starlink Launches'!$A:$A, MATCH($E508, 'Starlink Launches'!$B:$B, 0)),
  ""
)
</f>
        <v>6-26</v>
      </c>
      <c r="B508" s="3" t="s">
        <v>25</v>
      </c>
      <c r="C508" s="12" t="s">
        <v>520</v>
      </c>
      <c r="D508" s="13">
        <v>58207.0</v>
      </c>
      <c r="E508" s="4">
        <v>45233.0</v>
      </c>
      <c r="F508" s="4" t="str">
        <f>IF(D508="","", IFNA(VLOOKUP(D508, SATCAT_DECAY!A:B, 2, FALSE), ""))
</f>
        <v/>
      </c>
      <c r="G508" s="3" t="str">
        <f t="shared" si="1"/>
        <v>ACTIVE</v>
      </c>
    </row>
    <row r="509" ht="22.5" customHeight="1">
      <c r="A509" s="11" t="str">
        <f t="array" ref="A509">IFERROR(
  INDEX('Starlink Launches'!$A:$A, MATCH($E509, 'Starlink Launches'!$B:$B, 0)),
  ""
)
</f>
        <v>6-26</v>
      </c>
      <c r="B509" s="3" t="s">
        <v>25</v>
      </c>
      <c r="C509" s="12" t="s">
        <v>521</v>
      </c>
      <c r="D509" s="13">
        <v>58208.0</v>
      </c>
      <c r="E509" s="4">
        <v>45233.0</v>
      </c>
      <c r="F509" s="4" t="str">
        <f>IF(D509="","", IFNA(VLOOKUP(D509, SATCAT_DECAY!A:B, 2, FALSE), ""))
</f>
        <v/>
      </c>
      <c r="G509" s="3" t="str">
        <f t="shared" si="1"/>
        <v>ACTIVE</v>
      </c>
    </row>
    <row r="510" ht="22.5" customHeight="1">
      <c r="A510" s="11" t="str">
        <f t="array" ref="A510">IFERROR(
  INDEX('Starlink Launches'!$A:$A, MATCH($E510, 'Starlink Launches'!$B:$B, 0)),
  ""
)
</f>
        <v>6-26</v>
      </c>
      <c r="B510" s="3" t="s">
        <v>25</v>
      </c>
      <c r="C510" s="12" t="s">
        <v>522</v>
      </c>
      <c r="D510" s="13">
        <v>58209.0</v>
      </c>
      <c r="E510" s="4">
        <v>45233.0</v>
      </c>
      <c r="F510" s="4" t="str">
        <f>IF(D510="","", IFNA(VLOOKUP(D510, SATCAT_DECAY!A:B, 2, FALSE), ""))
</f>
        <v/>
      </c>
      <c r="G510" s="3" t="str">
        <f t="shared" si="1"/>
        <v>ACTIVE</v>
      </c>
    </row>
    <row r="511" ht="22.5" customHeight="1">
      <c r="A511" s="11" t="str">
        <f t="array" ref="A511">IFERROR(
  INDEX('Starlink Launches'!$A:$A, MATCH($E511, 'Starlink Launches'!$B:$B, 0)),
  ""
)
</f>
        <v>6-26</v>
      </c>
      <c r="B511" s="3" t="s">
        <v>25</v>
      </c>
      <c r="C511" s="12" t="s">
        <v>523</v>
      </c>
      <c r="D511" s="13">
        <v>58210.0</v>
      </c>
      <c r="E511" s="4">
        <v>45233.0</v>
      </c>
      <c r="F511" s="4" t="str">
        <f>IF(D511="","", IFNA(VLOOKUP(D511, SATCAT_DECAY!A:B, 2, FALSE), ""))
</f>
        <v/>
      </c>
      <c r="G511" s="3" t="str">
        <f t="shared" si="1"/>
        <v>ACTIVE</v>
      </c>
    </row>
    <row r="512" ht="22.5" customHeight="1">
      <c r="A512" s="11" t="str">
        <f t="array" ref="A512">IFERROR(
  INDEX('Starlink Launches'!$A:$A, MATCH($E512, 'Starlink Launches'!$B:$B, 0)),
  ""
)
</f>
        <v>6-26</v>
      </c>
      <c r="B512" s="3" t="s">
        <v>25</v>
      </c>
      <c r="C512" s="12" t="s">
        <v>524</v>
      </c>
      <c r="D512" s="13">
        <v>58211.0</v>
      </c>
      <c r="E512" s="4">
        <v>45233.0</v>
      </c>
      <c r="F512" s="4" t="str">
        <f>IF(D512="","", IFNA(VLOOKUP(D512, SATCAT_DECAY!A:B, 2, FALSE), ""))
</f>
        <v/>
      </c>
      <c r="G512" s="3" t="str">
        <f t="shared" si="1"/>
        <v>ACTIVE</v>
      </c>
    </row>
    <row r="513" ht="22.5" customHeight="1">
      <c r="A513" s="11" t="str">
        <f t="array" ref="A513">IFERROR(
  INDEX('Starlink Launches'!$A:$A, MATCH($E513, 'Starlink Launches'!$B:$B, 0)),
  ""
)
</f>
        <v>6-26</v>
      </c>
      <c r="B513" s="3" t="s">
        <v>25</v>
      </c>
      <c r="C513" s="12" t="s">
        <v>525</v>
      </c>
      <c r="D513" s="13">
        <v>58212.0</v>
      </c>
      <c r="E513" s="4">
        <v>45233.0</v>
      </c>
      <c r="F513" s="4" t="str">
        <f>IF(D513="","", IFNA(VLOOKUP(D513, SATCAT_DECAY!A:B, 2, FALSE), ""))
</f>
        <v/>
      </c>
      <c r="G513" s="3" t="str">
        <f t="shared" si="1"/>
        <v>ACTIVE</v>
      </c>
    </row>
    <row r="514" ht="22.5" customHeight="1">
      <c r="A514" s="11" t="str">
        <f t="array" ref="A514">IFERROR(
  INDEX('Starlink Launches'!$A:$A, MATCH($E514, 'Starlink Launches'!$B:$B, 0)),
  ""
)
</f>
        <v>6-26</v>
      </c>
      <c r="B514" s="3" t="s">
        <v>25</v>
      </c>
      <c r="C514" s="12" t="s">
        <v>526</v>
      </c>
      <c r="D514" s="13">
        <v>58213.0</v>
      </c>
      <c r="E514" s="4">
        <v>45233.0</v>
      </c>
      <c r="F514" s="4" t="str">
        <f>IF(D514="","", IFNA(VLOOKUP(D514, SATCAT_DECAY!A:B, 2, FALSE), ""))
</f>
        <v/>
      </c>
      <c r="G514" s="3" t="str">
        <f t="shared" si="1"/>
        <v>ACTIVE</v>
      </c>
    </row>
    <row r="515" ht="22.5" customHeight="1">
      <c r="A515" s="11" t="str">
        <f t="array" ref="A515">IFERROR(
  INDEX('Starlink Launches'!$A:$A, MATCH($E515, 'Starlink Launches'!$B:$B, 0)),
  ""
)
</f>
        <v>6-26</v>
      </c>
      <c r="B515" s="3" t="s">
        <v>25</v>
      </c>
      <c r="C515" s="12" t="s">
        <v>527</v>
      </c>
      <c r="D515" s="13">
        <v>58214.0</v>
      </c>
      <c r="E515" s="4">
        <v>45233.0</v>
      </c>
      <c r="F515" s="4" t="str">
        <f>IF(D515="","", IFNA(VLOOKUP(D515, SATCAT_DECAY!A:B, 2, FALSE), ""))
</f>
        <v/>
      </c>
      <c r="G515" s="3" t="str">
        <f t="shared" si="1"/>
        <v>ACTIVE</v>
      </c>
    </row>
    <row r="516" ht="22.5" customHeight="1">
      <c r="A516" s="11" t="str">
        <f t="array" ref="A516">IFERROR(
  INDEX('Starlink Launches'!$A:$A, MATCH($E516, 'Starlink Launches'!$B:$B, 0)),
  ""
)
</f>
        <v>6-26</v>
      </c>
      <c r="B516" s="3" t="s">
        <v>25</v>
      </c>
      <c r="C516" s="12" t="s">
        <v>528</v>
      </c>
      <c r="D516" s="13">
        <v>58215.0</v>
      </c>
      <c r="E516" s="4">
        <v>45233.0</v>
      </c>
      <c r="F516" s="4" t="str">
        <f>IF(D516="","", IFNA(VLOOKUP(D516, SATCAT_DECAY!A:B, 2, FALSE), ""))
</f>
        <v/>
      </c>
      <c r="G516" s="3" t="str">
        <f t="shared" si="1"/>
        <v>ACTIVE</v>
      </c>
    </row>
    <row r="517" ht="22.5" customHeight="1">
      <c r="A517" s="11" t="str">
        <f t="array" ref="A517">IFERROR(
  INDEX('Starlink Launches'!$A:$A, MATCH($E517, 'Starlink Launches'!$B:$B, 0)),
  ""
)
</f>
        <v>6-26</v>
      </c>
      <c r="B517" s="3" t="s">
        <v>25</v>
      </c>
      <c r="C517" s="12" t="s">
        <v>529</v>
      </c>
      <c r="D517" s="13">
        <v>58217.0</v>
      </c>
      <c r="E517" s="4">
        <v>45233.0</v>
      </c>
      <c r="F517" s="4" t="str">
        <f>IF(D517="","", IFNA(VLOOKUP(D517, SATCAT_DECAY!A:B, 2, FALSE), ""))
</f>
        <v/>
      </c>
      <c r="G517" s="3" t="str">
        <f t="shared" si="1"/>
        <v>ACTIVE</v>
      </c>
    </row>
    <row r="518" ht="22.5" customHeight="1">
      <c r="A518" s="11" t="str">
        <f t="array" ref="A518">IFERROR(
  INDEX('Starlink Launches'!$A:$A, MATCH($E518, 'Starlink Launches'!$B:$B, 0)),
  ""
)
</f>
        <v>6-26</v>
      </c>
      <c r="B518" s="3" t="s">
        <v>25</v>
      </c>
      <c r="C518" s="12" t="s">
        <v>530</v>
      </c>
      <c r="D518" s="13">
        <v>58218.0</v>
      </c>
      <c r="E518" s="4">
        <v>45233.0</v>
      </c>
      <c r="F518" s="4" t="str">
        <f>IF(D518="","", IFNA(VLOOKUP(D518, SATCAT_DECAY!A:B, 2, FALSE), ""))
</f>
        <v/>
      </c>
      <c r="G518" s="3" t="str">
        <f t="shared" si="1"/>
        <v>ACTIVE</v>
      </c>
    </row>
    <row r="519" ht="22.5" customHeight="1">
      <c r="A519" s="11" t="str">
        <f t="array" ref="A519">IFERROR(
  INDEX('Starlink Launches'!$A:$A, MATCH($E519, 'Starlink Launches'!$B:$B, 0)),
  ""
)
</f>
        <v>6-26</v>
      </c>
      <c r="B519" s="3" t="s">
        <v>25</v>
      </c>
      <c r="C519" s="12" t="s">
        <v>531</v>
      </c>
      <c r="D519" s="13">
        <v>58219.0</v>
      </c>
      <c r="E519" s="4">
        <v>45233.0</v>
      </c>
      <c r="F519" s="4" t="str">
        <f>IF(D519="","", IFNA(VLOOKUP(D519, SATCAT_DECAY!A:B, 2, FALSE), ""))
</f>
        <v/>
      </c>
      <c r="G519" s="3" t="str">
        <f t="shared" si="1"/>
        <v>ACTIVE</v>
      </c>
    </row>
    <row r="520" ht="22.5" customHeight="1">
      <c r="A520" s="11" t="str">
        <f t="array" ref="A520">IFERROR(
  INDEX('Starlink Launches'!$A:$A, MATCH($E520, 'Starlink Launches'!$B:$B, 0)),
  ""
)
</f>
        <v>6-26</v>
      </c>
      <c r="B520" s="3" t="s">
        <v>25</v>
      </c>
      <c r="C520" s="12" t="s">
        <v>532</v>
      </c>
      <c r="D520" s="13">
        <v>58220.0</v>
      </c>
      <c r="E520" s="4">
        <v>45233.0</v>
      </c>
      <c r="F520" s="4" t="str">
        <f>IF(D520="","", IFNA(VLOOKUP(D520, SATCAT_DECAY!A:B, 2, FALSE), ""))
</f>
        <v/>
      </c>
      <c r="G520" s="3" t="str">
        <f t="shared" si="1"/>
        <v>ACTIVE</v>
      </c>
    </row>
    <row r="521" ht="22.5" customHeight="1">
      <c r="A521" s="11" t="str">
        <f t="array" ref="A521">IFERROR(
  INDEX('Starlink Launches'!$A:$A, MATCH($E521, 'Starlink Launches'!$B:$B, 0)),
  ""
)
</f>
        <v>6-26</v>
      </c>
      <c r="B521" s="3" t="s">
        <v>25</v>
      </c>
      <c r="C521" s="12" t="s">
        <v>533</v>
      </c>
      <c r="D521" s="13">
        <v>58221.0</v>
      </c>
      <c r="E521" s="4">
        <v>45233.0</v>
      </c>
      <c r="F521" s="4" t="str">
        <f>IF(D521="","", IFNA(VLOOKUP(D521, SATCAT_DECAY!A:B, 2, FALSE), ""))
</f>
        <v/>
      </c>
      <c r="G521" s="3" t="str">
        <f t="shared" si="1"/>
        <v>ACTIVE</v>
      </c>
    </row>
    <row r="522" ht="22.5" customHeight="1">
      <c r="A522" s="11" t="str">
        <f t="array" ref="A522">IFERROR(
  INDEX('Starlink Launches'!$A:$A, MATCH($E522, 'Starlink Launches'!$B:$B, 0)),
  ""
)
</f>
        <v>6-26</v>
      </c>
      <c r="B522" s="3" t="s">
        <v>25</v>
      </c>
      <c r="C522" s="12" t="s">
        <v>534</v>
      </c>
      <c r="D522" s="13">
        <v>58222.0</v>
      </c>
      <c r="E522" s="4">
        <v>45233.0</v>
      </c>
      <c r="F522" s="4" t="str">
        <f>IF(D522="","", IFNA(VLOOKUP(D522, SATCAT_DECAY!A:B, 2, FALSE), ""))
</f>
        <v/>
      </c>
      <c r="G522" s="3" t="str">
        <f t="shared" si="1"/>
        <v>ACTIVE</v>
      </c>
    </row>
    <row r="523" ht="22.5" customHeight="1">
      <c r="A523" s="11" t="str">
        <f t="array" ref="A523">IFERROR(
  INDEX('Starlink Launches'!$A:$A, MATCH($E523, 'Starlink Launches'!$B:$B, 0)),
  ""
)
</f>
        <v>6-26</v>
      </c>
      <c r="B523" s="3" t="s">
        <v>25</v>
      </c>
      <c r="C523" s="12" t="s">
        <v>535</v>
      </c>
      <c r="D523" s="13">
        <v>58223.0</v>
      </c>
      <c r="E523" s="4">
        <v>45233.0</v>
      </c>
      <c r="F523" s="4" t="str">
        <f>IF(D523="","", IFNA(VLOOKUP(D523, SATCAT_DECAY!A:B, 2, FALSE), ""))
</f>
        <v/>
      </c>
      <c r="G523" s="3" t="str">
        <f t="shared" si="1"/>
        <v>ACTIVE</v>
      </c>
    </row>
    <row r="524" ht="22.5" customHeight="1">
      <c r="A524" s="11" t="str">
        <f t="array" ref="A524">IFERROR(
  INDEX('Starlink Launches'!$A:$A, MATCH($E524, 'Starlink Launches'!$B:$B, 0)),
  ""
)
</f>
        <v>6-26</v>
      </c>
      <c r="B524" s="3" t="s">
        <v>25</v>
      </c>
      <c r="C524" s="12" t="s">
        <v>536</v>
      </c>
      <c r="D524" s="13">
        <v>58224.0</v>
      </c>
      <c r="E524" s="4">
        <v>45233.0</v>
      </c>
      <c r="F524" s="4" t="str">
        <f>IF(D524="","", IFNA(VLOOKUP(D524, SATCAT_DECAY!A:B, 2, FALSE), ""))
</f>
        <v/>
      </c>
      <c r="G524" s="3" t="str">
        <f t="shared" si="1"/>
        <v>ACTIVE</v>
      </c>
    </row>
    <row r="525" ht="22.5" customHeight="1">
      <c r="A525" s="11" t="str">
        <f t="array" ref="A525">IFERROR(
  INDEX('Starlink Launches'!$A:$A, MATCH($E525, 'Starlink Launches'!$B:$B, 0)),
  ""
)
</f>
        <v>6-26</v>
      </c>
      <c r="B525" s="3" t="s">
        <v>25</v>
      </c>
      <c r="C525" s="12" t="s">
        <v>537</v>
      </c>
      <c r="D525" s="13">
        <v>58225.0</v>
      </c>
      <c r="E525" s="4">
        <v>45233.0</v>
      </c>
      <c r="F525" s="4" t="str">
        <f>IF(D525="","", IFNA(VLOOKUP(D525, SATCAT_DECAY!A:B, 2, FALSE), ""))
</f>
        <v/>
      </c>
      <c r="G525" s="3" t="str">
        <f t="shared" si="1"/>
        <v>ACTIVE</v>
      </c>
    </row>
    <row r="526" ht="22.5" customHeight="1">
      <c r="A526" s="11" t="str">
        <f t="array" ref="A526">IFERROR(
  INDEX('Starlink Launches'!$A:$A, MATCH($E526, 'Starlink Launches'!$B:$B, 0)),
  ""
)
</f>
        <v>6-26</v>
      </c>
      <c r="B526" s="3" t="s">
        <v>25</v>
      </c>
      <c r="C526" s="12" t="s">
        <v>538</v>
      </c>
      <c r="D526" s="13">
        <v>58226.0</v>
      </c>
      <c r="E526" s="4">
        <v>45233.0</v>
      </c>
      <c r="F526" s="4" t="str">
        <f>IF(D526="","", IFNA(VLOOKUP(D526, SATCAT_DECAY!A:B, 2, FALSE), ""))
</f>
        <v/>
      </c>
      <c r="G526" s="3" t="str">
        <f t="shared" si="1"/>
        <v>ACTIVE</v>
      </c>
    </row>
    <row r="527" ht="22.5" customHeight="1">
      <c r="A527" s="11" t="str">
        <f t="array" ref="A527">IFERROR(
  INDEX('Starlink Launches'!$A:$A, MATCH($E527, 'Starlink Launches'!$B:$B, 0)),
  ""
)
</f>
        <v>6-26</v>
      </c>
      <c r="B527" s="3" t="s">
        <v>25</v>
      </c>
      <c r="C527" s="12" t="s">
        <v>539</v>
      </c>
      <c r="D527" s="13">
        <v>58227.0</v>
      </c>
      <c r="E527" s="4">
        <v>45233.0</v>
      </c>
      <c r="F527" s="4" t="str">
        <f>IF(D527="","", IFNA(VLOOKUP(D527, SATCAT_DECAY!A:B, 2, FALSE), ""))
</f>
        <v/>
      </c>
      <c r="G527" s="3" t="str">
        <f t="shared" si="1"/>
        <v>ACTIVE</v>
      </c>
    </row>
    <row r="528" ht="22.5" customHeight="1">
      <c r="A528" s="11" t="str">
        <f t="array" ref="A528">IFERROR(
  INDEX('Starlink Launches'!$A:$A, MATCH($E528, 'Starlink Launches'!$B:$B, 0)),
  ""
)
</f>
        <v>6-26</v>
      </c>
      <c r="B528" s="3" t="s">
        <v>25</v>
      </c>
      <c r="C528" s="12" t="s">
        <v>540</v>
      </c>
      <c r="D528" s="13">
        <v>58228.0</v>
      </c>
      <c r="E528" s="4">
        <v>45233.0</v>
      </c>
      <c r="F528" s="4" t="str">
        <f>IF(D528="","", IFNA(VLOOKUP(D528, SATCAT_DECAY!A:B, 2, FALSE), ""))
</f>
        <v/>
      </c>
      <c r="G528" s="3" t="str">
        <f t="shared" si="1"/>
        <v>ACTIVE</v>
      </c>
    </row>
    <row r="529" ht="22.5" customHeight="1">
      <c r="A529" s="11" t="str">
        <f t="array" ref="A529">IFERROR(
  INDEX('Starlink Launches'!$A:$A, MATCH($E529, 'Starlink Launches'!$B:$B, 0)),
  ""
)
</f>
        <v>6-27</v>
      </c>
      <c r="B529" s="3" t="s">
        <v>25</v>
      </c>
      <c r="C529" s="12" t="s">
        <v>541</v>
      </c>
      <c r="D529" s="13">
        <v>58230.0</v>
      </c>
      <c r="E529" s="4">
        <v>45238.0</v>
      </c>
      <c r="F529" s="4" t="str">
        <f>IF(D529="","", IFNA(VLOOKUP(D529, SATCAT_DECAY!A:B, 2, FALSE), ""))
</f>
        <v/>
      </c>
      <c r="G529" s="3" t="str">
        <f t="shared" si="1"/>
        <v>ACTIVE</v>
      </c>
    </row>
    <row r="530" ht="22.5" customHeight="1">
      <c r="A530" s="11" t="str">
        <f t="array" ref="A530">IFERROR(
  INDEX('Starlink Launches'!$A:$A, MATCH($E530, 'Starlink Launches'!$B:$B, 0)),
  ""
)
</f>
        <v>6-27</v>
      </c>
      <c r="B530" s="3" t="s">
        <v>25</v>
      </c>
      <c r="C530" s="12" t="s">
        <v>542</v>
      </c>
      <c r="D530" s="13">
        <v>58231.0</v>
      </c>
      <c r="E530" s="4">
        <v>45238.0</v>
      </c>
      <c r="F530" s="4" t="str">
        <f>IF(D530="","", IFNA(VLOOKUP(D530, SATCAT_DECAY!A:B, 2, FALSE), ""))
</f>
        <v/>
      </c>
      <c r="G530" s="3" t="str">
        <f t="shared" si="1"/>
        <v>ACTIVE</v>
      </c>
    </row>
    <row r="531" ht="22.5" customHeight="1">
      <c r="A531" s="11" t="str">
        <f t="array" ref="A531">IFERROR(
  INDEX('Starlink Launches'!$A:$A, MATCH($E531, 'Starlink Launches'!$B:$B, 0)),
  ""
)
</f>
        <v>6-27</v>
      </c>
      <c r="B531" s="3" t="s">
        <v>25</v>
      </c>
      <c r="C531" s="12" t="s">
        <v>543</v>
      </c>
      <c r="D531" s="13">
        <v>58232.0</v>
      </c>
      <c r="E531" s="4">
        <v>45238.0</v>
      </c>
      <c r="F531" s="4" t="str">
        <f>IF(D531="","", IFNA(VLOOKUP(D531, SATCAT_DECAY!A:B, 2, FALSE), ""))
</f>
        <v/>
      </c>
      <c r="G531" s="3" t="str">
        <f t="shared" si="1"/>
        <v>ACTIVE</v>
      </c>
    </row>
    <row r="532" ht="22.5" customHeight="1">
      <c r="A532" s="11" t="str">
        <f t="array" ref="A532">IFERROR(
  INDEX('Starlink Launches'!$A:$A, MATCH($E532, 'Starlink Launches'!$B:$B, 0)),
  ""
)
</f>
        <v>6-27</v>
      </c>
      <c r="B532" s="3" t="s">
        <v>25</v>
      </c>
      <c r="C532" s="12" t="s">
        <v>544</v>
      </c>
      <c r="D532" s="13">
        <v>58233.0</v>
      </c>
      <c r="E532" s="4">
        <v>45238.0</v>
      </c>
      <c r="F532" s="4" t="str">
        <f>IF(D532="","", IFNA(VLOOKUP(D532, SATCAT_DECAY!A:B, 2, FALSE), ""))
</f>
        <v/>
      </c>
      <c r="G532" s="3" t="str">
        <f t="shared" si="1"/>
        <v>ACTIVE</v>
      </c>
    </row>
    <row r="533" ht="22.5" customHeight="1">
      <c r="A533" s="11" t="str">
        <f t="array" ref="A533">IFERROR(
  INDEX('Starlink Launches'!$A:$A, MATCH($E533, 'Starlink Launches'!$B:$B, 0)),
  ""
)
</f>
        <v>6-27</v>
      </c>
      <c r="B533" s="3" t="s">
        <v>25</v>
      </c>
      <c r="C533" s="12" t="s">
        <v>545</v>
      </c>
      <c r="D533" s="13">
        <v>58234.0</v>
      </c>
      <c r="E533" s="4">
        <v>45238.0</v>
      </c>
      <c r="F533" s="4" t="str">
        <f>IF(D533="","", IFNA(VLOOKUP(D533, SATCAT_DECAY!A:B, 2, FALSE), ""))
</f>
        <v/>
      </c>
      <c r="G533" s="3" t="str">
        <f t="shared" si="1"/>
        <v>ACTIVE</v>
      </c>
    </row>
    <row r="534" ht="22.5" customHeight="1">
      <c r="A534" s="11" t="str">
        <f t="array" ref="A534">IFERROR(
  INDEX('Starlink Launches'!$A:$A, MATCH($E534, 'Starlink Launches'!$B:$B, 0)),
  ""
)
</f>
        <v>6-27</v>
      </c>
      <c r="B534" s="3" t="s">
        <v>25</v>
      </c>
      <c r="C534" s="12" t="s">
        <v>546</v>
      </c>
      <c r="D534" s="13">
        <v>58236.0</v>
      </c>
      <c r="E534" s="4">
        <v>45238.0</v>
      </c>
      <c r="F534" s="4" t="str">
        <f>IF(D534="","", IFNA(VLOOKUP(D534, SATCAT_DECAY!A:B, 2, FALSE), ""))
</f>
        <v/>
      </c>
      <c r="G534" s="3" t="str">
        <f t="shared" si="1"/>
        <v>ACTIVE</v>
      </c>
    </row>
    <row r="535" ht="22.5" customHeight="1">
      <c r="A535" s="11" t="str">
        <f t="array" ref="A535">IFERROR(
  INDEX('Starlink Launches'!$A:$A, MATCH($E535, 'Starlink Launches'!$B:$B, 0)),
  ""
)
</f>
        <v>6-27</v>
      </c>
      <c r="B535" s="3" t="s">
        <v>25</v>
      </c>
      <c r="C535" s="12" t="s">
        <v>547</v>
      </c>
      <c r="D535" s="13">
        <v>58237.0</v>
      </c>
      <c r="E535" s="4">
        <v>45238.0</v>
      </c>
      <c r="F535" s="4" t="str">
        <f>IF(D535="","", IFNA(VLOOKUP(D535, SATCAT_DECAY!A:B, 2, FALSE), ""))
</f>
        <v/>
      </c>
      <c r="G535" s="3" t="str">
        <f t="shared" si="1"/>
        <v>ACTIVE</v>
      </c>
    </row>
    <row r="536" ht="22.5" customHeight="1">
      <c r="A536" s="11" t="str">
        <f t="array" ref="A536">IFERROR(
  INDEX('Starlink Launches'!$A:$A, MATCH($E536, 'Starlink Launches'!$B:$B, 0)),
  ""
)
</f>
        <v>6-27</v>
      </c>
      <c r="B536" s="3" t="s">
        <v>25</v>
      </c>
      <c r="C536" s="12" t="s">
        <v>548</v>
      </c>
      <c r="D536" s="13">
        <v>58238.0</v>
      </c>
      <c r="E536" s="4">
        <v>45238.0</v>
      </c>
      <c r="F536" s="4" t="str">
        <f>IF(D536="","", IFNA(VLOOKUP(D536, SATCAT_DECAY!A:B, 2, FALSE), ""))
</f>
        <v/>
      </c>
      <c r="G536" s="3" t="str">
        <f t="shared" si="1"/>
        <v>ACTIVE</v>
      </c>
    </row>
    <row r="537" ht="22.5" customHeight="1">
      <c r="A537" s="11" t="str">
        <f t="array" ref="A537">IFERROR(
  INDEX('Starlink Launches'!$A:$A, MATCH($E537, 'Starlink Launches'!$B:$B, 0)),
  ""
)
</f>
        <v>6-27</v>
      </c>
      <c r="B537" s="3" t="s">
        <v>25</v>
      </c>
      <c r="C537" s="12" t="s">
        <v>549</v>
      </c>
      <c r="D537" s="13">
        <v>58239.0</v>
      </c>
      <c r="E537" s="4">
        <v>45238.0</v>
      </c>
      <c r="F537" s="4" t="str">
        <f>IF(D537="","", IFNA(VLOOKUP(D537, SATCAT_DECAY!A:B, 2, FALSE), ""))
</f>
        <v/>
      </c>
      <c r="G537" s="3" t="str">
        <f t="shared" si="1"/>
        <v>ACTIVE</v>
      </c>
    </row>
    <row r="538" ht="22.5" customHeight="1">
      <c r="A538" s="11" t="str">
        <f t="array" ref="A538">IFERROR(
  INDEX('Starlink Launches'!$A:$A, MATCH($E538, 'Starlink Launches'!$B:$B, 0)),
  ""
)
</f>
        <v>6-27</v>
      </c>
      <c r="B538" s="3" t="s">
        <v>25</v>
      </c>
      <c r="C538" s="12" t="s">
        <v>550</v>
      </c>
      <c r="D538" s="13">
        <v>58240.0</v>
      </c>
      <c r="E538" s="4">
        <v>45238.0</v>
      </c>
      <c r="F538" s="4" t="str">
        <f>IF(D538="","", IFNA(VLOOKUP(D538, SATCAT_DECAY!A:B, 2, FALSE), ""))
</f>
        <v/>
      </c>
      <c r="G538" s="3" t="str">
        <f t="shared" si="1"/>
        <v>ACTIVE</v>
      </c>
    </row>
    <row r="539" ht="22.5" customHeight="1">
      <c r="A539" s="11" t="str">
        <f t="array" ref="A539">IFERROR(
  INDEX('Starlink Launches'!$A:$A, MATCH($E539, 'Starlink Launches'!$B:$B, 0)),
  ""
)
</f>
        <v>6-27</v>
      </c>
      <c r="B539" s="3" t="s">
        <v>25</v>
      </c>
      <c r="C539" s="12" t="s">
        <v>551</v>
      </c>
      <c r="D539" s="13">
        <v>58241.0</v>
      </c>
      <c r="E539" s="4">
        <v>45238.0</v>
      </c>
      <c r="F539" s="4" t="str">
        <f>IF(D539="","", IFNA(VLOOKUP(D539, SATCAT_DECAY!A:B, 2, FALSE), ""))
</f>
        <v/>
      </c>
      <c r="G539" s="3" t="str">
        <f t="shared" si="1"/>
        <v>ACTIVE</v>
      </c>
    </row>
    <row r="540" ht="22.5" customHeight="1">
      <c r="A540" s="11" t="str">
        <f t="array" ref="A540">IFERROR(
  INDEX('Starlink Launches'!$A:$A, MATCH($E540, 'Starlink Launches'!$B:$B, 0)),
  ""
)
</f>
        <v>6-27</v>
      </c>
      <c r="B540" s="3" t="s">
        <v>25</v>
      </c>
      <c r="C540" s="12" t="s">
        <v>552</v>
      </c>
      <c r="D540" s="13">
        <v>58242.0</v>
      </c>
      <c r="E540" s="4">
        <v>45238.0</v>
      </c>
      <c r="F540" s="4" t="str">
        <f>IF(D540="","", IFNA(VLOOKUP(D540, SATCAT_DECAY!A:B, 2, FALSE), ""))
</f>
        <v/>
      </c>
      <c r="G540" s="3" t="str">
        <f t="shared" si="1"/>
        <v>ACTIVE</v>
      </c>
    </row>
    <row r="541" ht="22.5" customHeight="1">
      <c r="A541" s="11" t="str">
        <f t="array" ref="A541">IFERROR(
  INDEX('Starlink Launches'!$A:$A, MATCH($E541, 'Starlink Launches'!$B:$B, 0)),
  ""
)
</f>
        <v>6-27</v>
      </c>
      <c r="B541" s="3" t="s">
        <v>25</v>
      </c>
      <c r="C541" s="12" t="s">
        <v>553</v>
      </c>
      <c r="D541" s="13">
        <v>58243.0</v>
      </c>
      <c r="E541" s="4">
        <v>45238.0</v>
      </c>
      <c r="F541" s="4" t="str">
        <f>IF(D541="","", IFNA(VLOOKUP(D541, SATCAT_DECAY!A:B, 2, FALSE), ""))
</f>
        <v/>
      </c>
      <c r="G541" s="3" t="str">
        <f t="shared" si="1"/>
        <v>ACTIVE</v>
      </c>
    </row>
    <row r="542" ht="22.5" customHeight="1">
      <c r="A542" s="11" t="str">
        <f t="array" ref="A542">IFERROR(
  INDEX('Starlink Launches'!$A:$A, MATCH($E542, 'Starlink Launches'!$B:$B, 0)),
  ""
)
</f>
        <v>6-27</v>
      </c>
      <c r="B542" s="3" t="s">
        <v>25</v>
      </c>
      <c r="C542" s="12" t="s">
        <v>554</v>
      </c>
      <c r="D542" s="13">
        <v>58244.0</v>
      </c>
      <c r="E542" s="4">
        <v>45238.0</v>
      </c>
      <c r="F542" s="4" t="str">
        <f>IF(D542="","", IFNA(VLOOKUP(D542, SATCAT_DECAY!A:B, 2, FALSE), ""))
</f>
        <v/>
      </c>
      <c r="G542" s="3" t="str">
        <f t="shared" si="1"/>
        <v>ACTIVE</v>
      </c>
    </row>
    <row r="543" ht="22.5" customHeight="1">
      <c r="A543" s="11" t="str">
        <f t="array" ref="A543">IFERROR(
  INDEX('Starlink Launches'!$A:$A, MATCH($E543, 'Starlink Launches'!$B:$B, 0)),
  ""
)
</f>
        <v>6-27</v>
      </c>
      <c r="B543" s="3" t="s">
        <v>25</v>
      </c>
      <c r="C543" s="12" t="s">
        <v>555</v>
      </c>
      <c r="D543" s="13">
        <v>58245.0</v>
      </c>
      <c r="E543" s="4">
        <v>45238.0</v>
      </c>
      <c r="F543" s="4" t="str">
        <f>IF(D543="","", IFNA(VLOOKUP(D543, SATCAT_DECAY!A:B, 2, FALSE), ""))
</f>
        <v/>
      </c>
      <c r="G543" s="3" t="str">
        <f t="shared" si="1"/>
        <v>ACTIVE</v>
      </c>
    </row>
    <row r="544" ht="22.5" customHeight="1">
      <c r="A544" s="11" t="str">
        <f t="array" ref="A544">IFERROR(
  INDEX('Starlink Launches'!$A:$A, MATCH($E544, 'Starlink Launches'!$B:$B, 0)),
  ""
)
</f>
        <v>6-27</v>
      </c>
      <c r="B544" s="3" t="s">
        <v>25</v>
      </c>
      <c r="C544" s="12" t="s">
        <v>556</v>
      </c>
      <c r="D544" s="13">
        <v>58246.0</v>
      </c>
      <c r="E544" s="4">
        <v>45238.0</v>
      </c>
      <c r="F544" s="4" t="str">
        <f>IF(D544="","", IFNA(VLOOKUP(D544, SATCAT_DECAY!A:B, 2, FALSE), ""))
</f>
        <v/>
      </c>
      <c r="G544" s="3" t="str">
        <f t="shared" si="1"/>
        <v>ACTIVE</v>
      </c>
    </row>
    <row r="545" ht="22.5" customHeight="1">
      <c r="A545" s="11" t="str">
        <f t="array" ref="A545">IFERROR(
  INDEX('Starlink Launches'!$A:$A, MATCH($E545, 'Starlink Launches'!$B:$B, 0)),
  ""
)
</f>
        <v>6-27</v>
      </c>
      <c r="B545" s="3" t="s">
        <v>25</v>
      </c>
      <c r="C545" s="12" t="s">
        <v>557</v>
      </c>
      <c r="D545" s="13">
        <v>58247.0</v>
      </c>
      <c r="E545" s="4">
        <v>45238.0</v>
      </c>
      <c r="F545" s="4" t="str">
        <f>IF(D545="","", IFNA(VLOOKUP(D545, SATCAT_DECAY!A:B, 2, FALSE), ""))
</f>
        <v/>
      </c>
      <c r="G545" s="3" t="str">
        <f t="shared" si="1"/>
        <v>ACTIVE</v>
      </c>
    </row>
    <row r="546" ht="22.5" customHeight="1">
      <c r="A546" s="11" t="str">
        <f t="array" ref="A546">IFERROR(
  INDEX('Starlink Launches'!$A:$A, MATCH($E546, 'Starlink Launches'!$B:$B, 0)),
  ""
)
</f>
        <v>6-27</v>
      </c>
      <c r="B546" s="3" t="s">
        <v>25</v>
      </c>
      <c r="C546" s="12" t="s">
        <v>558</v>
      </c>
      <c r="D546" s="13">
        <v>58248.0</v>
      </c>
      <c r="E546" s="4">
        <v>45238.0</v>
      </c>
      <c r="F546" s="4" t="str">
        <f>IF(D546="","", IFNA(VLOOKUP(D546, SATCAT_DECAY!A:B, 2, FALSE), ""))
</f>
        <v/>
      </c>
      <c r="G546" s="3" t="str">
        <f t="shared" si="1"/>
        <v>ACTIVE</v>
      </c>
    </row>
    <row r="547" ht="22.5" customHeight="1">
      <c r="A547" s="11" t="str">
        <f t="array" ref="A547">IFERROR(
  INDEX('Starlink Launches'!$A:$A, MATCH($E547, 'Starlink Launches'!$B:$B, 0)),
  ""
)
</f>
        <v>6-27</v>
      </c>
      <c r="B547" s="3" t="s">
        <v>25</v>
      </c>
      <c r="C547" s="12" t="s">
        <v>559</v>
      </c>
      <c r="D547" s="13">
        <v>58249.0</v>
      </c>
      <c r="E547" s="4">
        <v>45238.0</v>
      </c>
      <c r="F547" s="4" t="str">
        <f>IF(D547="","", IFNA(VLOOKUP(D547, SATCAT_DECAY!A:B, 2, FALSE), ""))
</f>
        <v/>
      </c>
      <c r="G547" s="3" t="str">
        <f t="shared" si="1"/>
        <v>ACTIVE</v>
      </c>
    </row>
    <row r="548" ht="22.5" customHeight="1">
      <c r="A548" s="11" t="str">
        <f t="array" ref="A548">IFERROR(
  INDEX('Starlink Launches'!$A:$A, MATCH($E548, 'Starlink Launches'!$B:$B, 0)),
  ""
)
</f>
        <v>6-27</v>
      </c>
      <c r="B548" s="3" t="s">
        <v>25</v>
      </c>
      <c r="C548" s="12" t="s">
        <v>560</v>
      </c>
      <c r="D548" s="13">
        <v>58250.0</v>
      </c>
      <c r="E548" s="4">
        <v>45238.0</v>
      </c>
      <c r="F548" s="4" t="str">
        <f>IF(D548="","", IFNA(VLOOKUP(D548, SATCAT_DECAY!A:B, 2, FALSE), ""))
</f>
        <v/>
      </c>
      <c r="G548" s="3" t="str">
        <f t="shared" si="1"/>
        <v>ACTIVE</v>
      </c>
    </row>
    <row r="549" ht="22.5" customHeight="1">
      <c r="A549" s="11" t="str">
        <f t="array" ref="A549">IFERROR(
  INDEX('Starlink Launches'!$A:$A, MATCH($E549, 'Starlink Launches'!$B:$B, 0)),
  ""
)
</f>
        <v>6-27</v>
      </c>
      <c r="B549" s="3" t="s">
        <v>25</v>
      </c>
      <c r="C549" s="12" t="s">
        <v>561</v>
      </c>
      <c r="D549" s="13">
        <v>58251.0</v>
      </c>
      <c r="E549" s="4">
        <v>45238.0</v>
      </c>
      <c r="F549" s="4" t="str">
        <f>IF(D549="","", IFNA(VLOOKUP(D549, SATCAT_DECAY!A:B, 2, FALSE), ""))
</f>
        <v/>
      </c>
      <c r="G549" s="3" t="str">
        <f t="shared" si="1"/>
        <v>ACTIVE</v>
      </c>
    </row>
    <row r="550" ht="22.5" customHeight="1">
      <c r="A550" s="11" t="str">
        <f t="array" ref="A550">IFERROR(
  INDEX('Starlink Launches'!$A:$A, MATCH($E550, 'Starlink Launches'!$B:$B, 0)),
  ""
)
</f>
        <v>6-27</v>
      </c>
      <c r="B550" s="3" t="s">
        <v>25</v>
      </c>
      <c r="C550" s="12" t="s">
        <v>562</v>
      </c>
      <c r="D550" s="13">
        <v>58252.0</v>
      </c>
      <c r="E550" s="4">
        <v>45238.0</v>
      </c>
      <c r="F550" s="4" t="str">
        <f>IF(D550="","", IFNA(VLOOKUP(D550, SATCAT_DECAY!A:B, 2, FALSE), ""))
</f>
        <v/>
      </c>
      <c r="G550" s="3" t="str">
        <f t="shared" si="1"/>
        <v>ACTIVE</v>
      </c>
    </row>
    <row r="551" ht="22.5" customHeight="1">
      <c r="A551" s="11" t="str">
        <f t="array" ref="A551">IFERROR(
  INDEX('Starlink Launches'!$A:$A, MATCH($E551, 'Starlink Launches'!$B:$B, 0)),
  ""
)
</f>
        <v>6-28</v>
      </c>
      <c r="B551" s="3" t="s">
        <v>25</v>
      </c>
      <c r="C551" s="12" t="s">
        <v>563</v>
      </c>
      <c r="D551" s="13">
        <v>58352.0</v>
      </c>
      <c r="E551" s="4">
        <v>45248.0</v>
      </c>
      <c r="F551" s="4" t="str">
        <f>IF(D551="","", IFNA(VLOOKUP(D551, SATCAT_DECAY!A:B, 2, FALSE), ""))
</f>
        <v/>
      </c>
      <c r="G551" s="3" t="str">
        <f t="shared" si="1"/>
        <v>ACTIVE</v>
      </c>
    </row>
    <row r="552" ht="22.5" customHeight="1">
      <c r="A552" s="11" t="str">
        <f t="array" ref="A552">IFERROR(
  INDEX('Starlink Launches'!$A:$A, MATCH($E552, 'Starlink Launches'!$B:$B, 0)),
  ""
)
</f>
        <v>6-28</v>
      </c>
      <c r="B552" s="3" t="s">
        <v>25</v>
      </c>
      <c r="C552" s="12" t="s">
        <v>564</v>
      </c>
      <c r="D552" s="13">
        <v>58353.0</v>
      </c>
      <c r="E552" s="4">
        <v>45248.0</v>
      </c>
      <c r="F552" s="4" t="str">
        <f>IF(D552="","", IFNA(VLOOKUP(D552, SATCAT_DECAY!A:B, 2, FALSE), ""))
</f>
        <v/>
      </c>
      <c r="G552" s="3" t="str">
        <f t="shared" si="1"/>
        <v>ACTIVE</v>
      </c>
    </row>
    <row r="553" ht="22.5" customHeight="1">
      <c r="A553" s="11" t="str">
        <f t="array" ref="A553">IFERROR(
  INDEX('Starlink Launches'!$A:$A, MATCH($E553, 'Starlink Launches'!$B:$B, 0)),
  ""
)
</f>
        <v>6-28</v>
      </c>
      <c r="B553" s="3" t="s">
        <v>25</v>
      </c>
      <c r="C553" s="12" t="s">
        <v>565</v>
      </c>
      <c r="D553" s="13">
        <v>58354.0</v>
      </c>
      <c r="E553" s="4">
        <v>45248.0</v>
      </c>
      <c r="F553" s="4" t="str">
        <f>IF(D553="","", IFNA(VLOOKUP(D553, SATCAT_DECAY!A:B, 2, FALSE), ""))
</f>
        <v/>
      </c>
      <c r="G553" s="3" t="str">
        <f t="shared" si="1"/>
        <v>ACTIVE</v>
      </c>
    </row>
    <row r="554" ht="22.5" customHeight="1">
      <c r="A554" s="11" t="str">
        <f t="array" ref="A554">IFERROR(
  INDEX('Starlink Launches'!$A:$A, MATCH($E554, 'Starlink Launches'!$B:$B, 0)),
  ""
)
</f>
        <v>6-28</v>
      </c>
      <c r="B554" s="3" t="s">
        <v>25</v>
      </c>
      <c r="C554" s="12" t="s">
        <v>566</v>
      </c>
      <c r="D554" s="13">
        <v>58355.0</v>
      </c>
      <c r="E554" s="4">
        <v>45248.0</v>
      </c>
      <c r="F554" s="4" t="str">
        <f>IF(D554="","", IFNA(VLOOKUP(D554, SATCAT_DECAY!A:B, 2, FALSE), ""))
</f>
        <v/>
      </c>
      <c r="G554" s="3" t="str">
        <f t="shared" si="1"/>
        <v>ACTIVE</v>
      </c>
    </row>
    <row r="555" ht="22.5" customHeight="1">
      <c r="A555" s="11" t="str">
        <f t="array" ref="A555">IFERROR(
  INDEX('Starlink Launches'!$A:$A, MATCH($E555, 'Starlink Launches'!$B:$B, 0)),
  ""
)
</f>
        <v>6-28</v>
      </c>
      <c r="B555" s="3" t="s">
        <v>25</v>
      </c>
      <c r="C555" s="12" t="s">
        <v>567</v>
      </c>
      <c r="D555" s="13">
        <v>58356.0</v>
      </c>
      <c r="E555" s="4">
        <v>45248.0</v>
      </c>
      <c r="F555" s="4" t="str">
        <f>IF(D555="","", IFNA(VLOOKUP(D555, SATCAT_DECAY!A:B, 2, FALSE), ""))
</f>
        <v/>
      </c>
      <c r="G555" s="3" t="str">
        <f t="shared" si="1"/>
        <v>ACTIVE</v>
      </c>
    </row>
    <row r="556" ht="22.5" customHeight="1">
      <c r="A556" s="11" t="str">
        <f t="array" ref="A556">IFERROR(
  INDEX('Starlink Launches'!$A:$A, MATCH($E556, 'Starlink Launches'!$B:$B, 0)),
  ""
)
</f>
        <v>6-28</v>
      </c>
      <c r="B556" s="3" t="s">
        <v>25</v>
      </c>
      <c r="C556" s="12" t="s">
        <v>568</v>
      </c>
      <c r="D556" s="13">
        <v>58357.0</v>
      </c>
      <c r="E556" s="4">
        <v>45248.0</v>
      </c>
      <c r="F556" s="4" t="str">
        <f>IF(D556="","", IFNA(VLOOKUP(D556, SATCAT_DECAY!A:B, 2, FALSE), ""))
</f>
        <v/>
      </c>
      <c r="G556" s="3" t="str">
        <f t="shared" si="1"/>
        <v>ACTIVE</v>
      </c>
    </row>
    <row r="557" ht="22.5" customHeight="1">
      <c r="A557" s="11" t="str">
        <f t="array" ref="A557">IFERROR(
  INDEX('Starlink Launches'!$A:$A, MATCH($E557, 'Starlink Launches'!$B:$B, 0)),
  ""
)
</f>
        <v>6-28</v>
      </c>
      <c r="B557" s="3" t="s">
        <v>25</v>
      </c>
      <c r="C557" s="12" t="s">
        <v>569</v>
      </c>
      <c r="D557" s="13">
        <v>58358.0</v>
      </c>
      <c r="E557" s="4">
        <v>45248.0</v>
      </c>
      <c r="F557" s="4" t="str">
        <f>IF(D557="","", IFNA(VLOOKUP(D557, SATCAT_DECAY!A:B, 2, FALSE), ""))
</f>
        <v/>
      </c>
      <c r="G557" s="3" t="str">
        <f t="shared" si="1"/>
        <v>ACTIVE</v>
      </c>
    </row>
    <row r="558" ht="22.5" customHeight="1">
      <c r="A558" s="11" t="str">
        <f t="array" ref="A558">IFERROR(
  INDEX('Starlink Launches'!$A:$A, MATCH($E558, 'Starlink Launches'!$B:$B, 0)),
  ""
)
</f>
        <v>6-28</v>
      </c>
      <c r="B558" s="3" t="s">
        <v>25</v>
      </c>
      <c r="C558" s="12" t="s">
        <v>570</v>
      </c>
      <c r="D558" s="13">
        <v>58359.0</v>
      </c>
      <c r="E558" s="4">
        <v>45248.0</v>
      </c>
      <c r="F558" s="4" t="str">
        <f>IF(D558="","", IFNA(VLOOKUP(D558, SATCAT_DECAY!A:B, 2, FALSE), ""))
</f>
        <v/>
      </c>
      <c r="G558" s="3" t="str">
        <f t="shared" si="1"/>
        <v>ACTIVE</v>
      </c>
    </row>
    <row r="559" ht="22.5" customHeight="1">
      <c r="A559" s="11" t="str">
        <f t="array" ref="A559">IFERROR(
  INDEX('Starlink Launches'!$A:$A, MATCH($E559, 'Starlink Launches'!$B:$B, 0)),
  ""
)
</f>
        <v>6-28</v>
      </c>
      <c r="B559" s="3" t="s">
        <v>25</v>
      </c>
      <c r="C559" s="12" t="s">
        <v>571</v>
      </c>
      <c r="D559" s="13">
        <v>58360.0</v>
      </c>
      <c r="E559" s="4">
        <v>45248.0</v>
      </c>
      <c r="F559" s="4" t="str">
        <f>IF(D559="","", IFNA(VLOOKUP(D559, SATCAT_DECAY!A:B, 2, FALSE), ""))
</f>
        <v/>
      </c>
      <c r="G559" s="3" t="str">
        <f t="shared" si="1"/>
        <v>ACTIVE</v>
      </c>
    </row>
    <row r="560" ht="22.5" customHeight="1">
      <c r="A560" s="11" t="str">
        <f t="array" ref="A560">IFERROR(
  INDEX('Starlink Launches'!$A:$A, MATCH($E560, 'Starlink Launches'!$B:$B, 0)),
  ""
)
</f>
        <v>6-28</v>
      </c>
      <c r="B560" s="3" t="s">
        <v>25</v>
      </c>
      <c r="C560" s="12" t="s">
        <v>572</v>
      </c>
      <c r="D560" s="13">
        <v>58361.0</v>
      </c>
      <c r="E560" s="4">
        <v>45248.0</v>
      </c>
      <c r="F560" s="4" t="str">
        <f>IF(D560="","", IFNA(VLOOKUP(D560, SATCAT_DECAY!A:B, 2, FALSE), ""))
</f>
        <v/>
      </c>
      <c r="G560" s="3" t="str">
        <f t="shared" si="1"/>
        <v>ACTIVE</v>
      </c>
    </row>
    <row r="561" ht="22.5" customHeight="1">
      <c r="A561" s="11" t="str">
        <f t="array" ref="A561">IFERROR(
  INDEX('Starlink Launches'!$A:$A, MATCH($E561, 'Starlink Launches'!$B:$B, 0)),
  ""
)
</f>
        <v>6-28</v>
      </c>
      <c r="B561" s="3" t="s">
        <v>25</v>
      </c>
      <c r="C561" s="12" t="s">
        <v>573</v>
      </c>
      <c r="D561" s="13">
        <v>58362.0</v>
      </c>
      <c r="E561" s="4">
        <v>45248.0</v>
      </c>
      <c r="F561" s="4" t="str">
        <f>IF(D561="","", IFNA(VLOOKUP(D561, SATCAT_DECAY!A:B, 2, FALSE), ""))
</f>
        <v/>
      </c>
      <c r="G561" s="3" t="str">
        <f t="shared" si="1"/>
        <v>ACTIVE</v>
      </c>
    </row>
    <row r="562" ht="22.5" customHeight="1">
      <c r="A562" s="11" t="str">
        <f t="array" ref="A562">IFERROR(
  INDEX('Starlink Launches'!$A:$A, MATCH($E562, 'Starlink Launches'!$B:$B, 0)),
  ""
)
</f>
        <v>6-28</v>
      </c>
      <c r="B562" s="3" t="s">
        <v>25</v>
      </c>
      <c r="C562" s="12" t="s">
        <v>574</v>
      </c>
      <c r="D562" s="13">
        <v>58363.0</v>
      </c>
      <c r="E562" s="4">
        <v>45248.0</v>
      </c>
      <c r="F562" s="4" t="str">
        <f>IF(D562="","", IFNA(VLOOKUP(D562, SATCAT_DECAY!A:B, 2, FALSE), ""))
</f>
        <v/>
      </c>
      <c r="G562" s="3" t="str">
        <f t="shared" si="1"/>
        <v>ACTIVE</v>
      </c>
    </row>
    <row r="563" ht="22.5" customHeight="1">
      <c r="A563" s="11" t="str">
        <f t="array" ref="A563">IFERROR(
  INDEX('Starlink Launches'!$A:$A, MATCH($E563, 'Starlink Launches'!$B:$B, 0)),
  ""
)
</f>
        <v>6-28</v>
      </c>
      <c r="B563" s="3" t="s">
        <v>25</v>
      </c>
      <c r="C563" s="12" t="s">
        <v>575</v>
      </c>
      <c r="D563" s="13">
        <v>58364.0</v>
      </c>
      <c r="E563" s="4">
        <v>45248.0</v>
      </c>
      <c r="F563" s="4" t="str">
        <f>IF(D563="","", IFNA(VLOOKUP(D563, SATCAT_DECAY!A:B, 2, FALSE), ""))
</f>
        <v/>
      </c>
      <c r="G563" s="3" t="str">
        <f t="shared" si="1"/>
        <v>ACTIVE</v>
      </c>
    </row>
    <row r="564" ht="22.5" customHeight="1">
      <c r="A564" s="11" t="str">
        <f t="array" ref="A564">IFERROR(
  INDEX('Starlink Launches'!$A:$A, MATCH($E564, 'Starlink Launches'!$B:$B, 0)),
  ""
)
</f>
        <v>6-28</v>
      </c>
      <c r="B564" s="3" t="s">
        <v>25</v>
      </c>
      <c r="C564" s="12" t="s">
        <v>576</v>
      </c>
      <c r="D564" s="13">
        <v>58365.0</v>
      </c>
      <c r="E564" s="4">
        <v>45248.0</v>
      </c>
      <c r="F564" s="4" t="str">
        <f>IF(D564="","", IFNA(VLOOKUP(D564, SATCAT_DECAY!A:B, 2, FALSE), ""))
</f>
        <v/>
      </c>
      <c r="G564" s="3" t="str">
        <f t="shared" si="1"/>
        <v>ACTIVE</v>
      </c>
    </row>
    <row r="565" ht="22.5" customHeight="1">
      <c r="A565" s="11" t="str">
        <f t="array" ref="A565">IFERROR(
  INDEX('Starlink Launches'!$A:$A, MATCH($E565, 'Starlink Launches'!$B:$B, 0)),
  ""
)
</f>
        <v>6-28</v>
      </c>
      <c r="B565" s="3" t="s">
        <v>25</v>
      </c>
      <c r="C565" s="12" t="s">
        <v>577</v>
      </c>
      <c r="D565" s="13">
        <v>58366.0</v>
      </c>
      <c r="E565" s="4">
        <v>45248.0</v>
      </c>
      <c r="F565" s="4" t="str">
        <f>IF(D565="","", IFNA(VLOOKUP(D565, SATCAT_DECAY!A:B, 2, FALSE), ""))
</f>
        <v/>
      </c>
      <c r="G565" s="3" t="str">
        <f t="shared" si="1"/>
        <v>ACTIVE</v>
      </c>
    </row>
    <row r="566" ht="22.5" customHeight="1">
      <c r="A566" s="11" t="str">
        <f t="array" ref="A566">IFERROR(
  INDEX('Starlink Launches'!$A:$A, MATCH($E566, 'Starlink Launches'!$B:$B, 0)),
  ""
)
</f>
        <v>6-28</v>
      </c>
      <c r="B566" s="3" t="s">
        <v>25</v>
      </c>
      <c r="C566" s="12" t="s">
        <v>578</v>
      </c>
      <c r="D566" s="13">
        <v>58367.0</v>
      </c>
      <c r="E566" s="4">
        <v>45248.0</v>
      </c>
      <c r="F566" s="4" t="str">
        <f>IF(D566="","", IFNA(VLOOKUP(D566, SATCAT_DECAY!A:B, 2, FALSE), ""))
</f>
        <v/>
      </c>
      <c r="G566" s="3" t="str">
        <f t="shared" si="1"/>
        <v>ACTIVE</v>
      </c>
    </row>
    <row r="567" ht="22.5" customHeight="1">
      <c r="A567" s="11" t="str">
        <f t="array" ref="A567">IFERROR(
  INDEX('Starlink Launches'!$A:$A, MATCH($E567, 'Starlink Launches'!$B:$B, 0)),
  ""
)
</f>
        <v>6-28</v>
      </c>
      <c r="B567" s="3" t="s">
        <v>25</v>
      </c>
      <c r="C567" s="12" t="s">
        <v>579</v>
      </c>
      <c r="D567" s="13">
        <v>58368.0</v>
      </c>
      <c r="E567" s="4">
        <v>45248.0</v>
      </c>
      <c r="F567" s="4" t="str">
        <f>IF(D567="","", IFNA(VLOOKUP(D567, SATCAT_DECAY!A:B, 2, FALSE), ""))
</f>
        <v/>
      </c>
      <c r="G567" s="3" t="str">
        <f t="shared" si="1"/>
        <v>ACTIVE</v>
      </c>
    </row>
    <row r="568" ht="22.5" customHeight="1">
      <c r="A568" s="11" t="str">
        <f t="array" ref="A568">IFERROR(
  INDEX('Starlink Launches'!$A:$A, MATCH($E568, 'Starlink Launches'!$B:$B, 0)),
  ""
)
</f>
        <v>6-28</v>
      </c>
      <c r="B568" s="3" t="s">
        <v>25</v>
      </c>
      <c r="C568" s="12" t="s">
        <v>580</v>
      </c>
      <c r="D568" s="13">
        <v>58369.0</v>
      </c>
      <c r="E568" s="4">
        <v>45248.0</v>
      </c>
      <c r="F568" s="4" t="str">
        <f>IF(D568="","", IFNA(VLOOKUP(D568, SATCAT_DECAY!A:B, 2, FALSE), ""))
</f>
        <v/>
      </c>
      <c r="G568" s="3" t="str">
        <f t="shared" si="1"/>
        <v>ACTIVE</v>
      </c>
    </row>
    <row r="569" ht="22.5" customHeight="1">
      <c r="A569" s="11" t="str">
        <f t="array" ref="A569">IFERROR(
  INDEX('Starlink Launches'!$A:$A, MATCH($E569, 'Starlink Launches'!$B:$B, 0)),
  ""
)
</f>
        <v>6-28</v>
      </c>
      <c r="B569" s="3" t="s">
        <v>25</v>
      </c>
      <c r="C569" s="12" t="s">
        <v>581</v>
      </c>
      <c r="D569" s="13">
        <v>58370.0</v>
      </c>
      <c r="E569" s="4">
        <v>45248.0</v>
      </c>
      <c r="F569" s="4" t="str">
        <f>IF(D569="","", IFNA(VLOOKUP(D569, SATCAT_DECAY!A:B, 2, FALSE), ""))
</f>
        <v/>
      </c>
      <c r="G569" s="3" t="str">
        <f t="shared" si="1"/>
        <v>ACTIVE</v>
      </c>
    </row>
    <row r="570" ht="22.5" customHeight="1">
      <c r="A570" s="11" t="str">
        <f t="array" ref="A570">IFERROR(
  INDEX('Starlink Launches'!$A:$A, MATCH($E570, 'Starlink Launches'!$B:$B, 0)),
  ""
)
</f>
        <v>6-28</v>
      </c>
      <c r="B570" s="3" t="s">
        <v>25</v>
      </c>
      <c r="C570" s="12" t="s">
        <v>582</v>
      </c>
      <c r="D570" s="13">
        <v>58371.0</v>
      </c>
      <c r="E570" s="4">
        <v>45248.0</v>
      </c>
      <c r="F570" s="4" t="str">
        <f>IF(D570="","", IFNA(VLOOKUP(D570, SATCAT_DECAY!A:B, 2, FALSE), ""))
</f>
        <v/>
      </c>
      <c r="G570" s="3" t="str">
        <f t="shared" si="1"/>
        <v>ACTIVE</v>
      </c>
    </row>
    <row r="571" ht="22.5" customHeight="1">
      <c r="A571" s="11" t="str">
        <f t="array" ref="A571">IFERROR(
  INDEX('Starlink Launches'!$A:$A, MATCH($E571, 'Starlink Launches'!$B:$B, 0)),
  ""
)
</f>
        <v>6-28</v>
      </c>
      <c r="B571" s="3" t="s">
        <v>25</v>
      </c>
      <c r="C571" s="12" t="s">
        <v>583</v>
      </c>
      <c r="D571" s="13">
        <v>58372.0</v>
      </c>
      <c r="E571" s="4">
        <v>45248.0</v>
      </c>
      <c r="F571" s="4" t="str">
        <f>IF(D571="","", IFNA(VLOOKUP(D571, SATCAT_DECAY!A:B, 2, FALSE), ""))
</f>
        <v/>
      </c>
      <c r="G571" s="3" t="str">
        <f t="shared" si="1"/>
        <v>ACTIVE</v>
      </c>
    </row>
    <row r="572" ht="22.5" customHeight="1">
      <c r="A572" s="11" t="str">
        <f t="array" ref="A572">IFERROR(
  INDEX('Starlink Launches'!$A:$A, MATCH($E572, 'Starlink Launches'!$B:$B, 0)),
  ""
)
</f>
        <v>6-28</v>
      </c>
      <c r="B572" s="3" t="s">
        <v>25</v>
      </c>
      <c r="C572" s="12" t="s">
        <v>584</v>
      </c>
      <c r="D572" s="13">
        <v>58373.0</v>
      </c>
      <c r="E572" s="4">
        <v>45248.0</v>
      </c>
      <c r="F572" s="4" t="str">
        <f>IF(D572="","", IFNA(VLOOKUP(D572, SATCAT_DECAY!A:B, 2, FALSE), ""))
</f>
        <v/>
      </c>
      <c r="G572" s="3" t="str">
        <f t="shared" si="1"/>
        <v>ACTIVE</v>
      </c>
    </row>
    <row r="573" ht="22.5" customHeight="1">
      <c r="A573" s="11" t="str">
        <f t="array" ref="A573">IFERROR(
  INDEX('Starlink Launches'!$A:$A, MATCH($E573, 'Starlink Launches'!$B:$B, 0)),
  ""
)
</f>
        <v>6-29</v>
      </c>
      <c r="B573" s="3" t="s">
        <v>25</v>
      </c>
      <c r="C573" s="12" t="s">
        <v>585</v>
      </c>
      <c r="D573" s="13">
        <v>58402.0</v>
      </c>
      <c r="E573" s="4">
        <v>45252.0</v>
      </c>
      <c r="F573" s="4" t="str">
        <f>IF(D573="","", IFNA(VLOOKUP(D573, SATCAT_DECAY!A:B, 2, FALSE), ""))
</f>
        <v/>
      </c>
      <c r="G573" s="3" t="str">
        <f t="shared" si="1"/>
        <v>ACTIVE</v>
      </c>
    </row>
    <row r="574" ht="22.5" customHeight="1">
      <c r="A574" s="11" t="str">
        <f t="array" ref="A574">IFERROR(
  INDEX('Starlink Launches'!$A:$A, MATCH($E574, 'Starlink Launches'!$B:$B, 0)),
  ""
)
</f>
        <v>6-29</v>
      </c>
      <c r="B574" s="3" t="s">
        <v>25</v>
      </c>
      <c r="C574" s="12" t="s">
        <v>586</v>
      </c>
      <c r="D574" s="13">
        <v>58403.0</v>
      </c>
      <c r="E574" s="4">
        <v>45252.0</v>
      </c>
      <c r="F574" s="4" t="str">
        <f>IF(D574="","", IFNA(VLOOKUP(D574, SATCAT_DECAY!A:B, 2, FALSE), ""))
</f>
        <v/>
      </c>
      <c r="G574" s="3" t="str">
        <f t="shared" si="1"/>
        <v>ACTIVE</v>
      </c>
    </row>
    <row r="575" ht="22.5" customHeight="1">
      <c r="A575" s="11" t="str">
        <f t="array" ref="A575">IFERROR(
  INDEX('Starlink Launches'!$A:$A, MATCH($E575, 'Starlink Launches'!$B:$B, 0)),
  ""
)
</f>
        <v>6-29</v>
      </c>
      <c r="B575" s="3" t="s">
        <v>25</v>
      </c>
      <c r="C575" s="12" t="s">
        <v>587</v>
      </c>
      <c r="D575" s="13">
        <v>58404.0</v>
      </c>
      <c r="E575" s="4">
        <v>45252.0</v>
      </c>
      <c r="F575" s="4" t="str">
        <f>IF(D575="","", IFNA(VLOOKUP(D575, SATCAT_DECAY!A:B, 2, FALSE), ""))
</f>
        <v/>
      </c>
      <c r="G575" s="3" t="str">
        <f t="shared" si="1"/>
        <v>ACTIVE</v>
      </c>
    </row>
    <row r="576" ht="22.5" customHeight="1">
      <c r="A576" s="11" t="str">
        <f t="array" ref="A576">IFERROR(
  INDEX('Starlink Launches'!$A:$A, MATCH($E576, 'Starlink Launches'!$B:$B, 0)),
  ""
)
</f>
        <v>6-29</v>
      </c>
      <c r="B576" s="3" t="s">
        <v>25</v>
      </c>
      <c r="C576" s="12" t="s">
        <v>588</v>
      </c>
      <c r="D576" s="13">
        <v>58405.0</v>
      </c>
      <c r="E576" s="4">
        <v>45252.0</v>
      </c>
      <c r="F576" s="4" t="str">
        <f>IF(D576="","", IFNA(VLOOKUP(D576, SATCAT_DECAY!A:B, 2, FALSE), ""))
</f>
        <v/>
      </c>
      <c r="G576" s="3" t="str">
        <f t="shared" si="1"/>
        <v>ACTIVE</v>
      </c>
    </row>
    <row r="577" ht="22.5" customHeight="1">
      <c r="A577" s="11" t="str">
        <f t="array" ref="A577">IFERROR(
  INDEX('Starlink Launches'!$A:$A, MATCH($E577, 'Starlink Launches'!$B:$B, 0)),
  ""
)
</f>
        <v>6-29</v>
      </c>
      <c r="B577" s="3" t="s">
        <v>25</v>
      </c>
      <c r="C577" s="12" t="s">
        <v>589</v>
      </c>
      <c r="D577" s="13">
        <v>58406.0</v>
      </c>
      <c r="E577" s="4">
        <v>45252.0</v>
      </c>
      <c r="F577" s="4" t="str">
        <f>IF(D577="","", IFNA(VLOOKUP(D577, SATCAT_DECAY!A:B, 2, FALSE), ""))
</f>
        <v/>
      </c>
      <c r="G577" s="3" t="str">
        <f t="shared" si="1"/>
        <v>ACTIVE</v>
      </c>
    </row>
    <row r="578" ht="22.5" customHeight="1">
      <c r="A578" s="11" t="str">
        <f t="array" ref="A578">IFERROR(
  INDEX('Starlink Launches'!$A:$A, MATCH($E578, 'Starlink Launches'!$B:$B, 0)),
  ""
)
</f>
        <v>6-29</v>
      </c>
      <c r="B578" s="3" t="s">
        <v>25</v>
      </c>
      <c r="C578" s="12" t="s">
        <v>590</v>
      </c>
      <c r="D578" s="13">
        <v>58407.0</v>
      </c>
      <c r="E578" s="4">
        <v>45252.0</v>
      </c>
      <c r="F578" s="4" t="str">
        <f>IF(D578="","", IFNA(VLOOKUP(D578, SATCAT_DECAY!A:B, 2, FALSE), ""))
</f>
        <v/>
      </c>
      <c r="G578" s="3" t="str">
        <f t="shared" si="1"/>
        <v>ACTIVE</v>
      </c>
    </row>
    <row r="579" ht="22.5" customHeight="1">
      <c r="A579" s="11" t="str">
        <f t="array" ref="A579">IFERROR(
  INDEX('Starlink Launches'!$A:$A, MATCH($E579, 'Starlink Launches'!$B:$B, 0)),
  ""
)
</f>
        <v>6-29</v>
      </c>
      <c r="B579" s="3" t="s">
        <v>25</v>
      </c>
      <c r="C579" s="12" t="s">
        <v>591</v>
      </c>
      <c r="D579" s="13">
        <v>58408.0</v>
      </c>
      <c r="E579" s="4">
        <v>45252.0</v>
      </c>
      <c r="F579" s="4" t="str">
        <f>IF(D579="","", IFNA(VLOOKUP(D579, SATCAT_DECAY!A:B, 2, FALSE), ""))
</f>
        <v/>
      </c>
      <c r="G579" s="3" t="str">
        <f t="shared" si="1"/>
        <v>ACTIVE</v>
      </c>
    </row>
    <row r="580" ht="22.5" customHeight="1">
      <c r="A580" s="11" t="str">
        <f t="array" ref="A580">IFERROR(
  INDEX('Starlink Launches'!$A:$A, MATCH($E580, 'Starlink Launches'!$B:$B, 0)),
  ""
)
</f>
        <v>6-29</v>
      </c>
      <c r="B580" s="3" t="s">
        <v>25</v>
      </c>
      <c r="C580" s="12" t="s">
        <v>592</v>
      </c>
      <c r="D580" s="13">
        <v>58409.0</v>
      </c>
      <c r="E580" s="4">
        <v>45252.0</v>
      </c>
      <c r="F580" s="4" t="str">
        <f>IF(D580="","", IFNA(VLOOKUP(D580, SATCAT_DECAY!A:B, 2, FALSE), ""))
</f>
        <v/>
      </c>
      <c r="G580" s="3" t="str">
        <f t="shared" si="1"/>
        <v>ACTIVE</v>
      </c>
    </row>
    <row r="581" ht="22.5" customHeight="1">
      <c r="A581" s="11" t="str">
        <f t="array" ref="A581">IFERROR(
  INDEX('Starlink Launches'!$A:$A, MATCH($E581, 'Starlink Launches'!$B:$B, 0)),
  ""
)
</f>
        <v>6-29</v>
      </c>
      <c r="B581" s="3" t="s">
        <v>25</v>
      </c>
      <c r="C581" s="12" t="s">
        <v>593</v>
      </c>
      <c r="D581" s="13">
        <v>58410.0</v>
      </c>
      <c r="E581" s="4">
        <v>45252.0</v>
      </c>
      <c r="F581" s="4" t="str">
        <f>IF(D581="","", IFNA(VLOOKUP(D581, SATCAT_DECAY!A:B, 2, FALSE), ""))
</f>
        <v/>
      </c>
      <c r="G581" s="3" t="str">
        <f t="shared" si="1"/>
        <v>ACTIVE</v>
      </c>
    </row>
    <row r="582" ht="22.5" customHeight="1">
      <c r="A582" s="11" t="str">
        <f t="array" ref="A582">IFERROR(
  INDEX('Starlink Launches'!$A:$A, MATCH($E582, 'Starlink Launches'!$B:$B, 0)),
  ""
)
</f>
        <v>6-29</v>
      </c>
      <c r="B582" s="3" t="s">
        <v>25</v>
      </c>
      <c r="C582" s="12" t="s">
        <v>594</v>
      </c>
      <c r="D582" s="13">
        <v>58411.0</v>
      </c>
      <c r="E582" s="4">
        <v>45252.0</v>
      </c>
      <c r="F582" s="4" t="str">
        <f>IF(D582="","", IFNA(VLOOKUP(D582, SATCAT_DECAY!A:B, 2, FALSE), ""))
</f>
        <v/>
      </c>
      <c r="G582" s="3" t="str">
        <f t="shared" si="1"/>
        <v>ACTIVE</v>
      </c>
    </row>
    <row r="583" ht="22.5" customHeight="1">
      <c r="A583" s="11" t="str">
        <f t="array" ref="A583">IFERROR(
  INDEX('Starlink Launches'!$A:$A, MATCH($E583, 'Starlink Launches'!$B:$B, 0)),
  ""
)
</f>
        <v>6-29</v>
      </c>
      <c r="B583" s="3" t="s">
        <v>25</v>
      </c>
      <c r="C583" s="12" t="s">
        <v>595</v>
      </c>
      <c r="D583" s="13">
        <v>58412.0</v>
      </c>
      <c r="E583" s="4">
        <v>45252.0</v>
      </c>
      <c r="F583" s="4" t="str">
        <f>IF(D583="","", IFNA(VLOOKUP(D583, SATCAT_DECAY!A:B, 2, FALSE), ""))
</f>
        <v/>
      </c>
      <c r="G583" s="3" t="str">
        <f t="shared" si="1"/>
        <v>ACTIVE</v>
      </c>
    </row>
    <row r="584" ht="22.5" customHeight="1">
      <c r="A584" s="11" t="str">
        <f t="array" ref="A584">IFERROR(
  INDEX('Starlink Launches'!$A:$A, MATCH($E584, 'Starlink Launches'!$B:$B, 0)),
  ""
)
</f>
        <v>6-29</v>
      </c>
      <c r="B584" s="3" t="s">
        <v>25</v>
      </c>
      <c r="C584" s="12" t="s">
        <v>596</v>
      </c>
      <c r="D584" s="13">
        <v>58413.0</v>
      </c>
      <c r="E584" s="4">
        <v>45252.0</v>
      </c>
      <c r="F584" s="4" t="str">
        <f>IF(D584="","", IFNA(VLOOKUP(D584, SATCAT_DECAY!A:B, 2, FALSE), ""))
</f>
        <v/>
      </c>
      <c r="G584" s="3" t="str">
        <f t="shared" si="1"/>
        <v>ACTIVE</v>
      </c>
    </row>
    <row r="585" ht="22.5" customHeight="1">
      <c r="A585" s="11" t="str">
        <f t="array" ref="A585">IFERROR(
  INDEX('Starlink Launches'!$A:$A, MATCH($E585, 'Starlink Launches'!$B:$B, 0)),
  ""
)
</f>
        <v>6-29</v>
      </c>
      <c r="B585" s="3" t="s">
        <v>25</v>
      </c>
      <c r="C585" s="12" t="s">
        <v>597</v>
      </c>
      <c r="D585" s="13">
        <v>58414.0</v>
      </c>
      <c r="E585" s="4">
        <v>45252.0</v>
      </c>
      <c r="F585" s="4" t="str">
        <f>IF(D585="","", IFNA(VLOOKUP(D585, SATCAT_DECAY!A:B, 2, FALSE), ""))
</f>
        <v/>
      </c>
      <c r="G585" s="3" t="str">
        <f t="shared" si="1"/>
        <v>ACTIVE</v>
      </c>
    </row>
    <row r="586" ht="22.5" customHeight="1">
      <c r="A586" s="11" t="str">
        <f t="array" ref="A586">IFERROR(
  INDEX('Starlink Launches'!$A:$A, MATCH($E586, 'Starlink Launches'!$B:$B, 0)),
  ""
)
</f>
        <v>6-29</v>
      </c>
      <c r="B586" s="3" t="s">
        <v>25</v>
      </c>
      <c r="C586" s="12" t="s">
        <v>598</v>
      </c>
      <c r="D586" s="13">
        <v>58415.0</v>
      </c>
      <c r="E586" s="4">
        <v>45252.0</v>
      </c>
      <c r="F586" s="4" t="str">
        <f>IF(D586="","", IFNA(VLOOKUP(D586, SATCAT_DECAY!A:B, 2, FALSE), ""))
</f>
        <v/>
      </c>
      <c r="G586" s="3" t="str">
        <f t="shared" si="1"/>
        <v>ACTIVE</v>
      </c>
    </row>
    <row r="587" ht="22.5" customHeight="1">
      <c r="A587" s="11" t="str">
        <f t="array" ref="A587">IFERROR(
  INDEX('Starlink Launches'!$A:$A, MATCH($E587, 'Starlink Launches'!$B:$B, 0)),
  ""
)
</f>
        <v>6-29</v>
      </c>
      <c r="B587" s="3" t="s">
        <v>25</v>
      </c>
      <c r="C587" s="12" t="s">
        <v>599</v>
      </c>
      <c r="D587" s="13">
        <v>58416.0</v>
      </c>
      <c r="E587" s="4">
        <v>45252.0</v>
      </c>
      <c r="F587" s="4" t="str">
        <f>IF(D587="","", IFNA(VLOOKUP(D587, SATCAT_DECAY!A:B, 2, FALSE), ""))
</f>
        <v/>
      </c>
      <c r="G587" s="3" t="str">
        <f t="shared" si="1"/>
        <v>ACTIVE</v>
      </c>
    </row>
    <row r="588" ht="22.5" customHeight="1">
      <c r="A588" s="11" t="str">
        <f t="array" ref="A588">IFERROR(
  INDEX('Starlink Launches'!$A:$A, MATCH($E588, 'Starlink Launches'!$B:$B, 0)),
  ""
)
</f>
        <v>6-29</v>
      </c>
      <c r="B588" s="3" t="s">
        <v>25</v>
      </c>
      <c r="C588" s="12" t="s">
        <v>600</v>
      </c>
      <c r="D588" s="13">
        <v>58417.0</v>
      </c>
      <c r="E588" s="4">
        <v>45252.0</v>
      </c>
      <c r="F588" s="4" t="str">
        <f>IF(D588="","", IFNA(VLOOKUP(D588, SATCAT_DECAY!A:B, 2, FALSE), ""))
</f>
        <v/>
      </c>
      <c r="G588" s="3" t="str">
        <f t="shared" si="1"/>
        <v>ACTIVE</v>
      </c>
    </row>
    <row r="589" ht="22.5" customHeight="1">
      <c r="A589" s="11" t="str">
        <f t="array" ref="A589">IFERROR(
  INDEX('Starlink Launches'!$A:$A, MATCH($E589, 'Starlink Launches'!$B:$B, 0)),
  ""
)
</f>
        <v>6-29</v>
      </c>
      <c r="B589" s="3" t="s">
        <v>25</v>
      </c>
      <c r="C589" s="12" t="s">
        <v>601</v>
      </c>
      <c r="D589" s="13">
        <v>58418.0</v>
      </c>
      <c r="E589" s="4">
        <v>45252.0</v>
      </c>
      <c r="F589" s="4" t="str">
        <f>IF(D589="","", IFNA(VLOOKUP(D589, SATCAT_DECAY!A:B, 2, FALSE), ""))
</f>
        <v/>
      </c>
      <c r="G589" s="3" t="str">
        <f t="shared" si="1"/>
        <v>ACTIVE</v>
      </c>
    </row>
    <row r="590" ht="22.5" customHeight="1">
      <c r="A590" s="11" t="str">
        <f t="array" ref="A590">IFERROR(
  INDEX('Starlink Launches'!$A:$A, MATCH($E590, 'Starlink Launches'!$B:$B, 0)),
  ""
)
</f>
        <v>6-29</v>
      </c>
      <c r="B590" s="3" t="s">
        <v>25</v>
      </c>
      <c r="C590" s="12" t="s">
        <v>602</v>
      </c>
      <c r="D590" s="13">
        <v>58419.0</v>
      </c>
      <c r="E590" s="4">
        <v>45252.0</v>
      </c>
      <c r="F590" s="4" t="str">
        <f>IF(D590="","", IFNA(VLOOKUP(D590, SATCAT_DECAY!A:B, 2, FALSE), ""))
</f>
        <v/>
      </c>
      <c r="G590" s="3" t="str">
        <f t="shared" si="1"/>
        <v>ACTIVE</v>
      </c>
    </row>
    <row r="591" ht="22.5" customHeight="1">
      <c r="A591" s="11" t="str">
        <f t="array" ref="A591">IFERROR(
  INDEX('Starlink Launches'!$A:$A, MATCH($E591, 'Starlink Launches'!$B:$B, 0)),
  ""
)
</f>
        <v>6-29</v>
      </c>
      <c r="B591" s="3" t="s">
        <v>25</v>
      </c>
      <c r="C591" s="12" t="s">
        <v>603</v>
      </c>
      <c r="D591" s="13">
        <v>58420.0</v>
      </c>
      <c r="E591" s="4">
        <v>45252.0</v>
      </c>
      <c r="F591" s="4" t="str">
        <f>IF(D591="","", IFNA(VLOOKUP(D591, SATCAT_DECAY!A:B, 2, FALSE), ""))
</f>
        <v/>
      </c>
      <c r="G591" s="3" t="str">
        <f t="shared" si="1"/>
        <v>ACTIVE</v>
      </c>
    </row>
    <row r="592" ht="22.5" customHeight="1">
      <c r="A592" s="11" t="str">
        <f t="array" ref="A592">IFERROR(
  INDEX('Starlink Launches'!$A:$A, MATCH($E592, 'Starlink Launches'!$B:$B, 0)),
  ""
)
</f>
        <v>6-29</v>
      </c>
      <c r="B592" s="3" t="s">
        <v>25</v>
      </c>
      <c r="C592" s="12" t="s">
        <v>604</v>
      </c>
      <c r="D592" s="13">
        <v>58421.0</v>
      </c>
      <c r="E592" s="4">
        <v>45252.0</v>
      </c>
      <c r="F592" s="4" t="str">
        <f>IF(D592="","", IFNA(VLOOKUP(D592, SATCAT_DECAY!A:B, 2, FALSE), ""))
</f>
        <v/>
      </c>
      <c r="G592" s="3" t="str">
        <f t="shared" si="1"/>
        <v>ACTIVE</v>
      </c>
    </row>
    <row r="593" ht="22.5" customHeight="1">
      <c r="A593" s="11" t="str">
        <f t="array" ref="A593">IFERROR(
  INDEX('Starlink Launches'!$A:$A, MATCH($E593, 'Starlink Launches'!$B:$B, 0)),
  ""
)
</f>
        <v>6-29</v>
      </c>
      <c r="B593" s="3" t="s">
        <v>25</v>
      </c>
      <c r="C593" s="12" t="s">
        <v>605</v>
      </c>
      <c r="D593" s="13">
        <v>58422.0</v>
      </c>
      <c r="E593" s="4">
        <v>45252.0</v>
      </c>
      <c r="F593" s="4" t="str">
        <f>IF(D593="","", IFNA(VLOOKUP(D593, SATCAT_DECAY!A:B, 2, FALSE), ""))
</f>
        <v/>
      </c>
      <c r="G593" s="3" t="str">
        <f t="shared" si="1"/>
        <v>ACTIVE</v>
      </c>
    </row>
    <row r="594" ht="22.5" customHeight="1">
      <c r="A594" s="11" t="str">
        <f t="array" ref="A594">IFERROR(
  INDEX('Starlink Launches'!$A:$A, MATCH($E594, 'Starlink Launches'!$B:$B, 0)),
  ""
)
</f>
        <v>6-29</v>
      </c>
      <c r="B594" s="3" t="s">
        <v>25</v>
      </c>
      <c r="C594" s="12" t="s">
        <v>606</v>
      </c>
      <c r="D594" s="13">
        <v>58423.0</v>
      </c>
      <c r="E594" s="4">
        <v>45252.0</v>
      </c>
      <c r="F594" s="4" t="str">
        <f>IF(D594="","", IFNA(VLOOKUP(D594, SATCAT_DECAY!A:B, 2, FALSE), ""))
</f>
        <v/>
      </c>
      <c r="G594" s="3" t="str">
        <f t="shared" si="1"/>
        <v>ACTIVE</v>
      </c>
    </row>
    <row r="595" ht="22.5" customHeight="1">
      <c r="A595" s="11" t="str">
        <f t="array" ref="A595">IFERROR(
  INDEX('Starlink Launches'!$A:$A, MATCH($E595, 'Starlink Launches'!$B:$B, 0)),
  ""
)
</f>
        <v>6-29</v>
      </c>
      <c r="B595" s="3" t="s">
        <v>25</v>
      </c>
      <c r="C595" s="12" t="s">
        <v>607</v>
      </c>
      <c r="D595" s="13">
        <v>58424.0</v>
      </c>
      <c r="E595" s="4">
        <v>45252.0</v>
      </c>
      <c r="F595" s="4" t="str">
        <f>IF(D595="","", IFNA(VLOOKUP(D595, SATCAT_DECAY!A:B, 2, FALSE), ""))
</f>
        <v/>
      </c>
      <c r="G595" s="3" t="str">
        <f t="shared" si="1"/>
        <v>ACTIVE</v>
      </c>
    </row>
    <row r="596" ht="22.5" customHeight="1">
      <c r="A596" s="11" t="str">
        <f t="array" ref="A596">IFERROR(
  INDEX('Starlink Launches'!$A:$A, MATCH($E596, 'Starlink Launches'!$B:$B, 0)),
  ""
)
</f>
        <v>6-30</v>
      </c>
      <c r="B596" s="3" t="s">
        <v>25</v>
      </c>
      <c r="C596" s="12" t="s">
        <v>608</v>
      </c>
      <c r="D596" s="13">
        <v>58437.0</v>
      </c>
      <c r="E596" s="4">
        <v>45258.0</v>
      </c>
      <c r="F596" s="4" t="str">
        <f>IF(D596="","", IFNA(VLOOKUP(D596, SATCAT_DECAY!A:B, 2, FALSE), ""))
</f>
        <v/>
      </c>
      <c r="G596" s="3" t="str">
        <f t="shared" si="1"/>
        <v>ACTIVE</v>
      </c>
    </row>
    <row r="597" ht="22.5" customHeight="1">
      <c r="A597" s="11" t="str">
        <f t="array" ref="A597">IFERROR(
  INDEX('Starlink Launches'!$A:$A, MATCH($E597, 'Starlink Launches'!$B:$B, 0)),
  ""
)
</f>
        <v>6-30</v>
      </c>
      <c r="B597" s="3" t="s">
        <v>25</v>
      </c>
      <c r="C597" s="12" t="s">
        <v>609</v>
      </c>
      <c r="D597" s="13">
        <v>58438.0</v>
      </c>
      <c r="E597" s="4">
        <v>45258.0</v>
      </c>
      <c r="F597" s="4" t="str">
        <f>IF(D597="","", IFNA(VLOOKUP(D597, SATCAT_DECAY!A:B, 2, FALSE), ""))
</f>
        <v/>
      </c>
      <c r="G597" s="3" t="str">
        <f t="shared" si="1"/>
        <v>ACTIVE</v>
      </c>
    </row>
    <row r="598" ht="22.5" customHeight="1">
      <c r="A598" s="11" t="str">
        <f t="array" ref="A598">IFERROR(
  INDEX('Starlink Launches'!$A:$A, MATCH($E598, 'Starlink Launches'!$B:$B, 0)),
  ""
)
</f>
        <v>6-30</v>
      </c>
      <c r="B598" s="3" t="s">
        <v>25</v>
      </c>
      <c r="C598" s="12" t="s">
        <v>610</v>
      </c>
      <c r="D598" s="13">
        <v>58439.0</v>
      </c>
      <c r="E598" s="4">
        <v>45258.0</v>
      </c>
      <c r="F598" s="4" t="str">
        <f>IF(D598="","", IFNA(VLOOKUP(D598, SATCAT_DECAY!A:B, 2, FALSE), ""))
</f>
        <v/>
      </c>
      <c r="G598" s="3" t="str">
        <f t="shared" si="1"/>
        <v>ACTIVE</v>
      </c>
    </row>
    <row r="599" ht="22.5" customHeight="1">
      <c r="A599" s="11" t="str">
        <f t="array" ref="A599">IFERROR(
  INDEX('Starlink Launches'!$A:$A, MATCH($E599, 'Starlink Launches'!$B:$B, 0)),
  ""
)
</f>
        <v>6-30</v>
      </c>
      <c r="B599" s="3" t="s">
        <v>25</v>
      </c>
      <c r="C599" s="12" t="s">
        <v>611</v>
      </c>
      <c r="D599" s="13">
        <v>58440.0</v>
      </c>
      <c r="E599" s="4">
        <v>45258.0</v>
      </c>
      <c r="F599" s="4" t="str">
        <f>IF(D599="","", IFNA(VLOOKUP(D599, SATCAT_DECAY!A:B, 2, FALSE), ""))
</f>
        <v/>
      </c>
      <c r="G599" s="3" t="str">
        <f t="shared" si="1"/>
        <v>ACTIVE</v>
      </c>
    </row>
    <row r="600" ht="22.5" customHeight="1">
      <c r="A600" s="11" t="str">
        <f t="array" ref="A600">IFERROR(
  INDEX('Starlink Launches'!$A:$A, MATCH($E600, 'Starlink Launches'!$B:$B, 0)),
  ""
)
</f>
        <v>6-30</v>
      </c>
      <c r="B600" s="3" t="s">
        <v>25</v>
      </c>
      <c r="C600" s="12" t="s">
        <v>612</v>
      </c>
      <c r="D600" s="13">
        <v>58441.0</v>
      </c>
      <c r="E600" s="4">
        <v>45258.0</v>
      </c>
      <c r="F600" s="4" t="str">
        <f>IF(D600="","", IFNA(VLOOKUP(D600, SATCAT_DECAY!A:B, 2, FALSE), ""))
</f>
        <v/>
      </c>
      <c r="G600" s="3" t="str">
        <f t="shared" si="1"/>
        <v>ACTIVE</v>
      </c>
    </row>
    <row r="601" ht="22.5" customHeight="1">
      <c r="A601" s="11" t="str">
        <f t="array" ref="A601">IFERROR(
  INDEX('Starlink Launches'!$A:$A, MATCH($E601, 'Starlink Launches'!$B:$B, 0)),
  ""
)
</f>
        <v>6-30</v>
      </c>
      <c r="B601" s="3" t="s">
        <v>25</v>
      </c>
      <c r="C601" s="12" t="s">
        <v>613</v>
      </c>
      <c r="D601" s="13">
        <v>58442.0</v>
      </c>
      <c r="E601" s="4">
        <v>45258.0</v>
      </c>
      <c r="F601" s="4" t="str">
        <f>IF(D601="","", IFNA(VLOOKUP(D601, SATCAT_DECAY!A:B, 2, FALSE), ""))
</f>
        <v/>
      </c>
      <c r="G601" s="3" t="str">
        <f t="shared" si="1"/>
        <v>ACTIVE</v>
      </c>
    </row>
    <row r="602" ht="22.5" customHeight="1">
      <c r="A602" s="11" t="str">
        <f t="array" ref="A602">IFERROR(
  INDEX('Starlink Launches'!$A:$A, MATCH($E602, 'Starlink Launches'!$B:$B, 0)),
  ""
)
</f>
        <v>6-30</v>
      </c>
      <c r="B602" s="3" t="s">
        <v>25</v>
      </c>
      <c r="C602" s="12" t="s">
        <v>614</v>
      </c>
      <c r="D602" s="13">
        <v>58443.0</v>
      </c>
      <c r="E602" s="4">
        <v>45258.0</v>
      </c>
      <c r="F602" s="4" t="str">
        <f>IF(D602="","", IFNA(VLOOKUP(D602, SATCAT_DECAY!A:B, 2, FALSE), ""))
</f>
        <v/>
      </c>
      <c r="G602" s="3" t="str">
        <f t="shared" si="1"/>
        <v>ACTIVE</v>
      </c>
    </row>
    <row r="603" ht="22.5" customHeight="1">
      <c r="A603" s="11" t="str">
        <f t="array" ref="A603">IFERROR(
  INDEX('Starlink Launches'!$A:$A, MATCH($E603, 'Starlink Launches'!$B:$B, 0)),
  ""
)
</f>
        <v>6-30</v>
      </c>
      <c r="B603" s="3" t="s">
        <v>25</v>
      </c>
      <c r="C603" s="12" t="s">
        <v>615</v>
      </c>
      <c r="D603" s="13">
        <v>58444.0</v>
      </c>
      <c r="E603" s="4">
        <v>45258.0</v>
      </c>
      <c r="F603" s="4" t="str">
        <f>IF(D603="","", IFNA(VLOOKUP(D603, SATCAT_DECAY!A:B, 2, FALSE), ""))
</f>
        <v/>
      </c>
      <c r="G603" s="3" t="str">
        <f t="shared" si="1"/>
        <v>ACTIVE</v>
      </c>
    </row>
    <row r="604" ht="22.5" customHeight="1">
      <c r="A604" s="11" t="str">
        <f t="array" ref="A604">IFERROR(
  INDEX('Starlink Launches'!$A:$A, MATCH($E604, 'Starlink Launches'!$B:$B, 0)),
  ""
)
</f>
        <v>6-30</v>
      </c>
      <c r="B604" s="3" t="s">
        <v>25</v>
      </c>
      <c r="C604" s="12" t="s">
        <v>616</v>
      </c>
      <c r="D604" s="13">
        <v>58445.0</v>
      </c>
      <c r="E604" s="4">
        <v>45258.0</v>
      </c>
      <c r="F604" s="4" t="str">
        <f>IF(D604="","", IFNA(VLOOKUP(D604, SATCAT_DECAY!A:B, 2, FALSE), ""))
</f>
        <v/>
      </c>
      <c r="G604" s="3" t="str">
        <f t="shared" si="1"/>
        <v>ACTIVE</v>
      </c>
    </row>
    <row r="605" ht="22.5" customHeight="1">
      <c r="A605" s="11" t="str">
        <f t="array" ref="A605">IFERROR(
  INDEX('Starlink Launches'!$A:$A, MATCH($E605, 'Starlink Launches'!$B:$B, 0)),
  ""
)
</f>
        <v>6-30</v>
      </c>
      <c r="B605" s="3" t="s">
        <v>25</v>
      </c>
      <c r="C605" s="12" t="s">
        <v>617</v>
      </c>
      <c r="D605" s="13">
        <v>58446.0</v>
      </c>
      <c r="E605" s="4">
        <v>45258.0</v>
      </c>
      <c r="F605" s="4" t="str">
        <f>IF(D605="","", IFNA(VLOOKUP(D605, SATCAT_DECAY!A:B, 2, FALSE), ""))
</f>
        <v/>
      </c>
      <c r="G605" s="3" t="str">
        <f t="shared" si="1"/>
        <v>ACTIVE</v>
      </c>
    </row>
    <row r="606" ht="22.5" customHeight="1">
      <c r="A606" s="11" t="str">
        <f t="array" ref="A606">IFERROR(
  INDEX('Starlink Launches'!$A:$A, MATCH($E606, 'Starlink Launches'!$B:$B, 0)),
  ""
)
</f>
        <v>6-30</v>
      </c>
      <c r="B606" s="3" t="s">
        <v>25</v>
      </c>
      <c r="C606" s="12" t="s">
        <v>618</v>
      </c>
      <c r="D606" s="13">
        <v>58447.0</v>
      </c>
      <c r="E606" s="4">
        <v>45258.0</v>
      </c>
      <c r="F606" s="4" t="str">
        <f>IF(D606="","", IFNA(VLOOKUP(D606, SATCAT_DECAY!A:B, 2, FALSE), ""))
</f>
        <v/>
      </c>
      <c r="G606" s="3" t="str">
        <f t="shared" si="1"/>
        <v>ACTIVE</v>
      </c>
    </row>
    <row r="607" ht="22.5" customHeight="1">
      <c r="A607" s="11" t="str">
        <f t="array" ref="A607">IFERROR(
  INDEX('Starlink Launches'!$A:$A, MATCH($E607, 'Starlink Launches'!$B:$B, 0)),
  ""
)
</f>
        <v>6-30</v>
      </c>
      <c r="B607" s="3" t="s">
        <v>25</v>
      </c>
      <c r="C607" s="12" t="s">
        <v>619</v>
      </c>
      <c r="D607" s="13">
        <v>58448.0</v>
      </c>
      <c r="E607" s="4">
        <v>45258.0</v>
      </c>
      <c r="F607" s="4" t="str">
        <f>IF(D607="","", IFNA(VLOOKUP(D607, SATCAT_DECAY!A:B, 2, FALSE), ""))
</f>
        <v/>
      </c>
      <c r="G607" s="3" t="str">
        <f t="shared" si="1"/>
        <v>ACTIVE</v>
      </c>
    </row>
    <row r="608" ht="22.5" customHeight="1">
      <c r="A608" s="11" t="str">
        <f t="array" ref="A608">IFERROR(
  INDEX('Starlink Launches'!$A:$A, MATCH($E608, 'Starlink Launches'!$B:$B, 0)),
  ""
)
</f>
        <v>6-30</v>
      </c>
      <c r="B608" s="3" t="s">
        <v>25</v>
      </c>
      <c r="C608" s="12" t="s">
        <v>620</v>
      </c>
      <c r="D608" s="13">
        <v>58449.0</v>
      </c>
      <c r="E608" s="4">
        <v>45258.0</v>
      </c>
      <c r="F608" s="4" t="str">
        <f>IF(D608="","", IFNA(VLOOKUP(D608, SATCAT_DECAY!A:B, 2, FALSE), ""))
</f>
        <v/>
      </c>
      <c r="G608" s="3" t="str">
        <f t="shared" si="1"/>
        <v>ACTIVE</v>
      </c>
    </row>
    <row r="609" ht="22.5" customHeight="1">
      <c r="A609" s="11" t="str">
        <f t="array" ref="A609">IFERROR(
  INDEX('Starlink Launches'!$A:$A, MATCH($E609, 'Starlink Launches'!$B:$B, 0)),
  ""
)
</f>
        <v>6-30</v>
      </c>
      <c r="B609" s="3" t="s">
        <v>25</v>
      </c>
      <c r="C609" s="12" t="s">
        <v>621</v>
      </c>
      <c r="D609" s="13">
        <v>58450.0</v>
      </c>
      <c r="E609" s="4">
        <v>45258.0</v>
      </c>
      <c r="F609" s="4" t="str">
        <f>IF(D609="","", IFNA(VLOOKUP(D609, SATCAT_DECAY!A:B, 2, FALSE), ""))
</f>
        <v/>
      </c>
      <c r="G609" s="3" t="str">
        <f t="shared" si="1"/>
        <v>ACTIVE</v>
      </c>
    </row>
    <row r="610" ht="22.5" customHeight="1">
      <c r="A610" s="11" t="str">
        <f t="array" ref="A610">IFERROR(
  INDEX('Starlink Launches'!$A:$A, MATCH($E610, 'Starlink Launches'!$B:$B, 0)),
  ""
)
</f>
        <v>6-30</v>
      </c>
      <c r="B610" s="3" t="s">
        <v>25</v>
      </c>
      <c r="C610" s="12" t="s">
        <v>622</v>
      </c>
      <c r="D610" s="13">
        <v>58451.0</v>
      </c>
      <c r="E610" s="4">
        <v>45258.0</v>
      </c>
      <c r="F610" s="4" t="str">
        <f>IF(D610="","", IFNA(VLOOKUP(D610, SATCAT_DECAY!A:B, 2, FALSE), ""))
</f>
        <v/>
      </c>
      <c r="G610" s="3" t="str">
        <f t="shared" si="1"/>
        <v>ACTIVE</v>
      </c>
    </row>
    <row r="611" ht="22.5" customHeight="1">
      <c r="A611" s="11" t="str">
        <f t="array" ref="A611">IFERROR(
  INDEX('Starlink Launches'!$A:$A, MATCH($E611, 'Starlink Launches'!$B:$B, 0)),
  ""
)
</f>
        <v>6-30</v>
      </c>
      <c r="B611" s="3" t="s">
        <v>25</v>
      </c>
      <c r="C611" s="12" t="s">
        <v>623</v>
      </c>
      <c r="D611" s="13">
        <v>58452.0</v>
      </c>
      <c r="E611" s="4">
        <v>45258.0</v>
      </c>
      <c r="F611" s="4" t="str">
        <f>IF(D611="","", IFNA(VLOOKUP(D611, SATCAT_DECAY!A:B, 2, FALSE), ""))
</f>
        <v/>
      </c>
      <c r="G611" s="3" t="str">
        <f t="shared" si="1"/>
        <v>ACTIVE</v>
      </c>
    </row>
    <row r="612" ht="22.5" customHeight="1">
      <c r="A612" s="11" t="str">
        <f t="array" ref="A612">IFERROR(
  INDEX('Starlink Launches'!$A:$A, MATCH($E612, 'Starlink Launches'!$B:$B, 0)),
  ""
)
</f>
        <v>6-30</v>
      </c>
      <c r="B612" s="3" t="s">
        <v>25</v>
      </c>
      <c r="C612" s="12" t="s">
        <v>624</v>
      </c>
      <c r="D612" s="13">
        <v>58453.0</v>
      </c>
      <c r="E612" s="4">
        <v>45258.0</v>
      </c>
      <c r="F612" s="4" t="str">
        <f>IF(D612="","", IFNA(VLOOKUP(D612, SATCAT_DECAY!A:B, 2, FALSE), ""))
</f>
        <v/>
      </c>
      <c r="G612" s="3" t="str">
        <f t="shared" si="1"/>
        <v>ACTIVE</v>
      </c>
    </row>
    <row r="613" ht="22.5" customHeight="1">
      <c r="A613" s="11" t="str">
        <f t="array" ref="A613">IFERROR(
  INDEX('Starlink Launches'!$A:$A, MATCH($E613, 'Starlink Launches'!$B:$B, 0)),
  ""
)
</f>
        <v>6-30</v>
      </c>
      <c r="B613" s="3" t="s">
        <v>25</v>
      </c>
      <c r="C613" s="12" t="s">
        <v>625</v>
      </c>
      <c r="D613" s="13">
        <v>58454.0</v>
      </c>
      <c r="E613" s="4">
        <v>45258.0</v>
      </c>
      <c r="F613" s="4" t="str">
        <f>IF(D613="","", IFNA(VLOOKUP(D613, SATCAT_DECAY!A:B, 2, FALSE), ""))
</f>
        <v/>
      </c>
      <c r="G613" s="3" t="str">
        <f t="shared" si="1"/>
        <v>ACTIVE</v>
      </c>
    </row>
    <row r="614" ht="22.5" customHeight="1">
      <c r="A614" s="11" t="str">
        <f t="array" ref="A614">IFERROR(
  INDEX('Starlink Launches'!$A:$A, MATCH($E614, 'Starlink Launches'!$B:$B, 0)),
  ""
)
</f>
        <v>6-30</v>
      </c>
      <c r="B614" s="3" t="s">
        <v>25</v>
      </c>
      <c r="C614" s="12" t="s">
        <v>626</v>
      </c>
      <c r="D614" s="13">
        <v>58455.0</v>
      </c>
      <c r="E614" s="4">
        <v>45258.0</v>
      </c>
      <c r="F614" s="4" t="str">
        <f>IF(D614="","", IFNA(VLOOKUP(D614, SATCAT_DECAY!A:B, 2, FALSE), ""))
</f>
        <v/>
      </c>
      <c r="G614" s="3" t="str">
        <f t="shared" si="1"/>
        <v>ACTIVE</v>
      </c>
    </row>
    <row r="615" ht="22.5" customHeight="1">
      <c r="A615" s="11" t="str">
        <f t="array" ref="A615">IFERROR(
  INDEX('Starlink Launches'!$A:$A, MATCH($E615, 'Starlink Launches'!$B:$B, 0)),
  ""
)
</f>
        <v>6-30</v>
      </c>
      <c r="B615" s="3" t="s">
        <v>25</v>
      </c>
      <c r="C615" s="12" t="s">
        <v>627</v>
      </c>
      <c r="D615" s="13">
        <v>58456.0</v>
      </c>
      <c r="E615" s="4">
        <v>45258.0</v>
      </c>
      <c r="F615" s="4" t="str">
        <f>IF(D615="","", IFNA(VLOOKUP(D615, SATCAT_DECAY!A:B, 2, FALSE), ""))
</f>
        <v/>
      </c>
      <c r="G615" s="3" t="str">
        <f t="shared" si="1"/>
        <v>ACTIVE</v>
      </c>
    </row>
    <row r="616" ht="22.5" customHeight="1">
      <c r="A616" s="11" t="str">
        <f t="array" ref="A616">IFERROR(
  INDEX('Starlink Launches'!$A:$A, MATCH($E616, 'Starlink Launches'!$B:$B, 0)),
  ""
)
</f>
        <v>6-30</v>
      </c>
      <c r="B616" s="3" t="s">
        <v>25</v>
      </c>
      <c r="C616" s="12" t="s">
        <v>628</v>
      </c>
      <c r="D616" s="13">
        <v>58457.0</v>
      </c>
      <c r="E616" s="4">
        <v>45258.0</v>
      </c>
      <c r="F616" s="4" t="str">
        <f>IF(D616="","", IFNA(VLOOKUP(D616, SATCAT_DECAY!A:B, 2, FALSE), ""))
</f>
        <v/>
      </c>
      <c r="G616" s="3" t="str">
        <f t="shared" si="1"/>
        <v>ACTIVE</v>
      </c>
    </row>
    <row r="617" ht="22.5" customHeight="1">
      <c r="A617" s="11" t="str">
        <f t="array" ref="A617">IFERROR(
  INDEX('Starlink Launches'!$A:$A, MATCH($E617, 'Starlink Launches'!$B:$B, 0)),
  ""
)
</f>
        <v>6-30</v>
      </c>
      <c r="B617" s="3" t="s">
        <v>25</v>
      </c>
      <c r="C617" s="12" t="s">
        <v>629</v>
      </c>
      <c r="D617" s="13">
        <v>58458.0</v>
      </c>
      <c r="E617" s="4">
        <v>45258.0</v>
      </c>
      <c r="F617" s="4" t="str">
        <f>IF(D617="","", IFNA(VLOOKUP(D617, SATCAT_DECAY!A:B, 2, FALSE), ""))
</f>
        <v/>
      </c>
      <c r="G617" s="3" t="str">
        <f t="shared" si="1"/>
        <v>ACTIVE</v>
      </c>
    </row>
    <row r="618" ht="22.5" customHeight="1">
      <c r="A618" s="11" t="str">
        <f t="array" ref="A618">IFERROR(
  INDEX('Starlink Launches'!$A:$A, MATCH($E618, 'Starlink Launches'!$B:$B, 0)),
  ""
)
</f>
        <v>6-30</v>
      </c>
      <c r="B618" s="3" t="s">
        <v>25</v>
      </c>
      <c r="C618" s="12" t="s">
        <v>630</v>
      </c>
      <c r="D618" s="13">
        <v>58459.0</v>
      </c>
      <c r="E618" s="4">
        <v>45258.0</v>
      </c>
      <c r="F618" s="4" t="str">
        <f>IF(D618="","", IFNA(VLOOKUP(D618, SATCAT_DECAY!A:B, 2, FALSE), ""))
</f>
        <v/>
      </c>
      <c r="G618" s="3" t="str">
        <f t="shared" si="1"/>
        <v>ACTIVE</v>
      </c>
    </row>
    <row r="619" ht="22.5" customHeight="1">
      <c r="A619" s="11" t="str">
        <f t="array" ref="A619">IFERROR(
  INDEX('Starlink Launches'!$A:$A, MATCH($E619, 'Starlink Launches'!$B:$B, 0)),
  ""
)
</f>
        <v>6-31</v>
      </c>
      <c r="B619" s="3" t="s">
        <v>25</v>
      </c>
      <c r="C619" s="12" t="s">
        <v>631</v>
      </c>
      <c r="D619" s="13">
        <v>58473.0</v>
      </c>
      <c r="E619" s="4">
        <v>45263.0</v>
      </c>
      <c r="F619" s="4" t="str">
        <f>IF(D619="","", IFNA(VLOOKUP(D619, SATCAT_DECAY!A:B, 2, FALSE), ""))
</f>
        <v/>
      </c>
      <c r="G619" s="3" t="str">
        <f t="shared" si="1"/>
        <v>ACTIVE</v>
      </c>
    </row>
    <row r="620" ht="22.5" customHeight="1">
      <c r="A620" s="11" t="str">
        <f t="array" ref="A620">IFERROR(
  INDEX('Starlink Launches'!$A:$A, MATCH($E620, 'Starlink Launches'!$B:$B, 0)),
  ""
)
</f>
        <v>6-31</v>
      </c>
      <c r="B620" s="3" t="s">
        <v>25</v>
      </c>
      <c r="C620" s="12" t="s">
        <v>632</v>
      </c>
      <c r="D620" s="13">
        <v>58474.0</v>
      </c>
      <c r="E620" s="4">
        <v>45263.0</v>
      </c>
      <c r="F620" s="4" t="str">
        <f>IF(D620="","", IFNA(VLOOKUP(D620, SATCAT_DECAY!A:B, 2, FALSE), ""))
</f>
        <v/>
      </c>
      <c r="G620" s="3" t="str">
        <f t="shared" si="1"/>
        <v>ACTIVE</v>
      </c>
    </row>
    <row r="621" ht="22.5" customHeight="1">
      <c r="A621" s="11" t="str">
        <f t="array" ref="A621">IFERROR(
  INDEX('Starlink Launches'!$A:$A, MATCH($E621, 'Starlink Launches'!$B:$B, 0)),
  ""
)
</f>
        <v>6-31</v>
      </c>
      <c r="B621" s="3" t="s">
        <v>25</v>
      </c>
      <c r="C621" s="12" t="s">
        <v>633</v>
      </c>
      <c r="D621" s="13">
        <v>58475.0</v>
      </c>
      <c r="E621" s="4">
        <v>45263.0</v>
      </c>
      <c r="F621" s="4" t="str">
        <f>IF(D621="","", IFNA(VLOOKUP(D621, SATCAT_DECAY!A:B, 2, FALSE), ""))
</f>
        <v/>
      </c>
      <c r="G621" s="3" t="str">
        <f t="shared" si="1"/>
        <v>ACTIVE</v>
      </c>
    </row>
    <row r="622" ht="22.5" customHeight="1">
      <c r="A622" s="11" t="str">
        <f t="array" ref="A622">IFERROR(
  INDEX('Starlink Launches'!$A:$A, MATCH($E622, 'Starlink Launches'!$B:$B, 0)),
  ""
)
</f>
        <v>6-31</v>
      </c>
      <c r="B622" s="3" t="s">
        <v>25</v>
      </c>
      <c r="C622" s="12" t="s">
        <v>634</v>
      </c>
      <c r="D622" s="13">
        <v>58476.0</v>
      </c>
      <c r="E622" s="4">
        <v>45263.0</v>
      </c>
      <c r="F622" s="4" t="str">
        <f>IF(D622="","", IFNA(VLOOKUP(D622, SATCAT_DECAY!A:B, 2, FALSE), ""))
</f>
        <v/>
      </c>
      <c r="G622" s="3" t="str">
        <f t="shared" si="1"/>
        <v>ACTIVE</v>
      </c>
    </row>
    <row r="623" ht="22.5" customHeight="1">
      <c r="A623" s="11" t="str">
        <f t="array" ref="A623">IFERROR(
  INDEX('Starlink Launches'!$A:$A, MATCH($E623, 'Starlink Launches'!$B:$B, 0)),
  ""
)
</f>
        <v>6-31</v>
      </c>
      <c r="B623" s="3" t="s">
        <v>25</v>
      </c>
      <c r="C623" s="12" t="s">
        <v>635</v>
      </c>
      <c r="D623" s="13">
        <v>58477.0</v>
      </c>
      <c r="E623" s="4">
        <v>45263.0</v>
      </c>
      <c r="F623" s="4" t="str">
        <f>IF(D623="","", IFNA(VLOOKUP(D623, SATCAT_DECAY!A:B, 2, FALSE), ""))
</f>
        <v/>
      </c>
      <c r="G623" s="3" t="str">
        <f t="shared" si="1"/>
        <v>ACTIVE</v>
      </c>
    </row>
    <row r="624" ht="22.5" customHeight="1">
      <c r="A624" s="11" t="str">
        <f t="array" ref="A624">IFERROR(
  INDEX('Starlink Launches'!$A:$A, MATCH($E624, 'Starlink Launches'!$B:$B, 0)),
  ""
)
</f>
        <v>6-31</v>
      </c>
      <c r="B624" s="3" t="s">
        <v>25</v>
      </c>
      <c r="C624" s="12" t="s">
        <v>636</v>
      </c>
      <c r="D624" s="13">
        <v>58478.0</v>
      </c>
      <c r="E624" s="4">
        <v>45263.0</v>
      </c>
      <c r="F624" s="4" t="str">
        <f>IF(D624="","", IFNA(VLOOKUP(D624, SATCAT_DECAY!A:B, 2, FALSE), ""))
</f>
        <v/>
      </c>
      <c r="G624" s="3" t="str">
        <f t="shared" si="1"/>
        <v>ACTIVE</v>
      </c>
    </row>
    <row r="625" ht="22.5" customHeight="1">
      <c r="A625" s="11" t="str">
        <f t="array" ref="A625">IFERROR(
  INDEX('Starlink Launches'!$A:$A, MATCH($E625, 'Starlink Launches'!$B:$B, 0)),
  ""
)
</f>
        <v>6-31</v>
      </c>
      <c r="B625" s="3" t="s">
        <v>25</v>
      </c>
      <c r="C625" s="12" t="s">
        <v>637</v>
      </c>
      <c r="D625" s="13">
        <v>58480.0</v>
      </c>
      <c r="E625" s="4">
        <v>45263.0</v>
      </c>
      <c r="F625" s="4" t="str">
        <f>IF(D625="","", IFNA(VLOOKUP(D625, SATCAT_DECAY!A:B, 2, FALSE), ""))
</f>
        <v/>
      </c>
      <c r="G625" s="3" t="str">
        <f t="shared" si="1"/>
        <v>ACTIVE</v>
      </c>
    </row>
    <row r="626" ht="22.5" customHeight="1">
      <c r="A626" s="11" t="str">
        <f t="array" ref="A626">IFERROR(
  INDEX('Starlink Launches'!$A:$A, MATCH($E626, 'Starlink Launches'!$B:$B, 0)),
  ""
)
</f>
        <v>6-31</v>
      </c>
      <c r="B626" s="3" t="s">
        <v>25</v>
      </c>
      <c r="C626" s="12" t="s">
        <v>638</v>
      </c>
      <c r="D626" s="13">
        <v>58481.0</v>
      </c>
      <c r="E626" s="4">
        <v>45263.0</v>
      </c>
      <c r="F626" s="4" t="str">
        <f>IF(D626="","", IFNA(VLOOKUP(D626, SATCAT_DECAY!A:B, 2, FALSE), ""))
</f>
        <v/>
      </c>
      <c r="G626" s="3" t="str">
        <f t="shared" si="1"/>
        <v>ACTIVE</v>
      </c>
    </row>
    <row r="627" ht="22.5" customHeight="1">
      <c r="A627" s="11" t="str">
        <f t="array" ref="A627">IFERROR(
  INDEX('Starlink Launches'!$A:$A, MATCH($E627, 'Starlink Launches'!$B:$B, 0)),
  ""
)
</f>
        <v>6-31</v>
      </c>
      <c r="B627" s="3" t="s">
        <v>25</v>
      </c>
      <c r="C627" s="12" t="s">
        <v>639</v>
      </c>
      <c r="D627" s="13">
        <v>58482.0</v>
      </c>
      <c r="E627" s="4">
        <v>45263.0</v>
      </c>
      <c r="F627" s="4" t="str">
        <f>IF(D627="","", IFNA(VLOOKUP(D627, SATCAT_DECAY!A:B, 2, FALSE), ""))
</f>
        <v/>
      </c>
      <c r="G627" s="3" t="str">
        <f t="shared" si="1"/>
        <v>ACTIVE</v>
      </c>
    </row>
    <row r="628" ht="22.5" customHeight="1">
      <c r="A628" s="11" t="str">
        <f t="array" ref="A628">IFERROR(
  INDEX('Starlink Launches'!$A:$A, MATCH($E628, 'Starlink Launches'!$B:$B, 0)),
  ""
)
</f>
        <v>6-31</v>
      </c>
      <c r="B628" s="3" t="s">
        <v>25</v>
      </c>
      <c r="C628" s="12" t="s">
        <v>640</v>
      </c>
      <c r="D628" s="13">
        <v>58483.0</v>
      </c>
      <c r="E628" s="4">
        <v>45263.0</v>
      </c>
      <c r="F628" s="4" t="str">
        <f>IF(D628="","", IFNA(VLOOKUP(D628, SATCAT_DECAY!A:B, 2, FALSE), ""))
</f>
        <v/>
      </c>
      <c r="G628" s="3" t="str">
        <f t="shared" si="1"/>
        <v>ACTIVE</v>
      </c>
    </row>
    <row r="629" ht="22.5" customHeight="1">
      <c r="A629" s="11" t="str">
        <f t="array" ref="A629">IFERROR(
  INDEX('Starlink Launches'!$A:$A, MATCH($E629, 'Starlink Launches'!$B:$B, 0)),
  ""
)
</f>
        <v>6-31</v>
      </c>
      <c r="B629" s="3" t="s">
        <v>25</v>
      </c>
      <c r="C629" s="12" t="s">
        <v>641</v>
      </c>
      <c r="D629" s="13">
        <v>58484.0</v>
      </c>
      <c r="E629" s="4">
        <v>45263.0</v>
      </c>
      <c r="F629" s="4" t="str">
        <f>IF(D629="","", IFNA(VLOOKUP(D629, SATCAT_DECAY!A:B, 2, FALSE), ""))
</f>
        <v/>
      </c>
      <c r="G629" s="3" t="str">
        <f t="shared" si="1"/>
        <v>ACTIVE</v>
      </c>
    </row>
    <row r="630" ht="22.5" customHeight="1">
      <c r="A630" s="11" t="str">
        <f t="array" ref="A630">IFERROR(
  INDEX('Starlink Launches'!$A:$A, MATCH($E630, 'Starlink Launches'!$B:$B, 0)),
  ""
)
</f>
        <v>6-31</v>
      </c>
      <c r="B630" s="3" t="s">
        <v>25</v>
      </c>
      <c r="C630" s="12" t="s">
        <v>642</v>
      </c>
      <c r="D630" s="13">
        <v>58485.0</v>
      </c>
      <c r="E630" s="4">
        <v>45263.0</v>
      </c>
      <c r="F630" s="4" t="str">
        <f>IF(D630="","", IFNA(VLOOKUP(D630, SATCAT_DECAY!A:B, 2, FALSE), ""))
</f>
        <v/>
      </c>
      <c r="G630" s="3" t="str">
        <f t="shared" si="1"/>
        <v>ACTIVE</v>
      </c>
    </row>
    <row r="631" ht="22.5" customHeight="1">
      <c r="A631" s="11" t="str">
        <f t="array" ref="A631">IFERROR(
  INDEX('Starlink Launches'!$A:$A, MATCH($E631, 'Starlink Launches'!$B:$B, 0)),
  ""
)
</f>
        <v>6-31</v>
      </c>
      <c r="B631" s="3" t="s">
        <v>25</v>
      </c>
      <c r="C631" s="12" t="s">
        <v>643</v>
      </c>
      <c r="D631" s="13">
        <v>58486.0</v>
      </c>
      <c r="E631" s="4">
        <v>45263.0</v>
      </c>
      <c r="F631" s="4" t="str">
        <f>IF(D631="","", IFNA(VLOOKUP(D631, SATCAT_DECAY!A:B, 2, FALSE), ""))
</f>
        <v/>
      </c>
      <c r="G631" s="3" t="str">
        <f t="shared" si="1"/>
        <v>ACTIVE</v>
      </c>
    </row>
    <row r="632" ht="22.5" customHeight="1">
      <c r="A632" s="11" t="str">
        <f t="array" ref="A632">IFERROR(
  INDEX('Starlink Launches'!$A:$A, MATCH($E632, 'Starlink Launches'!$B:$B, 0)),
  ""
)
</f>
        <v>6-31</v>
      </c>
      <c r="B632" s="3" t="s">
        <v>25</v>
      </c>
      <c r="C632" s="12" t="s">
        <v>644</v>
      </c>
      <c r="D632" s="13">
        <v>58487.0</v>
      </c>
      <c r="E632" s="4">
        <v>45263.0</v>
      </c>
      <c r="F632" s="4" t="str">
        <f>IF(D632="","", IFNA(VLOOKUP(D632, SATCAT_DECAY!A:B, 2, FALSE), ""))
</f>
        <v/>
      </c>
      <c r="G632" s="3" t="str">
        <f t="shared" si="1"/>
        <v>ACTIVE</v>
      </c>
    </row>
    <row r="633" ht="22.5" customHeight="1">
      <c r="A633" s="11" t="str">
        <f t="array" ref="A633">IFERROR(
  INDEX('Starlink Launches'!$A:$A, MATCH($E633, 'Starlink Launches'!$B:$B, 0)),
  ""
)
</f>
        <v>6-31</v>
      </c>
      <c r="B633" s="3" t="s">
        <v>25</v>
      </c>
      <c r="C633" s="12" t="s">
        <v>645</v>
      </c>
      <c r="D633" s="13">
        <v>58488.0</v>
      </c>
      <c r="E633" s="4">
        <v>45263.0</v>
      </c>
      <c r="F633" s="4" t="str">
        <f>IF(D633="","", IFNA(VLOOKUP(D633, SATCAT_DECAY!A:B, 2, FALSE), ""))
</f>
        <v/>
      </c>
      <c r="G633" s="3" t="str">
        <f t="shared" si="1"/>
        <v>ACTIVE</v>
      </c>
    </row>
    <row r="634" ht="22.5" customHeight="1">
      <c r="A634" s="11" t="str">
        <f t="array" ref="A634">IFERROR(
  INDEX('Starlink Launches'!$A:$A, MATCH($E634, 'Starlink Launches'!$B:$B, 0)),
  ""
)
</f>
        <v>6-31</v>
      </c>
      <c r="B634" s="3" t="s">
        <v>25</v>
      </c>
      <c r="C634" s="12" t="s">
        <v>646</v>
      </c>
      <c r="D634" s="13">
        <v>58489.0</v>
      </c>
      <c r="E634" s="4">
        <v>45263.0</v>
      </c>
      <c r="F634" s="4" t="str">
        <f>IF(D634="","", IFNA(VLOOKUP(D634, SATCAT_DECAY!A:B, 2, FALSE), ""))
</f>
        <v/>
      </c>
      <c r="G634" s="3" t="str">
        <f t="shared" si="1"/>
        <v>ACTIVE</v>
      </c>
    </row>
    <row r="635" ht="22.5" customHeight="1">
      <c r="A635" s="11" t="str">
        <f t="array" ref="A635">IFERROR(
  INDEX('Starlink Launches'!$A:$A, MATCH($E635, 'Starlink Launches'!$B:$B, 0)),
  ""
)
</f>
        <v>6-31</v>
      </c>
      <c r="B635" s="3" t="s">
        <v>25</v>
      </c>
      <c r="C635" s="12" t="s">
        <v>647</v>
      </c>
      <c r="D635" s="13">
        <v>58490.0</v>
      </c>
      <c r="E635" s="4">
        <v>45263.0</v>
      </c>
      <c r="F635" s="4" t="str">
        <f>IF(D635="","", IFNA(VLOOKUP(D635, SATCAT_DECAY!A:B, 2, FALSE), ""))
</f>
        <v/>
      </c>
      <c r="G635" s="3" t="str">
        <f t="shared" si="1"/>
        <v>ACTIVE</v>
      </c>
    </row>
    <row r="636" ht="22.5" customHeight="1">
      <c r="A636" s="11" t="str">
        <f t="array" ref="A636">IFERROR(
  INDEX('Starlink Launches'!$A:$A, MATCH($E636, 'Starlink Launches'!$B:$B, 0)),
  ""
)
</f>
        <v>6-31</v>
      </c>
      <c r="B636" s="3" t="s">
        <v>25</v>
      </c>
      <c r="C636" s="12" t="s">
        <v>648</v>
      </c>
      <c r="D636" s="13">
        <v>58491.0</v>
      </c>
      <c r="E636" s="4">
        <v>45263.0</v>
      </c>
      <c r="F636" s="4" t="str">
        <f>IF(D636="","", IFNA(VLOOKUP(D636, SATCAT_DECAY!A:B, 2, FALSE), ""))
</f>
        <v/>
      </c>
      <c r="G636" s="3" t="str">
        <f t="shared" si="1"/>
        <v>ACTIVE</v>
      </c>
    </row>
    <row r="637" ht="22.5" customHeight="1">
      <c r="A637" s="11" t="str">
        <f t="array" ref="A637">IFERROR(
  INDEX('Starlink Launches'!$A:$A, MATCH($E637, 'Starlink Launches'!$B:$B, 0)),
  ""
)
</f>
        <v>6-31</v>
      </c>
      <c r="B637" s="3" t="s">
        <v>25</v>
      </c>
      <c r="C637" s="12" t="s">
        <v>649</v>
      </c>
      <c r="D637" s="13">
        <v>58492.0</v>
      </c>
      <c r="E637" s="4">
        <v>45263.0</v>
      </c>
      <c r="F637" s="4" t="str">
        <f>IF(D637="","", IFNA(VLOOKUP(D637, SATCAT_DECAY!A:B, 2, FALSE), ""))
</f>
        <v/>
      </c>
      <c r="G637" s="3" t="str">
        <f t="shared" si="1"/>
        <v>ACTIVE</v>
      </c>
    </row>
    <row r="638" ht="22.5" customHeight="1">
      <c r="A638" s="11" t="str">
        <f t="array" ref="A638">IFERROR(
  INDEX('Starlink Launches'!$A:$A, MATCH($E638, 'Starlink Launches'!$B:$B, 0)),
  ""
)
</f>
        <v>6-31</v>
      </c>
      <c r="B638" s="3" t="s">
        <v>25</v>
      </c>
      <c r="C638" s="12" t="s">
        <v>650</v>
      </c>
      <c r="D638" s="13">
        <v>58493.0</v>
      </c>
      <c r="E638" s="4">
        <v>45263.0</v>
      </c>
      <c r="F638" s="4" t="str">
        <f>IF(D638="","", IFNA(VLOOKUP(D638, SATCAT_DECAY!A:B, 2, FALSE), ""))
</f>
        <v/>
      </c>
      <c r="G638" s="3" t="str">
        <f t="shared" si="1"/>
        <v>ACTIVE</v>
      </c>
    </row>
    <row r="639" ht="22.5" customHeight="1">
      <c r="A639" s="11" t="str">
        <f t="array" ref="A639">IFERROR(
  INDEX('Starlink Launches'!$A:$A, MATCH($E639, 'Starlink Launches'!$B:$B, 0)),
  ""
)
</f>
        <v>6-31</v>
      </c>
      <c r="B639" s="3" t="s">
        <v>25</v>
      </c>
      <c r="C639" s="12" t="s">
        <v>651</v>
      </c>
      <c r="D639" s="13">
        <v>58494.0</v>
      </c>
      <c r="E639" s="4">
        <v>45263.0</v>
      </c>
      <c r="F639" s="4" t="str">
        <f>IF(D639="","", IFNA(VLOOKUP(D639, SATCAT_DECAY!A:B, 2, FALSE), ""))
</f>
        <v/>
      </c>
      <c r="G639" s="3" t="str">
        <f t="shared" si="1"/>
        <v>ACTIVE</v>
      </c>
    </row>
    <row r="640" ht="22.5" customHeight="1">
      <c r="A640" s="11" t="str">
        <f t="array" ref="A640">IFERROR(
  INDEX('Starlink Launches'!$A:$A, MATCH($E640, 'Starlink Launches'!$B:$B, 0)),
  ""
)
</f>
        <v>6-31</v>
      </c>
      <c r="B640" s="3" t="s">
        <v>25</v>
      </c>
      <c r="C640" s="12" t="s">
        <v>652</v>
      </c>
      <c r="D640" s="13">
        <v>58495.0</v>
      </c>
      <c r="E640" s="4">
        <v>45263.0</v>
      </c>
      <c r="F640" s="4" t="str">
        <f>IF(D640="","", IFNA(VLOOKUP(D640, SATCAT_DECAY!A:B, 2, FALSE), ""))
</f>
        <v/>
      </c>
      <c r="G640" s="3" t="str">
        <f t="shared" si="1"/>
        <v>ACTIVE</v>
      </c>
    </row>
    <row r="641" ht="22.5" customHeight="1">
      <c r="A641" s="11" t="str">
        <f t="array" ref="A641">IFERROR(
  INDEX('Starlink Launches'!$A:$A, MATCH($E641, 'Starlink Launches'!$B:$B, 0)),
  ""
)
</f>
        <v>6-33</v>
      </c>
      <c r="B641" s="3" t="s">
        <v>25</v>
      </c>
      <c r="C641" s="12" t="s">
        <v>653</v>
      </c>
      <c r="D641" s="13">
        <v>58508.0</v>
      </c>
      <c r="E641" s="4">
        <v>45267.0</v>
      </c>
      <c r="F641" s="4" t="str">
        <f>IF(D641="","", IFNA(VLOOKUP(D641, SATCAT_DECAY!A:B, 2, FALSE), ""))
</f>
        <v/>
      </c>
      <c r="G641" s="3" t="str">
        <f t="shared" si="1"/>
        <v>ACTIVE</v>
      </c>
    </row>
    <row r="642" ht="22.5" customHeight="1">
      <c r="A642" s="11" t="str">
        <f t="array" ref="A642">IFERROR(
  INDEX('Starlink Launches'!$A:$A, MATCH($E642, 'Starlink Launches'!$B:$B, 0)),
  ""
)
</f>
        <v>6-33</v>
      </c>
      <c r="B642" s="3" t="s">
        <v>25</v>
      </c>
      <c r="C642" s="12" t="s">
        <v>654</v>
      </c>
      <c r="D642" s="13">
        <v>58509.0</v>
      </c>
      <c r="E642" s="4">
        <v>45267.0</v>
      </c>
      <c r="F642" s="4" t="str">
        <f>IF(D642="","", IFNA(VLOOKUP(D642, SATCAT_DECAY!A:B, 2, FALSE), ""))
</f>
        <v/>
      </c>
      <c r="G642" s="3" t="str">
        <f t="shared" si="1"/>
        <v>ACTIVE</v>
      </c>
    </row>
    <row r="643" ht="22.5" customHeight="1">
      <c r="A643" s="11" t="str">
        <f t="array" ref="A643">IFERROR(
  INDEX('Starlink Launches'!$A:$A, MATCH($E643, 'Starlink Launches'!$B:$B, 0)),
  ""
)
</f>
        <v>6-33</v>
      </c>
      <c r="B643" s="3" t="s">
        <v>25</v>
      </c>
      <c r="C643" s="12" t="s">
        <v>655</v>
      </c>
      <c r="D643" s="13">
        <v>58510.0</v>
      </c>
      <c r="E643" s="4">
        <v>45267.0</v>
      </c>
      <c r="F643" s="4" t="str">
        <f>IF(D643="","", IFNA(VLOOKUP(D643, SATCAT_DECAY!A:B, 2, FALSE), ""))
</f>
        <v/>
      </c>
      <c r="G643" s="3" t="str">
        <f t="shared" si="1"/>
        <v>ACTIVE</v>
      </c>
    </row>
    <row r="644" ht="22.5" customHeight="1">
      <c r="A644" s="11" t="str">
        <f t="array" ref="A644">IFERROR(
  INDEX('Starlink Launches'!$A:$A, MATCH($E644, 'Starlink Launches'!$B:$B, 0)),
  ""
)
</f>
        <v>6-33</v>
      </c>
      <c r="B644" s="3" t="s">
        <v>25</v>
      </c>
      <c r="C644" s="12" t="s">
        <v>656</v>
      </c>
      <c r="D644" s="13">
        <v>58511.0</v>
      </c>
      <c r="E644" s="4">
        <v>45267.0</v>
      </c>
      <c r="F644" s="4" t="str">
        <f>IF(D644="","", IFNA(VLOOKUP(D644, SATCAT_DECAY!A:B, 2, FALSE), ""))
</f>
        <v/>
      </c>
      <c r="G644" s="3" t="str">
        <f t="shared" si="1"/>
        <v>ACTIVE</v>
      </c>
    </row>
    <row r="645" ht="22.5" customHeight="1">
      <c r="A645" s="11" t="str">
        <f t="array" ref="A645">IFERROR(
  INDEX('Starlink Launches'!$A:$A, MATCH($E645, 'Starlink Launches'!$B:$B, 0)),
  ""
)
</f>
        <v>6-33</v>
      </c>
      <c r="B645" s="3" t="s">
        <v>25</v>
      </c>
      <c r="C645" s="12" t="s">
        <v>657</v>
      </c>
      <c r="D645" s="13">
        <v>58512.0</v>
      </c>
      <c r="E645" s="4">
        <v>45267.0</v>
      </c>
      <c r="F645" s="4" t="str">
        <f>IF(D645="","", IFNA(VLOOKUP(D645, SATCAT_DECAY!A:B, 2, FALSE), ""))
</f>
        <v/>
      </c>
      <c r="G645" s="3" t="str">
        <f t="shared" si="1"/>
        <v>ACTIVE</v>
      </c>
    </row>
    <row r="646" ht="22.5" customHeight="1">
      <c r="A646" s="11" t="str">
        <f t="array" ref="A646">IFERROR(
  INDEX('Starlink Launches'!$A:$A, MATCH($E646, 'Starlink Launches'!$B:$B, 0)),
  ""
)
</f>
        <v>6-33</v>
      </c>
      <c r="B646" s="3" t="s">
        <v>25</v>
      </c>
      <c r="C646" s="12" t="s">
        <v>658</v>
      </c>
      <c r="D646" s="13">
        <v>58513.0</v>
      </c>
      <c r="E646" s="4">
        <v>45267.0</v>
      </c>
      <c r="F646" s="4" t="str">
        <f>IF(D646="","", IFNA(VLOOKUP(D646, SATCAT_DECAY!A:B, 2, FALSE), ""))
</f>
        <v/>
      </c>
      <c r="G646" s="3" t="str">
        <f t="shared" si="1"/>
        <v>ACTIVE</v>
      </c>
    </row>
    <row r="647" ht="22.5" customHeight="1">
      <c r="A647" s="11" t="str">
        <f t="array" ref="A647">IFERROR(
  INDEX('Starlink Launches'!$A:$A, MATCH($E647, 'Starlink Launches'!$B:$B, 0)),
  ""
)
</f>
        <v>6-33</v>
      </c>
      <c r="B647" s="3" t="s">
        <v>25</v>
      </c>
      <c r="C647" s="12" t="s">
        <v>659</v>
      </c>
      <c r="D647" s="13">
        <v>58514.0</v>
      </c>
      <c r="E647" s="4">
        <v>45267.0</v>
      </c>
      <c r="F647" s="4" t="str">
        <f>IF(D647="","", IFNA(VLOOKUP(D647, SATCAT_DECAY!A:B, 2, FALSE), ""))
</f>
        <v/>
      </c>
      <c r="G647" s="3" t="str">
        <f t="shared" si="1"/>
        <v>ACTIVE</v>
      </c>
    </row>
    <row r="648" ht="22.5" customHeight="1">
      <c r="A648" s="11" t="str">
        <f t="array" ref="A648">IFERROR(
  INDEX('Starlink Launches'!$A:$A, MATCH($E648, 'Starlink Launches'!$B:$B, 0)),
  ""
)
</f>
        <v>6-33</v>
      </c>
      <c r="B648" s="3" t="s">
        <v>25</v>
      </c>
      <c r="C648" s="12" t="s">
        <v>660</v>
      </c>
      <c r="D648" s="13">
        <v>58515.0</v>
      </c>
      <c r="E648" s="4">
        <v>45267.0</v>
      </c>
      <c r="F648" s="4" t="str">
        <f>IF(D648="","", IFNA(VLOOKUP(D648, SATCAT_DECAY!A:B, 2, FALSE), ""))
</f>
        <v/>
      </c>
      <c r="G648" s="3" t="str">
        <f t="shared" si="1"/>
        <v>ACTIVE</v>
      </c>
    </row>
    <row r="649" ht="22.5" customHeight="1">
      <c r="A649" s="11" t="str">
        <f t="array" ref="A649">IFERROR(
  INDEX('Starlink Launches'!$A:$A, MATCH($E649, 'Starlink Launches'!$B:$B, 0)),
  ""
)
</f>
        <v>6-33</v>
      </c>
      <c r="B649" s="3" t="s">
        <v>25</v>
      </c>
      <c r="C649" s="12" t="s">
        <v>661</v>
      </c>
      <c r="D649" s="13">
        <v>58516.0</v>
      </c>
      <c r="E649" s="4">
        <v>45267.0</v>
      </c>
      <c r="F649" s="4" t="str">
        <f>IF(D649="","", IFNA(VLOOKUP(D649, SATCAT_DECAY!A:B, 2, FALSE), ""))
</f>
        <v/>
      </c>
      <c r="G649" s="3" t="str">
        <f t="shared" si="1"/>
        <v>ACTIVE</v>
      </c>
    </row>
    <row r="650" ht="22.5" customHeight="1">
      <c r="A650" s="11" t="str">
        <f t="array" ref="A650">IFERROR(
  INDEX('Starlink Launches'!$A:$A, MATCH($E650, 'Starlink Launches'!$B:$B, 0)),
  ""
)
</f>
        <v>6-33</v>
      </c>
      <c r="B650" s="3" t="s">
        <v>25</v>
      </c>
      <c r="C650" s="12" t="s">
        <v>662</v>
      </c>
      <c r="D650" s="13">
        <v>58517.0</v>
      </c>
      <c r="E650" s="4">
        <v>45267.0</v>
      </c>
      <c r="F650" s="4" t="str">
        <f>IF(D650="","", IFNA(VLOOKUP(D650, SATCAT_DECAY!A:B, 2, FALSE), ""))
</f>
        <v/>
      </c>
      <c r="G650" s="3" t="str">
        <f t="shared" si="1"/>
        <v>ACTIVE</v>
      </c>
    </row>
    <row r="651" ht="22.5" customHeight="1">
      <c r="A651" s="11" t="str">
        <f t="array" ref="A651">IFERROR(
  INDEX('Starlink Launches'!$A:$A, MATCH($E651, 'Starlink Launches'!$B:$B, 0)),
  ""
)
</f>
        <v>6-33</v>
      </c>
      <c r="B651" s="3" t="s">
        <v>25</v>
      </c>
      <c r="C651" s="12" t="s">
        <v>663</v>
      </c>
      <c r="D651" s="13">
        <v>58518.0</v>
      </c>
      <c r="E651" s="4">
        <v>45267.0</v>
      </c>
      <c r="F651" s="4" t="str">
        <f>IF(D651="","", IFNA(VLOOKUP(D651, SATCAT_DECAY!A:B, 2, FALSE), ""))
</f>
        <v/>
      </c>
      <c r="G651" s="3" t="str">
        <f t="shared" si="1"/>
        <v>ACTIVE</v>
      </c>
    </row>
    <row r="652" ht="22.5" customHeight="1">
      <c r="A652" s="11" t="str">
        <f t="array" ref="A652">IFERROR(
  INDEX('Starlink Launches'!$A:$A, MATCH($E652, 'Starlink Launches'!$B:$B, 0)),
  ""
)
</f>
        <v>6-33</v>
      </c>
      <c r="B652" s="3" t="s">
        <v>25</v>
      </c>
      <c r="C652" s="12" t="s">
        <v>664</v>
      </c>
      <c r="D652" s="13">
        <v>58519.0</v>
      </c>
      <c r="E652" s="4">
        <v>45267.0</v>
      </c>
      <c r="F652" s="4" t="str">
        <f>IF(D652="","", IFNA(VLOOKUP(D652, SATCAT_DECAY!A:B, 2, FALSE), ""))
</f>
        <v/>
      </c>
      <c r="G652" s="3" t="str">
        <f t="shared" si="1"/>
        <v>ACTIVE</v>
      </c>
    </row>
    <row r="653" ht="22.5" customHeight="1">
      <c r="A653" s="11" t="str">
        <f t="array" ref="A653">IFERROR(
  INDEX('Starlink Launches'!$A:$A, MATCH($E653, 'Starlink Launches'!$B:$B, 0)),
  ""
)
</f>
        <v>6-33</v>
      </c>
      <c r="B653" s="3" t="s">
        <v>25</v>
      </c>
      <c r="C653" s="12" t="s">
        <v>665</v>
      </c>
      <c r="D653" s="13">
        <v>58520.0</v>
      </c>
      <c r="E653" s="4">
        <v>45267.0</v>
      </c>
      <c r="F653" s="4" t="str">
        <f>IF(D653="","", IFNA(VLOOKUP(D653, SATCAT_DECAY!A:B, 2, FALSE), ""))
</f>
        <v/>
      </c>
      <c r="G653" s="3" t="str">
        <f t="shared" si="1"/>
        <v>ACTIVE</v>
      </c>
    </row>
    <row r="654" ht="22.5" customHeight="1">
      <c r="A654" s="11" t="str">
        <f t="array" ref="A654">IFERROR(
  INDEX('Starlink Launches'!$A:$A, MATCH($E654, 'Starlink Launches'!$B:$B, 0)),
  ""
)
</f>
        <v>6-33</v>
      </c>
      <c r="B654" s="3" t="s">
        <v>25</v>
      </c>
      <c r="C654" s="12" t="s">
        <v>666</v>
      </c>
      <c r="D654" s="13">
        <v>58521.0</v>
      </c>
      <c r="E654" s="4">
        <v>45267.0</v>
      </c>
      <c r="F654" s="4" t="str">
        <f>IF(D654="","", IFNA(VLOOKUP(D654, SATCAT_DECAY!A:B, 2, FALSE), ""))
</f>
        <v/>
      </c>
      <c r="G654" s="3" t="str">
        <f t="shared" si="1"/>
        <v>ACTIVE</v>
      </c>
    </row>
    <row r="655" ht="22.5" customHeight="1">
      <c r="A655" s="11" t="str">
        <f t="array" ref="A655">IFERROR(
  INDEX('Starlink Launches'!$A:$A, MATCH($E655, 'Starlink Launches'!$B:$B, 0)),
  ""
)
</f>
        <v>6-33</v>
      </c>
      <c r="B655" s="3" t="s">
        <v>25</v>
      </c>
      <c r="C655" s="12" t="s">
        <v>667</v>
      </c>
      <c r="D655" s="13">
        <v>58522.0</v>
      </c>
      <c r="E655" s="4">
        <v>45267.0</v>
      </c>
      <c r="F655" s="4" t="str">
        <f>IF(D655="","", IFNA(VLOOKUP(D655, SATCAT_DECAY!A:B, 2, FALSE), ""))
</f>
        <v/>
      </c>
      <c r="G655" s="3" t="str">
        <f t="shared" si="1"/>
        <v>ACTIVE</v>
      </c>
    </row>
    <row r="656" ht="22.5" customHeight="1">
      <c r="A656" s="11" t="str">
        <f t="array" ref="A656">IFERROR(
  INDEX('Starlink Launches'!$A:$A, MATCH($E656, 'Starlink Launches'!$B:$B, 0)),
  ""
)
</f>
        <v>6-33</v>
      </c>
      <c r="B656" s="3" t="s">
        <v>25</v>
      </c>
      <c r="C656" s="12" t="s">
        <v>668</v>
      </c>
      <c r="D656" s="13">
        <v>58523.0</v>
      </c>
      <c r="E656" s="4">
        <v>45267.0</v>
      </c>
      <c r="F656" s="4" t="str">
        <f>IF(D656="","", IFNA(VLOOKUP(D656, SATCAT_DECAY!A:B, 2, FALSE), ""))
</f>
        <v/>
      </c>
      <c r="G656" s="3" t="str">
        <f t="shared" si="1"/>
        <v>ACTIVE</v>
      </c>
    </row>
    <row r="657" ht="22.5" customHeight="1">
      <c r="A657" s="11" t="str">
        <f t="array" ref="A657">IFERROR(
  INDEX('Starlink Launches'!$A:$A, MATCH($E657, 'Starlink Launches'!$B:$B, 0)),
  ""
)
</f>
        <v>6-33</v>
      </c>
      <c r="B657" s="3" t="s">
        <v>25</v>
      </c>
      <c r="C657" s="12" t="s">
        <v>669</v>
      </c>
      <c r="D657" s="13">
        <v>58524.0</v>
      </c>
      <c r="E657" s="4">
        <v>45267.0</v>
      </c>
      <c r="F657" s="4" t="str">
        <f>IF(D657="","", IFNA(VLOOKUP(D657, SATCAT_DECAY!A:B, 2, FALSE), ""))
</f>
        <v/>
      </c>
      <c r="G657" s="3" t="str">
        <f t="shared" si="1"/>
        <v>ACTIVE</v>
      </c>
    </row>
    <row r="658" ht="22.5" customHeight="1">
      <c r="A658" s="11" t="str">
        <f t="array" ref="A658">IFERROR(
  INDEX('Starlink Launches'!$A:$A, MATCH($E658, 'Starlink Launches'!$B:$B, 0)),
  ""
)
</f>
        <v>6-33</v>
      </c>
      <c r="B658" s="3" t="s">
        <v>25</v>
      </c>
      <c r="C658" s="12" t="s">
        <v>670</v>
      </c>
      <c r="D658" s="13">
        <v>58525.0</v>
      </c>
      <c r="E658" s="4">
        <v>45267.0</v>
      </c>
      <c r="F658" s="4" t="str">
        <f>IF(D658="","", IFNA(VLOOKUP(D658, SATCAT_DECAY!A:B, 2, FALSE), ""))
</f>
        <v/>
      </c>
      <c r="G658" s="3" t="str">
        <f t="shared" si="1"/>
        <v>ACTIVE</v>
      </c>
    </row>
    <row r="659" ht="22.5" customHeight="1">
      <c r="A659" s="11" t="str">
        <f t="array" ref="A659">IFERROR(
  INDEX('Starlink Launches'!$A:$A, MATCH($E659, 'Starlink Launches'!$B:$B, 0)),
  ""
)
</f>
        <v>6-33</v>
      </c>
      <c r="B659" s="3" t="s">
        <v>25</v>
      </c>
      <c r="C659" s="12" t="s">
        <v>671</v>
      </c>
      <c r="D659" s="13">
        <v>58526.0</v>
      </c>
      <c r="E659" s="4">
        <v>45267.0</v>
      </c>
      <c r="F659" s="4" t="str">
        <f>IF(D659="","", IFNA(VLOOKUP(D659, SATCAT_DECAY!A:B, 2, FALSE), ""))
</f>
        <v/>
      </c>
      <c r="G659" s="3" t="str">
        <f t="shared" si="1"/>
        <v>ACTIVE</v>
      </c>
    </row>
    <row r="660" ht="22.5" customHeight="1">
      <c r="A660" s="11" t="str">
        <f t="array" ref="A660">IFERROR(
  INDEX('Starlink Launches'!$A:$A, MATCH($E660, 'Starlink Launches'!$B:$B, 0)),
  ""
)
</f>
        <v>6-33</v>
      </c>
      <c r="B660" s="3" t="s">
        <v>25</v>
      </c>
      <c r="C660" s="12" t="s">
        <v>672</v>
      </c>
      <c r="D660" s="13">
        <v>58527.0</v>
      </c>
      <c r="E660" s="4">
        <v>45267.0</v>
      </c>
      <c r="F660" s="4" t="str">
        <f>IF(D660="","", IFNA(VLOOKUP(D660, SATCAT_DECAY!A:B, 2, FALSE), ""))
</f>
        <v/>
      </c>
      <c r="G660" s="3" t="str">
        <f t="shared" si="1"/>
        <v>ACTIVE</v>
      </c>
    </row>
    <row r="661" ht="22.5" customHeight="1">
      <c r="A661" s="11" t="str">
        <f t="array" ref="A661">IFERROR(
  INDEX('Starlink Launches'!$A:$A, MATCH($E661, 'Starlink Launches'!$B:$B, 0)),
  ""
)
</f>
        <v>6-33</v>
      </c>
      <c r="B661" s="3" t="s">
        <v>25</v>
      </c>
      <c r="C661" s="12" t="s">
        <v>673</v>
      </c>
      <c r="D661" s="13">
        <v>58528.0</v>
      </c>
      <c r="E661" s="4">
        <v>45267.0</v>
      </c>
      <c r="F661" s="4" t="str">
        <f>IF(D661="","", IFNA(VLOOKUP(D661, SATCAT_DECAY!A:B, 2, FALSE), ""))
</f>
        <v/>
      </c>
      <c r="G661" s="3" t="str">
        <f t="shared" si="1"/>
        <v>ACTIVE</v>
      </c>
    </row>
    <row r="662" ht="22.5" customHeight="1">
      <c r="A662" s="11" t="str">
        <f t="array" ref="A662">IFERROR(
  INDEX('Starlink Launches'!$A:$A, MATCH($E662, 'Starlink Launches'!$B:$B, 0)),
  ""
)
</f>
        <v>6-33</v>
      </c>
      <c r="B662" s="3" t="s">
        <v>25</v>
      </c>
      <c r="C662" s="12" t="s">
        <v>674</v>
      </c>
      <c r="D662" s="13">
        <v>58529.0</v>
      </c>
      <c r="E662" s="4">
        <v>45267.0</v>
      </c>
      <c r="F662" s="4" t="str">
        <f>IF(D662="","", IFNA(VLOOKUP(D662, SATCAT_DECAY!A:B, 2, FALSE), ""))
</f>
        <v/>
      </c>
      <c r="G662" s="3" t="str">
        <f t="shared" si="1"/>
        <v>ACTIVE</v>
      </c>
    </row>
    <row r="663" ht="22.5" customHeight="1">
      <c r="A663" s="11" t="str">
        <f t="array" ref="A663">IFERROR(
  INDEX('Starlink Launches'!$A:$A, MATCH($E663, 'Starlink Launches'!$B:$B, 0)),
  ""
)
</f>
        <v>6-33</v>
      </c>
      <c r="B663" s="3" t="s">
        <v>25</v>
      </c>
      <c r="C663" s="12" t="s">
        <v>675</v>
      </c>
      <c r="D663" s="13">
        <v>58530.0</v>
      </c>
      <c r="E663" s="4">
        <v>45267.0</v>
      </c>
      <c r="F663" s="4" t="str">
        <f>IF(D663="","", IFNA(VLOOKUP(D663, SATCAT_DECAY!A:B, 2, FALSE), ""))
</f>
        <v/>
      </c>
      <c r="G663" s="3" t="str">
        <f t="shared" si="1"/>
        <v>ACTIVE</v>
      </c>
    </row>
    <row r="664" ht="22.5" customHeight="1">
      <c r="A664" s="11" t="str">
        <f t="array" ref="A664">IFERROR(
  INDEX('Starlink Launches'!$A:$A, MATCH($E664, 'Starlink Launches'!$B:$B, 0)),
  ""
)
</f>
        <v>6-34</v>
      </c>
      <c r="B664" s="3" t="s">
        <v>25</v>
      </c>
      <c r="C664" s="12" t="s">
        <v>676</v>
      </c>
      <c r="D664" s="13">
        <v>58589.0</v>
      </c>
      <c r="E664" s="4">
        <v>45279.0</v>
      </c>
      <c r="F664" s="4" t="str">
        <f>IF(D664="","", IFNA(VLOOKUP(D664, SATCAT_DECAY!A:B, 2, FALSE), ""))
</f>
        <v/>
      </c>
      <c r="G664" s="3" t="str">
        <f t="shared" si="1"/>
        <v>ACTIVE</v>
      </c>
    </row>
    <row r="665" ht="22.5" customHeight="1">
      <c r="A665" s="11" t="str">
        <f t="array" ref="A665">IFERROR(
  INDEX('Starlink Launches'!$A:$A, MATCH($E665, 'Starlink Launches'!$B:$B, 0)),
  ""
)
</f>
        <v>6-34</v>
      </c>
      <c r="B665" s="3" t="s">
        <v>25</v>
      </c>
      <c r="C665" s="12" t="s">
        <v>677</v>
      </c>
      <c r="D665" s="13">
        <v>58590.0</v>
      </c>
      <c r="E665" s="4">
        <v>45279.0</v>
      </c>
      <c r="F665" s="4" t="str">
        <f>IF(D665="","", IFNA(VLOOKUP(D665, SATCAT_DECAY!A:B, 2, FALSE), ""))
</f>
        <v/>
      </c>
      <c r="G665" s="3" t="str">
        <f t="shared" si="1"/>
        <v>ACTIVE</v>
      </c>
    </row>
    <row r="666" ht="22.5" customHeight="1">
      <c r="A666" s="11" t="str">
        <f t="array" ref="A666">IFERROR(
  INDEX('Starlink Launches'!$A:$A, MATCH($E666, 'Starlink Launches'!$B:$B, 0)),
  ""
)
</f>
        <v>6-34</v>
      </c>
      <c r="B666" s="3" t="s">
        <v>25</v>
      </c>
      <c r="C666" s="12" t="s">
        <v>678</v>
      </c>
      <c r="D666" s="13">
        <v>58592.0</v>
      </c>
      <c r="E666" s="4">
        <v>45279.0</v>
      </c>
      <c r="F666" s="4" t="str">
        <f>IF(D666="","", IFNA(VLOOKUP(D666, SATCAT_DECAY!A:B, 2, FALSE), ""))
</f>
        <v/>
      </c>
      <c r="G666" s="3" t="str">
        <f t="shared" si="1"/>
        <v>ACTIVE</v>
      </c>
    </row>
    <row r="667" ht="22.5" customHeight="1">
      <c r="A667" s="11" t="str">
        <f t="array" ref="A667">IFERROR(
  INDEX('Starlink Launches'!$A:$A, MATCH($E667, 'Starlink Launches'!$B:$B, 0)),
  ""
)
</f>
        <v>6-34</v>
      </c>
      <c r="B667" s="3" t="s">
        <v>25</v>
      </c>
      <c r="C667" s="12" t="s">
        <v>679</v>
      </c>
      <c r="D667" s="13">
        <v>58593.0</v>
      </c>
      <c r="E667" s="4">
        <v>45279.0</v>
      </c>
      <c r="F667" s="4" t="str">
        <f>IF(D667="","", IFNA(VLOOKUP(D667, SATCAT_DECAY!A:B, 2, FALSE), ""))
</f>
        <v/>
      </c>
      <c r="G667" s="3" t="str">
        <f t="shared" si="1"/>
        <v>ACTIVE</v>
      </c>
    </row>
    <row r="668" ht="22.5" customHeight="1">
      <c r="A668" s="11" t="str">
        <f t="array" ref="A668">IFERROR(
  INDEX('Starlink Launches'!$A:$A, MATCH($E668, 'Starlink Launches'!$B:$B, 0)),
  ""
)
</f>
        <v>6-34</v>
      </c>
      <c r="B668" s="3" t="s">
        <v>25</v>
      </c>
      <c r="C668" s="12" t="s">
        <v>680</v>
      </c>
      <c r="D668" s="13">
        <v>58594.0</v>
      </c>
      <c r="E668" s="4">
        <v>45279.0</v>
      </c>
      <c r="F668" s="4" t="str">
        <f>IF(D668="","", IFNA(VLOOKUP(D668, SATCAT_DECAY!A:B, 2, FALSE), ""))
</f>
        <v/>
      </c>
      <c r="G668" s="3" t="str">
        <f t="shared" si="1"/>
        <v>ACTIVE</v>
      </c>
    </row>
    <row r="669" ht="22.5" customHeight="1">
      <c r="A669" s="11" t="str">
        <f t="array" ref="A669">IFERROR(
  INDEX('Starlink Launches'!$A:$A, MATCH($E669, 'Starlink Launches'!$B:$B, 0)),
  ""
)
</f>
        <v>6-34</v>
      </c>
      <c r="B669" s="3" t="s">
        <v>25</v>
      </c>
      <c r="C669" s="12" t="s">
        <v>681</v>
      </c>
      <c r="D669" s="13">
        <v>58595.0</v>
      </c>
      <c r="E669" s="4">
        <v>45279.0</v>
      </c>
      <c r="F669" s="4" t="str">
        <f>IF(D669="","", IFNA(VLOOKUP(D669, SATCAT_DECAY!A:B, 2, FALSE), ""))
</f>
        <v/>
      </c>
      <c r="G669" s="3" t="str">
        <f t="shared" si="1"/>
        <v>ACTIVE</v>
      </c>
    </row>
    <row r="670" ht="22.5" customHeight="1">
      <c r="A670" s="11" t="str">
        <f t="array" ref="A670">IFERROR(
  INDEX('Starlink Launches'!$A:$A, MATCH($E670, 'Starlink Launches'!$B:$B, 0)),
  ""
)
</f>
        <v>6-34</v>
      </c>
      <c r="B670" s="3" t="s">
        <v>25</v>
      </c>
      <c r="C670" s="12" t="s">
        <v>682</v>
      </c>
      <c r="D670" s="13">
        <v>58596.0</v>
      </c>
      <c r="E670" s="4">
        <v>45279.0</v>
      </c>
      <c r="F670" s="4" t="str">
        <f>IF(D670="","", IFNA(VLOOKUP(D670, SATCAT_DECAY!A:B, 2, FALSE), ""))
</f>
        <v/>
      </c>
      <c r="G670" s="3" t="str">
        <f t="shared" si="1"/>
        <v>ACTIVE</v>
      </c>
    </row>
    <row r="671" ht="22.5" customHeight="1">
      <c r="A671" s="11" t="str">
        <f t="array" ref="A671">IFERROR(
  INDEX('Starlink Launches'!$A:$A, MATCH($E671, 'Starlink Launches'!$B:$B, 0)),
  ""
)
</f>
        <v>6-34</v>
      </c>
      <c r="B671" s="3" t="s">
        <v>25</v>
      </c>
      <c r="C671" s="12" t="s">
        <v>683</v>
      </c>
      <c r="D671" s="13">
        <v>58597.0</v>
      </c>
      <c r="E671" s="4">
        <v>45279.0</v>
      </c>
      <c r="F671" s="4" t="str">
        <f>IF(D671="","", IFNA(VLOOKUP(D671, SATCAT_DECAY!A:B, 2, FALSE), ""))
</f>
        <v/>
      </c>
      <c r="G671" s="3" t="str">
        <f t="shared" si="1"/>
        <v>ACTIVE</v>
      </c>
    </row>
    <row r="672" ht="22.5" customHeight="1">
      <c r="A672" s="11" t="str">
        <f t="array" ref="A672">IFERROR(
  INDEX('Starlink Launches'!$A:$A, MATCH($E672, 'Starlink Launches'!$B:$B, 0)),
  ""
)
</f>
        <v>6-34</v>
      </c>
      <c r="B672" s="3" t="s">
        <v>25</v>
      </c>
      <c r="C672" s="12" t="s">
        <v>684</v>
      </c>
      <c r="D672" s="13">
        <v>58598.0</v>
      </c>
      <c r="E672" s="4">
        <v>45279.0</v>
      </c>
      <c r="F672" s="4" t="str">
        <f>IF(D672="","", IFNA(VLOOKUP(D672, SATCAT_DECAY!A:B, 2, FALSE), ""))
</f>
        <v/>
      </c>
      <c r="G672" s="3" t="str">
        <f t="shared" si="1"/>
        <v>ACTIVE</v>
      </c>
    </row>
    <row r="673" ht="22.5" customHeight="1">
      <c r="A673" s="11" t="str">
        <f t="array" ref="A673">IFERROR(
  INDEX('Starlink Launches'!$A:$A, MATCH($E673, 'Starlink Launches'!$B:$B, 0)),
  ""
)
</f>
        <v>6-34</v>
      </c>
      <c r="B673" s="3" t="s">
        <v>25</v>
      </c>
      <c r="C673" s="12" t="s">
        <v>685</v>
      </c>
      <c r="D673" s="13">
        <v>58600.0</v>
      </c>
      <c r="E673" s="4">
        <v>45279.0</v>
      </c>
      <c r="F673" s="4" t="str">
        <f>IF(D673="","", IFNA(VLOOKUP(D673, SATCAT_DECAY!A:B, 2, FALSE), ""))
</f>
        <v/>
      </c>
      <c r="G673" s="3" t="str">
        <f t="shared" si="1"/>
        <v>ACTIVE</v>
      </c>
    </row>
    <row r="674" ht="22.5" customHeight="1">
      <c r="A674" s="11" t="str">
        <f t="array" ref="A674">IFERROR(
  INDEX('Starlink Launches'!$A:$A, MATCH($E674, 'Starlink Launches'!$B:$B, 0)),
  ""
)
</f>
        <v>6-34</v>
      </c>
      <c r="B674" s="3" t="s">
        <v>25</v>
      </c>
      <c r="C674" s="12" t="s">
        <v>686</v>
      </c>
      <c r="D674" s="13">
        <v>58601.0</v>
      </c>
      <c r="E674" s="4">
        <v>45279.0</v>
      </c>
      <c r="F674" s="4" t="str">
        <f>IF(D674="","", IFNA(VLOOKUP(D674, SATCAT_DECAY!A:B, 2, FALSE), ""))
</f>
        <v/>
      </c>
      <c r="G674" s="3" t="str">
        <f t="shared" si="1"/>
        <v>ACTIVE</v>
      </c>
    </row>
    <row r="675" ht="22.5" customHeight="1">
      <c r="A675" s="11" t="str">
        <f t="array" ref="A675">IFERROR(
  INDEX('Starlink Launches'!$A:$A, MATCH($E675, 'Starlink Launches'!$B:$B, 0)),
  ""
)
</f>
        <v>6-34</v>
      </c>
      <c r="B675" s="3" t="s">
        <v>25</v>
      </c>
      <c r="C675" s="12" t="s">
        <v>687</v>
      </c>
      <c r="D675" s="13">
        <v>58602.0</v>
      </c>
      <c r="E675" s="4">
        <v>45279.0</v>
      </c>
      <c r="F675" s="4" t="str">
        <f>IF(D675="","", IFNA(VLOOKUP(D675, SATCAT_DECAY!A:B, 2, FALSE), ""))
</f>
        <v/>
      </c>
      <c r="G675" s="3" t="str">
        <f t="shared" si="1"/>
        <v>ACTIVE</v>
      </c>
    </row>
    <row r="676" ht="22.5" customHeight="1">
      <c r="A676" s="11" t="str">
        <f t="array" ref="A676">IFERROR(
  INDEX('Starlink Launches'!$A:$A, MATCH($E676, 'Starlink Launches'!$B:$B, 0)),
  ""
)
</f>
        <v>6-34</v>
      </c>
      <c r="B676" s="3" t="s">
        <v>25</v>
      </c>
      <c r="C676" s="12" t="s">
        <v>688</v>
      </c>
      <c r="D676" s="13">
        <v>58603.0</v>
      </c>
      <c r="E676" s="4">
        <v>45279.0</v>
      </c>
      <c r="F676" s="4" t="str">
        <f>IF(D676="","", IFNA(VLOOKUP(D676, SATCAT_DECAY!A:B, 2, FALSE), ""))
</f>
        <v/>
      </c>
      <c r="G676" s="3" t="str">
        <f t="shared" si="1"/>
        <v>ACTIVE</v>
      </c>
    </row>
    <row r="677" ht="22.5" customHeight="1">
      <c r="A677" s="11" t="str">
        <f t="array" ref="A677">IFERROR(
  INDEX('Starlink Launches'!$A:$A, MATCH($E677, 'Starlink Launches'!$B:$B, 0)),
  ""
)
</f>
        <v>6-34</v>
      </c>
      <c r="B677" s="3" t="s">
        <v>25</v>
      </c>
      <c r="C677" s="12" t="s">
        <v>689</v>
      </c>
      <c r="D677" s="13">
        <v>58604.0</v>
      </c>
      <c r="E677" s="4">
        <v>45279.0</v>
      </c>
      <c r="F677" s="4" t="str">
        <f>IF(D677="","", IFNA(VLOOKUP(D677, SATCAT_DECAY!A:B, 2, FALSE), ""))
</f>
        <v/>
      </c>
      <c r="G677" s="3" t="str">
        <f t="shared" si="1"/>
        <v>ACTIVE</v>
      </c>
    </row>
    <row r="678" ht="22.5" customHeight="1">
      <c r="A678" s="11" t="str">
        <f t="array" ref="A678">IFERROR(
  INDEX('Starlink Launches'!$A:$A, MATCH($E678, 'Starlink Launches'!$B:$B, 0)),
  ""
)
</f>
        <v>6-34</v>
      </c>
      <c r="B678" s="3" t="s">
        <v>25</v>
      </c>
      <c r="C678" s="12" t="s">
        <v>690</v>
      </c>
      <c r="D678" s="13">
        <v>58605.0</v>
      </c>
      <c r="E678" s="4">
        <v>45279.0</v>
      </c>
      <c r="F678" s="4" t="str">
        <f>IF(D678="","", IFNA(VLOOKUP(D678, SATCAT_DECAY!A:B, 2, FALSE), ""))
</f>
        <v/>
      </c>
      <c r="G678" s="3" t="str">
        <f t="shared" si="1"/>
        <v>ACTIVE</v>
      </c>
    </row>
    <row r="679" ht="22.5" customHeight="1">
      <c r="A679" s="11" t="str">
        <f t="array" ref="A679">IFERROR(
  INDEX('Starlink Launches'!$A:$A, MATCH($E679, 'Starlink Launches'!$B:$B, 0)),
  ""
)
</f>
        <v>6-34</v>
      </c>
      <c r="B679" s="3" t="s">
        <v>25</v>
      </c>
      <c r="C679" s="12" t="s">
        <v>691</v>
      </c>
      <c r="D679" s="13">
        <v>58606.0</v>
      </c>
      <c r="E679" s="4">
        <v>45279.0</v>
      </c>
      <c r="F679" s="4" t="str">
        <f>IF(D679="","", IFNA(VLOOKUP(D679, SATCAT_DECAY!A:B, 2, FALSE), ""))
</f>
        <v/>
      </c>
      <c r="G679" s="3" t="str">
        <f t="shared" si="1"/>
        <v>ACTIVE</v>
      </c>
    </row>
    <row r="680" ht="22.5" customHeight="1">
      <c r="A680" s="11" t="str">
        <f t="array" ref="A680">IFERROR(
  INDEX('Starlink Launches'!$A:$A, MATCH($E680, 'Starlink Launches'!$B:$B, 0)),
  ""
)
</f>
        <v>6-34</v>
      </c>
      <c r="B680" s="3" t="s">
        <v>25</v>
      </c>
      <c r="C680" s="12" t="s">
        <v>692</v>
      </c>
      <c r="D680" s="13">
        <v>58607.0</v>
      </c>
      <c r="E680" s="4">
        <v>45279.0</v>
      </c>
      <c r="F680" s="4" t="str">
        <f>IF(D680="","", IFNA(VLOOKUP(D680, SATCAT_DECAY!A:B, 2, FALSE), ""))
</f>
        <v/>
      </c>
      <c r="G680" s="3" t="str">
        <f t="shared" si="1"/>
        <v>ACTIVE</v>
      </c>
    </row>
    <row r="681" ht="22.5" customHeight="1">
      <c r="A681" s="11" t="str">
        <f t="array" ref="A681">IFERROR(
  INDEX('Starlink Launches'!$A:$A, MATCH($E681, 'Starlink Launches'!$B:$B, 0)),
  ""
)
</f>
        <v>6-34</v>
      </c>
      <c r="B681" s="3" t="s">
        <v>25</v>
      </c>
      <c r="C681" s="12" t="s">
        <v>693</v>
      </c>
      <c r="D681" s="13">
        <v>58608.0</v>
      </c>
      <c r="E681" s="4">
        <v>45279.0</v>
      </c>
      <c r="F681" s="4" t="str">
        <f>IF(D681="","", IFNA(VLOOKUP(D681, SATCAT_DECAY!A:B, 2, FALSE), ""))
</f>
        <v/>
      </c>
      <c r="G681" s="3" t="str">
        <f t="shared" si="1"/>
        <v>ACTIVE</v>
      </c>
    </row>
    <row r="682" ht="22.5" customHeight="1">
      <c r="A682" s="11" t="str">
        <f t="array" ref="A682">IFERROR(
  INDEX('Starlink Launches'!$A:$A, MATCH($E682, 'Starlink Launches'!$B:$B, 0)),
  ""
)
</f>
        <v>6-34</v>
      </c>
      <c r="B682" s="3" t="s">
        <v>25</v>
      </c>
      <c r="C682" s="12" t="s">
        <v>694</v>
      </c>
      <c r="D682" s="13">
        <v>58609.0</v>
      </c>
      <c r="E682" s="4">
        <v>45279.0</v>
      </c>
      <c r="F682" s="4" t="str">
        <f>IF(D682="","", IFNA(VLOOKUP(D682, SATCAT_DECAY!A:B, 2, FALSE), ""))
</f>
        <v/>
      </c>
      <c r="G682" s="3" t="str">
        <f t="shared" si="1"/>
        <v>ACTIVE</v>
      </c>
    </row>
    <row r="683" ht="22.5" customHeight="1">
      <c r="A683" s="11" t="str">
        <f t="array" ref="A683">IFERROR(
  INDEX('Starlink Launches'!$A:$A, MATCH($E683, 'Starlink Launches'!$B:$B, 0)),
  ""
)
</f>
        <v>6-34</v>
      </c>
      <c r="B683" s="3" t="s">
        <v>25</v>
      </c>
      <c r="C683" s="12" t="s">
        <v>695</v>
      </c>
      <c r="D683" s="13">
        <v>58610.0</v>
      </c>
      <c r="E683" s="4">
        <v>45279.0</v>
      </c>
      <c r="F683" s="4" t="str">
        <f>IF(D683="","", IFNA(VLOOKUP(D683, SATCAT_DECAY!A:B, 2, FALSE), ""))
</f>
        <v/>
      </c>
      <c r="G683" s="3" t="str">
        <f t="shared" si="1"/>
        <v>ACTIVE</v>
      </c>
    </row>
    <row r="684" ht="22.5" customHeight="1">
      <c r="A684" s="11" t="str">
        <f t="array" ref="A684">IFERROR(
  INDEX('Starlink Launches'!$A:$A, MATCH($E684, 'Starlink Launches'!$B:$B, 0)),
  ""
)
</f>
        <v>6-34</v>
      </c>
      <c r="B684" s="3" t="s">
        <v>25</v>
      </c>
      <c r="C684" s="12" t="s">
        <v>696</v>
      </c>
      <c r="D684" s="13">
        <v>58611.0</v>
      </c>
      <c r="E684" s="4">
        <v>45279.0</v>
      </c>
      <c r="F684" s="4" t="str">
        <f>IF(D684="","", IFNA(VLOOKUP(D684, SATCAT_DECAY!A:B, 2, FALSE), ""))
</f>
        <v/>
      </c>
      <c r="G684" s="3" t="str">
        <f t="shared" si="1"/>
        <v>ACTIVE</v>
      </c>
    </row>
    <row r="685" ht="22.5" hidden="1" customHeight="1">
      <c r="A685" s="11" t="str">
        <f t="array" ref="A685">IFERROR(
  INDEX('Starlink Launches'!$A:$A, MATCH($E685, 'Starlink Launches'!$B:$B, 0)),
  ""
)
</f>
        <v>6-32</v>
      </c>
      <c r="B685" s="3" t="s">
        <v>25</v>
      </c>
      <c r="C685" s="12" t="s">
        <v>697</v>
      </c>
      <c r="D685" s="13">
        <v>58618.0</v>
      </c>
      <c r="E685" s="4">
        <v>45283.0</v>
      </c>
      <c r="F685" s="4">
        <f>IF(D685="","", IFNA(VLOOKUP(D685, SATCAT_DECAY!A:B, 2, FALSE), ""))
</f>
        <v>45286</v>
      </c>
      <c r="G685" s="3" t="str">
        <f t="shared" si="1"/>
        <v>DECAYED</v>
      </c>
    </row>
    <row r="686" ht="22.5" customHeight="1">
      <c r="A686" s="11" t="str">
        <f t="array" ref="A686">IFERROR(
  INDEX('Starlink Launches'!$A:$A, MATCH($E686, 'Starlink Launches'!$B:$B, 0)),
  ""
)
</f>
        <v>6-32</v>
      </c>
      <c r="B686" s="3" t="s">
        <v>25</v>
      </c>
      <c r="C686" s="12" t="s">
        <v>698</v>
      </c>
      <c r="D686" s="13">
        <v>58619.0</v>
      </c>
      <c r="E686" s="4">
        <v>45283.0</v>
      </c>
      <c r="F686" s="4" t="str">
        <f>IF(D686="","", IFNA(VLOOKUP(D686, SATCAT_DECAY!A:B, 2, FALSE), ""))
</f>
        <v/>
      </c>
      <c r="G686" s="3" t="str">
        <f t="shared" si="1"/>
        <v>ACTIVE</v>
      </c>
    </row>
    <row r="687" ht="22.5" hidden="1" customHeight="1">
      <c r="A687" s="11" t="str">
        <f t="array" ref="A687">IFERROR(
  INDEX('Starlink Launches'!$A:$A, MATCH($E687, 'Starlink Launches'!$B:$B, 0)),
  ""
)
</f>
        <v>6-32</v>
      </c>
      <c r="B687" s="3" t="s">
        <v>25</v>
      </c>
      <c r="C687" s="12" t="s">
        <v>699</v>
      </c>
      <c r="D687" s="13">
        <v>58620.0</v>
      </c>
      <c r="E687" s="4">
        <v>45283.0</v>
      </c>
      <c r="F687" s="4">
        <f>IF(D687="","", IFNA(VLOOKUP(D687, SATCAT_DECAY!A:B, 2, FALSE), ""))
</f>
        <v>45624</v>
      </c>
      <c r="G687" s="3" t="str">
        <f t="shared" si="1"/>
        <v>DECAYED</v>
      </c>
    </row>
    <row r="688" ht="22.5" customHeight="1">
      <c r="A688" s="11" t="str">
        <f t="array" ref="A688">IFERROR(
  INDEX('Starlink Launches'!$A:$A, MATCH($E688, 'Starlink Launches'!$B:$B, 0)),
  ""
)
</f>
        <v>6-32</v>
      </c>
      <c r="B688" s="3" t="s">
        <v>25</v>
      </c>
      <c r="C688" s="12" t="s">
        <v>700</v>
      </c>
      <c r="D688" s="13">
        <v>58621.0</v>
      </c>
      <c r="E688" s="4">
        <v>45283.0</v>
      </c>
      <c r="F688" s="4" t="str">
        <f>IF(D688="","", IFNA(VLOOKUP(D688, SATCAT_DECAY!A:B, 2, FALSE), ""))
</f>
        <v/>
      </c>
      <c r="G688" s="3" t="str">
        <f t="shared" si="1"/>
        <v>ACTIVE</v>
      </c>
    </row>
    <row r="689" ht="22.5" customHeight="1">
      <c r="A689" s="11" t="str">
        <f t="array" ref="A689">IFERROR(
  INDEX('Starlink Launches'!$A:$A, MATCH($E689, 'Starlink Launches'!$B:$B, 0)),
  ""
)
</f>
        <v>6-32</v>
      </c>
      <c r="B689" s="3" t="s">
        <v>25</v>
      </c>
      <c r="C689" s="12" t="s">
        <v>701</v>
      </c>
      <c r="D689" s="13">
        <v>58622.0</v>
      </c>
      <c r="E689" s="4">
        <v>45283.0</v>
      </c>
      <c r="F689" s="4" t="str">
        <f>IF(D689="","", IFNA(VLOOKUP(D689, SATCAT_DECAY!A:B, 2, FALSE), ""))
</f>
        <v/>
      </c>
      <c r="G689" s="3" t="str">
        <f t="shared" si="1"/>
        <v>ACTIVE</v>
      </c>
    </row>
    <row r="690" ht="22.5" customHeight="1">
      <c r="A690" s="11" t="str">
        <f t="array" ref="A690">IFERROR(
  INDEX('Starlink Launches'!$A:$A, MATCH($E690, 'Starlink Launches'!$B:$B, 0)),
  ""
)
</f>
        <v>6-32</v>
      </c>
      <c r="B690" s="3" t="s">
        <v>25</v>
      </c>
      <c r="C690" s="12" t="s">
        <v>702</v>
      </c>
      <c r="D690" s="13">
        <v>58623.0</v>
      </c>
      <c r="E690" s="4">
        <v>45283.0</v>
      </c>
      <c r="F690" s="4" t="str">
        <f>IF(D690="","", IFNA(VLOOKUP(D690, SATCAT_DECAY!A:B, 2, FALSE), ""))
</f>
        <v/>
      </c>
      <c r="G690" s="3" t="str">
        <f t="shared" si="1"/>
        <v>ACTIVE</v>
      </c>
    </row>
    <row r="691" ht="22.5" customHeight="1">
      <c r="A691" s="11" t="str">
        <f t="array" ref="A691">IFERROR(
  INDEX('Starlink Launches'!$A:$A, MATCH($E691, 'Starlink Launches'!$B:$B, 0)),
  ""
)
</f>
        <v>6-32</v>
      </c>
      <c r="B691" s="3" t="s">
        <v>25</v>
      </c>
      <c r="C691" s="12" t="s">
        <v>703</v>
      </c>
      <c r="D691" s="13">
        <v>58624.0</v>
      </c>
      <c r="E691" s="4">
        <v>45283.0</v>
      </c>
      <c r="F691" s="4" t="str">
        <f>IF(D691="","", IFNA(VLOOKUP(D691, SATCAT_DECAY!A:B, 2, FALSE), ""))
</f>
        <v/>
      </c>
      <c r="G691" s="3" t="str">
        <f t="shared" si="1"/>
        <v>ACTIVE</v>
      </c>
    </row>
    <row r="692" ht="22.5" customHeight="1">
      <c r="A692" s="11" t="str">
        <f t="array" ref="A692">IFERROR(
  INDEX('Starlink Launches'!$A:$A, MATCH($E692, 'Starlink Launches'!$B:$B, 0)),
  ""
)
</f>
        <v>6-32</v>
      </c>
      <c r="B692" s="3" t="s">
        <v>25</v>
      </c>
      <c r="C692" s="12" t="s">
        <v>704</v>
      </c>
      <c r="D692" s="13">
        <v>58625.0</v>
      </c>
      <c r="E692" s="4">
        <v>45283.0</v>
      </c>
      <c r="F692" s="4" t="str">
        <f>IF(D692="","", IFNA(VLOOKUP(D692, SATCAT_DECAY!A:B, 2, FALSE), ""))
</f>
        <v/>
      </c>
      <c r="G692" s="3" t="str">
        <f t="shared" si="1"/>
        <v>ACTIVE</v>
      </c>
    </row>
    <row r="693" ht="22.5" customHeight="1">
      <c r="A693" s="11" t="str">
        <f t="array" ref="A693">IFERROR(
  INDEX('Starlink Launches'!$A:$A, MATCH($E693, 'Starlink Launches'!$B:$B, 0)),
  ""
)
</f>
        <v>6-32</v>
      </c>
      <c r="B693" s="3" t="s">
        <v>25</v>
      </c>
      <c r="C693" s="12" t="s">
        <v>705</v>
      </c>
      <c r="D693" s="13">
        <v>58626.0</v>
      </c>
      <c r="E693" s="4">
        <v>45283.0</v>
      </c>
      <c r="F693" s="4" t="str">
        <f>IF(D693="","", IFNA(VLOOKUP(D693, SATCAT_DECAY!A:B, 2, FALSE), ""))
</f>
        <v/>
      </c>
      <c r="G693" s="3" t="str">
        <f t="shared" si="1"/>
        <v>ACTIVE</v>
      </c>
    </row>
    <row r="694" ht="22.5" customHeight="1">
      <c r="A694" s="11" t="str">
        <f t="array" ref="A694">IFERROR(
  INDEX('Starlink Launches'!$A:$A, MATCH($E694, 'Starlink Launches'!$B:$B, 0)),
  ""
)
</f>
        <v>6-32</v>
      </c>
      <c r="B694" s="3" t="s">
        <v>25</v>
      </c>
      <c r="C694" s="12" t="s">
        <v>706</v>
      </c>
      <c r="D694" s="13">
        <v>58627.0</v>
      </c>
      <c r="E694" s="4">
        <v>45283.0</v>
      </c>
      <c r="F694" s="4" t="str">
        <f>IF(D694="","", IFNA(VLOOKUP(D694, SATCAT_DECAY!A:B, 2, FALSE), ""))
</f>
        <v/>
      </c>
      <c r="G694" s="3" t="str">
        <f t="shared" si="1"/>
        <v>ACTIVE</v>
      </c>
    </row>
    <row r="695" ht="22.5" customHeight="1">
      <c r="A695" s="11" t="str">
        <f t="array" ref="A695">IFERROR(
  INDEX('Starlink Launches'!$A:$A, MATCH($E695, 'Starlink Launches'!$B:$B, 0)),
  ""
)
</f>
        <v>6-32</v>
      </c>
      <c r="B695" s="3" t="s">
        <v>25</v>
      </c>
      <c r="C695" s="12" t="s">
        <v>707</v>
      </c>
      <c r="D695" s="13">
        <v>58628.0</v>
      </c>
      <c r="E695" s="4">
        <v>45283.0</v>
      </c>
      <c r="F695" s="4" t="str">
        <f>IF(D695="","", IFNA(VLOOKUP(D695, SATCAT_DECAY!A:B, 2, FALSE), ""))
</f>
        <v/>
      </c>
      <c r="G695" s="3" t="str">
        <f t="shared" si="1"/>
        <v>ACTIVE</v>
      </c>
    </row>
    <row r="696" ht="22.5" customHeight="1">
      <c r="A696" s="11" t="str">
        <f t="array" ref="A696">IFERROR(
  INDEX('Starlink Launches'!$A:$A, MATCH($E696, 'Starlink Launches'!$B:$B, 0)),
  ""
)
</f>
        <v>6-32</v>
      </c>
      <c r="B696" s="3" t="s">
        <v>25</v>
      </c>
      <c r="C696" s="12" t="s">
        <v>708</v>
      </c>
      <c r="D696" s="13">
        <v>58629.0</v>
      </c>
      <c r="E696" s="4">
        <v>45283.0</v>
      </c>
      <c r="F696" s="4" t="str">
        <f>IF(D696="","", IFNA(VLOOKUP(D696, SATCAT_DECAY!A:B, 2, FALSE), ""))
</f>
        <v/>
      </c>
      <c r="G696" s="3" t="str">
        <f t="shared" si="1"/>
        <v>ACTIVE</v>
      </c>
    </row>
    <row r="697" ht="22.5" customHeight="1">
      <c r="A697" s="11" t="str">
        <f t="array" ref="A697">IFERROR(
  INDEX('Starlink Launches'!$A:$A, MATCH($E697, 'Starlink Launches'!$B:$B, 0)),
  ""
)
</f>
        <v>6-32</v>
      </c>
      <c r="B697" s="3" t="s">
        <v>25</v>
      </c>
      <c r="C697" s="12" t="s">
        <v>709</v>
      </c>
      <c r="D697" s="13">
        <v>58630.0</v>
      </c>
      <c r="E697" s="4">
        <v>45283.0</v>
      </c>
      <c r="F697" s="4" t="str">
        <f>IF(D697="","", IFNA(VLOOKUP(D697, SATCAT_DECAY!A:B, 2, FALSE), ""))
</f>
        <v/>
      </c>
      <c r="G697" s="3" t="str">
        <f t="shared" si="1"/>
        <v>ACTIVE</v>
      </c>
    </row>
    <row r="698" ht="22.5" customHeight="1">
      <c r="A698" s="11" t="str">
        <f t="array" ref="A698">IFERROR(
  INDEX('Starlink Launches'!$A:$A, MATCH($E698, 'Starlink Launches'!$B:$B, 0)),
  ""
)
</f>
        <v>6-32</v>
      </c>
      <c r="B698" s="3" t="s">
        <v>25</v>
      </c>
      <c r="C698" s="12" t="s">
        <v>710</v>
      </c>
      <c r="D698" s="13">
        <v>58631.0</v>
      </c>
      <c r="E698" s="4">
        <v>45283.0</v>
      </c>
      <c r="F698" s="4" t="str">
        <f>IF(D698="","", IFNA(VLOOKUP(D698, SATCAT_DECAY!A:B, 2, FALSE), ""))
</f>
        <v/>
      </c>
      <c r="G698" s="3" t="str">
        <f t="shared" si="1"/>
        <v>ACTIVE</v>
      </c>
    </row>
    <row r="699" ht="22.5" customHeight="1">
      <c r="A699" s="11" t="str">
        <f t="array" ref="A699">IFERROR(
  INDEX('Starlink Launches'!$A:$A, MATCH($E699, 'Starlink Launches'!$B:$B, 0)),
  ""
)
</f>
        <v>6-32</v>
      </c>
      <c r="B699" s="3" t="s">
        <v>25</v>
      </c>
      <c r="C699" s="12" t="s">
        <v>711</v>
      </c>
      <c r="D699" s="13">
        <v>58632.0</v>
      </c>
      <c r="E699" s="4">
        <v>45283.0</v>
      </c>
      <c r="F699" s="4" t="str">
        <f>IF(D699="","", IFNA(VLOOKUP(D699, SATCAT_DECAY!A:B, 2, FALSE), ""))
</f>
        <v/>
      </c>
      <c r="G699" s="3" t="str">
        <f t="shared" si="1"/>
        <v>ACTIVE</v>
      </c>
    </row>
    <row r="700" ht="22.5" customHeight="1">
      <c r="A700" s="11" t="str">
        <f t="array" ref="A700">IFERROR(
  INDEX('Starlink Launches'!$A:$A, MATCH($E700, 'Starlink Launches'!$B:$B, 0)),
  ""
)
</f>
        <v>6-32</v>
      </c>
      <c r="B700" s="3" t="s">
        <v>25</v>
      </c>
      <c r="C700" s="12" t="s">
        <v>712</v>
      </c>
      <c r="D700" s="13">
        <v>58633.0</v>
      </c>
      <c r="E700" s="4">
        <v>45283.0</v>
      </c>
      <c r="F700" s="4" t="str">
        <f>IF(D700="","", IFNA(VLOOKUP(D700, SATCAT_DECAY!A:B, 2, FALSE), ""))
</f>
        <v/>
      </c>
      <c r="G700" s="3" t="str">
        <f t="shared" si="1"/>
        <v>ACTIVE</v>
      </c>
    </row>
    <row r="701" ht="22.5" customHeight="1">
      <c r="A701" s="11" t="str">
        <f t="array" ref="A701">IFERROR(
  INDEX('Starlink Launches'!$A:$A, MATCH($E701, 'Starlink Launches'!$B:$B, 0)),
  ""
)
</f>
        <v>6-32</v>
      </c>
      <c r="B701" s="3" t="s">
        <v>25</v>
      </c>
      <c r="C701" s="12" t="s">
        <v>713</v>
      </c>
      <c r="D701" s="13">
        <v>58634.0</v>
      </c>
      <c r="E701" s="4">
        <v>45283.0</v>
      </c>
      <c r="F701" s="4" t="str">
        <f>IF(D701="","", IFNA(VLOOKUP(D701, SATCAT_DECAY!A:B, 2, FALSE), ""))
</f>
        <v/>
      </c>
      <c r="G701" s="3" t="str">
        <f t="shared" si="1"/>
        <v>ACTIVE</v>
      </c>
    </row>
    <row r="702" ht="22.5" customHeight="1">
      <c r="A702" s="11" t="str">
        <f t="array" ref="A702">IFERROR(
  INDEX('Starlink Launches'!$A:$A, MATCH($E702, 'Starlink Launches'!$B:$B, 0)),
  ""
)
</f>
        <v>6-32</v>
      </c>
      <c r="B702" s="3" t="s">
        <v>25</v>
      </c>
      <c r="C702" s="12" t="s">
        <v>714</v>
      </c>
      <c r="D702" s="13">
        <v>58635.0</v>
      </c>
      <c r="E702" s="4">
        <v>45283.0</v>
      </c>
      <c r="F702" s="4" t="str">
        <f>IF(D702="","", IFNA(VLOOKUP(D702, SATCAT_DECAY!A:B, 2, FALSE), ""))
</f>
        <v/>
      </c>
      <c r="G702" s="3" t="str">
        <f t="shared" si="1"/>
        <v>ACTIVE</v>
      </c>
    </row>
    <row r="703" ht="22.5" customHeight="1">
      <c r="A703" s="11" t="str">
        <f t="array" ref="A703">IFERROR(
  INDEX('Starlink Launches'!$A:$A, MATCH($E703, 'Starlink Launches'!$B:$B, 0)),
  ""
)
</f>
        <v>6-32</v>
      </c>
      <c r="B703" s="3" t="s">
        <v>25</v>
      </c>
      <c r="C703" s="12" t="s">
        <v>715</v>
      </c>
      <c r="D703" s="13">
        <v>58636.0</v>
      </c>
      <c r="E703" s="4">
        <v>45283.0</v>
      </c>
      <c r="F703" s="4" t="str">
        <f>IF(D703="","", IFNA(VLOOKUP(D703, SATCAT_DECAY!A:B, 2, FALSE), ""))
</f>
        <v/>
      </c>
      <c r="G703" s="3" t="str">
        <f t="shared" si="1"/>
        <v>ACTIVE</v>
      </c>
    </row>
    <row r="704" ht="22.5" customHeight="1">
      <c r="A704" s="11" t="str">
        <f t="array" ref="A704">IFERROR(
  INDEX('Starlink Launches'!$A:$A, MATCH($E704, 'Starlink Launches'!$B:$B, 0)),
  ""
)
</f>
        <v>6-32</v>
      </c>
      <c r="B704" s="3" t="s">
        <v>25</v>
      </c>
      <c r="C704" s="12" t="s">
        <v>716</v>
      </c>
      <c r="D704" s="13">
        <v>58637.0</v>
      </c>
      <c r="E704" s="4">
        <v>45283.0</v>
      </c>
      <c r="F704" s="4" t="str">
        <f>IF(D704="","", IFNA(VLOOKUP(D704, SATCAT_DECAY!A:B, 2, FALSE), ""))
</f>
        <v/>
      </c>
      <c r="G704" s="3" t="str">
        <f t="shared" si="1"/>
        <v>ACTIVE</v>
      </c>
    </row>
    <row r="705" ht="22.5" customHeight="1">
      <c r="A705" s="11" t="str">
        <f t="array" ref="A705">IFERROR(
  INDEX('Starlink Launches'!$A:$A, MATCH($E705, 'Starlink Launches'!$B:$B, 0)),
  ""
)
</f>
        <v>6-32</v>
      </c>
      <c r="B705" s="3" t="s">
        <v>25</v>
      </c>
      <c r="C705" s="12" t="s">
        <v>717</v>
      </c>
      <c r="D705" s="13">
        <v>58638.0</v>
      </c>
      <c r="E705" s="4">
        <v>45283.0</v>
      </c>
      <c r="F705" s="4" t="str">
        <f>IF(D705="","", IFNA(VLOOKUP(D705, SATCAT_DECAY!A:B, 2, FALSE), ""))
</f>
        <v/>
      </c>
      <c r="G705" s="3" t="str">
        <f t="shared" si="1"/>
        <v>ACTIVE</v>
      </c>
    </row>
    <row r="706" ht="22.5" customHeight="1">
      <c r="A706" s="11" t="str">
        <f t="array" ref="A706">IFERROR(
  INDEX('Starlink Launches'!$A:$A, MATCH($E706, 'Starlink Launches'!$B:$B, 0)),
  ""
)
</f>
        <v>6-32</v>
      </c>
      <c r="B706" s="3" t="s">
        <v>25</v>
      </c>
      <c r="C706" s="12" t="s">
        <v>718</v>
      </c>
      <c r="D706" s="13">
        <v>58639.0</v>
      </c>
      <c r="E706" s="4">
        <v>45283.0</v>
      </c>
      <c r="F706" s="4" t="str">
        <f>IF(D706="","", IFNA(VLOOKUP(D706, SATCAT_DECAY!A:B, 2, FALSE), ""))
</f>
        <v/>
      </c>
      <c r="G706" s="3" t="str">
        <f t="shared" si="1"/>
        <v>ACTIVE</v>
      </c>
    </row>
    <row r="707" ht="22.5" customHeight="1">
      <c r="A707" s="11" t="str">
        <f t="array" ref="A707">IFERROR(
  INDEX('Starlink Launches'!$A:$A, MATCH($E707, 'Starlink Launches'!$B:$B, 0)),
  ""
)
</f>
        <v>6-32</v>
      </c>
      <c r="B707" s="3" t="s">
        <v>25</v>
      </c>
      <c r="C707" s="12" t="s">
        <v>719</v>
      </c>
      <c r="D707" s="13">
        <v>58640.0</v>
      </c>
      <c r="E707" s="4">
        <v>45283.0</v>
      </c>
      <c r="F707" s="4" t="str">
        <f>IF(D707="","", IFNA(VLOOKUP(D707, SATCAT_DECAY!A:B, 2, FALSE), ""))
</f>
        <v/>
      </c>
      <c r="G707" s="3" t="str">
        <f t="shared" si="1"/>
        <v>ACTIVE</v>
      </c>
    </row>
    <row r="708" ht="22.5" hidden="1" customHeight="1">
      <c r="A708" s="11" t="str">
        <f t="array" ref="A708">IFERROR(
  INDEX('Starlink Launches'!$A:$A, MATCH($E708, 'Starlink Launches'!$B:$B, 0)),
  ""
)
</f>
        <v>6-32</v>
      </c>
      <c r="B708" s="3" t="s">
        <v>25</v>
      </c>
      <c r="C708" s="12" t="s">
        <v>720</v>
      </c>
      <c r="D708" s="13">
        <v>58667.0</v>
      </c>
      <c r="E708" s="4">
        <v>45283.0</v>
      </c>
      <c r="F708" s="4">
        <f>IF(D708="","", IFNA(VLOOKUP(D708, SATCAT_DECAY!A:B, 2, FALSE), ""))
</f>
        <v>45295</v>
      </c>
      <c r="G708" s="3" t="str">
        <f t="shared" si="1"/>
        <v>DECAYED</v>
      </c>
    </row>
    <row r="709" ht="22.5" customHeight="1">
      <c r="A709" s="11" t="str">
        <f t="array" ref="A709">IFERROR(
  INDEX('Starlink Launches'!$A:$A, MATCH($E709, 'Starlink Launches'!$B:$B, 0)),
  ""
)
</f>
        <v>6-36</v>
      </c>
      <c r="B709" s="3" t="s">
        <v>25</v>
      </c>
      <c r="C709" s="12" t="s">
        <v>721</v>
      </c>
      <c r="D709" s="13">
        <v>58668.0</v>
      </c>
      <c r="E709" s="4">
        <v>45289.0</v>
      </c>
      <c r="F709" s="4" t="str">
        <f>IF(D709="","", IFNA(VLOOKUP(D709, SATCAT_DECAY!A:B, 2, FALSE), ""))
</f>
        <v/>
      </c>
      <c r="G709" s="3" t="str">
        <f t="shared" si="1"/>
        <v>ACTIVE</v>
      </c>
    </row>
    <row r="710" ht="22.5" customHeight="1">
      <c r="A710" s="11" t="str">
        <f t="array" ref="A710">IFERROR(
  INDEX('Starlink Launches'!$A:$A, MATCH($E710, 'Starlink Launches'!$B:$B, 0)),
  ""
)
</f>
        <v>6-36</v>
      </c>
      <c r="B710" s="3" t="s">
        <v>25</v>
      </c>
      <c r="C710" s="12" t="s">
        <v>722</v>
      </c>
      <c r="D710" s="13">
        <v>58669.0</v>
      </c>
      <c r="E710" s="4">
        <v>45289.0</v>
      </c>
      <c r="F710" s="4" t="str">
        <f>IF(D710="","", IFNA(VLOOKUP(D710, SATCAT_DECAY!A:B, 2, FALSE), ""))
</f>
        <v/>
      </c>
      <c r="G710" s="3" t="str">
        <f t="shared" si="1"/>
        <v>ACTIVE</v>
      </c>
    </row>
    <row r="711" ht="22.5" customHeight="1">
      <c r="A711" s="11" t="str">
        <f t="array" ref="A711">IFERROR(
  INDEX('Starlink Launches'!$A:$A, MATCH($E711, 'Starlink Launches'!$B:$B, 0)),
  ""
)
</f>
        <v>6-36</v>
      </c>
      <c r="B711" s="3" t="s">
        <v>25</v>
      </c>
      <c r="C711" s="12" t="s">
        <v>723</v>
      </c>
      <c r="D711" s="13">
        <v>58670.0</v>
      </c>
      <c r="E711" s="4">
        <v>45289.0</v>
      </c>
      <c r="F711" s="4" t="str">
        <f>IF(D711="","", IFNA(VLOOKUP(D711, SATCAT_DECAY!A:B, 2, FALSE), ""))
</f>
        <v/>
      </c>
      <c r="G711" s="3" t="str">
        <f t="shared" si="1"/>
        <v>ACTIVE</v>
      </c>
    </row>
    <row r="712" ht="22.5" customHeight="1">
      <c r="A712" s="11" t="str">
        <f t="array" ref="A712">IFERROR(
  INDEX('Starlink Launches'!$A:$A, MATCH($E712, 'Starlink Launches'!$B:$B, 0)),
  ""
)
</f>
        <v>6-36</v>
      </c>
      <c r="B712" s="3" t="s">
        <v>25</v>
      </c>
      <c r="C712" s="12" t="s">
        <v>724</v>
      </c>
      <c r="D712" s="13">
        <v>58671.0</v>
      </c>
      <c r="E712" s="4">
        <v>45289.0</v>
      </c>
      <c r="F712" s="4" t="str">
        <f>IF(D712="","", IFNA(VLOOKUP(D712, SATCAT_DECAY!A:B, 2, FALSE), ""))
</f>
        <v/>
      </c>
      <c r="G712" s="3" t="str">
        <f t="shared" si="1"/>
        <v>ACTIVE</v>
      </c>
    </row>
    <row r="713" ht="22.5" customHeight="1">
      <c r="A713" s="11" t="str">
        <f t="array" ref="A713">IFERROR(
  INDEX('Starlink Launches'!$A:$A, MATCH($E713, 'Starlink Launches'!$B:$B, 0)),
  ""
)
</f>
        <v>6-36</v>
      </c>
      <c r="B713" s="3" t="s">
        <v>25</v>
      </c>
      <c r="C713" s="12" t="s">
        <v>725</v>
      </c>
      <c r="D713" s="13">
        <v>58672.0</v>
      </c>
      <c r="E713" s="4">
        <v>45289.0</v>
      </c>
      <c r="F713" s="4" t="str">
        <f>IF(D713="","", IFNA(VLOOKUP(D713, SATCAT_DECAY!A:B, 2, FALSE), ""))
</f>
        <v/>
      </c>
      <c r="G713" s="3" t="str">
        <f t="shared" si="1"/>
        <v>ACTIVE</v>
      </c>
    </row>
    <row r="714" ht="22.5" customHeight="1">
      <c r="A714" s="11" t="str">
        <f t="array" ref="A714">IFERROR(
  INDEX('Starlink Launches'!$A:$A, MATCH($E714, 'Starlink Launches'!$B:$B, 0)),
  ""
)
</f>
        <v>6-36</v>
      </c>
      <c r="B714" s="3" t="s">
        <v>25</v>
      </c>
      <c r="C714" s="12" t="s">
        <v>726</v>
      </c>
      <c r="D714" s="13">
        <v>58673.0</v>
      </c>
      <c r="E714" s="4">
        <v>45289.0</v>
      </c>
      <c r="F714" s="4" t="str">
        <f>IF(D714="","", IFNA(VLOOKUP(D714, SATCAT_DECAY!A:B, 2, FALSE), ""))
</f>
        <v/>
      </c>
      <c r="G714" s="3" t="str">
        <f t="shared" si="1"/>
        <v>ACTIVE</v>
      </c>
    </row>
    <row r="715" ht="22.5" customHeight="1">
      <c r="A715" s="11" t="str">
        <f t="array" ref="A715">IFERROR(
  INDEX('Starlink Launches'!$A:$A, MATCH($E715, 'Starlink Launches'!$B:$B, 0)),
  ""
)
</f>
        <v>6-36</v>
      </c>
      <c r="B715" s="3" t="s">
        <v>25</v>
      </c>
      <c r="C715" s="12" t="s">
        <v>727</v>
      </c>
      <c r="D715" s="13">
        <v>58674.0</v>
      </c>
      <c r="E715" s="4">
        <v>45289.0</v>
      </c>
      <c r="F715" s="4" t="str">
        <f>IF(D715="","", IFNA(VLOOKUP(D715, SATCAT_DECAY!A:B, 2, FALSE), ""))
</f>
        <v/>
      </c>
      <c r="G715" s="3" t="str">
        <f t="shared" si="1"/>
        <v>ACTIVE</v>
      </c>
    </row>
    <row r="716" ht="22.5" customHeight="1">
      <c r="A716" s="11" t="str">
        <f t="array" ref="A716">IFERROR(
  INDEX('Starlink Launches'!$A:$A, MATCH($E716, 'Starlink Launches'!$B:$B, 0)),
  ""
)
</f>
        <v>6-36</v>
      </c>
      <c r="B716" s="3" t="s">
        <v>25</v>
      </c>
      <c r="C716" s="12" t="s">
        <v>728</v>
      </c>
      <c r="D716" s="13">
        <v>58675.0</v>
      </c>
      <c r="E716" s="4">
        <v>45289.0</v>
      </c>
      <c r="F716" s="4" t="str">
        <f>IF(D716="","", IFNA(VLOOKUP(D716, SATCAT_DECAY!A:B, 2, FALSE), ""))
</f>
        <v/>
      </c>
      <c r="G716" s="3" t="str">
        <f t="shared" si="1"/>
        <v>ACTIVE</v>
      </c>
    </row>
    <row r="717" ht="22.5" customHeight="1">
      <c r="A717" s="11" t="str">
        <f t="array" ref="A717">IFERROR(
  INDEX('Starlink Launches'!$A:$A, MATCH($E717, 'Starlink Launches'!$B:$B, 0)),
  ""
)
</f>
        <v>6-36</v>
      </c>
      <c r="B717" s="3" t="s">
        <v>25</v>
      </c>
      <c r="C717" s="12" t="s">
        <v>729</v>
      </c>
      <c r="D717" s="13">
        <v>58676.0</v>
      </c>
      <c r="E717" s="4">
        <v>45289.0</v>
      </c>
      <c r="F717" s="4" t="str">
        <f>IF(D717="","", IFNA(VLOOKUP(D717, SATCAT_DECAY!A:B, 2, FALSE), ""))
</f>
        <v/>
      </c>
      <c r="G717" s="3" t="str">
        <f t="shared" si="1"/>
        <v>ACTIVE</v>
      </c>
    </row>
    <row r="718" ht="22.5" customHeight="1">
      <c r="A718" s="11" t="str">
        <f t="array" ref="A718">IFERROR(
  INDEX('Starlink Launches'!$A:$A, MATCH($E718, 'Starlink Launches'!$B:$B, 0)),
  ""
)
</f>
        <v>6-36</v>
      </c>
      <c r="B718" s="3" t="s">
        <v>25</v>
      </c>
      <c r="C718" s="12" t="s">
        <v>730</v>
      </c>
      <c r="D718" s="13">
        <v>58677.0</v>
      </c>
      <c r="E718" s="4">
        <v>45289.0</v>
      </c>
      <c r="F718" s="4" t="str">
        <f>IF(D718="","", IFNA(VLOOKUP(D718, SATCAT_DECAY!A:B, 2, FALSE), ""))
</f>
        <v/>
      </c>
      <c r="G718" s="3" t="str">
        <f t="shared" si="1"/>
        <v>ACTIVE</v>
      </c>
    </row>
    <row r="719" ht="22.5" customHeight="1">
      <c r="A719" s="11" t="str">
        <f t="array" ref="A719">IFERROR(
  INDEX('Starlink Launches'!$A:$A, MATCH($E719, 'Starlink Launches'!$B:$B, 0)),
  ""
)
</f>
        <v>6-36</v>
      </c>
      <c r="B719" s="3" t="s">
        <v>25</v>
      </c>
      <c r="C719" s="12" t="s">
        <v>731</v>
      </c>
      <c r="D719" s="13">
        <v>58678.0</v>
      </c>
      <c r="E719" s="4">
        <v>45289.0</v>
      </c>
      <c r="F719" s="4" t="str">
        <f>IF(D719="","", IFNA(VLOOKUP(D719, SATCAT_DECAY!A:B, 2, FALSE), ""))
</f>
        <v/>
      </c>
      <c r="G719" s="3" t="str">
        <f t="shared" si="1"/>
        <v>ACTIVE</v>
      </c>
    </row>
    <row r="720" ht="22.5" customHeight="1">
      <c r="A720" s="11" t="str">
        <f t="array" ref="A720">IFERROR(
  INDEX('Starlink Launches'!$A:$A, MATCH($E720, 'Starlink Launches'!$B:$B, 0)),
  ""
)
</f>
        <v>6-36</v>
      </c>
      <c r="B720" s="3" t="s">
        <v>25</v>
      </c>
      <c r="C720" s="12" t="s">
        <v>732</v>
      </c>
      <c r="D720" s="13">
        <v>58679.0</v>
      </c>
      <c r="E720" s="4">
        <v>45289.0</v>
      </c>
      <c r="F720" s="4" t="str">
        <f>IF(D720="","", IFNA(VLOOKUP(D720, SATCAT_DECAY!A:B, 2, FALSE), ""))
</f>
        <v/>
      </c>
      <c r="G720" s="3" t="str">
        <f t="shared" si="1"/>
        <v>ACTIVE</v>
      </c>
    </row>
    <row r="721" ht="22.5" customHeight="1">
      <c r="A721" s="11" t="str">
        <f t="array" ref="A721">IFERROR(
  INDEX('Starlink Launches'!$A:$A, MATCH($E721, 'Starlink Launches'!$B:$B, 0)),
  ""
)
</f>
        <v>6-36</v>
      </c>
      <c r="B721" s="3" t="s">
        <v>25</v>
      </c>
      <c r="C721" s="12" t="s">
        <v>733</v>
      </c>
      <c r="D721" s="13">
        <v>58680.0</v>
      </c>
      <c r="E721" s="4">
        <v>45289.0</v>
      </c>
      <c r="F721" s="4" t="str">
        <f>IF(D721="","", IFNA(VLOOKUP(D721, SATCAT_DECAY!A:B, 2, FALSE), ""))
</f>
        <v/>
      </c>
      <c r="G721" s="3" t="str">
        <f t="shared" si="1"/>
        <v>ACTIVE</v>
      </c>
    </row>
    <row r="722" ht="22.5" customHeight="1">
      <c r="A722" s="11" t="str">
        <f t="array" ref="A722">IFERROR(
  INDEX('Starlink Launches'!$A:$A, MATCH($E722, 'Starlink Launches'!$B:$B, 0)),
  ""
)
</f>
        <v>6-36</v>
      </c>
      <c r="B722" s="3" t="s">
        <v>25</v>
      </c>
      <c r="C722" s="12" t="s">
        <v>734</v>
      </c>
      <c r="D722" s="13">
        <v>58681.0</v>
      </c>
      <c r="E722" s="4">
        <v>45289.0</v>
      </c>
      <c r="F722" s="4" t="str">
        <f>IF(D722="","", IFNA(VLOOKUP(D722, SATCAT_DECAY!A:B, 2, FALSE), ""))
</f>
        <v/>
      </c>
      <c r="G722" s="3" t="str">
        <f t="shared" si="1"/>
        <v>ACTIVE</v>
      </c>
    </row>
    <row r="723" ht="22.5" customHeight="1">
      <c r="A723" s="11" t="str">
        <f t="array" ref="A723">IFERROR(
  INDEX('Starlink Launches'!$A:$A, MATCH($E723, 'Starlink Launches'!$B:$B, 0)),
  ""
)
</f>
        <v>6-36</v>
      </c>
      <c r="B723" s="3" t="s">
        <v>25</v>
      </c>
      <c r="C723" s="12" t="s">
        <v>735</v>
      </c>
      <c r="D723" s="13">
        <v>58682.0</v>
      </c>
      <c r="E723" s="4">
        <v>45289.0</v>
      </c>
      <c r="F723" s="4" t="str">
        <f>IF(D723="","", IFNA(VLOOKUP(D723, SATCAT_DECAY!A:B, 2, FALSE), ""))
</f>
        <v/>
      </c>
      <c r="G723" s="3" t="str">
        <f t="shared" si="1"/>
        <v>ACTIVE</v>
      </c>
    </row>
    <row r="724" ht="22.5" customHeight="1">
      <c r="A724" s="11" t="str">
        <f t="array" ref="A724">IFERROR(
  INDEX('Starlink Launches'!$A:$A, MATCH($E724, 'Starlink Launches'!$B:$B, 0)),
  ""
)
</f>
        <v>6-36</v>
      </c>
      <c r="B724" s="3" t="s">
        <v>25</v>
      </c>
      <c r="C724" s="12" t="s">
        <v>736</v>
      </c>
      <c r="D724" s="13">
        <v>58683.0</v>
      </c>
      <c r="E724" s="4">
        <v>45289.0</v>
      </c>
      <c r="F724" s="4" t="str">
        <f>IF(D724="","", IFNA(VLOOKUP(D724, SATCAT_DECAY!A:B, 2, FALSE), ""))
</f>
        <v/>
      </c>
      <c r="G724" s="3" t="str">
        <f t="shared" si="1"/>
        <v>ACTIVE</v>
      </c>
    </row>
    <row r="725" ht="22.5" customHeight="1">
      <c r="A725" s="11" t="str">
        <f t="array" ref="A725">IFERROR(
  INDEX('Starlink Launches'!$A:$A, MATCH($E725, 'Starlink Launches'!$B:$B, 0)),
  ""
)
</f>
        <v>6-36</v>
      </c>
      <c r="B725" s="3" t="s">
        <v>25</v>
      </c>
      <c r="C725" s="12" t="s">
        <v>737</v>
      </c>
      <c r="D725" s="13">
        <v>58684.0</v>
      </c>
      <c r="E725" s="4">
        <v>45289.0</v>
      </c>
      <c r="F725" s="4" t="str">
        <f>IF(D725="","", IFNA(VLOOKUP(D725, SATCAT_DECAY!A:B, 2, FALSE), ""))
</f>
        <v/>
      </c>
      <c r="G725" s="3" t="str">
        <f t="shared" si="1"/>
        <v>ACTIVE</v>
      </c>
    </row>
    <row r="726" ht="22.5" customHeight="1">
      <c r="A726" s="11" t="str">
        <f t="array" ref="A726">IFERROR(
  INDEX('Starlink Launches'!$A:$A, MATCH($E726, 'Starlink Launches'!$B:$B, 0)),
  ""
)
</f>
        <v>6-36</v>
      </c>
      <c r="B726" s="3" t="s">
        <v>25</v>
      </c>
      <c r="C726" s="12" t="s">
        <v>738</v>
      </c>
      <c r="D726" s="13">
        <v>58685.0</v>
      </c>
      <c r="E726" s="4">
        <v>45289.0</v>
      </c>
      <c r="F726" s="4" t="str">
        <f>IF(D726="","", IFNA(VLOOKUP(D726, SATCAT_DECAY!A:B, 2, FALSE), ""))
</f>
        <v/>
      </c>
      <c r="G726" s="3" t="str">
        <f t="shared" si="1"/>
        <v>ACTIVE</v>
      </c>
    </row>
    <row r="727" ht="22.5" customHeight="1">
      <c r="A727" s="11" t="str">
        <f t="array" ref="A727">IFERROR(
  INDEX('Starlink Launches'!$A:$A, MATCH($E727, 'Starlink Launches'!$B:$B, 0)),
  ""
)
</f>
        <v>6-36</v>
      </c>
      <c r="B727" s="3" t="s">
        <v>25</v>
      </c>
      <c r="C727" s="12" t="s">
        <v>739</v>
      </c>
      <c r="D727" s="13">
        <v>58686.0</v>
      </c>
      <c r="E727" s="4">
        <v>45289.0</v>
      </c>
      <c r="F727" s="4" t="str">
        <f>IF(D727="","", IFNA(VLOOKUP(D727, SATCAT_DECAY!A:B, 2, FALSE), ""))
</f>
        <v/>
      </c>
      <c r="G727" s="3" t="str">
        <f t="shared" si="1"/>
        <v>ACTIVE</v>
      </c>
    </row>
    <row r="728" ht="22.5" hidden="1" customHeight="1">
      <c r="A728" s="11" t="str">
        <f t="array" ref="A728">IFERROR(
  INDEX('Starlink Launches'!$A:$A, MATCH($E728, 'Starlink Launches'!$B:$B, 0)),
  ""
)
</f>
        <v>6-36</v>
      </c>
      <c r="B728" s="3" t="s">
        <v>25</v>
      </c>
      <c r="C728" s="12" t="s">
        <v>740</v>
      </c>
      <c r="D728" s="13">
        <v>58687.0</v>
      </c>
      <c r="E728" s="4">
        <v>45289.0</v>
      </c>
      <c r="F728" s="4">
        <f>IF(D728="","", IFNA(VLOOKUP(D728, SATCAT_DECAY!A:B, 2, FALSE), ""))
</f>
        <v>45430</v>
      </c>
      <c r="G728" s="3" t="str">
        <f t="shared" si="1"/>
        <v>DECAYED</v>
      </c>
    </row>
    <row r="729" ht="22.5" customHeight="1">
      <c r="A729" s="11" t="str">
        <f t="array" ref="A729">IFERROR(
  INDEX('Starlink Launches'!$A:$A, MATCH($E729, 'Starlink Launches'!$B:$B, 0)),
  ""
)
</f>
        <v>6-36</v>
      </c>
      <c r="B729" s="3" t="s">
        <v>25</v>
      </c>
      <c r="C729" s="12" t="s">
        <v>741</v>
      </c>
      <c r="D729" s="13">
        <v>58688.0</v>
      </c>
      <c r="E729" s="4">
        <v>45289.0</v>
      </c>
      <c r="F729" s="4" t="str">
        <f>IF(D729="","", IFNA(VLOOKUP(D729, SATCAT_DECAY!A:B, 2, FALSE), ""))
</f>
        <v/>
      </c>
      <c r="G729" s="3" t="str">
        <f t="shared" si="1"/>
        <v>ACTIVE</v>
      </c>
    </row>
    <row r="730" ht="22.5" customHeight="1">
      <c r="A730" s="11" t="str">
        <f t="array" ref="A730">IFERROR(
  INDEX('Starlink Launches'!$A:$A, MATCH($E730, 'Starlink Launches'!$B:$B, 0)),
  ""
)
</f>
        <v>6-36</v>
      </c>
      <c r="B730" s="3" t="s">
        <v>25</v>
      </c>
      <c r="C730" s="12" t="s">
        <v>742</v>
      </c>
      <c r="D730" s="13">
        <v>58689.0</v>
      </c>
      <c r="E730" s="4">
        <v>45289.0</v>
      </c>
      <c r="F730" s="4" t="str">
        <f>IF(D730="","", IFNA(VLOOKUP(D730, SATCAT_DECAY!A:B, 2, FALSE), ""))
</f>
        <v/>
      </c>
      <c r="G730" s="3" t="str">
        <f t="shared" si="1"/>
        <v>ACTIVE</v>
      </c>
    </row>
    <row r="731" ht="22.5" customHeight="1">
      <c r="A731" s="11" t="str">
        <f t="array" ref="A731">IFERROR(
  INDEX('Starlink Launches'!$A:$A, MATCH($E731, 'Starlink Launches'!$B:$B, 0)),
  ""
)
</f>
        <v>6-35</v>
      </c>
      <c r="B731" s="3" t="s">
        <v>25</v>
      </c>
      <c r="C731" s="12" t="s">
        <v>743</v>
      </c>
      <c r="D731" s="13">
        <v>58729.0</v>
      </c>
      <c r="E731" s="4">
        <v>45298.0</v>
      </c>
      <c r="F731" s="4" t="str">
        <f>IF(D731="","", IFNA(VLOOKUP(D731, SATCAT_DECAY!A:B, 2, FALSE), ""))
</f>
        <v/>
      </c>
      <c r="G731" s="3" t="str">
        <f t="shared" si="1"/>
        <v>ACTIVE</v>
      </c>
    </row>
    <row r="732" ht="22.5" customHeight="1">
      <c r="A732" s="11" t="str">
        <f t="array" ref="A732">IFERROR(
  INDEX('Starlink Launches'!$A:$A, MATCH($E732, 'Starlink Launches'!$B:$B, 0)),
  ""
)
</f>
        <v>6-35</v>
      </c>
      <c r="B732" s="3" t="s">
        <v>25</v>
      </c>
      <c r="C732" s="12" t="s">
        <v>744</v>
      </c>
      <c r="D732" s="13">
        <v>58732.0</v>
      </c>
      <c r="E732" s="4">
        <v>45298.0</v>
      </c>
      <c r="F732" s="4" t="str">
        <f>IF(D732="","", IFNA(VLOOKUP(D732, SATCAT_DECAY!A:B, 2, FALSE), ""))
</f>
        <v/>
      </c>
      <c r="G732" s="3" t="str">
        <f t="shared" si="1"/>
        <v>ACTIVE</v>
      </c>
    </row>
    <row r="733" ht="22.5" customHeight="1">
      <c r="A733" s="11" t="str">
        <f t="array" ref="A733">IFERROR(
  INDEX('Starlink Launches'!$A:$A, MATCH($E733, 'Starlink Launches'!$B:$B, 0)),
  ""
)
</f>
        <v>6-35</v>
      </c>
      <c r="B733" s="3" t="s">
        <v>25</v>
      </c>
      <c r="C733" s="12" t="s">
        <v>745</v>
      </c>
      <c r="D733" s="13">
        <v>58733.0</v>
      </c>
      <c r="E733" s="4">
        <v>45298.0</v>
      </c>
      <c r="F733" s="4" t="str">
        <f>IF(D733="","", IFNA(VLOOKUP(D733, SATCAT_DECAY!A:B, 2, FALSE), ""))
</f>
        <v/>
      </c>
      <c r="G733" s="3" t="str">
        <f t="shared" si="1"/>
        <v>ACTIVE</v>
      </c>
    </row>
    <row r="734" ht="22.5" customHeight="1">
      <c r="A734" s="11" t="str">
        <f t="array" ref="A734">IFERROR(
  INDEX('Starlink Launches'!$A:$A, MATCH($E734, 'Starlink Launches'!$B:$B, 0)),
  ""
)
</f>
        <v>6-35</v>
      </c>
      <c r="B734" s="3" t="s">
        <v>25</v>
      </c>
      <c r="C734" s="12" t="s">
        <v>746</v>
      </c>
      <c r="D734" s="13">
        <v>58734.0</v>
      </c>
      <c r="E734" s="4">
        <v>45298.0</v>
      </c>
      <c r="F734" s="4" t="str">
        <f>IF(D734="","", IFNA(VLOOKUP(D734, SATCAT_DECAY!A:B, 2, FALSE), ""))
</f>
        <v/>
      </c>
      <c r="G734" s="3" t="str">
        <f t="shared" si="1"/>
        <v>ACTIVE</v>
      </c>
    </row>
    <row r="735" ht="22.5" customHeight="1">
      <c r="A735" s="11" t="str">
        <f t="array" ref="A735">IFERROR(
  INDEX('Starlink Launches'!$A:$A, MATCH($E735, 'Starlink Launches'!$B:$B, 0)),
  ""
)
</f>
        <v>6-35</v>
      </c>
      <c r="B735" s="3" t="s">
        <v>25</v>
      </c>
      <c r="C735" s="12" t="s">
        <v>747</v>
      </c>
      <c r="D735" s="13">
        <v>58735.0</v>
      </c>
      <c r="E735" s="4">
        <v>45298.0</v>
      </c>
      <c r="F735" s="4" t="str">
        <f>IF(D735="","", IFNA(VLOOKUP(D735, SATCAT_DECAY!A:B, 2, FALSE), ""))
</f>
        <v/>
      </c>
      <c r="G735" s="3" t="str">
        <f t="shared" si="1"/>
        <v>ACTIVE</v>
      </c>
    </row>
    <row r="736" ht="22.5" customHeight="1">
      <c r="A736" s="11" t="str">
        <f t="array" ref="A736">IFERROR(
  INDEX('Starlink Launches'!$A:$A, MATCH($E736, 'Starlink Launches'!$B:$B, 0)),
  ""
)
</f>
        <v>6-35</v>
      </c>
      <c r="B736" s="3" t="s">
        <v>25</v>
      </c>
      <c r="C736" s="12" t="s">
        <v>748</v>
      </c>
      <c r="D736" s="13">
        <v>58736.0</v>
      </c>
      <c r="E736" s="4">
        <v>45298.0</v>
      </c>
      <c r="F736" s="4" t="str">
        <f>IF(D736="","", IFNA(VLOOKUP(D736, SATCAT_DECAY!A:B, 2, FALSE), ""))
</f>
        <v/>
      </c>
      <c r="G736" s="3" t="str">
        <f t="shared" si="1"/>
        <v>ACTIVE</v>
      </c>
    </row>
    <row r="737" ht="22.5" customHeight="1">
      <c r="A737" s="11" t="str">
        <f t="array" ref="A737">IFERROR(
  INDEX('Starlink Launches'!$A:$A, MATCH($E737, 'Starlink Launches'!$B:$B, 0)),
  ""
)
</f>
        <v>6-35</v>
      </c>
      <c r="B737" s="3" t="s">
        <v>25</v>
      </c>
      <c r="C737" s="12" t="s">
        <v>749</v>
      </c>
      <c r="D737" s="13">
        <v>58737.0</v>
      </c>
      <c r="E737" s="4">
        <v>45298.0</v>
      </c>
      <c r="F737" s="4" t="str">
        <f>IF(D737="","", IFNA(VLOOKUP(D737, SATCAT_DECAY!A:B, 2, FALSE), ""))
</f>
        <v/>
      </c>
      <c r="G737" s="3" t="str">
        <f t="shared" si="1"/>
        <v>ACTIVE</v>
      </c>
    </row>
    <row r="738" ht="22.5" customHeight="1">
      <c r="A738" s="11" t="str">
        <f t="array" ref="A738">IFERROR(
  INDEX('Starlink Launches'!$A:$A, MATCH($E738, 'Starlink Launches'!$B:$B, 0)),
  ""
)
</f>
        <v>6-35</v>
      </c>
      <c r="B738" s="3" t="s">
        <v>25</v>
      </c>
      <c r="C738" s="12" t="s">
        <v>750</v>
      </c>
      <c r="D738" s="13">
        <v>58738.0</v>
      </c>
      <c r="E738" s="4">
        <v>45298.0</v>
      </c>
      <c r="F738" s="4" t="str">
        <f>IF(D738="","", IFNA(VLOOKUP(D738, SATCAT_DECAY!A:B, 2, FALSE), ""))
</f>
        <v/>
      </c>
      <c r="G738" s="3" t="str">
        <f t="shared" si="1"/>
        <v>ACTIVE</v>
      </c>
    </row>
    <row r="739" ht="22.5" customHeight="1">
      <c r="A739" s="11" t="str">
        <f t="array" ref="A739">IFERROR(
  INDEX('Starlink Launches'!$A:$A, MATCH($E739, 'Starlink Launches'!$B:$B, 0)),
  ""
)
</f>
        <v>6-35</v>
      </c>
      <c r="B739" s="3" t="s">
        <v>25</v>
      </c>
      <c r="C739" s="12" t="s">
        <v>751</v>
      </c>
      <c r="D739" s="13">
        <v>58739.0</v>
      </c>
      <c r="E739" s="4">
        <v>45298.0</v>
      </c>
      <c r="F739" s="4" t="str">
        <f>IF(D739="","", IFNA(VLOOKUP(D739, SATCAT_DECAY!A:B, 2, FALSE), ""))
</f>
        <v/>
      </c>
      <c r="G739" s="3" t="str">
        <f t="shared" si="1"/>
        <v>ACTIVE</v>
      </c>
    </row>
    <row r="740" ht="22.5" customHeight="1">
      <c r="A740" s="11" t="str">
        <f t="array" ref="A740">IFERROR(
  INDEX('Starlink Launches'!$A:$A, MATCH($E740, 'Starlink Launches'!$B:$B, 0)),
  ""
)
</f>
        <v>6-35</v>
      </c>
      <c r="B740" s="3" t="s">
        <v>25</v>
      </c>
      <c r="C740" s="12" t="s">
        <v>752</v>
      </c>
      <c r="D740" s="13">
        <v>58740.0</v>
      </c>
      <c r="E740" s="4">
        <v>45298.0</v>
      </c>
      <c r="F740" s="4" t="str">
        <f>IF(D740="","", IFNA(VLOOKUP(D740, SATCAT_DECAY!A:B, 2, FALSE), ""))
</f>
        <v/>
      </c>
      <c r="G740" s="3" t="str">
        <f t="shared" si="1"/>
        <v>ACTIVE</v>
      </c>
    </row>
    <row r="741" ht="22.5" customHeight="1">
      <c r="A741" s="11" t="str">
        <f t="array" ref="A741">IFERROR(
  INDEX('Starlink Launches'!$A:$A, MATCH($E741, 'Starlink Launches'!$B:$B, 0)),
  ""
)
</f>
        <v>6-35</v>
      </c>
      <c r="B741" s="3" t="s">
        <v>25</v>
      </c>
      <c r="C741" s="12" t="s">
        <v>753</v>
      </c>
      <c r="D741" s="13">
        <v>58741.0</v>
      </c>
      <c r="E741" s="4">
        <v>45298.0</v>
      </c>
      <c r="F741" s="4" t="str">
        <f>IF(D741="","", IFNA(VLOOKUP(D741, SATCAT_DECAY!A:B, 2, FALSE), ""))
</f>
        <v/>
      </c>
      <c r="G741" s="3" t="str">
        <f t="shared" si="1"/>
        <v>ACTIVE</v>
      </c>
    </row>
    <row r="742" ht="22.5" customHeight="1">
      <c r="A742" s="11" t="str">
        <f t="array" ref="A742">IFERROR(
  INDEX('Starlink Launches'!$A:$A, MATCH($E742, 'Starlink Launches'!$B:$B, 0)),
  ""
)
</f>
        <v>6-35</v>
      </c>
      <c r="B742" s="3" t="s">
        <v>25</v>
      </c>
      <c r="C742" s="12" t="s">
        <v>754</v>
      </c>
      <c r="D742" s="13">
        <v>58742.0</v>
      </c>
      <c r="E742" s="4">
        <v>45298.0</v>
      </c>
      <c r="F742" s="4" t="str">
        <f>IF(D742="","", IFNA(VLOOKUP(D742, SATCAT_DECAY!A:B, 2, FALSE), ""))
</f>
        <v/>
      </c>
      <c r="G742" s="3" t="str">
        <f t="shared" si="1"/>
        <v>ACTIVE</v>
      </c>
    </row>
    <row r="743" ht="22.5" customHeight="1">
      <c r="A743" s="11" t="str">
        <f t="array" ref="A743">IFERROR(
  INDEX('Starlink Launches'!$A:$A, MATCH($E743, 'Starlink Launches'!$B:$B, 0)),
  ""
)
</f>
        <v>6-35</v>
      </c>
      <c r="B743" s="3" t="s">
        <v>25</v>
      </c>
      <c r="C743" s="12" t="s">
        <v>755</v>
      </c>
      <c r="D743" s="13">
        <v>58743.0</v>
      </c>
      <c r="E743" s="4">
        <v>45298.0</v>
      </c>
      <c r="F743" s="4" t="str">
        <f>IF(D743="","", IFNA(VLOOKUP(D743, SATCAT_DECAY!A:B, 2, FALSE), ""))
</f>
        <v/>
      </c>
      <c r="G743" s="3" t="str">
        <f t="shared" si="1"/>
        <v>ACTIVE</v>
      </c>
    </row>
    <row r="744" ht="22.5" customHeight="1">
      <c r="A744" s="11" t="str">
        <f t="array" ref="A744">IFERROR(
  INDEX('Starlink Launches'!$A:$A, MATCH($E744, 'Starlink Launches'!$B:$B, 0)),
  ""
)
</f>
        <v>6-35</v>
      </c>
      <c r="B744" s="3" t="s">
        <v>25</v>
      </c>
      <c r="C744" s="12" t="s">
        <v>756</v>
      </c>
      <c r="D744" s="13">
        <v>58744.0</v>
      </c>
      <c r="E744" s="4">
        <v>45298.0</v>
      </c>
      <c r="F744" s="4" t="str">
        <f>IF(D744="","", IFNA(VLOOKUP(D744, SATCAT_DECAY!A:B, 2, FALSE), ""))
</f>
        <v/>
      </c>
      <c r="G744" s="3" t="str">
        <f t="shared" si="1"/>
        <v>ACTIVE</v>
      </c>
    </row>
    <row r="745" ht="22.5" customHeight="1">
      <c r="A745" s="11" t="str">
        <f t="array" ref="A745">IFERROR(
  INDEX('Starlink Launches'!$A:$A, MATCH($E745, 'Starlink Launches'!$B:$B, 0)),
  ""
)
</f>
        <v>6-35</v>
      </c>
      <c r="B745" s="3" t="s">
        <v>25</v>
      </c>
      <c r="C745" s="12" t="s">
        <v>757</v>
      </c>
      <c r="D745" s="13">
        <v>58745.0</v>
      </c>
      <c r="E745" s="4">
        <v>45298.0</v>
      </c>
      <c r="F745" s="4" t="str">
        <f>IF(D745="","", IFNA(VLOOKUP(D745, SATCAT_DECAY!A:B, 2, FALSE), ""))
</f>
        <v/>
      </c>
      <c r="G745" s="3" t="str">
        <f t="shared" si="1"/>
        <v>ACTIVE</v>
      </c>
    </row>
    <row r="746" ht="22.5" customHeight="1">
      <c r="A746" s="11" t="str">
        <f t="array" ref="A746">IFERROR(
  INDEX('Starlink Launches'!$A:$A, MATCH($E746, 'Starlink Launches'!$B:$B, 0)),
  ""
)
</f>
        <v>6-35</v>
      </c>
      <c r="B746" s="3" t="s">
        <v>25</v>
      </c>
      <c r="C746" s="12" t="s">
        <v>758</v>
      </c>
      <c r="D746" s="13">
        <v>58746.0</v>
      </c>
      <c r="E746" s="4">
        <v>45298.0</v>
      </c>
      <c r="F746" s="4" t="str">
        <f>IF(D746="","", IFNA(VLOOKUP(D746, SATCAT_DECAY!A:B, 2, FALSE), ""))
</f>
        <v/>
      </c>
      <c r="G746" s="3" t="str">
        <f t="shared" si="1"/>
        <v>ACTIVE</v>
      </c>
    </row>
    <row r="747" ht="22.5" customHeight="1">
      <c r="A747" s="11" t="str">
        <f t="array" ref="A747">IFERROR(
  INDEX('Starlink Launches'!$A:$A, MATCH($E747, 'Starlink Launches'!$B:$B, 0)),
  ""
)
</f>
        <v>6-35</v>
      </c>
      <c r="B747" s="3" t="s">
        <v>25</v>
      </c>
      <c r="C747" s="12" t="s">
        <v>759</v>
      </c>
      <c r="D747" s="13">
        <v>58747.0</v>
      </c>
      <c r="E747" s="4">
        <v>45298.0</v>
      </c>
      <c r="F747" s="4" t="str">
        <f>IF(D747="","", IFNA(VLOOKUP(D747, SATCAT_DECAY!A:B, 2, FALSE), ""))
</f>
        <v/>
      </c>
      <c r="G747" s="3" t="str">
        <f t="shared" si="1"/>
        <v>ACTIVE</v>
      </c>
    </row>
    <row r="748" ht="22.5" customHeight="1">
      <c r="A748" s="11" t="str">
        <f t="array" ref="A748">IFERROR(
  INDEX('Starlink Launches'!$A:$A, MATCH($E748, 'Starlink Launches'!$B:$B, 0)),
  ""
)
</f>
        <v>6-35</v>
      </c>
      <c r="B748" s="3" t="s">
        <v>25</v>
      </c>
      <c r="C748" s="12" t="s">
        <v>760</v>
      </c>
      <c r="D748" s="13">
        <v>58748.0</v>
      </c>
      <c r="E748" s="4">
        <v>45298.0</v>
      </c>
      <c r="F748" s="4" t="str">
        <f>IF(D748="","", IFNA(VLOOKUP(D748, SATCAT_DECAY!A:B, 2, FALSE), ""))
</f>
        <v/>
      </c>
      <c r="G748" s="3" t="str">
        <f t="shared" si="1"/>
        <v>ACTIVE</v>
      </c>
    </row>
    <row r="749" ht="22.5" customHeight="1">
      <c r="A749" s="11" t="str">
        <f t="array" ref="A749">IFERROR(
  INDEX('Starlink Launches'!$A:$A, MATCH($E749, 'Starlink Launches'!$B:$B, 0)),
  ""
)
</f>
        <v>6-35</v>
      </c>
      <c r="B749" s="3" t="s">
        <v>25</v>
      </c>
      <c r="C749" s="12" t="s">
        <v>761</v>
      </c>
      <c r="D749" s="13">
        <v>58749.0</v>
      </c>
      <c r="E749" s="4">
        <v>45298.0</v>
      </c>
      <c r="F749" s="4" t="str">
        <f>IF(D749="","", IFNA(VLOOKUP(D749, SATCAT_DECAY!A:B, 2, FALSE), ""))
</f>
        <v/>
      </c>
      <c r="G749" s="3" t="str">
        <f t="shared" si="1"/>
        <v>ACTIVE</v>
      </c>
    </row>
    <row r="750" ht="22.5" customHeight="1">
      <c r="A750" s="11" t="str">
        <f t="array" ref="A750">IFERROR(
  INDEX('Starlink Launches'!$A:$A, MATCH($E750, 'Starlink Launches'!$B:$B, 0)),
  ""
)
</f>
        <v>6-35</v>
      </c>
      <c r="B750" s="3" t="s">
        <v>25</v>
      </c>
      <c r="C750" s="12" t="s">
        <v>762</v>
      </c>
      <c r="D750" s="13">
        <v>58750.0</v>
      </c>
      <c r="E750" s="4">
        <v>45298.0</v>
      </c>
      <c r="F750" s="4" t="str">
        <f>IF(D750="","", IFNA(VLOOKUP(D750, SATCAT_DECAY!A:B, 2, FALSE), ""))
</f>
        <v/>
      </c>
      <c r="G750" s="3" t="str">
        <f t="shared" si="1"/>
        <v>ACTIVE</v>
      </c>
    </row>
    <row r="751" ht="22.5" customHeight="1">
      <c r="A751" s="11" t="str">
        <f t="array" ref="A751">IFERROR(
  INDEX('Starlink Launches'!$A:$A, MATCH($E751, 'Starlink Launches'!$B:$B, 0)),
  ""
)
</f>
        <v>6-37</v>
      </c>
      <c r="B751" s="3" t="s">
        <v>25</v>
      </c>
      <c r="C751" s="12" t="s">
        <v>763</v>
      </c>
      <c r="D751" s="13">
        <v>58787.0</v>
      </c>
      <c r="E751" s="4">
        <v>45306.0</v>
      </c>
      <c r="F751" s="4" t="str">
        <f>IF(D751="","", IFNA(VLOOKUP(D751, SATCAT_DECAY!A:B, 2, FALSE), ""))
</f>
        <v/>
      </c>
      <c r="G751" s="3" t="str">
        <f t="shared" si="1"/>
        <v>ACTIVE</v>
      </c>
    </row>
    <row r="752" ht="22.5" customHeight="1">
      <c r="A752" s="11" t="str">
        <f t="array" ref="A752">IFERROR(
  INDEX('Starlink Launches'!$A:$A, MATCH($E752, 'Starlink Launches'!$B:$B, 0)),
  ""
)
</f>
        <v>6-37</v>
      </c>
      <c r="B752" s="3" t="s">
        <v>25</v>
      </c>
      <c r="C752" s="12" t="s">
        <v>764</v>
      </c>
      <c r="D752" s="13">
        <v>58788.0</v>
      </c>
      <c r="E752" s="4">
        <v>45306.0</v>
      </c>
      <c r="F752" s="4" t="str">
        <f>IF(D752="","", IFNA(VLOOKUP(D752, SATCAT_DECAY!A:B, 2, FALSE), ""))
</f>
        <v/>
      </c>
      <c r="G752" s="3" t="str">
        <f t="shared" si="1"/>
        <v>ACTIVE</v>
      </c>
    </row>
    <row r="753" ht="22.5" customHeight="1">
      <c r="A753" s="11" t="str">
        <f t="array" ref="A753">IFERROR(
  INDEX('Starlink Launches'!$A:$A, MATCH($E753, 'Starlink Launches'!$B:$B, 0)),
  ""
)
</f>
        <v>6-37</v>
      </c>
      <c r="B753" s="3" t="s">
        <v>25</v>
      </c>
      <c r="C753" s="12" t="s">
        <v>765</v>
      </c>
      <c r="D753" s="13">
        <v>58789.0</v>
      </c>
      <c r="E753" s="4">
        <v>45306.0</v>
      </c>
      <c r="F753" s="4" t="str">
        <f>IF(D753="","", IFNA(VLOOKUP(D753, SATCAT_DECAY!A:B, 2, FALSE), ""))
</f>
        <v/>
      </c>
      <c r="G753" s="3" t="str">
        <f t="shared" si="1"/>
        <v>ACTIVE</v>
      </c>
    </row>
    <row r="754" ht="22.5" customHeight="1">
      <c r="A754" s="11" t="str">
        <f t="array" ref="A754">IFERROR(
  INDEX('Starlink Launches'!$A:$A, MATCH($E754, 'Starlink Launches'!$B:$B, 0)),
  ""
)
</f>
        <v>6-37</v>
      </c>
      <c r="B754" s="3" t="s">
        <v>25</v>
      </c>
      <c r="C754" s="12" t="s">
        <v>766</v>
      </c>
      <c r="D754" s="13">
        <v>58790.0</v>
      </c>
      <c r="E754" s="4">
        <v>45306.0</v>
      </c>
      <c r="F754" s="4" t="str">
        <f>IF(D754="","", IFNA(VLOOKUP(D754, SATCAT_DECAY!A:B, 2, FALSE), ""))
</f>
        <v/>
      </c>
      <c r="G754" s="3" t="str">
        <f t="shared" si="1"/>
        <v>ACTIVE</v>
      </c>
    </row>
    <row r="755" ht="22.5" customHeight="1">
      <c r="A755" s="11" t="str">
        <f t="array" ref="A755">IFERROR(
  INDEX('Starlink Launches'!$A:$A, MATCH($E755, 'Starlink Launches'!$B:$B, 0)),
  ""
)
</f>
        <v>6-37</v>
      </c>
      <c r="B755" s="3" t="s">
        <v>25</v>
      </c>
      <c r="C755" s="12" t="s">
        <v>767</v>
      </c>
      <c r="D755" s="13">
        <v>58791.0</v>
      </c>
      <c r="E755" s="4">
        <v>45306.0</v>
      </c>
      <c r="F755" s="4" t="str">
        <f>IF(D755="","", IFNA(VLOOKUP(D755, SATCAT_DECAY!A:B, 2, FALSE), ""))
</f>
        <v/>
      </c>
      <c r="G755" s="3" t="str">
        <f t="shared" si="1"/>
        <v>ACTIVE</v>
      </c>
    </row>
    <row r="756" ht="22.5" customHeight="1">
      <c r="A756" s="11" t="str">
        <f t="array" ref="A756">IFERROR(
  INDEX('Starlink Launches'!$A:$A, MATCH($E756, 'Starlink Launches'!$B:$B, 0)),
  ""
)
</f>
        <v>6-37</v>
      </c>
      <c r="B756" s="3" t="s">
        <v>25</v>
      </c>
      <c r="C756" s="12" t="s">
        <v>768</v>
      </c>
      <c r="D756" s="13">
        <v>58793.0</v>
      </c>
      <c r="E756" s="4">
        <v>45306.0</v>
      </c>
      <c r="F756" s="4" t="str">
        <f>IF(D756="","", IFNA(VLOOKUP(D756, SATCAT_DECAY!A:B, 2, FALSE), ""))
</f>
        <v/>
      </c>
      <c r="G756" s="3" t="str">
        <f t="shared" si="1"/>
        <v>ACTIVE</v>
      </c>
    </row>
    <row r="757" ht="22.5" customHeight="1">
      <c r="A757" s="11" t="str">
        <f t="array" ref="A757">IFERROR(
  INDEX('Starlink Launches'!$A:$A, MATCH($E757, 'Starlink Launches'!$B:$B, 0)),
  ""
)
</f>
        <v>6-37</v>
      </c>
      <c r="B757" s="3" t="s">
        <v>25</v>
      </c>
      <c r="C757" s="12" t="s">
        <v>769</v>
      </c>
      <c r="D757" s="13">
        <v>58794.0</v>
      </c>
      <c r="E757" s="4">
        <v>45306.0</v>
      </c>
      <c r="F757" s="4" t="str">
        <f>IF(D757="","", IFNA(VLOOKUP(D757, SATCAT_DECAY!A:B, 2, FALSE), ""))
</f>
        <v/>
      </c>
      <c r="G757" s="3" t="str">
        <f t="shared" si="1"/>
        <v>ACTIVE</v>
      </c>
    </row>
    <row r="758" ht="22.5" customHeight="1">
      <c r="A758" s="11" t="str">
        <f t="array" ref="A758">IFERROR(
  INDEX('Starlink Launches'!$A:$A, MATCH($E758, 'Starlink Launches'!$B:$B, 0)),
  ""
)
</f>
        <v>6-37</v>
      </c>
      <c r="B758" s="3" t="s">
        <v>25</v>
      </c>
      <c r="C758" s="12" t="s">
        <v>770</v>
      </c>
      <c r="D758" s="13">
        <v>58795.0</v>
      </c>
      <c r="E758" s="4">
        <v>45306.0</v>
      </c>
      <c r="F758" s="4" t="str">
        <f>IF(D758="","", IFNA(VLOOKUP(D758, SATCAT_DECAY!A:B, 2, FALSE), ""))
</f>
        <v/>
      </c>
      <c r="G758" s="3" t="str">
        <f t="shared" si="1"/>
        <v>ACTIVE</v>
      </c>
    </row>
    <row r="759" ht="22.5" customHeight="1">
      <c r="A759" s="11" t="str">
        <f t="array" ref="A759">IFERROR(
  INDEX('Starlink Launches'!$A:$A, MATCH($E759, 'Starlink Launches'!$B:$B, 0)),
  ""
)
</f>
        <v>6-37</v>
      </c>
      <c r="B759" s="3" t="s">
        <v>25</v>
      </c>
      <c r="C759" s="12" t="s">
        <v>771</v>
      </c>
      <c r="D759" s="13">
        <v>58796.0</v>
      </c>
      <c r="E759" s="4">
        <v>45306.0</v>
      </c>
      <c r="F759" s="4" t="str">
        <f>IF(D759="","", IFNA(VLOOKUP(D759, SATCAT_DECAY!A:B, 2, FALSE), ""))
</f>
        <v/>
      </c>
      <c r="G759" s="3" t="str">
        <f t="shared" si="1"/>
        <v>ACTIVE</v>
      </c>
    </row>
    <row r="760" ht="22.5" customHeight="1">
      <c r="A760" s="11" t="str">
        <f t="array" ref="A760">IFERROR(
  INDEX('Starlink Launches'!$A:$A, MATCH($E760, 'Starlink Launches'!$B:$B, 0)),
  ""
)
</f>
        <v>6-37</v>
      </c>
      <c r="B760" s="3" t="s">
        <v>25</v>
      </c>
      <c r="C760" s="12" t="s">
        <v>772</v>
      </c>
      <c r="D760" s="13">
        <v>58797.0</v>
      </c>
      <c r="E760" s="4">
        <v>45306.0</v>
      </c>
      <c r="F760" s="4" t="str">
        <f>IF(D760="","", IFNA(VLOOKUP(D760, SATCAT_DECAY!A:B, 2, FALSE), ""))
</f>
        <v/>
      </c>
      <c r="G760" s="3" t="str">
        <f t="shared" si="1"/>
        <v>ACTIVE</v>
      </c>
    </row>
    <row r="761" ht="22.5" customHeight="1">
      <c r="A761" s="11" t="str">
        <f t="array" ref="A761">IFERROR(
  INDEX('Starlink Launches'!$A:$A, MATCH($E761, 'Starlink Launches'!$B:$B, 0)),
  ""
)
</f>
        <v>6-37</v>
      </c>
      <c r="B761" s="3" t="s">
        <v>25</v>
      </c>
      <c r="C761" s="12" t="s">
        <v>773</v>
      </c>
      <c r="D761" s="13">
        <v>58798.0</v>
      </c>
      <c r="E761" s="4">
        <v>45306.0</v>
      </c>
      <c r="F761" s="4" t="str">
        <f>IF(D761="","", IFNA(VLOOKUP(D761, SATCAT_DECAY!A:B, 2, FALSE), ""))
</f>
        <v/>
      </c>
      <c r="G761" s="3" t="str">
        <f t="shared" si="1"/>
        <v>ACTIVE</v>
      </c>
    </row>
    <row r="762" ht="22.5" customHeight="1">
      <c r="A762" s="11" t="str">
        <f t="array" ref="A762">IFERROR(
  INDEX('Starlink Launches'!$A:$A, MATCH($E762, 'Starlink Launches'!$B:$B, 0)),
  ""
)
</f>
        <v>6-37</v>
      </c>
      <c r="B762" s="3" t="s">
        <v>25</v>
      </c>
      <c r="C762" s="12" t="s">
        <v>774</v>
      </c>
      <c r="D762" s="13">
        <v>58800.0</v>
      </c>
      <c r="E762" s="4">
        <v>45306.0</v>
      </c>
      <c r="F762" s="4" t="str">
        <f>IF(D762="","", IFNA(VLOOKUP(D762, SATCAT_DECAY!A:B, 2, FALSE), ""))
</f>
        <v/>
      </c>
      <c r="G762" s="3" t="str">
        <f t="shared" si="1"/>
        <v>ACTIVE</v>
      </c>
    </row>
    <row r="763" ht="22.5" customHeight="1">
      <c r="A763" s="11" t="str">
        <f t="array" ref="A763">IFERROR(
  INDEX('Starlink Launches'!$A:$A, MATCH($E763, 'Starlink Launches'!$B:$B, 0)),
  ""
)
</f>
        <v>6-37</v>
      </c>
      <c r="B763" s="3" t="s">
        <v>25</v>
      </c>
      <c r="C763" s="12" t="s">
        <v>775</v>
      </c>
      <c r="D763" s="13">
        <v>58801.0</v>
      </c>
      <c r="E763" s="4">
        <v>45306.0</v>
      </c>
      <c r="F763" s="4" t="str">
        <f>IF(D763="","", IFNA(VLOOKUP(D763, SATCAT_DECAY!A:B, 2, FALSE), ""))
</f>
        <v/>
      </c>
      <c r="G763" s="3" t="str">
        <f t="shared" si="1"/>
        <v>ACTIVE</v>
      </c>
    </row>
    <row r="764" ht="22.5" customHeight="1">
      <c r="A764" s="11" t="str">
        <f t="array" ref="A764">IFERROR(
  INDEX('Starlink Launches'!$A:$A, MATCH($E764, 'Starlink Launches'!$B:$B, 0)),
  ""
)
</f>
        <v>6-37</v>
      </c>
      <c r="B764" s="3" t="s">
        <v>25</v>
      </c>
      <c r="C764" s="12" t="s">
        <v>776</v>
      </c>
      <c r="D764" s="13">
        <v>58803.0</v>
      </c>
      <c r="E764" s="4">
        <v>45306.0</v>
      </c>
      <c r="F764" s="4" t="str">
        <f>IF(D764="","", IFNA(VLOOKUP(D764, SATCAT_DECAY!A:B, 2, FALSE), ""))
</f>
        <v/>
      </c>
      <c r="G764" s="3" t="str">
        <f t="shared" si="1"/>
        <v>ACTIVE</v>
      </c>
    </row>
    <row r="765" ht="22.5" customHeight="1">
      <c r="A765" s="11" t="str">
        <f t="array" ref="A765">IFERROR(
  INDEX('Starlink Launches'!$A:$A, MATCH($E765, 'Starlink Launches'!$B:$B, 0)),
  ""
)
</f>
        <v>6-37</v>
      </c>
      <c r="B765" s="3" t="s">
        <v>25</v>
      </c>
      <c r="C765" s="12" t="s">
        <v>777</v>
      </c>
      <c r="D765" s="13">
        <v>58804.0</v>
      </c>
      <c r="E765" s="4">
        <v>45306.0</v>
      </c>
      <c r="F765" s="4" t="str">
        <f>IF(D765="","", IFNA(VLOOKUP(D765, SATCAT_DECAY!A:B, 2, FALSE), ""))
</f>
        <v/>
      </c>
      <c r="G765" s="3" t="str">
        <f t="shared" si="1"/>
        <v>ACTIVE</v>
      </c>
    </row>
    <row r="766" ht="22.5" customHeight="1">
      <c r="A766" s="11" t="str">
        <f t="array" ref="A766">IFERROR(
  INDEX('Starlink Launches'!$A:$A, MATCH($E766, 'Starlink Launches'!$B:$B, 0)),
  ""
)
</f>
        <v>6-37</v>
      </c>
      <c r="B766" s="3" t="s">
        <v>25</v>
      </c>
      <c r="C766" s="12" t="s">
        <v>778</v>
      </c>
      <c r="D766" s="13">
        <v>58806.0</v>
      </c>
      <c r="E766" s="4">
        <v>45306.0</v>
      </c>
      <c r="F766" s="4" t="str">
        <f>IF(D766="","", IFNA(VLOOKUP(D766, SATCAT_DECAY!A:B, 2, FALSE), ""))
</f>
        <v/>
      </c>
      <c r="G766" s="3" t="str">
        <f t="shared" si="1"/>
        <v>ACTIVE</v>
      </c>
    </row>
    <row r="767" ht="22.5" customHeight="1">
      <c r="A767" s="11" t="str">
        <f t="array" ref="A767">IFERROR(
  INDEX('Starlink Launches'!$A:$A, MATCH($E767, 'Starlink Launches'!$B:$B, 0)),
  ""
)
</f>
        <v>6-37</v>
      </c>
      <c r="B767" s="3" t="s">
        <v>25</v>
      </c>
      <c r="C767" s="12" t="s">
        <v>779</v>
      </c>
      <c r="D767" s="13">
        <v>58807.0</v>
      </c>
      <c r="E767" s="4">
        <v>45306.0</v>
      </c>
      <c r="F767" s="4" t="str">
        <f>IF(D767="","", IFNA(VLOOKUP(D767, SATCAT_DECAY!A:B, 2, FALSE), ""))
</f>
        <v/>
      </c>
      <c r="G767" s="3" t="str">
        <f t="shared" si="1"/>
        <v>ACTIVE</v>
      </c>
    </row>
    <row r="768" ht="22.5" customHeight="1">
      <c r="A768" s="11" t="str">
        <f t="array" ref="A768">IFERROR(
  INDEX('Starlink Launches'!$A:$A, MATCH($E768, 'Starlink Launches'!$B:$B, 0)),
  ""
)
</f>
        <v>6-37</v>
      </c>
      <c r="B768" s="3" t="s">
        <v>25</v>
      </c>
      <c r="C768" s="12" t="s">
        <v>780</v>
      </c>
      <c r="D768" s="13">
        <v>58808.0</v>
      </c>
      <c r="E768" s="4">
        <v>45306.0</v>
      </c>
      <c r="F768" s="4" t="str">
        <f>IF(D768="","", IFNA(VLOOKUP(D768, SATCAT_DECAY!A:B, 2, FALSE), ""))
</f>
        <v/>
      </c>
      <c r="G768" s="3" t="str">
        <f t="shared" si="1"/>
        <v>ACTIVE</v>
      </c>
    </row>
    <row r="769" ht="22.5" customHeight="1">
      <c r="A769" s="11" t="str">
        <f t="array" ref="A769">IFERROR(
  INDEX('Starlink Launches'!$A:$A, MATCH($E769, 'Starlink Launches'!$B:$B, 0)),
  ""
)
</f>
        <v>6-37</v>
      </c>
      <c r="B769" s="3" t="s">
        <v>25</v>
      </c>
      <c r="C769" s="12" t="s">
        <v>781</v>
      </c>
      <c r="D769" s="13">
        <v>58809.0</v>
      </c>
      <c r="E769" s="4">
        <v>45306.0</v>
      </c>
      <c r="F769" s="4" t="str">
        <f>IF(D769="","", IFNA(VLOOKUP(D769, SATCAT_DECAY!A:B, 2, FALSE), ""))
</f>
        <v/>
      </c>
      <c r="G769" s="3" t="str">
        <f t="shared" si="1"/>
        <v>ACTIVE</v>
      </c>
    </row>
    <row r="770" ht="22.5" customHeight="1">
      <c r="A770" s="11" t="str">
        <f t="array" ref="A770">IFERROR(
  INDEX('Starlink Launches'!$A:$A, MATCH($E770, 'Starlink Launches'!$B:$B, 0)),
  ""
)
</f>
        <v>6-38</v>
      </c>
      <c r="B770" s="3" t="s">
        <v>25</v>
      </c>
      <c r="C770" s="12" t="s">
        <v>782</v>
      </c>
      <c r="D770" s="13">
        <v>58853.0</v>
      </c>
      <c r="E770" s="4">
        <v>45320.0</v>
      </c>
      <c r="F770" s="4" t="str">
        <f>IF(D770="","", IFNA(VLOOKUP(D770, SATCAT_DECAY!A:B, 2, FALSE), ""))
</f>
        <v/>
      </c>
      <c r="G770" s="3" t="str">
        <f t="shared" si="1"/>
        <v>ACTIVE</v>
      </c>
    </row>
    <row r="771" ht="22.5" customHeight="1">
      <c r="A771" s="11" t="str">
        <f t="array" ref="A771">IFERROR(
  INDEX('Starlink Launches'!$A:$A, MATCH($E771, 'Starlink Launches'!$B:$B, 0)),
  ""
)
</f>
        <v>6-38</v>
      </c>
      <c r="B771" s="3" t="s">
        <v>25</v>
      </c>
      <c r="C771" s="12" t="s">
        <v>783</v>
      </c>
      <c r="D771" s="13">
        <v>58854.0</v>
      </c>
      <c r="E771" s="4">
        <v>45320.0</v>
      </c>
      <c r="F771" s="4" t="str">
        <f>IF(D771="","", IFNA(VLOOKUP(D771, SATCAT_DECAY!A:B, 2, FALSE), ""))
</f>
        <v/>
      </c>
      <c r="G771" s="3" t="str">
        <f t="shared" si="1"/>
        <v>ACTIVE</v>
      </c>
    </row>
    <row r="772" ht="22.5" customHeight="1">
      <c r="A772" s="11" t="str">
        <f t="array" ref="A772">IFERROR(
  INDEX('Starlink Launches'!$A:$A, MATCH($E772, 'Starlink Launches'!$B:$B, 0)),
  ""
)
</f>
        <v>6-38</v>
      </c>
      <c r="B772" s="3" t="s">
        <v>25</v>
      </c>
      <c r="C772" s="12" t="s">
        <v>784</v>
      </c>
      <c r="D772" s="13">
        <v>58855.0</v>
      </c>
      <c r="E772" s="4">
        <v>45320.0</v>
      </c>
      <c r="F772" s="4" t="str">
        <f>IF(D772="","", IFNA(VLOOKUP(D772, SATCAT_DECAY!A:B, 2, FALSE), ""))
</f>
        <v/>
      </c>
      <c r="G772" s="3" t="str">
        <f t="shared" si="1"/>
        <v>ACTIVE</v>
      </c>
    </row>
    <row r="773" ht="22.5" customHeight="1">
      <c r="A773" s="11" t="str">
        <f t="array" ref="A773">IFERROR(
  INDEX('Starlink Launches'!$A:$A, MATCH($E773, 'Starlink Launches'!$B:$B, 0)),
  ""
)
</f>
        <v>6-38</v>
      </c>
      <c r="B773" s="3" t="s">
        <v>25</v>
      </c>
      <c r="C773" s="12" t="s">
        <v>785</v>
      </c>
      <c r="D773" s="13">
        <v>58856.0</v>
      </c>
      <c r="E773" s="4">
        <v>45320.0</v>
      </c>
      <c r="F773" s="4" t="str">
        <f>IF(D773="","", IFNA(VLOOKUP(D773, SATCAT_DECAY!A:B, 2, FALSE), ""))
</f>
        <v/>
      </c>
      <c r="G773" s="3" t="str">
        <f t="shared" si="1"/>
        <v>ACTIVE</v>
      </c>
    </row>
    <row r="774" ht="22.5" hidden="1" customHeight="1">
      <c r="A774" s="11" t="str">
        <f t="array" ref="A774">IFERROR(
  INDEX('Starlink Launches'!$A:$A, MATCH($E774, 'Starlink Launches'!$B:$B, 0)),
  ""
)
</f>
        <v>6-38</v>
      </c>
      <c r="B774" s="3" t="s">
        <v>25</v>
      </c>
      <c r="C774" s="12" t="s">
        <v>786</v>
      </c>
      <c r="D774" s="13">
        <v>58857.0</v>
      </c>
      <c r="E774" s="4">
        <v>45320.0</v>
      </c>
      <c r="F774" s="4">
        <f>IF(D774="","", IFNA(VLOOKUP(D774, SATCAT_DECAY!A:B, 2, FALSE), ""))
</f>
        <v>45936</v>
      </c>
      <c r="G774" s="3" t="str">
        <f t="shared" si="1"/>
        <v>DECAYED</v>
      </c>
    </row>
    <row r="775" ht="22.5" customHeight="1">
      <c r="A775" s="11" t="str">
        <f t="array" ref="A775">IFERROR(
  INDEX('Starlink Launches'!$A:$A, MATCH($E775, 'Starlink Launches'!$B:$B, 0)),
  ""
)
</f>
        <v>6-38</v>
      </c>
      <c r="B775" s="3" t="s">
        <v>25</v>
      </c>
      <c r="C775" s="12" t="s">
        <v>787</v>
      </c>
      <c r="D775" s="13">
        <v>58858.0</v>
      </c>
      <c r="E775" s="4">
        <v>45320.0</v>
      </c>
      <c r="F775" s="4" t="str">
        <f>IF(D775="","", IFNA(VLOOKUP(D775, SATCAT_DECAY!A:B, 2, FALSE), ""))
</f>
        <v/>
      </c>
      <c r="G775" s="3" t="str">
        <f t="shared" si="1"/>
        <v>ACTIVE</v>
      </c>
    </row>
    <row r="776" ht="22.5" customHeight="1">
      <c r="A776" s="11" t="str">
        <f t="array" ref="A776">IFERROR(
  INDEX('Starlink Launches'!$A:$A, MATCH($E776, 'Starlink Launches'!$B:$B, 0)),
  ""
)
</f>
        <v>6-38</v>
      </c>
      <c r="B776" s="3" t="s">
        <v>25</v>
      </c>
      <c r="C776" s="12" t="s">
        <v>788</v>
      </c>
      <c r="D776" s="13">
        <v>58859.0</v>
      </c>
      <c r="E776" s="4">
        <v>45320.0</v>
      </c>
      <c r="F776" s="4" t="str">
        <f>IF(D776="","", IFNA(VLOOKUP(D776, SATCAT_DECAY!A:B, 2, FALSE), ""))
</f>
        <v/>
      </c>
      <c r="G776" s="3" t="str">
        <f t="shared" si="1"/>
        <v>ACTIVE</v>
      </c>
    </row>
    <row r="777" ht="22.5" customHeight="1">
      <c r="A777" s="11" t="str">
        <f t="array" ref="A777">IFERROR(
  INDEX('Starlink Launches'!$A:$A, MATCH($E777, 'Starlink Launches'!$B:$B, 0)),
  ""
)
</f>
        <v>6-38</v>
      </c>
      <c r="B777" s="3" t="s">
        <v>25</v>
      </c>
      <c r="C777" s="12" t="s">
        <v>789</v>
      </c>
      <c r="D777" s="13">
        <v>58860.0</v>
      </c>
      <c r="E777" s="4">
        <v>45320.0</v>
      </c>
      <c r="F777" s="4" t="str">
        <f>IF(D777="","", IFNA(VLOOKUP(D777, SATCAT_DECAY!A:B, 2, FALSE), ""))
</f>
        <v/>
      </c>
      <c r="G777" s="3" t="str">
        <f t="shared" si="1"/>
        <v>ACTIVE</v>
      </c>
    </row>
    <row r="778" ht="22.5" customHeight="1">
      <c r="A778" s="11" t="str">
        <f t="array" ref="A778">IFERROR(
  INDEX('Starlink Launches'!$A:$A, MATCH($E778, 'Starlink Launches'!$B:$B, 0)),
  ""
)
</f>
        <v>6-38</v>
      </c>
      <c r="B778" s="3" t="s">
        <v>25</v>
      </c>
      <c r="C778" s="12" t="s">
        <v>790</v>
      </c>
      <c r="D778" s="13">
        <v>58861.0</v>
      </c>
      <c r="E778" s="4">
        <v>45320.0</v>
      </c>
      <c r="F778" s="4" t="str">
        <f>IF(D778="","", IFNA(VLOOKUP(D778, SATCAT_DECAY!A:B, 2, FALSE), ""))
</f>
        <v/>
      </c>
      <c r="G778" s="3" t="str">
        <f t="shared" si="1"/>
        <v>ACTIVE</v>
      </c>
    </row>
    <row r="779" ht="22.5" customHeight="1">
      <c r="A779" s="11" t="str">
        <f t="array" ref="A779">IFERROR(
  INDEX('Starlink Launches'!$A:$A, MATCH($E779, 'Starlink Launches'!$B:$B, 0)),
  ""
)
</f>
        <v>6-38</v>
      </c>
      <c r="B779" s="3" t="s">
        <v>25</v>
      </c>
      <c r="C779" s="12" t="s">
        <v>791</v>
      </c>
      <c r="D779" s="13">
        <v>58862.0</v>
      </c>
      <c r="E779" s="4">
        <v>45320.0</v>
      </c>
      <c r="F779" s="4" t="str">
        <f>IF(D779="","", IFNA(VLOOKUP(D779, SATCAT_DECAY!A:B, 2, FALSE), ""))
</f>
        <v/>
      </c>
      <c r="G779" s="3" t="str">
        <f t="shared" si="1"/>
        <v>ACTIVE</v>
      </c>
    </row>
    <row r="780" ht="22.5" customHeight="1">
      <c r="A780" s="11" t="str">
        <f t="array" ref="A780">IFERROR(
  INDEX('Starlink Launches'!$A:$A, MATCH($E780, 'Starlink Launches'!$B:$B, 0)),
  ""
)
</f>
        <v>6-38</v>
      </c>
      <c r="B780" s="3" t="s">
        <v>25</v>
      </c>
      <c r="C780" s="12" t="s">
        <v>792</v>
      </c>
      <c r="D780" s="13">
        <v>58863.0</v>
      </c>
      <c r="E780" s="4">
        <v>45320.0</v>
      </c>
      <c r="F780" s="4" t="str">
        <f>IF(D780="","", IFNA(VLOOKUP(D780, SATCAT_DECAY!A:B, 2, FALSE), ""))
</f>
        <v/>
      </c>
      <c r="G780" s="3" t="str">
        <f t="shared" si="1"/>
        <v>ACTIVE</v>
      </c>
    </row>
    <row r="781" ht="22.5" customHeight="1">
      <c r="A781" s="11" t="str">
        <f t="array" ref="A781">IFERROR(
  INDEX('Starlink Launches'!$A:$A, MATCH($E781, 'Starlink Launches'!$B:$B, 0)),
  ""
)
</f>
        <v>6-38</v>
      </c>
      <c r="B781" s="3" t="s">
        <v>25</v>
      </c>
      <c r="C781" s="12" t="s">
        <v>793</v>
      </c>
      <c r="D781" s="13">
        <v>58864.0</v>
      </c>
      <c r="E781" s="4">
        <v>45320.0</v>
      </c>
      <c r="F781" s="4" t="str">
        <f>IF(D781="","", IFNA(VLOOKUP(D781, SATCAT_DECAY!A:B, 2, FALSE), ""))
</f>
        <v/>
      </c>
      <c r="G781" s="3" t="str">
        <f t="shared" si="1"/>
        <v>ACTIVE</v>
      </c>
    </row>
    <row r="782" ht="22.5" customHeight="1">
      <c r="A782" s="11" t="str">
        <f t="array" ref="A782">IFERROR(
  INDEX('Starlink Launches'!$A:$A, MATCH($E782, 'Starlink Launches'!$B:$B, 0)),
  ""
)
</f>
        <v>6-38</v>
      </c>
      <c r="B782" s="3" t="s">
        <v>25</v>
      </c>
      <c r="C782" s="12" t="s">
        <v>794</v>
      </c>
      <c r="D782" s="13">
        <v>58865.0</v>
      </c>
      <c r="E782" s="4">
        <v>45320.0</v>
      </c>
      <c r="F782" s="4" t="str">
        <f>IF(D782="","", IFNA(VLOOKUP(D782, SATCAT_DECAY!A:B, 2, FALSE), ""))
</f>
        <v/>
      </c>
      <c r="G782" s="3" t="str">
        <f t="shared" si="1"/>
        <v>ACTIVE</v>
      </c>
    </row>
    <row r="783" ht="22.5" customHeight="1">
      <c r="A783" s="11" t="str">
        <f t="array" ref="A783">IFERROR(
  INDEX('Starlink Launches'!$A:$A, MATCH($E783, 'Starlink Launches'!$B:$B, 0)),
  ""
)
</f>
        <v>6-38</v>
      </c>
      <c r="B783" s="3" t="s">
        <v>25</v>
      </c>
      <c r="C783" s="12" t="s">
        <v>795</v>
      </c>
      <c r="D783" s="13">
        <v>58866.0</v>
      </c>
      <c r="E783" s="4">
        <v>45320.0</v>
      </c>
      <c r="F783" s="4" t="str">
        <f>IF(D783="","", IFNA(VLOOKUP(D783, SATCAT_DECAY!A:B, 2, FALSE), ""))
</f>
        <v/>
      </c>
      <c r="G783" s="3" t="str">
        <f t="shared" si="1"/>
        <v>ACTIVE</v>
      </c>
    </row>
    <row r="784" ht="22.5" customHeight="1">
      <c r="A784" s="11" t="str">
        <f t="array" ref="A784">IFERROR(
  INDEX('Starlink Launches'!$A:$A, MATCH($E784, 'Starlink Launches'!$B:$B, 0)),
  ""
)
</f>
        <v>6-38</v>
      </c>
      <c r="B784" s="3" t="s">
        <v>25</v>
      </c>
      <c r="C784" s="12" t="s">
        <v>796</v>
      </c>
      <c r="D784" s="13">
        <v>58867.0</v>
      </c>
      <c r="E784" s="4">
        <v>45320.0</v>
      </c>
      <c r="F784" s="4" t="str">
        <f>IF(D784="","", IFNA(VLOOKUP(D784, SATCAT_DECAY!A:B, 2, FALSE), ""))
</f>
        <v/>
      </c>
      <c r="G784" s="3" t="str">
        <f t="shared" si="1"/>
        <v>ACTIVE</v>
      </c>
    </row>
    <row r="785" ht="22.5" customHeight="1">
      <c r="A785" s="11" t="str">
        <f t="array" ref="A785">IFERROR(
  INDEX('Starlink Launches'!$A:$A, MATCH($E785, 'Starlink Launches'!$B:$B, 0)),
  ""
)
</f>
        <v>6-38</v>
      </c>
      <c r="B785" s="3" t="s">
        <v>25</v>
      </c>
      <c r="C785" s="12" t="s">
        <v>797</v>
      </c>
      <c r="D785" s="13">
        <v>58868.0</v>
      </c>
      <c r="E785" s="4">
        <v>45320.0</v>
      </c>
      <c r="F785" s="4" t="str">
        <f>IF(D785="","", IFNA(VLOOKUP(D785, SATCAT_DECAY!A:B, 2, FALSE), ""))
</f>
        <v/>
      </c>
      <c r="G785" s="3" t="str">
        <f t="shared" si="1"/>
        <v>ACTIVE</v>
      </c>
    </row>
    <row r="786" ht="22.5" customHeight="1">
      <c r="A786" s="11" t="str">
        <f t="array" ref="A786">IFERROR(
  INDEX('Starlink Launches'!$A:$A, MATCH($E786, 'Starlink Launches'!$B:$B, 0)),
  ""
)
</f>
        <v>6-38</v>
      </c>
      <c r="B786" s="3" t="s">
        <v>25</v>
      </c>
      <c r="C786" s="12" t="s">
        <v>798</v>
      </c>
      <c r="D786" s="13">
        <v>58869.0</v>
      </c>
      <c r="E786" s="4">
        <v>45320.0</v>
      </c>
      <c r="F786" s="4" t="str">
        <f>IF(D786="","", IFNA(VLOOKUP(D786, SATCAT_DECAY!A:B, 2, FALSE), ""))
</f>
        <v/>
      </c>
      <c r="G786" s="3" t="str">
        <f t="shared" si="1"/>
        <v>ACTIVE</v>
      </c>
    </row>
    <row r="787" ht="22.5" customHeight="1">
      <c r="A787" s="11" t="str">
        <f t="array" ref="A787">IFERROR(
  INDEX('Starlink Launches'!$A:$A, MATCH($E787, 'Starlink Launches'!$B:$B, 0)),
  ""
)
</f>
        <v>6-38</v>
      </c>
      <c r="B787" s="3" t="s">
        <v>25</v>
      </c>
      <c r="C787" s="12" t="s">
        <v>799</v>
      </c>
      <c r="D787" s="13">
        <v>58870.0</v>
      </c>
      <c r="E787" s="4">
        <v>45320.0</v>
      </c>
      <c r="F787" s="4" t="str">
        <f>IF(D787="","", IFNA(VLOOKUP(D787, SATCAT_DECAY!A:B, 2, FALSE), ""))
</f>
        <v/>
      </c>
      <c r="G787" s="3" t="str">
        <f t="shared" si="1"/>
        <v>ACTIVE</v>
      </c>
    </row>
    <row r="788" ht="22.5" customHeight="1">
      <c r="A788" s="11" t="str">
        <f t="array" ref="A788">IFERROR(
  INDEX('Starlink Launches'!$A:$A, MATCH($E788, 'Starlink Launches'!$B:$B, 0)),
  ""
)
</f>
        <v>6-38</v>
      </c>
      <c r="B788" s="3" t="s">
        <v>25</v>
      </c>
      <c r="C788" s="12" t="s">
        <v>800</v>
      </c>
      <c r="D788" s="13">
        <v>58871.0</v>
      </c>
      <c r="E788" s="4">
        <v>45320.0</v>
      </c>
      <c r="F788" s="4" t="str">
        <f>IF(D788="","", IFNA(VLOOKUP(D788, SATCAT_DECAY!A:B, 2, FALSE), ""))
</f>
        <v/>
      </c>
      <c r="G788" s="3" t="str">
        <f t="shared" si="1"/>
        <v>ACTIVE</v>
      </c>
    </row>
    <row r="789" ht="22.5" customHeight="1">
      <c r="A789" s="11" t="str">
        <f t="array" ref="A789">IFERROR(
  INDEX('Starlink Launches'!$A:$A, MATCH($E789, 'Starlink Launches'!$B:$B, 0)),
  ""
)
</f>
        <v>6-38</v>
      </c>
      <c r="B789" s="3" t="s">
        <v>25</v>
      </c>
      <c r="C789" s="12" t="s">
        <v>801</v>
      </c>
      <c r="D789" s="13">
        <v>58872.0</v>
      </c>
      <c r="E789" s="4">
        <v>45320.0</v>
      </c>
      <c r="F789" s="4" t="str">
        <f>IF(D789="","", IFNA(VLOOKUP(D789, SATCAT_DECAY!A:B, 2, FALSE), ""))
</f>
        <v/>
      </c>
      <c r="G789" s="3" t="str">
        <f t="shared" si="1"/>
        <v>ACTIVE</v>
      </c>
    </row>
    <row r="790" ht="22.5" customHeight="1">
      <c r="A790" s="11" t="str">
        <f t="array" ref="A790">IFERROR(
  INDEX('Starlink Launches'!$A:$A, MATCH($E790, 'Starlink Launches'!$B:$B, 0)),
  ""
)
</f>
        <v>6-38</v>
      </c>
      <c r="B790" s="3" t="s">
        <v>25</v>
      </c>
      <c r="C790" s="12" t="s">
        <v>802</v>
      </c>
      <c r="D790" s="13">
        <v>58873.0</v>
      </c>
      <c r="E790" s="4">
        <v>45320.0</v>
      </c>
      <c r="F790" s="4" t="str">
        <f>IF(D790="","", IFNA(VLOOKUP(D790, SATCAT_DECAY!A:B, 2, FALSE), ""))
</f>
        <v/>
      </c>
      <c r="G790" s="3" t="str">
        <f t="shared" si="1"/>
        <v>ACTIVE</v>
      </c>
    </row>
    <row r="791" ht="22.5" customHeight="1">
      <c r="A791" s="11" t="str">
        <f t="array" ref="A791">IFERROR(
  INDEX('Starlink Launches'!$A:$A, MATCH($E791, 'Starlink Launches'!$B:$B, 0)),
  ""
)
</f>
        <v>6-38</v>
      </c>
      <c r="B791" s="3" t="s">
        <v>25</v>
      </c>
      <c r="C791" s="12" t="s">
        <v>803</v>
      </c>
      <c r="D791" s="13">
        <v>58874.0</v>
      </c>
      <c r="E791" s="4">
        <v>45320.0</v>
      </c>
      <c r="F791" s="4" t="str">
        <f>IF(D791="","", IFNA(VLOOKUP(D791, SATCAT_DECAY!A:B, 2, FALSE), ""))
</f>
        <v/>
      </c>
      <c r="G791" s="3" t="str">
        <f t="shared" si="1"/>
        <v>ACTIVE</v>
      </c>
    </row>
    <row r="792" ht="22.5" customHeight="1">
      <c r="A792" s="11" t="str">
        <f t="array" ref="A792">IFERROR(
  INDEX('Starlink Launches'!$A:$A, MATCH($E792, 'Starlink Launches'!$B:$B, 0)),
  ""
)
</f>
        <v>6-38</v>
      </c>
      <c r="B792" s="3" t="s">
        <v>25</v>
      </c>
      <c r="C792" s="12" t="s">
        <v>804</v>
      </c>
      <c r="D792" s="13">
        <v>58875.0</v>
      </c>
      <c r="E792" s="4">
        <v>45320.0</v>
      </c>
      <c r="F792" s="4" t="str">
        <f>IF(D792="","", IFNA(VLOOKUP(D792, SATCAT_DECAY!A:B, 2, FALSE), ""))
</f>
        <v/>
      </c>
      <c r="G792" s="3" t="str">
        <f t="shared" si="1"/>
        <v>ACTIVE</v>
      </c>
    </row>
    <row r="793" ht="22.5" customHeight="1">
      <c r="A793" s="11" t="str">
        <f t="array" ref="A793">IFERROR(
  INDEX('Starlink Launches'!$A:$A, MATCH($E793, 'Starlink Launches'!$B:$B, 0)),
  ""
)
</f>
        <v>6-39</v>
      </c>
      <c r="B793" s="3" t="s">
        <v>25</v>
      </c>
      <c r="C793" s="12" t="s">
        <v>805</v>
      </c>
      <c r="D793" s="13">
        <v>59023.0</v>
      </c>
      <c r="E793" s="4">
        <v>45347.0</v>
      </c>
      <c r="F793" s="4" t="str">
        <f>IF(D793="","", IFNA(VLOOKUP(D793, SATCAT_DECAY!A:B, 2, FALSE), ""))
</f>
        <v/>
      </c>
      <c r="G793" s="3" t="str">
        <f t="shared" si="1"/>
        <v>ACTIVE</v>
      </c>
    </row>
    <row r="794" ht="22.5" customHeight="1">
      <c r="A794" s="11" t="str">
        <f t="array" ref="A794">IFERROR(
  INDEX('Starlink Launches'!$A:$A, MATCH($E794, 'Starlink Launches'!$B:$B, 0)),
  ""
)
</f>
        <v>6-39</v>
      </c>
      <c r="B794" s="3" t="s">
        <v>25</v>
      </c>
      <c r="C794" s="12" t="s">
        <v>806</v>
      </c>
      <c r="D794" s="13">
        <v>59024.0</v>
      </c>
      <c r="E794" s="4">
        <v>45347.0</v>
      </c>
      <c r="F794" s="4" t="str">
        <f>IF(D794="","", IFNA(VLOOKUP(D794, SATCAT_DECAY!A:B, 2, FALSE), ""))
</f>
        <v/>
      </c>
      <c r="G794" s="3" t="str">
        <f t="shared" si="1"/>
        <v>ACTIVE</v>
      </c>
    </row>
    <row r="795" ht="22.5" customHeight="1">
      <c r="A795" s="11" t="str">
        <f t="array" ref="A795">IFERROR(
  INDEX('Starlink Launches'!$A:$A, MATCH($E795, 'Starlink Launches'!$B:$B, 0)),
  ""
)
</f>
        <v>6-39</v>
      </c>
      <c r="B795" s="3" t="s">
        <v>25</v>
      </c>
      <c r="C795" s="12" t="s">
        <v>807</v>
      </c>
      <c r="D795" s="13">
        <v>59025.0</v>
      </c>
      <c r="E795" s="4">
        <v>45347.0</v>
      </c>
      <c r="F795" s="4" t="str">
        <f>IF(D795="","", IFNA(VLOOKUP(D795, SATCAT_DECAY!A:B, 2, FALSE), ""))
</f>
        <v/>
      </c>
      <c r="G795" s="3" t="str">
        <f t="shared" si="1"/>
        <v>ACTIVE</v>
      </c>
    </row>
    <row r="796" ht="22.5" customHeight="1">
      <c r="A796" s="11" t="str">
        <f t="array" ref="A796">IFERROR(
  INDEX('Starlink Launches'!$A:$A, MATCH($E796, 'Starlink Launches'!$B:$B, 0)),
  ""
)
</f>
        <v>6-39</v>
      </c>
      <c r="B796" s="3" t="s">
        <v>25</v>
      </c>
      <c r="C796" s="12" t="s">
        <v>808</v>
      </c>
      <c r="D796" s="13">
        <v>59027.0</v>
      </c>
      <c r="E796" s="4">
        <v>45347.0</v>
      </c>
      <c r="F796" s="4" t="str">
        <f>IF(D796="","", IFNA(VLOOKUP(D796, SATCAT_DECAY!A:B, 2, FALSE), ""))
</f>
        <v/>
      </c>
      <c r="G796" s="3" t="str">
        <f t="shared" si="1"/>
        <v>ACTIVE</v>
      </c>
    </row>
    <row r="797" ht="22.5" customHeight="1">
      <c r="A797" s="11" t="str">
        <f t="array" ref="A797">IFERROR(
  INDEX('Starlink Launches'!$A:$A, MATCH($E797, 'Starlink Launches'!$B:$B, 0)),
  ""
)
</f>
        <v>6-39</v>
      </c>
      <c r="B797" s="3" t="s">
        <v>25</v>
      </c>
      <c r="C797" s="12" t="s">
        <v>809</v>
      </c>
      <c r="D797" s="13">
        <v>59028.0</v>
      </c>
      <c r="E797" s="4">
        <v>45347.0</v>
      </c>
      <c r="F797" s="4" t="str">
        <f>IF(D797="","", IFNA(VLOOKUP(D797, SATCAT_DECAY!A:B, 2, FALSE), ""))
</f>
        <v/>
      </c>
      <c r="G797" s="3" t="str">
        <f t="shared" si="1"/>
        <v>ACTIVE</v>
      </c>
    </row>
    <row r="798" ht="22.5" customHeight="1">
      <c r="A798" s="11" t="str">
        <f t="array" ref="A798">IFERROR(
  INDEX('Starlink Launches'!$A:$A, MATCH($E798, 'Starlink Launches'!$B:$B, 0)),
  ""
)
</f>
        <v>6-39</v>
      </c>
      <c r="B798" s="3" t="s">
        <v>25</v>
      </c>
      <c r="C798" s="12" t="s">
        <v>810</v>
      </c>
      <c r="D798" s="13">
        <v>59029.0</v>
      </c>
      <c r="E798" s="4">
        <v>45347.0</v>
      </c>
      <c r="F798" s="4" t="str">
        <f>IF(D798="","", IFNA(VLOOKUP(D798, SATCAT_DECAY!A:B, 2, FALSE), ""))
</f>
        <v/>
      </c>
      <c r="G798" s="3" t="str">
        <f t="shared" si="1"/>
        <v>ACTIVE</v>
      </c>
    </row>
    <row r="799" ht="22.5" customHeight="1">
      <c r="A799" s="11" t="str">
        <f t="array" ref="A799">IFERROR(
  INDEX('Starlink Launches'!$A:$A, MATCH($E799, 'Starlink Launches'!$B:$B, 0)),
  ""
)
</f>
        <v>6-39</v>
      </c>
      <c r="B799" s="3" t="s">
        <v>25</v>
      </c>
      <c r="C799" s="12" t="s">
        <v>811</v>
      </c>
      <c r="D799" s="13">
        <v>59030.0</v>
      </c>
      <c r="E799" s="4">
        <v>45347.0</v>
      </c>
      <c r="F799" s="4" t="str">
        <f>IF(D799="","", IFNA(VLOOKUP(D799, SATCAT_DECAY!A:B, 2, FALSE), ""))
</f>
        <v/>
      </c>
      <c r="G799" s="3" t="str">
        <f t="shared" si="1"/>
        <v>ACTIVE</v>
      </c>
    </row>
    <row r="800" ht="22.5" customHeight="1">
      <c r="A800" s="11" t="str">
        <f t="array" ref="A800">IFERROR(
  INDEX('Starlink Launches'!$A:$A, MATCH($E800, 'Starlink Launches'!$B:$B, 0)),
  ""
)
</f>
        <v>6-39</v>
      </c>
      <c r="B800" s="3" t="s">
        <v>25</v>
      </c>
      <c r="C800" s="12" t="s">
        <v>812</v>
      </c>
      <c r="D800" s="13">
        <v>59031.0</v>
      </c>
      <c r="E800" s="4">
        <v>45347.0</v>
      </c>
      <c r="F800" s="4" t="str">
        <f>IF(D800="","", IFNA(VLOOKUP(D800, SATCAT_DECAY!A:B, 2, FALSE), ""))
</f>
        <v/>
      </c>
      <c r="G800" s="3" t="str">
        <f t="shared" si="1"/>
        <v>ACTIVE</v>
      </c>
    </row>
    <row r="801" ht="22.5" customHeight="1">
      <c r="A801" s="11" t="str">
        <f t="array" ref="A801">IFERROR(
  INDEX('Starlink Launches'!$A:$A, MATCH($E801, 'Starlink Launches'!$B:$B, 0)),
  ""
)
</f>
        <v>6-39</v>
      </c>
      <c r="B801" s="3" t="s">
        <v>25</v>
      </c>
      <c r="C801" s="12" t="s">
        <v>813</v>
      </c>
      <c r="D801" s="13">
        <v>59032.0</v>
      </c>
      <c r="E801" s="4">
        <v>45347.0</v>
      </c>
      <c r="F801" s="4" t="str">
        <f>IF(D801="","", IFNA(VLOOKUP(D801, SATCAT_DECAY!A:B, 2, FALSE), ""))
</f>
        <v/>
      </c>
      <c r="G801" s="3" t="str">
        <f t="shared" si="1"/>
        <v>ACTIVE</v>
      </c>
    </row>
    <row r="802" ht="22.5" customHeight="1">
      <c r="A802" s="11" t="str">
        <f t="array" ref="A802">IFERROR(
  INDEX('Starlink Launches'!$A:$A, MATCH($E802, 'Starlink Launches'!$B:$B, 0)),
  ""
)
</f>
        <v>6-39</v>
      </c>
      <c r="B802" s="3" t="s">
        <v>25</v>
      </c>
      <c r="C802" s="12" t="s">
        <v>814</v>
      </c>
      <c r="D802" s="13">
        <v>59033.0</v>
      </c>
      <c r="E802" s="4">
        <v>45347.0</v>
      </c>
      <c r="F802" s="4" t="str">
        <f>IF(D802="","", IFNA(VLOOKUP(D802, SATCAT_DECAY!A:B, 2, FALSE), ""))
</f>
        <v/>
      </c>
      <c r="G802" s="3" t="str">
        <f t="shared" si="1"/>
        <v>ACTIVE</v>
      </c>
    </row>
    <row r="803" ht="22.5" customHeight="1">
      <c r="A803" s="11" t="str">
        <f t="array" ref="A803">IFERROR(
  INDEX('Starlink Launches'!$A:$A, MATCH($E803, 'Starlink Launches'!$B:$B, 0)),
  ""
)
</f>
        <v>6-39</v>
      </c>
      <c r="B803" s="3" t="s">
        <v>25</v>
      </c>
      <c r="C803" s="12" t="s">
        <v>815</v>
      </c>
      <c r="D803" s="13">
        <v>59034.0</v>
      </c>
      <c r="E803" s="4">
        <v>45347.0</v>
      </c>
      <c r="F803" s="4" t="str">
        <f>IF(D803="","", IFNA(VLOOKUP(D803, SATCAT_DECAY!A:B, 2, FALSE), ""))
</f>
        <v/>
      </c>
      <c r="G803" s="3" t="str">
        <f t="shared" si="1"/>
        <v>ACTIVE</v>
      </c>
    </row>
    <row r="804" ht="22.5" customHeight="1">
      <c r="A804" s="11" t="str">
        <f t="array" ref="A804">IFERROR(
  INDEX('Starlink Launches'!$A:$A, MATCH($E804, 'Starlink Launches'!$B:$B, 0)),
  ""
)
</f>
        <v>6-39</v>
      </c>
      <c r="B804" s="3" t="s">
        <v>25</v>
      </c>
      <c r="C804" s="12" t="s">
        <v>816</v>
      </c>
      <c r="D804" s="13">
        <v>59035.0</v>
      </c>
      <c r="E804" s="4">
        <v>45347.0</v>
      </c>
      <c r="F804" s="4" t="str">
        <f>IF(D804="","", IFNA(VLOOKUP(D804, SATCAT_DECAY!A:B, 2, FALSE), ""))
</f>
        <v/>
      </c>
      <c r="G804" s="3" t="str">
        <f t="shared" si="1"/>
        <v>ACTIVE</v>
      </c>
    </row>
    <row r="805" ht="22.5" customHeight="1">
      <c r="A805" s="11" t="str">
        <f t="array" ref="A805">IFERROR(
  INDEX('Starlink Launches'!$A:$A, MATCH($E805, 'Starlink Launches'!$B:$B, 0)),
  ""
)
</f>
        <v>6-39</v>
      </c>
      <c r="B805" s="3" t="s">
        <v>25</v>
      </c>
      <c r="C805" s="12" t="s">
        <v>817</v>
      </c>
      <c r="D805" s="13">
        <v>59036.0</v>
      </c>
      <c r="E805" s="4">
        <v>45347.0</v>
      </c>
      <c r="F805" s="4" t="str">
        <f>IF(D805="","", IFNA(VLOOKUP(D805, SATCAT_DECAY!A:B, 2, FALSE), ""))
</f>
        <v/>
      </c>
      <c r="G805" s="3" t="str">
        <f t="shared" si="1"/>
        <v>ACTIVE</v>
      </c>
    </row>
    <row r="806" ht="22.5" customHeight="1">
      <c r="A806" s="11" t="str">
        <f t="array" ref="A806">IFERROR(
  INDEX('Starlink Launches'!$A:$A, MATCH($E806, 'Starlink Launches'!$B:$B, 0)),
  ""
)
</f>
        <v>6-39</v>
      </c>
      <c r="B806" s="3" t="s">
        <v>25</v>
      </c>
      <c r="C806" s="12" t="s">
        <v>818</v>
      </c>
      <c r="D806" s="13">
        <v>59037.0</v>
      </c>
      <c r="E806" s="4">
        <v>45347.0</v>
      </c>
      <c r="F806" s="4" t="str">
        <f>IF(D806="","", IFNA(VLOOKUP(D806, SATCAT_DECAY!A:B, 2, FALSE), ""))
</f>
        <v/>
      </c>
      <c r="G806" s="3" t="str">
        <f t="shared" si="1"/>
        <v>ACTIVE</v>
      </c>
    </row>
    <row r="807" ht="22.5" customHeight="1">
      <c r="A807" s="11" t="str">
        <f t="array" ref="A807">IFERROR(
  INDEX('Starlink Launches'!$A:$A, MATCH($E807, 'Starlink Launches'!$B:$B, 0)),
  ""
)
</f>
        <v>6-39</v>
      </c>
      <c r="B807" s="3" t="s">
        <v>25</v>
      </c>
      <c r="C807" s="12" t="s">
        <v>819</v>
      </c>
      <c r="D807" s="13">
        <v>59038.0</v>
      </c>
      <c r="E807" s="4">
        <v>45347.0</v>
      </c>
      <c r="F807" s="4" t="str">
        <f>IF(D807="","", IFNA(VLOOKUP(D807, SATCAT_DECAY!A:B, 2, FALSE), ""))
</f>
        <v/>
      </c>
      <c r="G807" s="3" t="str">
        <f t="shared" si="1"/>
        <v>ACTIVE</v>
      </c>
    </row>
    <row r="808" ht="22.5" customHeight="1">
      <c r="A808" s="11" t="str">
        <f t="array" ref="A808">IFERROR(
  INDEX('Starlink Launches'!$A:$A, MATCH($E808, 'Starlink Launches'!$B:$B, 0)),
  ""
)
</f>
        <v>6-39</v>
      </c>
      <c r="B808" s="3" t="s">
        <v>25</v>
      </c>
      <c r="C808" s="12" t="s">
        <v>820</v>
      </c>
      <c r="D808" s="13">
        <v>59039.0</v>
      </c>
      <c r="E808" s="4">
        <v>45347.0</v>
      </c>
      <c r="F808" s="4" t="str">
        <f>IF(D808="","", IFNA(VLOOKUP(D808, SATCAT_DECAY!A:B, 2, FALSE), ""))
</f>
        <v/>
      </c>
      <c r="G808" s="3" t="str">
        <f t="shared" si="1"/>
        <v>ACTIVE</v>
      </c>
    </row>
    <row r="809" ht="22.5" customHeight="1">
      <c r="A809" s="11" t="str">
        <f t="array" ref="A809">IFERROR(
  INDEX('Starlink Launches'!$A:$A, MATCH($E809, 'Starlink Launches'!$B:$B, 0)),
  ""
)
</f>
        <v>6-39</v>
      </c>
      <c r="B809" s="3" t="s">
        <v>25</v>
      </c>
      <c r="C809" s="12" t="s">
        <v>821</v>
      </c>
      <c r="D809" s="13">
        <v>59040.0</v>
      </c>
      <c r="E809" s="4">
        <v>45347.0</v>
      </c>
      <c r="F809" s="4" t="str">
        <f>IF(D809="","", IFNA(VLOOKUP(D809, SATCAT_DECAY!A:B, 2, FALSE), ""))
</f>
        <v/>
      </c>
      <c r="G809" s="3" t="str">
        <f t="shared" si="1"/>
        <v>ACTIVE</v>
      </c>
    </row>
    <row r="810" ht="22.5" customHeight="1">
      <c r="A810" s="11" t="str">
        <f t="array" ref="A810">IFERROR(
  INDEX('Starlink Launches'!$A:$A, MATCH($E810, 'Starlink Launches'!$B:$B, 0)),
  ""
)
</f>
        <v>6-39</v>
      </c>
      <c r="B810" s="3" t="s">
        <v>25</v>
      </c>
      <c r="C810" s="12" t="s">
        <v>822</v>
      </c>
      <c r="D810" s="13">
        <v>59041.0</v>
      </c>
      <c r="E810" s="4">
        <v>45347.0</v>
      </c>
      <c r="F810" s="4" t="str">
        <f>IF(D810="","", IFNA(VLOOKUP(D810, SATCAT_DECAY!A:B, 2, FALSE), ""))
</f>
        <v/>
      </c>
      <c r="G810" s="3" t="str">
        <f t="shared" si="1"/>
        <v>ACTIVE</v>
      </c>
    </row>
    <row r="811" ht="22.5" customHeight="1">
      <c r="A811" s="11" t="str">
        <f t="array" ref="A811">IFERROR(
  INDEX('Starlink Launches'!$A:$A, MATCH($E811, 'Starlink Launches'!$B:$B, 0)),
  ""
)
</f>
        <v>6-39</v>
      </c>
      <c r="B811" s="3" t="s">
        <v>25</v>
      </c>
      <c r="C811" s="12" t="s">
        <v>823</v>
      </c>
      <c r="D811" s="13">
        <v>59042.0</v>
      </c>
      <c r="E811" s="4">
        <v>45347.0</v>
      </c>
      <c r="F811" s="4" t="str">
        <f>IF(D811="","", IFNA(VLOOKUP(D811, SATCAT_DECAY!A:B, 2, FALSE), ""))
</f>
        <v/>
      </c>
      <c r="G811" s="3" t="str">
        <f t="shared" si="1"/>
        <v>ACTIVE</v>
      </c>
    </row>
    <row r="812" ht="22.5" customHeight="1">
      <c r="A812" s="11" t="str">
        <f t="array" ref="A812">IFERROR(
  INDEX('Starlink Launches'!$A:$A, MATCH($E812, 'Starlink Launches'!$B:$B, 0)),
  ""
)
</f>
        <v>6-39</v>
      </c>
      <c r="B812" s="3" t="s">
        <v>25</v>
      </c>
      <c r="C812" s="12" t="s">
        <v>824</v>
      </c>
      <c r="D812" s="13">
        <v>59043.0</v>
      </c>
      <c r="E812" s="4">
        <v>45347.0</v>
      </c>
      <c r="F812" s="4" t="str">
        <f>IF(D812="","", IFNA(VLOOKUP(D812, SATCAT_DECAY!A:B, 2, FALSE), ""))
</f>
        <v/>
      </c>
      <c r="G812" s="3" t="str">
        <f t="shared" si="1"/>
        <v>ACTIVE</v>
      </c>
    </row>
    <row r="813" ht="22.5" customHeight="1">
      <c r="A813" s="11" t="str">
        <f t="array" ref="A813">IFERROR(
  INDEX('Starlink Launches'!$A:$A, MATCH($E813, 'Starlink Launches'!$B:$B, 0)),
  ""
)
</f>
        <v>6-39</v>
      </c>
      <c r="B813" s="3" t="s">
        <v>25</v>
      </c>
      <c r="C813" s="12" t="s">
        <v>825</v>
      </c>
      <c r="D813" s="13">
        <v>59044.0</v>
      </c>
      <c r="E813" s="4">
        <v>45347.0</v>
      </c>
      <c r="F813" s="4" t="str">
        <f>IF(D813="","", IFNA(VLOOKUP(D813, SATCAT_DECAY!A:B, 2, FALSE), ""))
</f>
        <v/>
      </c>
      <c r="G813" s="3" t="str">
        <f t="shared" si="1"/>
        <v>ACTIVE</v>
      </c>
    </row>
    <row r="814" ht="22.5" customHeight="1">
      <c r="A814" s="11" t="str">
        <f t="array" ref="A814">IFERROR(
  INDEX('Starlink Launches'!$A:$A, MATCH($E814, 'Starlink Launches'!$B:$B, 0)),
  ""
)
</f>
        <v>6-39</v>
      </c>
      <c r="B814" s="3" t="s">
        <v>25</v>
      </c>
      <c r="C814" s="12" t="s">
        <v>826</v>
      </c>
      <c r="D814" s="13">
        <v>59045.0</v>
      </c>
      <c r="E814" s="4">
        <v>45347.0</v>
      </c>
      <c r="F814" s="4" t="str">
        <f>IF(D814="","", IFNA(VLOOKUP(D814, SATCAT_DECAY!A:B, 2, FALSE), ""))
</f>
        <v/>
      </c>
      <c r="G814" s="3" t="str">
        <f t="shared" si="1"/>
        <v>ACTIVE</v>
      </c>
    </row>
    <row r="815" ht="22.5" customHeight="1">
      <c r="A815" s="11" t="str">
        <f t="array" ref="A815">IFERROR(
  INDEX('Starlink Launches'!$A:$A, MATCH($E815, 'Starlink Launches'!$B:$B, 0)),
  ""
)
</f>
        <v>6-39</v>
      </c>
      <c r="B815" s="3" t="s">
        <v>25</v>
      </c>
      <c r="C815" s="12" t="s">
        <v>827</v>
      </c>
      <c r="D815" s="13">
        <v>59046.0</v>
      </c>
      <c r="E815" s="4">
        <v>45347.0</v>
      </c>
      <c r="F815" s="4" t="str">
        <f>IF(D815="","", IFNA(VLOOKUP(D815, SATCAT_DECAY!A:B, 2, FALSE), ""))
</f>
        <v/>
      </c>
      <c r="G815" s="3" t="str">
        <f t="shared" si="1"/>
        <v>ACTIVE</v>
      </c>
    </row>
    <row r="816" ht="22.5" customHeight="1">
      <c r="A816" s="11" t="str">
        <f t="array" ref="A816">IFERROR(
  INDEX('Starlink Launches'!$A:$A, MATCH($E816, 'Starlink Launches'!$B:$B, 0)),
  ""
)
</f>
        <v>6-40</v>
      </c>
      <c r="B816" s="3" t="s">
        <v>25</v>
      </c>
      <c r="C816" s="12" t="s">
        <v>828</v>
      </c>
      <c r="D816" s="13">
        <v>59074.0</v>
      </c>
      <c r="E816" s="4">
        <v>45351.0</v>
      </c>
      <c r="F816" s="4" t="str">
        <f>IF(D816="","", IFNA(VLOOKUP(D816, SATCAT_DECAY!A:B, 2, FALSE), ""))
</f>
        <v/>
      </c>
      <c r="G816" s="3" t="str">
        <f t="shared" si="1"/>
        <v>ACTIVE</v>
      </c>
    </row>
    <row r="817" ht="22.5" customHeight="1">
      <c r="A817" s="11" t="str">
        <f t="array" ref="A817">IFERROR(
  INDEX('Starlink Launches'!$A:$A, MATCH($E817, 'Starlink Launches'!$B:$B, 0)),
  ""
)
</f>
        <v>6-40</v>
      </c>
      <c r="B817" s="3" t="s">
        <v>25</v>
      </c>
      <c r="C817" s="12" t="s">
        <v>829</v>
      </c>
      <c r="D817" s="13">
        <v>59075.0</v>
      </c>
      <c r="E817" s="4">
        <v>45351.0</v>
      </c>
      <c r="F817" s="4" t="str">
        <f>IF(D817="","", IFNA(VLOOKUP(D817, SATCAT_DECAY!A:B, 2, FALSE), ""))
</f>
        <v/>
      </c>
      <c r="G817" s="3" t="str">
        <f t="shared" si="1"/>
        <v>ACTIVE</v>
      </c>
    </row>
    <row r="818" ht="22.5" customHeight="1">
      <c r="A818" s="11" t="str">
        <f t="array" ref="A818">IFERROR(
  INDEX('Starlink Launches'!$A:$A, MATCH($E818, 'Starlink Launches'!$B:$B, 0)),
  ""
)
</f>
        <v>6-40</v>
      </c>
      <c r="B818" s="3" t="s">
        <v>25</v>
      </c>
      <c r="C818" s="12" t="s">
        <v>830</v>
      </c>
      <c r="D818" s="13">
        <v>59076.0</v>
      </c>
      <c r="E818" s="4">
        <v>45351.0</v>
      </c>
      <c r="F818" s="4" t="str">
        <f>IF(D818="","", IFNA(VLOOKUP(D818, SATCAT_DECAY!A:B, 2, FALSE), ""))
</f>
        <v/>
      </c>
      <c r="G818" s="3" t="str">
        <f t="shared" si="1"/>
        <v>ACTIVE</v>
      </c>
    </row>
    <row r="819" ht="22.5" customHeight="1">
      <c r="A819" s="11" t="str">
        <f t="array" ref="A819">IFERROR(
  INDEX('Starlink Launches'!$A:$A, MATCH($E819, 'Starlink Launches'!$B:$B, 0)),
  ""
)
</f>
        <v>6-40</v>
      </c>
      <c r="B819" s="3" t="s">
        <v>25</v>
      </c>
      <c r="C819" s="12" t="s">
        <v>831</v>
      </c>
      <c r="D819" s="13">
        <v>59077.0</v>
      </c>
      <c r="E819" s="4">
        <v>45351.0</v>
      </c>
      <c r="F819" s="4" t="str">
        <f>IF(D819="","", IFNA(VLOOKUP(D819, SATCAT_DECAY!A:B, 2, FALSE), ""))
</f>
        <v/>
      </c>
      <c r="G819" s="3" t="str">
        <f t="shared" si="1"/>
        <v>ACTIVE</v>
      </c>
    </row>
    <row r="820" ht="22.5" customHeight="1">
      <c r="A820" s="11" t="str">
        <f t="array" ref="A820">IFERROR(
  INDEX('Starlink Launches'!$A:$A, MATCH($E820, 'Starlink Launches'!$B:$B, 0)),
  ""
)
</f>
        <v>6-40</v>
      </c>
      <c r="B820" s="3" t="s">
        <v>25</v>
      </c>
      <c r="C820" s="12" t="s">
        <v>832</v>
      </c>
      <c r="D820" s="13">
        <v>59078.0</v>
      </c>
      <c r="E820" s="4">
        <v>45351.0</v>
      </c>
      <c r="F820" s="4" t="str">
        <f>IF(D820="","", IFNA(VLOOKUP(D820, SATCAT_DECAY!A:B, 2, FALSE), ""))
</f>
        <v/>
      </c>
      <c r="G820" s="3" t="str">
        <f t="shared" si="1"/>
        <v>ACTIVE</v>
      </c>
    </row>
    <row r="821" ht="22.5" customHeight="1">
      <c r="A821" s="11" t="str">
        <f t="array" ref="A821">IFERROR(
  INDEX('Starlink Launches'!$A:$A, MATCH($E821, 'Starlink Launches'!$B:$B, 0)),
  ""
)
</f>
        <v>6-40</v>
      </c>
      <c r="B821" s="3" t="s">
        <v>25</v>
      </c>
      <c r="C821" s="12" t="s">
        <v>833</v>
      </c>
      <c r="D821" s="13">
        <v>59079.0</v>
      </c>
      <c r="E821" s="4">
        <v>45351.0</v>
      </c>
      <c r="F821" s="4" t="str">
        <f>IF(D821="","", IFNA(VLOOKUP(D821, SATCAT_DECAY!A:B, 2, FALSE), ""))
</f>
        <v/>
      </c>
      <c r="G821" s="3" t="str">
        <f t="shared" si="1"/>
        <v>ACTIVE</v>
      </c>
    </row>
    <row r="822" ht="22.5" customHeight="1">
      <c r="A822" s="11" t="str">
        <f t="array" ref="A822">IFERROR(
  INDEX('Starlink Launches'!$A:$A, MATCH($E822, 'Starlink Launches'!$B:$B, 0)),
  ""
)
</f>
        <v>6-40</v>
      </c>
      <c r="B822" s="3" t="s">
        <v>25</v>
      </c>
      <c r="C822" s="12" t="s">
        <v>834</v>
      </c>
      <c r="D822" s="13">
        <v>59080.0</v>
      </c>
      <c r="E822" s="4">
        <v>45351.0</v>
      </c>
      <c r="F822" s="4" t="str">
        <f>IF(D822="","", IFNA(VLOOKUP(D822, SATCAT_DECAY!A:B, 2, FALSE), ""))
</f>
        <v/>
      </c>
      <c r="G822" s="3" t="str">
        <f t="shared" si="1"/>
        <v>ACTIVE</v>
      </c>
    </row>
    <row r="823" ht="22.5" customHeight="1">
      <c r="A823" s="11" t="str">
        <f t="array" ref="A823">IFERROR(
  INDEX('Starlink Launches'!$A:$A, MATCH($E823, 'Starlink Launches'!$B:$B, 0)),
  ""
)
</f>
        <v>6-40</v>
      </c>
      <c r="B823" s="3" t="s">
        <v>25</v>
      </c>
      <c r="C823" s="12" t="s">
        <v>835</v>
      </c>
      <c r="D823" s="13">
        <v>59081.0</v>
      </c>
      <c r="E823" s="4">
        <v>45351.0</v>
      </c>
      <c r="F823" s="4" t="str">
        <f>IF(D823="","", IFNA(VLOOKUP(D823, SATCAT_DECAY!A:B, 2, FALSE), ""))
</f>
        <v/>
      </c>
      <c r="G823" s="3" t="str">
        <f t="shared" si="1"/>
        <v>ACTIVE</v>
      </c>
    </row>
    <row r="824" ht="22.5" customHeight="1">
      <c r="A824" s="11" t="str">
        <f t="array" ref="A824">IFERROR(
  INDEX('Starlink Launches'!$A:$A, MATCH($E824, 'Starlink Launches'!$B:$B, 0)),
  ""
)
</f>
        <v>6-40</v>
      </c>
      <c r="B824" s="3" t="s">
        <v>25</v>
      </c>
      <c r="C824" s="12" t="s">
        <v>836</v>
      </c>
      <c r="D824" s="13">
        <v>59082.0</v>
      </c>
      <c r="E824" s="4">
        <v>45351.0</v>
      </c>
      <c r="F824" s="4" t="str">
        <f>IF(D824="","", IFNA(VLOOKUP(D824, SATCAT_DECAY!A:B, 2, FALSE), ""))
</f>
        <v/>
      </c>
      <c r="G824" s="3" t="str">
        <f t="shared" si="1"/>
        <v>ACTIVE</v>
      </c>
    </row>
    <row r="825" ht="22.5" customHeight="1">
      <c r="A825" s="11" t="str">
        <f t="array" ref="A825">IFERROR(
  INDEX('Starlink Launches'!$A:$A, MATCH($E825, 'Starlink Launches'!$B:$B, 0)),
  ""
)
</f>
        <v>6-40</v>
      </c>
      <c r="B825" s="3" t="s">
        <v>25</v>
      </c>
      <c r="C825" s="12" t="s">
        <v>837</v>
      </c>
      <c r="D825" s="13">
        <v>59083.0</v>
      </c>
      <c r="E825" s="4">
        <v>45351.0</v>
      </c>
      <c r="F825" s="4" t="str">
        <f>IF(D825="","", IFNA(VLOOKUP(D825, SATCAT_DECAY!A:B, 2, FALSE), ""))
</f>
        <v/>
      </c>
      <c r="G825" s="3" t="str">
        <f t="shared" si="1"/>
        <v>ACTIVE</v>
      </c>
    </row>
    <row r="826" ht="22.5" customHeight="1">
      <c r="A826" s="11" t="str">
        <f t="array" ref="A826">IFERROR(
  INDEX('Starlink Launches'!$A:$A, MATCH($E826, 'Starlink Launches'!$B:$B, 0)),
  ""
)
</f>
        <v>6-40</v>
      </c>
      <c r="B826" s="3" t="s">
        <v>25</v>
      </c>
      <c r="C826" s="12" t="s">
        <v>838</v>
      </c>
      <c r="D826" s="13">
        <v>59084.0</v>
      </c>
      <c r="E826" s="4">
        <v>45351.0</v>
      </c>
      <c r="F826" s="4" t="str">
        <f>IF(D826="","", IFNA(VLOOKUP(D826, SATCAT_DECAY!A:B, 2, FALSE), ""))
</f>
        <v/>
      </c>
      <c r="G826" s="3" t="str">
        <f t="shared" si="1"/>
        <v>ACTIVE</v>
      </c>
    </row>
    <row r="827" ht="22.5" customHeight="1">
      <c r="A827" s="11" t="str">
        <f t="array" ref="A827">IFERROR(
  INDEX('Starlink Launches'!$A:$A, MATCH($E827, 'Starlink Launches'!$B:$B, 0)),
  ""
)
</f>
        <v>6-40</v>
      </c>
      <c r="B827" s="3" t="s">
        <v>25</v>
      </c>
      <c r="C827" s="12" t="s">
        <v>839</v>
      </c>
      <c r="D827" s="13">
        <v>59085.0</v>
      </c>
      <c r="E827" s="4">
        <v>45351.0</v>
      </c>
      <c r="F827" s="4" t="str">
        <f>IF(D827="","", IFNA(VLOOKUP(D827, SATCAT_DECAY!A:B, 2, FALSE), ""))
</f>
        <v/>
      </c>
      <c r="G827" s="3" t="str">
        <f t="shared" si="1"/>
        <v>ACTIVE</v>
      </c>
    </row>
    <row r="828" ht="22.5" customHeight="1">
      <c r="A828" s="11" t="str">
        <f t="array" ref="A828">IFERROR(
  INDEX('Starlink Launches'!$A:$A, MATCH($E828, 'Starlink Launches'!$B:$B, 0)),
  ""
)
</f>
        <v>6-40</v>
      </c>
      <c r="B828" s="3" t="s">
        <v>25</v>
      </c>
      <c r="C828" s="12" t="s">
        <v>840</v>
      </c>
      <c r="D828" s="13">
        <v>59086.0</v>
      </c>
      <c r="E828" s="4">
        <v>45351.0</v>
      </c>
      <c r="F828" s="4" t="str">
        <f>IF(D828="","", IFNA(VLOOKUP(D828, SATCAT_DECAY!A:B, 2, FALSE), ""))
</f>
        <v/>
      </c>
      <c r="G828" s="3" t="str">
        <f t="shared" si="1"/>
        <v>ACTIVE</v>
      </c>
    </row>
    <row r="829" ht="22.5" customHeight="1">
      <c r="A829" s="11" t="str">
        <f t="array" ref="A829">IFERROR(
  INDEX('Starlink Launches'!$A:$A, MATCH($E829, 'Starlink Launches'!$B:$B, 0)),
  ""
)
</f>
        <v>6-40</v>
      </c>
      <c r="B829" s="3" t="s">
        <v>25</v>
      </c>
      <c r="C829" s="12" t="s">
        <v>841</v>
      </c>
      <c r="D829" s="13">
        <v>59087.0</v>
      </c>
      <c r="E829" s="4">
        <v>45351.0</v>
      </c>
      <c r="F829" s="4" t="str">
        <f>IF(D829="","", IFNA(VLOOKUP(D829, SATCAT_DECAY!A:B, 2, FALSE), ""))
</f>
        <v/>
      </c>
      <c r="G829" s="3" t="str">
        <f t="shared" si="1"/>
        <v>ACTIVE</v>
      </c>
    </row>
    <row r="830" ht="22.5" customHeight="1">
      <c r="A830" s="11" t="str">
        <f t="array" ref="A830">IFERROR(
  INDEX('Starlink Launches'!$A:$A, MATCH($E830, 'Starlink Launches'!$B:$B, 0)),
  ""
)
</f>
        <v>6-40</v>
      </c>
      <c r="B830" s="3" t="s">
        <v>25</v>
      </c>
      <c r="C830" s="12" t="s">
        <v>842</v>
      </c>
      <c r="D830" s="13">
        <v>59088.0</v>
      </c>
      <c r="E830" s="4">
        <v>45351.0</v>
      </c>
      <c r="F830" s="4" t="str">
        <f>IF(D830="","", IFNA(VLOOKUP(D830, SATCAT_DECAY!A:B, 2, FALSE), ""))
</f>
        <v/>
      </c>
      <c r="G830" s="3" t="str">
        <f t="shared" si="1"/>
        <v>ACTIVE</v>
      </c>
    </row>
    <row r="831" ht="22.5" customHeight="1">
      <c r="A831" s="11" t="str">
        <f t="array" ref="A831">IFERROR(
  INDEX('Starlink Launches'!$A:$A, MATCH($E831, 'Starlink Launches'!$B:$B, 0)),
  ""
)
</f>
        <v>6-40</v>
      </c>
      <c r="B831" s="3" t="s">
        <v>25</v>
      </c>
      <c r="C831" s="12" t="s">
        <v>843</v>
      </c>
      <c r="D831" s="13">
        <v>59089.0</v>
      </c>
      <c r="E831" s="4">
        <v>45351.0</v>
      </c>
      <c r="F831" s="4" t="str">
        <f>IF(D831="","", IFNA(VLOOKUP(D831, SATCAT_DECAY!A:B, 2, FALSE), ""))
</f>
        <v/>
      </c>
      <c r="G831" s="3" t="str">
        <f t="shared" si="1"/>
        <v>ACTIVE</v>
      </c>
    </row>
    <row r="832" ht="22.5" customHeight="1">
      <c r="A832" s="11" t="str">
        <f t="array" ref="A832">IFERROR(
  INDEX('Starlink Launches'!$A:$A, MATCH($E832, 'Starlink Launches'!$B:$B, 0)),
  ""
)
</f>
        <v>6-40</v>
      </c>
      <c r="B832" s="3" t="s">
        <v>25</v>
      </c>
      <c r="C832" s="12" t="s">
        <v>844</v>
      </c>
      <c r="D832" s="13">
        <v>59090.0</v>
      </c>
      <c r="E832" s="4">
        <v>45351.0</v>
      </c>
      <c r="F832" s="4" t="str">
        <f>IF(D832="","", IFNA(VLOOKUP(D832, SATCAT_DECAY!A:B, 2, FALSE), ""))
</f>
        <v/>
      </c>
      <c r="G832" s="3" t="str">
        <f t="shared" si="1"/>
        <v>ACTIVE</v>
      </c>
    </row>
    <row r="833" ht="22.5" hidden="1" customHeight="1">
      <c r="A833" s="11" t="str">
        <f t="array" ref="A833">IFERROR(
  INDEX('Starlink Launches'!$A:$A, MATCH($E833, 'Starlink Launches'!$B:$B, 0)),
  ""
)
</f>
        <v>6-40</v>
      </c>
      <c r="B833" s="3" t="s">
        <v>25</v>
      </c>
      <c r="C833" s="12" t="s">
        <v>845</v>
      </c>
      <c r="D833" s="13">
        <v>59091.0</v>
      </c>
      <c r="E833" s="4">
        <v>45351.0</v>
      </c>
      <c r="F833" s="4">
        <f>IF(D833="","", IFNA(VLOOKUP(D833, SATCAT_DECAY!A:B, 2, FALSE), ""))
</f>
        <v>45387</v>
      </c>
      <c r="G833" s="3" t="str">
        <f t="shared" si="1"/>
        <v>DECAYED</v>
      </c>
    </row>
    <row r="834" ht="22.5" customHeight="1">
      <c r="A834" s="11" t="str">
        <f t="array" ref="A834">IFERROR(
  INDEX('Starlink Launches'!$A:$A, MATCH($E834, 'Starlink Launches'!$B:$B, 0)),
  ""
)
</f>
        <v>6-40</v>
      </c>
      <c r="B834" s="3" t="s">
        <v>25</v>
      </c>
      <c r="C834" s="12" t="s">
        <v>846</v>
      </c>
      <c r="D834" s="13">
        <v>59092.0</v>
      </c>
      <c r="E834" s="4">
        <v>45351.0</v>
      </c>
      <c r="F834" s="4" t="str">
        <f>IF(D834="","", IFNA(VLOOKUP(D834, SATCAT_DECAY!A:B, 2, FALSE), ""))
</f>
        <v/>
      </c>
      <c r="G834" s="3" t="str">
        <f t="shared" si="1"/>
        <v>ACTIVE</v>
      </c>
    </row>
    <row r="835" ht="22.5" customHeight="1">
      <c r="A835" s="11" t="str">
        <f t="array" ref="A835">IFERROR(
  INDEX('Starlink Launches'!$A:$A, MATCH($E835, 'Starlink Launches'!$B:$B, 0)),
  ""
)
</f>
        <v>6-40</v>
      </c>
      <c r="B835" s="3" t="s">
        <v>25</v>
      </c>
      <c r="C835" s="12" t="s">
        <v>847</v>
      </c>
      <c r="D835" s="13">
        <v>59093.0</v>
      </c>
      <c r="E835" s="4">
        <v>45351.0</v>
      </c>
      <c r="F835" s="4" t="str">
        <f>IF(D835="","", IFNA(VLOOKUP(D835, SATCAT_DECAY!A:B, 2, FALSE), ""))
</f>
        <v/>
      </c>
      <c r="G835" s="3" t="str">
        <f t="shared" si="1"/>
        <v>ACTIVE</v>
      </c>
    </row>
    <row r="836" ht="22.5" hidden="1" customHeight="1">
      <c r="A836" s="11" t="str">
        <f t="array" ref="A836">IFERROR(
  INDEX('Starlink Launches'!$A:$A, MATCH($E836, 'Starlink Launches'!$B:$B, 0)),
  ""
)
</f>
        <v>6-40</v>
      </c>
      <c r="B836" s="3" t="s">
        <v>25</v>
      </c>
      <c r="C836" s="12" t="s">
        <v>848</v>
      </c>
      <c r="D836" s="13">
        <v>59094.0</v>
      </c>
      <c r="E836" s="4">
        <v>45351.0</v>
      </c>
      <c r="F836" s="4">
        <f>IF(D836="","", IFNA(VLOOKUP(D836, SATCAT_DECAY!A:B, 2, FALSE), ""))
</f>
        <v>45535</v>
      </c>
      <c r="G836" s="3" t="str">
        <f t="shared" si="1"/>
        <v>DECAYED</v>
      </c>
    </row>
    <row r="837" ht="22.5" customHeight="1">
      <c r="A837" s="11" t="str">
        <f t="array" ref="A837">IFERROR(
  INDEX('Starlink Launches'!$A:$A, MATCH($E837, 'Starlink Launches'!$B:$B, 0)),
  ""
)
</f>
        <v>6-40</v>
      </c>
      <c r="B837" s="3" t="s">
        <v>25</v>
      </c>
      <c r="C837" s="12" t="s">
        <v>849</v>
      </c>
      <c r="D837" s="13">
        <v>59095.0</v>
      </c>
      <c r="E837" s="4">
        <v>45351.0</v>
      </c>
      <c r="F837" s="4" t="str">
        <f>IF(D837="","", IFNA(VLOOKUP(D837, SATCAT_DECAY!A:B, 2, FALSE), ""))
</f>
        <v/>
      </c>
      <c r="G837" s="3" t="str">
        <f t="shared" si="1"/>
        <v>ACTIVE</v>
      </c>
    </row>
    <row r="838" ht="22.5" customHeight="1">
      <c r="A838" s="11" t="str">
        <f t="array" ref="A838">IFERROR(
  INDEX('Starlink Launches'!$A:$A, MATCH($E838, 'Starlink Launches'!$B:$B, 0)),
  ""
)
</f>
        <v>6-40</v>
      </c>
      <c r="B838" s="3" t="s">
        <v>25</v>
      </c>
      <c r="C838" s="12" t="s">
        <v>850</v>
      </c>
      <c r="D838" s="13">
        <v>59096.0</v>
      </c>
      <c r="E838" s="4">
        <v>45351.0</v>
      </c>
      <c r="F838" s="4" t="str">
        <f>IF(D838="","", IFNA(VLOOKUP(D838, SATCAT_DECAY!A:B, 2, FALSE), ""))
</f>
        <v/>
      </c>
      <c r="G838" s="3" t="str">
        <f t="shared" si="1"/>
        <v>ACTIVE</v>
      </c>
    </row>
    <row r="839" ht="22.5" customHeight="1">
      <c r="A839" s="11" t="str">
        <f t="array" ref="A839">IFERROR(
  INDEX('Starlink Launches'!$A:$A, MATCH($E839, 'Starlink Launches'!$B:$B, 0)),
  ""
)
</f>
        <v>6-41</v>
      </c>
      <c r="B839" s="3" t="s">
        <v>25</v>
      </c>
      <c r="C839" s="12" t="s">
        <v>851</v>
      </c>
      <c r="D839" s="13">
        <v>59152.0</v>
      </c>
      <c r="E839" s="4">
        <v>45355.0</v>
      </c>
      <c r="F839" s="4" t="str">
        <f>IF(D839="","", IFNA(VLOOKUP(D839, SATCAT_DECAY!A:B, 2, FALSE), ""))
</f>
        <v/>
      </c>
      <c r="G839" s="3" t="str">
        <f t="shared" si="1"/>
        <v>ACTIVE</v>
      </c>
    </row>
    <row r="840" ht="22.5" customHeight="1">
      <c r="A840" s="11" t="str">
        <f t="array" ref="A840">IFERROR(
  INDEX('Starlink Launches'!$A:$A, MATCH($E840, 'Starlink Launches'!$B:$B, 0)),
  ""
)
</f>
        <v>6-41</v>
      </c>
      <c r="B840" s="3" t="s">
        <v>25</v>
      </c>
      <c r="C840" s="12" t="s">
        <v>852</v>
      </c>
      <c r="D840" s="13">
        <v>59153.0</v>
      </c>
      <c r="E840" s="4">
        <v>45355.0</v>
      </c>
      <c r="F840" s="4" t="str">
        <f>IF(D840="","", IFNA(VLOOKUP(D840, SATCAT_DECAY!A:B, 2, FALSE), ""))
</f>
        <v/>
      </c>
      <c r="G840" s="3" t="str">
        <f t="shared" si="1"/>
        <v>ACTIVE</v>
      </c>
    </row>
    <row r="841" ht="22.5" customHeight="1">
      <c r="A841" s="11" t="str">
        <f t="array" ref="A841">IFERROR(
  INDEX('Starlink Launches'!$A:$A, MATCH($E841, 'Starlink Launches'!$B:$B, 0)),
  ""
)
</f>
        <v>6-41</v>
      </c>
      <c r="B841" s="3" t="s">
        <v>25</v>
      </c>
      <c r="C841" s="12" t="s">
        <v>853</v>
      </c>
      <c r="D841" s="13">
        <v>59154.0</v>
      </c>
      <c r="E841" s="4">
        <v>45355.0</v>
      </c>
      <c r="F841" s="4" t="str">
        <f>IF(D841="","", IFNA(VLOOKUP(D841, SATCAT_DECAY!A:B, 2, FALSE), ""))
</f>
        <v/>
      </c>
      <c r="G841" s="3" t="str">
        <f t="shared" si="1"/>
        <v>ACTIVE</v>
      </c>
    </row>
    <row r="842" ht="22.5" customHeight="1">
      <c r="A842" s="11" t="str">
        <f t="array" ref="A842">IFERROR(
  INDEX('Starlink Launches'!$A:$A, MATCH($E842, 'Starlink Launches'!$B:$B, 0)),
  ""
)
</f>
        <v>6-41</v>
      </c>
      <c r="B842" s="3" t="s">
        <v>25</v>
      </c>
      <c r="C842" s="12" t="s">
        <v>854</v>
      </c>
      <c r="D842" s="13">
        <v>59155.0</v>
      </c>
      <c r="E842" s="4">
        <v>45355.0</v>
      </c>
      <c r="F842" s="4" t="str">
        <f>IF(D842="","", IFNA(VLOOKUP(D842, SATCAT_DECAY!A:B, 2, FALSE), ""))
</f>
        <v/>
      </c>
      <c r="G842" s="3" t="str">
        <f t="shared" si="1"/>
        <v>ACTIVE</v>
      </c>
    </row>
    <row r="843" ht="22.5" customHeight="1">
      <c r="A843" s="11" t="str">
        <f t="array" ref="A843">IFERROR(
  INDEX('Starlink Launches'!$A:$A, MATCH($E843, 'Starlink Launches'!$B:$B, 0)),
  ""
)
</f>
        <v>6-41</v>
      </c>
      <c r="B843" s="3" t="s">
        <v>25</v>
      </c>
      <c r="C843" s="12" t="s">
        <v>855</v>
      </c>
      <c r="D843" s="13">
        <v>59156.0</v>
      </c>
      <c r="E843" s="4">
        <v>45355.0</v>
      </c>
      <c r="F843" s="4" t="str">
        <f>IF(D843="","", IFNA(VLOOKUP(D843, SATCAT_DECAY!A:B, 2, FALSE), ""))
</f>
        <v/>
      </c>
      <c r="G843" s="3" t="str">
        <f t="shared" si="1"/>
        <v>ACTIVE</v>
      </c>
    </row>
    <row r="844" ht="22.5" customHeight="1">
      <c r="A844" s="11" t="str">
        <f t="array" ref="A844">IFERROR(
  INDEX('Starlink Launches'!$A:$A, MATCH($E844, 'Starlink Launches'!$B:$B, 0)),
  ""
)
</f>
        <v>6-41</v>
      </c>
      <c r="B844" s="3" t="s">
        <v>25</v>
      </c>
      <c r="C844" s="12" t="s">
        <v>856</v>
      </c>
      <c r="D844" s="13">
        <v>59157.0</v>
      </c>
      <c r="E844" s="4">
        <v>45355.0</v>
      </c>
      <c r="F844" s="4" t="str">
        <f>IF(D844="","", IFNA(VLOOKUP(D844, SATCAT_DECAY!A:B, 2, FALSE), ""))
</f>
        <v/>
      </c>
      <c r="G844" s="3" t="str">
        <f t="shared" si="1"/>
        <v>ACTIVE</v>
      </c>
    </row>
    <row r="845" ht="22.5" customHeight="1">
      <c r="A845" s="11" t="str">
        <f t="array" ref="A845">IFERROR(
  INDEX('Starlink Launches'!$A:$A, MATCH($E845, 'Starlink Launches'!$B:$B, 0)),
  ""
)
</f>
        <v>6-41</v>
      </c>
      <c r="B845" s="3" t="s">
        <v>25</v>
      </c>
      <c r="C845" s="12" t="s">
        <v>857</v>
      </c>
      <c r="D845" s="13">
        <v>59158.0</v>
      </c>
      <c r="E845" s="4">
        <v>45355.0</v>
      </c>
      <c r="F845" s="4" t="str">
        <f>IF(D845="","", IFNA(VLOOKUP(D845, SATCAT_DECAY!A:B, 2, FALSE), ""))
</f>
        <v/>
      </c>
      <c r="G845" s="3" t="str">
        <f t="shared" si="1"/>
        <v>ACTIVE</v>
      </c>
    </row>
    <row r="846" ht="22.5" customHeight="1">
      <c r="A846" s="11" t="str">
        <f t="array" ref="A846">IFERROR(
  INDEX('Starlink Launches'!$A:$A, MATCH($E846, 'Starlink Launches'!$B:$B, 0)),
  ""
)
</f>
        <v>6-41</v>
      </c>
      <c r="B846" s="3" t="s">
        <v>25</v>
      </c>
      <c r="C846" s="12" t="s">
        <v>858</v>
      </c>
      <c r="D846" s="13">
        <v>59159.0</v>
      </c>
      <c r="E846" s="4">
        <v>45355.0</v>
      </c>
      <c r="F846" s="4" t="str">
        <f>IF(D846="","", IFNA(VLOOKUP(D846, SATCAT_DECAY!A:B, 2, FALSE), ""))
</f>
        <v/>
      </c>
      <c r="G846" s="3" t="str">
        <f t="shared" si="1"/>
        <v>ACTIVE</v>
      </c>
    </row>
    <row r="847" ht="22.5" customHeight="1">
      <c r="A847" s="11" t="str">
        <f t="array" ref="A847">IFERROR(
  INDEX('Starlink Launches'!$A:$A, MATCH($E847, 'Starlink Launches'!$B:$B, 0)),
  ""
)
</f>
        <v>6-41</v>
      </c>
      <c r="B847" s="3" t="s">
        <v>25</v>
      </c>
      <c r="C847" s="12" t="s">
        <v>859</v>
      </c>
      <c r="D847" s="13">
        <v>59160.0</v>
      </c>
      <c r="E847" s="4">
        <v>45355.0</v>
      </c>
      <c r="F847" s="4" t="str">
        <f>IF(D847="","", IFNA(VLOOKUP(D847, SATCAT_DECAY!A:B, 2, FALSE), ""))
</f>
        <v/>
      </c>
      <c r="G847" s="3" t="str">
        <f t="shared" si="1"/>
        <v>ACTIVE</v>
      </c>
    </row>
    <row r="848" ht="22.5" customHeight="1">
      <c r="A848" s="11" t="str">
        <f t="array" ref="A848">IFERROR(
  INDEX('Starlink Launches'!$A:$A, MATCH($E848, 'Starlink Launches'!$B:$B, 0)),
  ""
)
</f>
        <v>6-41</v>
      </c>
      <c r="B848" s="3" t="s">
        <v>25</v>
      </c>
      <c r="C848" s="12" t="s">
        <v>860</v>
      </c>
      <c r="D848" s="13">
        <v>59161.0</v>
      </c>
      <c r="E848" s="4">
        <v>45355.0</v>
      </c>
      <c r="F848" s="4" t="str">
        <f>IF(D848="","", IFNA(VLOOKUP(D848, SATCAT_DECAY!A:B, 2, FALSE), ""))
</f>
        <v/>
      </c>
      <c r="G848" s="3" t="str">
        <f t="shared" si="1"/>
        <v>ACTIVE</v>
      </c>
    </row>
    <row r="849" ht="22.5" customHeight="1">
      <c r="A849" s="11" t="str">
        <f t="array" ref="A849">IFERROR(
  INDEX('Starlink Launches'!$A:$A, MATCH($E849, 'Starlink Launches'!$B:$B, 0)),
  ""
)
</f>
        <v>6-41</v>
      </c>
      <c r="B849" s="3" t="s">
        <v>25</v>
      </c>
      <c r="C849" s="12" t="s">
        <v>861</v>
      </c>
      <c r="D849" s="13">
        <v>59162.0</v>
      </c>
      <c r="E849" s="4">
        <v>45355.0</v>
      </c>
      <c r="F849" s="4" t="str">
        <f>IF(D849="","", IFNA(VLOOKUP(D849, SATCAT_DECAY!A:B, 2, FALSE), ""))
</f>
        <v/>
      </c>
      <c r="G849" s="3" t="str">
        <f t="shared" si="1"/>
        <v>ACTIVE</v>
      </c>
    </row>
    <row r="850" ht="22.5" customHeight="1">
      <c r="A850" s="11" t="str">
        <f t="array" ref="A850">IFERROR(
  INDEX('Starlink Launches'!$A:$A, MATCH($E850, 'Starlink Launches'!$B:$B, 0)),
  ""
)
</f>
        <v>6-41</v>
      </c>
      <c r="B850" s="3" t="s">
        <v>25</v>
      </c>
      <c r="C850" s="12" t="s">
        <v>862</v>
      </c>
      <c r="D850" s="13">
        <v>59163.0</v>
      </c>
      <c r="E850" s="4">
        <v>45355.0</v>
      </c>
      <c r="F850" s="4" t="str">
        <f>IF(D850="","", IFNA(VLOOKUP(D850, SATCAT_DECAY!A:B, 2, FALSE), ""))
</f>
        <v/>
      </c>
      <c r="G850" s="3" t="str">
        <f t="shared" si="1"/>
        <v>ACTIVE</v>
      </c>
    </row>
    <row r="851" ht="22.5" customHeight="1">
      <c r="A851" s="11" t="str">
        <f t="array" ref="A851">IFERROR(
  INDEX('Starlink Launches'!$A:$A, MATCH($E851, 'Starlink Launches'!$B:$B, 0)),
  ""
)
</f>
        <v>6-41</v>
      </c>
      <c r="B851" s="3" t="s">
        <v>25</v>
      </c>
      <c r="C851" s="12" t="s">
        <v>863</v>
      </c>
      <c r="D851" s="13">
        <v>59164.0</v>
      </c>
      <c r="E851" s="4">
        <v>45355.0</v>
      </c>
      <c r="F851" s="4" t="str">
        <f>IF(D851="","", IFNA(VLOOKUP(D851, SATCAT_DECAY!A:B, 2, FALSE), ""))
</f>
        <v/>
      </c>
      <c r="G851" s="3" t="str">
        <f t="shared" si="1"/>
        <v>ACTIVE</v>
      </c>
    </row>
    <row r="852" ht="22.5" customHeight="1">
      <c r="A852" s="11" t="str">
        <f t="array" ref="A852">IFERROR(
  INDEX('Starlink Launches'!$A:$A, MATCH($E852, 'Starlink Launches'!$B:$B, 0)),
  ""
)
</f>
        <v>6-41</v>
      </c>
      <c r="B852" s="3" t="s">
        <v>25</v>
      </c>
      <c r="C852" s="12" t="s">
        <v>864</v>
      </c>
      <c r="D852" s="13">
        <v>59165.0</v>
      </c>
      <c r="E852" s="4">
        <v>45355.0</v>
      </c>
      <c r="F852" s="4" t="str">
        <f>IF(D852="","", IFNA(VLOOKUP(D852, SATCAT_DECAY!A:B, 2, FALSE), ""))
</f>
        <v/>
      </c>
      <c r="G852" s="3" t="str">
        <f t="shared" si="1"/>
        <v>ACTIVE</v>
      </c>
    </row>
    <row r="853" ht="22.5" customHeight="1">
      <c r="A853" s="11" t="str">
        <f t="array" ref="A853">IFERROR(
  INDEX('Starlink Launches'!$A:$A, MATCH($E853, 'Starlink Launches'!$B:$B, 0)),
  ""
)
</f>
        <v>6-41</v>
      </c>
      <c r="B853" s="3" t="s">
        <v>25</v>
      </c>
      <c r="C853" s="12" t="s">
        <v>865</v>
      </c>
      <c r="D853" s="13">
        <v>59166.0</v>
      </c>
      <c r="E853" s="4">
        <v>45355.0</v>
      </c>
      <c r="F853" s="4" t="str">
        <f>IF(D853="","", IFNA(VLOOKUP(D853, SATCAT_DECAY!A:B, 2, FALSE), ""))
</f>
        <v/>
      </c>
      <c r="G853" s="3" t="str">
        <f t="shared" si="1"/>
        <v>ACTIVE</v>
      </c>
    </row>
    <row r="854" ht="22.5" customHeight="1">
      <c r="A854" s="11" t="str">
        <f t="array" ref="A854">IFERROR(
  INDEX('Starlink Launches'!$A:$A, MATCH($E854, 'Starlink Launches'!$B:$B, 0)),
  ""
)
</f>
        <v>6-41</v>
      </c>
      <c r="B854" s="3" t="s">
        <v>25</v>
      </c>
      <c r="C854" s="12" t="s">
        <v>866</v>
      </c>
      <c r="D854" s="13">
        <v>59167.0</v>
      </c>
      <c r="E854" s="4">
        <v>45355.0</v>
      </c>
      <c r="F854" s="4" t="str">
        <f>IF(D854="","", IFNA(VLOOKUP(D854, SATCAT_DECAY!A:B, 2, FALSE), ""))
</f>
        <v/>
      </c>
      <c r="G854" s="3" t="str">
        <f t="shared" si="1"/>
        <v>ACTIVE</v>
      </c>
    </row>
    <row r="855" ht="22.5" customHeight="1">
      <c r="A855" s="11" t="str">
        <f t="array" ref="A855">IFERROR(
  INDEX('Starlink Launches'!$A:$A, MATCH($E855, 'Starlink Launches'!$B:$B, 0)),
  ""
)
</f>
        <v>6-41</v>
      </c>
      <c r="B855" s="3" t="s">
        <v>25</v>
      </c>
      <c r="C855" s="12" t="s">
        <v>867</v>
      </c>
      <c r="D855" s="13">
        <v>59168.0</v>
      </c>
      <c r="E855" s="4">
        <v>45355.0</v>
      </c>
      <c r="F855" s="4" t="str">
        <f>IF(D855="","", IFNA(VLOOKUP(D855, SATCAT_DECAY!A:B, 2, FALSE), ""))
</f>
        <v/>
      </c>
      <c r="G855" s="3" t="str">
        <f t="shared" si="1"/>
        <v>ACTIVE</v>
      </c>
    </row>
    <row r="856" ht="22.5" customHeight="1">
      <c r="A856" s="11" t="str">
        <f t="array" ref="A856">IFERROR(
  INDEX('Starlink Launches'!$A:$A, MATCH($E856, 'Starlink Launches'!$B:$B, 0)),
  ""
)
</f>
        <v>6-41</v>
      </c>
      <c r="B856" s="3" t="s">
        <v>25</v>
      </c>
      <c r="C856" s="12" t="s">
        <v>868</v>
      </c>
      <c r="D856" s="13">
        <v>59169.0</v>
      </c>
      <c r="E856" s="4">
        <v>45355.0</v>
      </c>
      <c r="F856" s="4" t="str">
        <f>IF(D856="","", IFNA(VLOOKUP(D856, SATCAT_DECAY!A:B, 2, FALSE), ""))
</f>
        <v/>
      </c>
      <c r="G856" s="3" t="str">
        <f t="shared" si="1"/>
        <v>ACTIVE</v>
      </c>
    </row>
    <row r="857" ht="22.5" customHeight="1">
      <c r="A857" s="11" t="str">
        <f t="array" ref="A857">IFERROR(
  INDEX('Starlink Launches'!$A:$A, MATCH($E857, 'Starlink Launches'!$B:$B, 0)),
  ""
)
</f>
        <v>6-41</v>
      </c>
      <c r="B857" s="3" t="s">
        <v>25</v>
      </c>
      <c r="C857" s="12" t="s">
        <v>869</v>
      </c>
      <c r="D857" s="13">
        <v>59170.0</v>
      </c>
      <c r="E857" s="4">
        <v>45355.0</v>
      </c>
      <c r="F857" s="4" t="str">
        <f>IF(D857="","", IFNA(VLOOKUP(D857, SATCAT_DECAY!A:B, 2, FALSE), ""))
</f>
        <v/>
      </c>
      <c r="G857" s="3" t="str">
        <f t="shared" si="1"/>
        <v>ACTIVE</v>
      </c>
    </row>
    <row r="858" ht="22.5" customHeight="1">
      <c r="A858" s="11" t="str">
        <f t="array" ref="A858">IFERROR(
  INDEX('Starlink Launches'!$A:$A, MATCH($E858, 'Starlink Launches'!$B:$B, 0)),
  ""
)
</f>
        <v>6-41</v>
      </c>
      <c r="B858" s="3" t="s">
        <v>25</v>
      </c>
      <c r="C858" s="12" t="s">
        <v>870</v>
      </c>
      <c r="D858" s="13">
        <v>59171.0</v>
      </c>
      <c r="E858" s="4">
        <v>45355.0</v>
      </c>
      <c r="F858" s="4" t="str">
        <f>IF(D858="","", IFNA(VLOOKUP(D858, SATCAT_DECAY!A:B, 2, FALSE), ""))
</f>
        <v/>
      </c>
      <c r="G858" s="3" t="str">
        <f t="shared" si="1"/>
        <v>ACTIVE</v>
      </c>
    </row>
    <row r="859" ht="22.5" customHeight="1">
      <c r="A859" s="11" t="str">
        <f t="array" ref="A859">IFERROR(
  INDEX('Starlink Launches'!$A:$A, MATCH($E859, 'Starlink Launches'!$B:$B, 0)),
  ""
)
</f>
        <v>6-41</v>
      </c>
      <c r="B859" s="3" t="s">
        <v>25</v>
      </c>
      <c r="C859" s="12" t="s">
        <v>871</v>
      </c>
      <c r="D859" s="13">
        <v>59172.0</v>
      </c>
      <c r="E859" s="4">
        <v>45355.0</v>
      </c>
      <c r="F859" s="4" t="str">
        <f>IF(D859="","", IFNA(VLOOKUP(D859, SATCAT_DECAY!A:B, 2, FALSE), ""))
</f>
        <v/>
      </c>
      <c r="G859" s="3" t="str">
        <f t="shared" si="1"/>
        <v>ACTIVE</v>
      </c>
    </row>
    <row r="860" ht="22.5" customHeight="1">
      <c r="A860" s="11" t="str">
        <f t="array" ref="A860">IFERROR(
  INDEX('Starlink Launches'!$A:$A, MATCH($E860, 'Starlink Launches'!$B:$B, 0)),
  ""
)
</f>
        <v>6-41</v>
      </c>
      <c r="B860" s="3" t="s">
        <v>25</v>
      </c>
      <c r="C860" s="12" t="s">
        <v>872</v>
      </c>
      <c r="D860" s="13">
        <v>59173.0</v>
      </c>
      <c r="E860" s="4">
        <v>45355.0</v>
      </c>
      <c r="F860" s="4" t="str">
        <f>IF(D860="","", IFNA(VLOOKUP(D860, SATCAT_DECAY!A:B, 2, FALSE), ""))
</f>
        <v/>
      </c>
      <c r="G860" s="3" t="str">
        <f t="shared" si="1"/>
        <v>ACTIVE</v>
      </c>
    </row>
    <row r="861" ht="22.5" customHeight="1">
      <c r="A861" s="11" t="str">
        <f t="array" ref="A861">IFERROR(
  INDEX('Starlink Launches'!$A:$A, MATCH($E861, 'Starlink Launches'!$B:$B, 0)),
  ""
)
</f>
        <v>6-41</v>
      </c>
      <c r="B861" s="3" t="s">
        <v>25</v>
      </c>
      <c r="C861" s="12" t="s">
        <v>873</v>
      </c>
      <c r="D861" s="13">
        <v>59174.0</v>
      </c>
      <c r="E861" s="4">
        <v>45355.0</v>
      </c>
      <c r="F861" s="4" t="str">
        <f>IF(D861="","", IFNA(VLOOKUP(D861, SATCAT_DECAY!A:B, 2, FALSE), ""))
</f>
        <v/>
      </c>
      <c r="G861" s="3" t="str">
        <f t="shared" si="1"/>
        <v>ACTIVE</v>
      </c>
    </row>
    <row r="862" ht="22.5" customHeight="1">
      <c r="A862" s="11" t="str">
        <f t="array" ref="A862">IFERROR(
  INDEX('Starlink Launches'!$A:$A, MATCH($E862, 'Starlink Launches'!$B:$B, 0)),
  ""
)
</f>
        <v>6-43</v>
      </c>
      <c r="B862" s="3" t="s">
        <v>25</v>
      </c>
      <c r="C862" s="12" t="s">
        <v>874</v>
      </c>
      <c r="D862" s="13">
        <v>59178.0</v>
      </c>
      <c r="E862" s="4">
        <v>45361.0</v>
      </c>
      <c r="F862" s="4" t="str">
        <f>IF(D862="","", IFNA(VLOOKUP(D862, SATCAT_DECAY!A:B, 2, FALSE), ""))
</f>
        <v/>
      </c>
      <c r="G862" s="3" t="str">
        <f t="shared" si="1"/>
        <v>ACTIVE</v>
      </c>
      <c r="I862" s="15"/>
    </row>
    <row r="863" ht="22.5" customHeight="1">
      <c r="A863" s="11" t="str">
        <f t="array" ref="A863">IFERROR(
  INDEX('Starlink Launches'!$A:$A, MATCH($E863, 'Starlink Launches'!$B:$B, 0)),
  ""
)
</f>
        <v>6-43</v>
      </c>
      <c r="B863" s="3" t="s">
        <v>25</v>
      </c>
      <c r="C863" s="12" t="s">
        <v>875</v>
      </c>
      <c r="D863" s="13">
        <v>59179.0</v>
      </c>
      <c r="E863" s="4">
        <v>45361.0</v>
      </c>
      <c r="F863" s="4" t="str">
        <f>IF(D863="","", IFNA(VLOOKUP(D863, SATCAT_DECAY!A:B, 2, FALSE), ""))
</f>
        <v/>
      </c>
      <c r="G863" s="3" t="str">
        <f t="shared" si="1"/>
        <v>ACTIVE</v>
      </c>
      <c r="I863" s="15"/>
    </row>
    <row r="864" ht="22.5" customHeight="1">
      <c r="A864" s="11" t="str">
        <f t="array" ref="A864">IFERROR(
  INDEX('Starlink Launches'!$A:$A, MATCH($E864, 'Starlink Launches'!$B:$B, 0)),
  ""
)
</f>
        <v>6-43</v>
      </c>
      <c r="B864" s="3" t="s">
        <v>25</v>
      </c>
      <c r="C864" s="12" t="s">
        <v>876</v>
      </c>
      <c r="D864" s="13">
        <v>59180.0</v>
      </c>
      <c r="E864" s="4">
        <v>45361.0</v>
      </c>
      <c r="F864" s="4" t="str">
        <f>IF(D864="","", IFNA(VLOOKUP(D864, SATCAT_DECAY!A:B, 2, FALSE), ""))
</f>
        <v/>
      </c>
      <c r="G864" s="3" t="str">
        <f t="shared" si="1"/>
        <v>ACTIVE</v>
      </c>
      <c r="I864" s="15"/>
    </row>
    <row r="865" ht="22.5" customHeight="1">
      <c r="A865" s="11" t="str">
        <f t="array" ref="A865">IFERROR(
  INDEX('Starlink Launches'!$A:$A, MATCH($E865, 'Starlink Launches'!$B:$B, 0)),
  ""
)
</f>
        <v>6-43</v>
      </c>
      <c r="B865" s="3" t="s">
        <v>25</v>
      </c>
      <c r="C865" s="12" t="s">
        <v>877</v>
      </c>
      <c r="D865" s="13">
        <v>59181.0</v>
      </c>
      <c r="E865" s="4">
        <v>45361.0</v>
      </c>
      <c r="F865" s="4" t="str">
        <f>IF(D865="","", IFNA(VLOOKUP(D865, SATCAT_DECAY!A:B, 2, FALSE), ""))
</f>
        <v/>
      </c>
      <c r="G865" s="3" t="str">
        <f t="shared" si="1"/>
        <v>ACTIVE</v>
      </c>
      <c r="I865" s="15"/>
    </row>
    <row r="866" ht="22.5" customHeight="1">
      <c r="A866" s="11" t="str">
        <f t="array" ref="A866">IFERROR(
  INDEX('Starlink Launches'!$A:$A, MATCH($E866, 'Starlink Launches'!$B:$B, 0)),
  ""
)
</f>
        <v>6-43</v>
      </c>
      <c r="B866" s="3" t="s">
        <v>25</v>
      </c>
      <c r="C866" s="12" t="s">
        <v>878</v>
      </c>
      <c r="D866" s="13">
        <v>59182.0</v>
      </c>
      <c r="E866" s="4">
        <v>45361.0</v>
      </c>
      <c r="F866" s="4" t="str">
        <f>IF(D866="","", IFNA(VLOOKUP(D866, SATCAT_DECAY!A:B, 2, FALSE), ""))
</f>
        <v/>
      </c>
      <c r="G866" s="3" t="str">
        <f t="shared" si="1"/>
        <v>ACTIVE</v>
      </c>
      <c r="I866" s="15"/>
    </row>
    <row r="867" ht="22.5" hidden="1" customHeight="1">
      <c r="A867" s="11" t="str">
        <f t="array" ref="A867">IFERROR(
  INDEX('Starlink Launches'!$A:$A, MATCH($E867, 'Starlink Launches'!$B:$B, 0)),
  ""
)
</f>
        <v>6-43</v>
      </c>
      <c r="B867" s="3" t="s">
        <v>25</v>
      </c>
      <c r="C867" s="12" t="s">
        <v>879</v>
      </c>
      <c r="D867" s="13">
        <v>59183.0</v>
      </c>
      <c r="E867" s="4">
        <v>45361.0</v>
      </c>
      <c r="F867" s="4">
        <f>IF(D867="","", IFNA(VLOOKUP(D867, SATCAT_DECAY!A:B, 2, FALSE), ""))
</f>
        <v>45760</v>
      </c>
      <c r="G867" s="3" t="str">
        <f t="shared" si="1"/>
        <v>DECAYED</v>
      </c>
      <c r="I867" s="15"/>
    </row>
    <row r="868" ht="22.5" customHeight="1">
      <c r="A868" s="11" t="str">
        <f t="array" ref="A868">IFERROR(
  INDEX('Starlink Launches'!$A:$A, MATCH($E868, 'Starlink Launches'!$B:$B, 0)),
  ""
)
</f>
        <v>6-43</v>
      </c>
      <c r="B868" s="3" t="s">
        <v>25</v>
      </c>
      <c r="C868" s="12" t="s">
        <v>880</v>
      </c>
      <c r="D868" s="13">
        <v>59184.0</v>
      </c>
      <c r="E868" s="4">
        <v>45361.0</v>
      </c>
      <c r="F868" s="4" t="str">
        <f>IF(D868="","", IFNA(VLOOKUP(D868, SATCAT_DECAY!A:B, 2, FALSE), ""))
</f>
        <v/>
      </c>
      <c r="G868" s="3" t="str">
        <f t="shared" si="1"/>
        <v>ACTIVE</v>
      </c>
      <c r="I868" s="15"/>
    </row>
    <row r="869" ht="22.5" customHeight="1">
      <c r="A869" s="11" t="str">
        <f t="array" ref="A869">IFERROR(
  INDEX('Starlink Launches'!$A:$A, MATCH($E869, 'Starlink Launches'!$B:$B, 0)),
  ""
)
</f>
        <v>6-43</v>
      </c>
      <c r="B869" s="3" t="s">
        <v>25</v>
      </c>
      <c r="C869" s="12" t="s">
        <v>881</v>
      </c>
      <c r="D869" s="13">
        <v>59185.0</v>
      </c>
      <c r="E869" s="4">
        <v>45361.0</v>
      </c>
      <c r="F869" s="4" t="str">
        <f>IF(D869="","", IFNA(VLOOKUP(D869, SATCAT_DECAY!A:B, 2, FALSE), ""))
</f>
        <v/>
      </c>
      <c r="G869" s="3" t="str">
        <f t="shared" si="1"/>
        <v>ACTIVE</v>
      </c>
      <c r="I869" s="15"/>
    </row>
    <row r="870" ht="22.5" customHeight="1">
      <c r="A870" s="11" t="str">
        <f t="array" ref="A870">IFERROR(
  INDEX('Starlink Launches'!$A:$A, MATCH($E870, 'Starlink Launches'!$B:$B, 0)),
  ""
)
</f>
        <v>6-43</v>
      </c>
      <c r="B870" s="3" t="s">
        <v>25</v>
      </c>
      <c r="C870" s="12" t="s">
        <v>882</v>
      </c>
      <c r="D870" s="13">
        <v>59186.0</v>
      </c>
      <c r="E870" s="4">
        <v>45361.0</v>
      </c>
      <c r="F870" s="4" t="str">
        <f>IF(D870="","", IFNA(VLOOKUP(D870, SATCAT_DECAY!A:B, 2, FALSE), ""))
</f>
        <v/>
      </c>
      <c r="G870" s="3" t="str">
        <f t="shared" si="1"/>
        <v>ACTIVE</v>
      </c>
      <c r="I870" s="15"/>
    </row>
    <row r="871" ht="22.5" customHeight="1">
      <c r="A871" s="11" t="str">
        <f t="array" ref="A871">IFERROR(
  INDEX('Starlink Launches'!$A:$A, MATCH($E871, 'Starlink Launches'!$B:$B, 0)),
  ""
)
</f>
        <v>6-43</v>
      </c>
      <c r="B871" s="3" t="s">
        <v>25</v>
      </c>
      <c r="C871" s="12" t="s">
        <v>883</v>
      </c>
      <c r="D871" s="13">
        <v>59187.0</v>
      </c>
      <c r="E871" s="4">
        <v>45361.0</v>
      </c>
      <c r="F871" s="4" t="str">
        <f>IF(D871="","", IFNA(VLOOKUP(D871, SATCAT_DECAY!A:B, 2, FALSE), ""))
</f>
        <v/>
      </c>
      <c r="G871" s="3" t="str">
        <f t="shared" si="1"/>
        <v>ACTIVE</v>
      </c>
      <c r="I871" s="15"/>
    </row>
    <row r="872" ht="22.5" customHeight="1">
      <c r="A872" s="11" t="str">
        <f t="array" ref="A872">IFERROR(
  INDEX('Starlink Launches'!$A:$A, MATCH($E872, 'Starlink Launches'!$B:$B, 0)),
  ""
)
</f>
        <v>6-43</v>
      </c>
      <c r="B872" s="3" t="s">
        <v>25</v>
      </c>
      <c r="C872" s="12" t="s">
        <v>884</v>
      </c>
      <c r="D872" s="13">
        <v>59188.0</v>
      </c>
      <c r="E872" s="4">
        <v>45361.0</v>
      </c>
      <c r="F872" s="4" t="str">
        <f>IF(D872="","", IFNA(VLOOKUP(D872, SATCAT_DECAY!A:B, 2, FALSE), ""))
</f>
        <v/>
      </c>
      <c r="G872" s="3" t="str">
        <f t="shared" si="1"/>
        <v>ACTIVE</v>
      </c>
      <c r="I872" s="15"/>
    </row>
    <row r="873" ht="22.5" customHeight="1">
      <c r="A873" s="11" t="str">
        <f t="array" ref="A873">IFERROR(
  INDEX('Starlink Launches'!$A:$A, MATCH($E873, 'Starlink Launches'!$B:$B, 0)),
  ""
)
</f>
        <v>6-43</v>
      </c>
      <c r="B873" s="3" t="s">
        <v>25</v>
      </c>
      <c r="C873" s="12" t="s">
        <v>885</v>
      </c>
      <c r="D873" s="13">
        <v>59189.0</v>
      </c>
      <c r="E873" s="4">
        <v>45361.0</v>
      </c>
      <c r="F873" s="4" t="str">
        <f>IF(D873="","", IFNA(VLOOKUP(D873, SATCAT_DECAY!A:B, 2, FALSE), ""))
</f>
        <v/>
      </c>
      <c r="G873" s="3" t="str">
        <f t="shared" si="1"/>
        <v>ACTIVE</v>
      </c>
      <c r="I873" s="15"/>
    </row>
    <row r="874" ht="22.5" customHeight="1">
      <c r="A874" s="11" t="str">
        <f t="array" ref="A874">IFERROR(
  INDEX('Starlink Launches'!$A:$A, MATCH($E874, 'Starlink Launches'!$B:$B, 0)),
  ""
)
</f>
        <v>6-43</v>
      </c>
      <c r="B874" s="3" t="s">
        <v>25</v>
      </c>
      <c r="C874" s="12" t="s">
        <v>886</v>
      </c>
      <c r="D874" s="13">
        <v>59190.0</v>
      </c>
      <c r="E874" s="4">
        <v>45361.0</v>
      </c>
      <c r="F874" s="4" t="str">
        <f>IF(D874="","", IFNA(VLOOKUP(D874, SATCAT_DECAY!A:B, 2, FALSE), ""))
</f>
        <v/>
      </c>
      <c r="G874" s="3" t="str">
        <f t="shared" si="1"/>
        <v>ACTIVE</v>
      </c>
      <c r="I874" s="15"/>
    </row>
    <row r="875" ht="22.5" customHeight="1">
      <c r="A875" s="11" t="str">
        <f t="array" ref="A875">IFERROR(
  INDEX('Starlink Launches'!$A:$A, MATCH($E875, 'Starlink Launches'!$B:$B, 0)),
  ""
)
</f>
        <v>6-43</v>
      </c>
      <c r="B875" s="3" t="s">
        <v>25</v>
      </c>
      <c r="C875" s="12" t="s">
        <v>887</v>
      </c>
      <c r="D875" s="13">
        <v>59191.0</v>
      </c>
      <c r="E875" s="4">
        <v>45361.0</v>
      </c>
      <c r="F875" s="4" t="str">
        <f>IF(D875="","", IFNA(VLOOKUP(D875, SATCAT_DECAY!A:B, 2, FALSE), ""))
</f>
        <v/>
      </c>
      <c r="G875" s="3" t="str">
        <f t="shared" si="1"/>
        <v>ACTIVE</v>
      </c>
      <c r="I875" s="15"/>
    </row>
    <row r="876" ht="22.5" customHeight="1">
      <c r="A876" s="11" t="str">
        <f t="array" ref="A876">IFERROR(
  INDEX('Starlink Launches'!$A:$A, MATCH($E876, 'Starlink Launches'!$B:$B, 0)),
  ""
)
</f>
        <v>6-43</v>
      </c>
      <c r="B876" s="3" t="s">
        <v>25</v>
      </c>
      <c r="C876" s="12" t="s">
        <v>888</v>
      </c>
      <c r="D876" s="13">
        <v>59192.0</v>
      </c>
      <c r="E876" s="4">
        <v>45361.0</v>
      </c>
      <c r="F876" s="4" t="str">
        <f>IF(D876="","", IFNA(VLOOKUP(D876, SATCAT_DECAY!A:B, 2, FALSE), ""))
</f>
        <v/>
      </c>
      <c r="G876" s="3" t="str">
        <f t="shared" si="1"/>
        <v>ACTIVE</v>
      </c>
      <c r="I876" s="15"/>
    </row>
    <row r="877" ht="22.5" customHeight="1">
      <c r="A877" s="11" t="str">
        <f t="array" ref="A877">IFERROR(
  INDEX('Starlink Launches'!$A:$A, MATCH($E877, 'Starlink Launches'!$B:$B, 0)),
  ""
)
</f>
        <v>6-43</v>
      </c>
      <c r="B877" s="3" t="s">
        <v>25</v>
      </c>
      <c r="C877" s="12" t="s">
        <v>889</v>
      </c>
      <c r="D877" s="13">
        <v>59193.0</v>
      </c>
      <c r="E877" s="4">
        <v>45361.0</v>
      </c>
      <c r="F877" s="4" t="str">
        <f>IF(D877="","", IFNA(VLOOKUP(D877, SATCAT_DECAY!A:B, 2, FALSE), ""))
</f>
        <v/>
      </c>
      <c r="G877" s="3" t="str">
        <f t="shared" si="1"/>
        <v>ACTIVE</v>
      </c>
      <c r="I877" s="15"/>
    </row>
    <row r="878" ht="22.5" customHeight="1">
      <c r="A878" s="11" t="str">
        <f t="array" ref="A878">IFERROR(
  INDEX('Starlink Launches'!$A:$A, MATCH($E878, 'Starlink Launches'!$B:$B, 0)),
  ""
)
</f>
        <v>6-43</v>
      </c>
      <c r="B878" s="3" t="s">
        <v>25</v>
      </c>
      <c r="C878" s="12" t="s">
        <v>890</v>
      </c>
      <c r="D878" s="13">
        <v>59194.0</v>
      </c>
      <c r="E878" s="4">
        <v>45361.0</v>
      </c>
      <c r="F878" s="4" t="str">
        <f>IF(D878="","", IFNA(VLOOKUP(D878, SATCAT_DECAY!A:B, 2, FALSE), ""))
</f>
        <v/>
      </c>
      <c r="G878" s="3" t="str">
        <f t="shared" si="1"/>
        <v>ACTIVE</v>
      </c>
      <c r="I878" s="15"/>
    </row>
    <row r="879" ht="22.5" customHeight="1">
      <c r="A879" s="11" t="str">
        <f t="array" ref="A879">IFERROR(
  INDEX('Starlink Launches'!$A:$A, MATCH($E879, 'Starlink Launches'!$B:$B, 0)),
  ""
)
</f>
        <v>6-43</v>
      </c>
      <c r="B879" s="3" t="s">
        <v>25</v>
      </c>
      <c r="C879" s="12" t="s">
        <v>891</v>
      </c>
      <c r="D879" s="13">
        <v>59195.0</v>
      </c>
      <c r="E879" s="4">
        <v>45361.0</v>
      </c>
      <c r="F879" s="4" t="str">
        <f>IF(D879="","", IFNA(VLOOKUP(D879, SATCAT_DECAY!A:B, 2, FALSE), ""))
</f>
        <v/>
      </c>
      <c r="G879" s="3" t="str">
        <f t="shared" si="1"/>
        <v>ACTIVE</v>
      </c>
      <c r="I879" s="15"/>
    </row>
    <row r="880" ht="22.5" customHeight="1">
      <c r="A880" s="11" t="str">
        <f t="array" ref="A880">IFERROR(
  INDEX('Starlink Launches'!$A:$A, MATCH($E880, 'Starlink Launches'!$B:$B, 0)),
  ""
)
</f>
        <v>6-43</v>
      </c>
      <c r="B880" s="3" t="s">
        <v>25</v>
      </c>
      <c r="C880" s="12" t="s">
        <v>892</v>
      </c>
      <c r="D880" s="13">
        <v>59196.0</v>
      </c>
      <c r="E880" s="4">
        <v>45361.0</v>
      </c>
      <c r="F880" s="4" t="str">
        <f>IF(D880="","", IFNA(VLOOKUP(D880, SATCAT_DECAY!A:B, 2, FALSE), ""))
</f>
        <v/>
      </c>
      <c r="G880" s="3" t="str">
        <f t="shared" si="1"/>
        <v>ACTIVE</v>
      </c>
      <c r="I880" s="15"/>
    </row>
    <row r="881" ht="22.5" customHeight="1">
      <c r="A881" s="11" t="str">
        <f t="array" ref="A881">IFERROR(
  INDEX('Starlink Launches'!$A:$A, MATCH($E881, 'Starlink Launches'!$B:$B, 0)),
  ""
)
</f>
        <v>6-43</v>
      </c>
      <c r="B881" s="3" t="s">
        <v>25</v>
      </c>
      <c r="C881" s="12" t="s">
        <v>893</v>
      </c>
      <c r="D881" s="13">
        <v>59197.0</v>
      </c>
      <c r="E881" s="4">
        <v>45361.0</v>
      </c>
      <c r="F881" s="4" t="str">
        <f>IF(D881="","", IFNA(VLOOKUP(D881, SATCAT_DECAY!A:B, 2, FALSE), ""))
</f>
        <v/>
      </c>
      <c r="G881" s="3" t="str">
        <f t="shared" si="1"/>
        <v>ACTIVE</v>
      </c>
      <c r="I881" s="15"/>
    </row>
    <row r="882" ht="22.5" customHeight="1">
      <c r="A882" s="11" t="str">
        <f t="array" ref="A882">IFERROR(
  INDEX('Starlink Launches'!$A:$A, MATCH($E882, 'Starlink Launches'!$B:$B, 0)),
  ""
)
</f>
        <v>6-43</v>
      </c>
      <c r="B882" s="3" t="s">
        <v>25</v>
      </c>
      <c r="C882" s="12" t="s">
        <v>894</v>
      </c>
      <c r="D882" s="13">
        <v>59198.0</v>
      </c>
      <c r="E882" s="4">
        <v>45361.0</v>
      </c>
      <c r="F882" s="4" t="str">
        <f>IF(D882="","", IFNA(VLOOKUP(D882, SATCAT_DECAY!A:B, 2, FALSE), ""))
</f>
        <v/>
      </c>
      <c r="G882" s="3" t="str">
        <f t="shared" si="1"/>
        <v>ACTIVE</v>
      </c>
      <c r="I882" s="15"/>
    </row>
    <row r="883" ht="22.5" customHeight="1">
      <c r="A883" s="11" t="str">
        <f t="array" ref="A883">IFERROR(
  INDEX('Starlink Launches'!$A:$A, MATCH($E883, 'Starlink Launches'!$B:$B, 0)),
  ""
)
</f>
        <v>6-43</v>
      </c>
      <c r="B883" s="3" t="s">
        <v>25</v>
      </c>
      <c r="C883" s="12" t="s">
        <v>895</v>
      </c>
      <c r="D883" s="13">
        <v>59199.0</v>
      </c>
      <c r="E883" s="4">
        <v>45361.0</v>
      </c>
      <c r="F883" s="4" t="str">
        <f>IF(D883="","", IFNA(VLOOKUP(D883, SATCAT_DECAY!A:B, 2, FALSE), ""))
</f>
        <v/>
      </c>
      <c r="G883" s="3" t="str">
        <f t="shared" si="1"/>
        <v>ACTIVE</v>
      </c>
      <c r="I883" s="15"/>
    </row>
    <row r="884" ht="22.5" customHeight="1">
      <c r="A884" s="11" t="str">
        <f t="array" ref="A884">IFERROR(
  INDEX('Starlink Launches'!$A:$A, MATCH($E884, 'Starlink Launches'!$B:$B, 0)),
  ""
)
</f>
        <v>6-43</v>
      </c>
      <c r="B884" s="3" t="s">
        <v>25</v>
      </c>
      <c r="C884" s="12" t="s">
        <v>896</v>
      </c>
      <c r="D884" s="13">
        <v>59200.0</v>
      </c>
      <c r="E884" s="4">
        <v>45361.0</v>
      </c>
      <c r="F884" s="4" t="str">
        <f>IF(D884="","", IFNA(VLOOKUP(D884, SATCAT_DECAY!A:B, 2, FALSE), ""))
</f>
        <v/>
      </c>
      <c r="G884" s="3" t="str">
        <f t="shared" si="1"/>
        <v>ACTIVE</v>
      </c>
      <c r="I884" s="15"/>
    </row>
    <row r="885" ht="22.5" customHeight="1">
      <c r="A885" s="11" t="str">
        <f t="array" ref="A885">IFERROR(
  INDEX('Starlink Launches'!$A:$A, MATCH($E885, 'Starlink Launches'!$B:$B, 0)),
  ""
)
</f>
        <v>6-44</v>
      </c>
      <c r="B885" s="3" t="s">
        <v>25</v>
      </c>
      <c r="C885" s="12" t="s">
        <v>897</v>
      </c>
      <c r="D885" s="13">
        <v>59231.0</v>
      </c>
      <c r="E885" s="4">
        <v>45367.0</v>
      </c>
      <c r="F885" s="4" t="str">
        <f>IF(D885="","", IFNA(VLOOKUP(D885, SATCAT_DECAY!A:B, 2, FALSE), ""))
</f>
        <v/>
      </c>
      <c r="G885" s="3" t="str">
        <f t="shared" si="1"/>
        <v>ACTIVE</v>
      </c>
    </row>
    <row r="886" ht="22.5" customHeight="1">
      <c r="A886" s="11" t="str">
        <f t="array" ref="A886">IFERROR(
  INDEX('Starlink Launches'!$A:$A, MATCH($E886, 'Starlink Launches'!$B:$B, 0)),
  ""
)
</f>
        <v>6-44</v>
      </c>
      <c r="B886" s="3" t="s">
        <v>25</v>
      </c>
      <c r="C886" s="12" t="s">
        <v>898</v>
      </c>
      <c r="D886" s="13">
        <v>59232.0</v>
      </c>
      <c r="E886" s="4">
        <v>45367.0</v>
      </c>
      <c r="F886" s="4" t="str">
        <f>IF(D886="","", IFNA(VLOOKUP(D886, SATCAT_DECAY!A:B, 2, FALSE), ""))
</f>
        <v/>
      </c>
      <c r="G886" s="3" t="str">
        <f t="shared" si="1"/>
        <v>ACTIVE</v>
      </c>
    </row>
    <row r="887" ht="22.5" customHeight="1">
      <c r="A887" s="11" t="str">
        <f t="array" ref="A887">IFERROR(
  INDEX('Starlink Launches'!$A:$A, MATCH($E887, 'Starlink Launches'!$B:$B, 0)),
  ""
)
</f>
        <v>6-44</v>
      </c>
      <c r="B887" s="3" t="s">
        <v>25</v>
      </c>
      <c r="C887" s="12" t="s">
        <v>899</v>
      </c>
      <c r="D887" s="13">
        <v>59233.0</v>
      </c>
      <c r="E887" s="4">
        <v>45367.0</v>
      </c>
      <c r="F887" s="4" t="str">
        <f>IF(D887="","", IFNA(VLOOKUP(D887, SATCAT_DECAY!A:B, 2, FALSE), ""))
</f>
        <v/>
      </c>
      <c r="G887" s="3" t="str">
        <f t="shared" si="1"/>
        <v>ACTIVE</v>
      </c>
    </row>
    <row r="888" ht="22.5" customHeight="1">
      <c r="A888" s="11" t="str">
        <f t="array" ref="A888">IFERROR(
  INDEX('Starlink Launches'!$A:$A, MATCH($E888, 'Starlink Launches'!$B:$B, 0)),
  ""
)
</f>
        <v>6-44</v>
      </c>
      <c r="B888" s="3" t="s">
        <v>25</v>
      </c>
      <c r="C888" s="12" t="s">
        <v>900</v>
      </c>
      <c r="D888" s="13">
        <v>59234.0</v>
      </c>
      <c r="E888" s="4">
        <v>45367.0</v>
      </c>
      <c r="F888" s="4" t="str">
        <f>IF(D888="","", IFNA(VLOOKUP(D888, SATCAT_DECAY!A:B, 2, FALSE), ""))
</f>
        <v/>
      </c>
      <c r="G888" s="3" t="str">
        <f t="shared" si="1"/>
        <v>ACTIVE</v>
      </c>
    </row>
    <row r="889" ht="22.5" customHeight="1">
      <c r="A889" s="11" t="str">
        <f t="array" ref="A889">IFERROR(
  INDEX('Starlink Launches'!$A:$A, MATCH($E889, 'Starlink Launches'!$B:$B, 0)),
  ""
)
</f>
        <v>6-44</v>
      </c>
      <c r="B889" s="3" t="s">
        <v>25</v>
      </c>
      <c r="C889" s="12" t="s">
        <v>901</v>
      </c>
      <c r="D889" s="13">
        <v>59235.0</v>
      </c>
      <c r="E889" s="4">
        <v>45367.0</v>
      </c>
      <c r="F889" s="4" t="str">
        <f>IF(D889="","", IFNA(VLOOKUP(D889, SATCAT_DECAY!A:B, 2, FALSE), ""))
</f>
        <v/>
      </c>
      <c r="G889" s="3" t="str">
        <f t="shared" si="1"/>
        <v>ACTIVE</v>
      </c>
    </row>
    <row r="890" ht="22.5" customHeight="1">
      <c r="A890" s="11" t="str">
        <f t="array" ref="A890">IFERROR(
  INDEX('Starlink Launches'!$A:$A, MATCH($E890, 'Starlink Launches'!$B:$B, 0)),
  ""
)
</f>
        <v>6-44</v>
      </c>
      <c r="B890" s="3" t="s">
        <v>25</v>
      </c>
      <c r="C890" s="12" t="s">
        <v>902</v>
      </c>
      <c r="D890" s="13">
        <v>59236.0</v>
      </c>
      <c r="E890" s="4">
        <v>45367.0</v>
      </c>
      <c r="F890" s="4" t="str">
        <f>IF(D890="","", IFNA(VLOOKUP(D890, SATCAT_DECAY!A:B, 2, FALSE), ""))
</f>
        <v/>
      </c>
      <c r="G890" s="3" t="str">
        <f t="shared" si="1"/>
        <v>ACTIVE</v>
      </c>
    </row>
    <row r="891" ht="22.5" customHeight="1">
      <c r="A891" s="11" t="str">
        <f t="array" ref="A891">IFERROR(
  INDEX('Starlink Launches'!$A:$A, MATCH($E891, 'Starlink Launches'!$B:$B, 0)),
  ""
)
</f>
        <v>6-44</v>
      </c>
      <c r="B891" s="3" t="s">
        <v>25</v>
      </c>
      <c r="C891" s="12" t="s">
        <v>903</v>
      </c>
      <c r="D891" s="13">
        <v>59237.0</v>
      </c>
      <c r="E891" s="4">
        <v>45367.0</v>
      </c>
      <c r="F891" s="4" t="str">
        <f>IF(D891="","", IFNA(VLOOKUP(D891, SATCAT_DECAY!A:B, 2, FALSE), ""))
</f>
        <v/>
      </c>
      <c r="G891" s="3" t="str">
        <f t="shared" si="1"/>
        <v>ACTIVE</v>
      </c>
    </row>
    <row r="892" ht="22.5" customHeight="1">
      <c r="A892" s="11" t="str">
        <f t="array" ref="A892">IFERROR(
  INDEX('Starlink Launches'!$A:$A, MATCH($E892, 'Starlink Launches'!$B:$B, 0)),
  ""
)
</f>
        <v>6-44</v>
      </c>
      <c r="B892" s="3" t="s">
        <v>25</v>
      </c>
      <c r="C892" s="12" t="s">
        <v>904</v>
      </c>
      <c r="D892" s="13">
        <v>59238.0</v>
      </c>
      <c r="E892" s="4">
        <v>45367.0</v>
      </c>
      <c r="F892" s="4" t="str">
        <f>IF(D892="","", IFNA(VLOOKUP(D892, SATCAT_DECAY!A:B, 2, FALSE), ""))
</f>
        <v/>
      </c>
      <c r="G892" s="3" t="str">
        <f t="shared" si="1"/>
        <v>ACTIVE</v>
      </c>
    </row>
    <row r="893" ht="22.5" customHeight="1">
      <c r="A893" s="11" t="str">
        <f t="array" ref="A893">IFERROR(
  INDEX('Starlink Launches'!$A:$A, MATCH($E893, 'Starlink Launches'!$B:$B, 0)),
  ""
)
</f>
        <v>6-44</v>
      </c>
      <c r="B893" s="3" t="s">
        <v>25</v>
      </c>
      <c r="C893" s="12" t="s">
        <v>905</v>
      </c>
      <c r="D893" s="13">
        <v>59239.0</v>
      </c>
      <c r="E893" s="4">
        <v>45367.0</v>
      </c>
      <c r="F893" s="4" t="str">
        <f>IF(D893="","", IFNA(VLOOKUP(D893, SATCAT_DECAY!A:B, 2, FALSE), ""))
</f>
        <v/>
      </c>
      <c r="G893" s="3" t="str">
        <f t="shared" si="1"/>
        <v>ACTIVE</v>
      </c>
    </row>
    <row r="894" ht="22.5" customHeight="1">
      <c r="A894" s="11" t="str">
        <f t="array" ref="A894">IFERROR(
  INDEX('Starlink Launches'!$A:$A, MATCH($E894, 'Starlink Launches'!$B:$B, 0)),
  ""
)
</f>
        <v>6-44</v>
      </c>
      <c r="B894" s="3" t="s">
        <v>25</v>
      </c>
      <c r="C894" s="12" t="s">
        <v>906</v>
      </c>
      <c r="D894" s="13">
        <v>59240.0</v>
      </c>
      <c r="E894" s="4">
        <v>45367.0</v>
      </c>
      <c r="F894" s="4" t="str">
        <f>IF(D894="","", IFNA(VLOOKUP(D894, SATCAT_DECAY!A:B, 2, FALSE), ""))
</f>
        <v/>
      </c>
      <c r="G894" s="3" t="str">
        <f t="shared" si="1"/>
        <v>ACTIVE</v>
      </c>
    </row>
    <row r="895" ht="22.5" customHeight="1">
      <c r="A895" s="11" t="str">
        <f t="array" ref="A895">IFERROR(
  INDEX('Starlink Launches'!$A:$A, MATCH($E895, 'Starlink Launches'!$B:$B, 0)),
  ""
)
</f>
        <v>6-44</v>
      </c>
      <c r="B895" s="3" t="s">
        <v>25</v>
      </c>
      <c r="C895" s="12" t="s">
        <v>907</v>
      </c>
      <c r="D895" s="13">
        <v>59241.0</v>
      </c>
      <c r="E895" s="4">
        <v>45367.0</v>
      </c>
      <c r="F895" s="4" t="str">
        <f>IF(D895="","", IFNA(VLOOKUP(D895, SATCAT_DECAY!A:B, 2, FALSE), ""))
</f>
        <v/>
      </c>
      <c r="G895" s="3" t="str">
        <f t="shared" si="1"/>
        <v>ACTIVE</v>
      </c>
    </row>
    <row r="896" ht="22.5" customHeight="1">
      <c r="A896" s="11" t="str">
        <f t="array" ref="A896">IFERROR(
  INDEX('Starlink Launches'!$A:$A, MATCH($E896, 'Starlink Launches'!$B:$B, 0)),
  ""
)
</f>
        <v>6-44</v>
      </c>
      <c r="B896" s="3" t="s">
        <v>25</v>
      </c>
      <c r="C896" s="12" t="s">
        <v>908</v>
      </c>
      <c r="D896" s="13">
        <v>59242.0</v>
      </c>
      <c r="E896" s="4">
        <v>45367.0</v>
      </c>
      <c r="F896" s="4" t="str">
        <f>IF(D896="","", IFNA(VLOOKUP(D896, SATCAT_DECAY!A:B, 2, FALSE), ""))
</f>
        <v/>
      </c>
      <c r="G896" s="3" t="str">
        <f t="shared" si="1"/>
        <v>ACTIVE</v>
      </c>
    </row>
    <row r="897" ht="22.5" customHeight="1">
      <c r="A897" s="11" t="str">
        <f t="array" ref="A897">IFERROR(
  INDEX('Starlink Launches'!$A:$A, MATCH($E897, 'Starlink Launches'!$B:$B, 0)),
  ""
)
</f>
        <v>6-44</v>
      </c>
      <c r="B897" s="3" t="s">
        <v>25</v>
      </c>
      <c r="C897" s="12" t="s">
        <v>909</v>
      </c>
      <c r="D897" s="13">
        <v>59243.0</v>
      </c>
      <c r="E897" s="4">
        <v>45367.0</v>
      </c>
      <c r="F897" s="4" t="str">
        <f>IF(D897="","", IFNA(VLOOKUP(D897, SATCAT_DECAY!A:B, 2, FALSE), ""))
</f>
        <v/>
      </c>
      <c r="G897" s="3" t="str">
        <f t="shared" si="1"/>
        <v>ACTIVE</v>
      </c>
    </row>
    <row r="898" ht="22.5" customHeight="1">
      <c r="A898" s="11" t="str">
        <f t="array" ref="A898">IFERROR(
  INDEX('Starlink Launches'!$A:$A, MATCH($E898, 'Starlink Launches'!$B:$B, 0)),
  ""
)
</f>
        <v>6-44</v>
      </c>
      <c r="B898" s="3" t="s">
        <v>25</v>
      </c>
      <c r="C898" s="12" t="s">
        <v>910</v>
      </c>
      <c r="D898" s="13">
        <v>59244.0</v>
      </c>
      <c r="E898" s="4">
        <v>45367.0</v>
      </c>
      <c r="F898" s="4" t="str">
        <f>IF(D898="","", IFNA(VLOOKUP(D898, SATCAT_DECAY!A:B, 2, FALSE), ""))
</f>
        <v/>
      </c>
      <c r="G898" s="3" t="str">
        <f t="shared" si="1"/>
        <v>ACTIVE</v>
      </c>
    </row>
    <row r="899" ht="22.5" customHeight="1">
      <c r="A899" s="11" t="str">
        <f t="array" ref="A899">IFERROR(
  INDEX('Starlink Launches'!$A:$A, MATCH($E899, 'Starlink Launches'!$B:$B, 0)),
  ""
)
</f>
        <v>6-44</v>
      </c>
      <c r="B899" s="3" t="s">
        <v>25</v>
      </c>
      <c r="C899" s="12" t="s">
        <v>911</v>
      </c>
      <c r="D899" s="13">
        <v>59245.0</v>
      </c>
      <c r="E899" s="4">
        <v>45367.0</v>
      </c>
      <c r="F899" s="4" t="str">
        <f>IF(D899="","", IFNA(VLOOKUP(D899, SATCAT_DECAY!A:B, 2, FALSE), ""))
</f>
        <v/>
      </c>
      <c r="G899" s="3" t="str">
        <f t="shared" si="1"/>
        <v>ACTIVE</v>
      </c>
    </row>
    <row r="900" ht="22.5" customHeight="1">
      <c r="A900" s="11" t="str">
        <f t="array" ref="A900">IFERROR(
  INDEX('Starlink Launches'!$A:$A, MATCH($E900, 'Starlink Launches'!$B:$B, 0)),
  ""
)
</f>
        <v>6-44</v>
      </c>
      <c r="B900" s="3" t="s">
        <v>25</v>
      </c>
      <c r="C900" s="12" t="s">
        <v>912</v>
      </c>
      <c r="D900" s="13">
        <v>59246.0</v>
      </c>
      <c r="E900" s="4">
        <v>45367.0</v>
      </c>
      <c r="F900" s="4" t="str">
        <f>IF(D900="","", IFNA(VLOOKUP(D900, SATCAT_DECAY!A:B, 2, FALSE), ""))
</f>
        <v/>
      </c>
      <c r="G900" s="3" t="str">
        <f t="shared" si="1"/>
        <v>ACTIVE</v>
      </c>
    </row>
    <row r="901" ht="22.5" customHeight="1">
      <c r="A901" s="11" t="str">
        <f t="array" ref="A901">IFERROR(
  INDEX('Starlink Launches'!$A:$A, MATCH($E901, 'Starlink Launches'!$B:$B, 0)),
  ""
)
</f>
        <v>6-44</v>
      </c>
      <c r="B901" s="3" t="s">
        <v>25</v>
      </c>
      <c r="C901" s="12" t="s">
        <v>913</v>
      </c>
      <c r="D901" s="13">
        <v>59247.0</v>
      </c>
      <c r="E901" s="4">
        <v>45367.0</v>
      </c>
      <c r="F901" s="4" t="str">
        <f>IF(D901="","", IFNA(VLOOKUP(D901, SATCAT_DECAY!A:B, 2, FALSE), ""))
</f>
        <v/>
      </c>
      <c r="G901" s="3" t="str">
        <f t="shared" si="1"/>
        <v>ACTIVE</v>
      </c>
    </row>
    <row r="902" ht="22.5" customHeight="1">
      <c r="A902" s="11" t="str">
        <f t="array" ref="A902">IFERROR(
  INDEX('Starlink Launches'!$A:$A, MATCH($E902, 'Starlink Launches'!$B:$B, 0)),
  ""
)
</f>
        <v>6-44</v>
      </c>
      <c r="B902" s="3" t="s">
        <v>25</v>
      </c>
      <c r="C902" s="12" t="s">
        <v>914</v>
      </c>
      <c r="D902" s="13">
        <v>59248.0</v>
      </c>
      <c r="E902" s="4">
        <v>45367.0</v>
      </c>
      <c r="F902" s="4" t="str">
        <f>IF(D902="","", IFNA(VLOOKUP(D902, SATCAT_DECAY!A:B, 2, FALSE), ""))
</f>
        <v/>
      </c>
      <c r="G902" s="3" t="str">
        <f t="shared" si="1"/>
        <v>ACTIVE</v>
      </c>
    </row>
    <row r="903" ht="22.5" customHeight="1">
      <c r="A903" s="11" t="str">
        <f t="array" ref="A903">IFERROR(
  INDEX('Starlink Launches'!$A:$A, MATCH($E903, 'Starlink Launches'!$B:$B, 0)),
  ""
)
</f>
        <v>6-44</v>
      </c>
      <c r="B903" s="3" t="s">
        <v>25</v>
      </c>
      <c r="C903" s="12" t="s">
        <v>915</v>
      </c>
      <c r="D903" s="13">
        <v>59249.0</v>
      </c>
      <c r="E903" s="4">
        <v>45367.0</v>
      </c>
      <c r="F903" s="4" t="str">
        <f>IF(D903="","", IFNA(VLOOKUP(D903, SATCAT_DECAY!A:B, 2, FALSE), ""))
</f>
        <v/>
      </c>
      <c r="G903" s="3" t="str">
        <f t="shared" si="1"/>
        <v>ACTIVE</v>
      </c>
    </row>
    <row r="904" ht="22.5" customHeight="1">
      <c r="A904" s="11" t="str">
        <f t="array" ref="A904">IFERROR(
  INDEX('Starlink Launches'!$A:$A, MATCH($E904, 'Starlink Launches'!$B:$B, 0)),
  ""
)
</f>
        <v>6-44</v>
      </c>
      <c r="B904" s="3" t="s">
        <v>25</v>
      </c>
      <c r="C904" s="12" t="s">
        <v>916</v>
      </c>
      <c r="D904" s="13">
        <v>59250.0</v>
      </c>
      <c r="E904" s="4">
        <v>45367.0</v>
      </c>
      <c r="F904" s="4" t="str">
        <f>IF(D904="","", IFNA(VLOOKUP(D904, SATCAT_DECAY!A:B, 2, FALSE), ""))
</f>
        <v/>
      </c>
      <c r="G904" s="3" t="str">
        <f t="shared" si="1"/>
        <v>ACTIVE</v>
      </c>
    </row>
    <row r="905" ht="22.5" customHeight="1">
      <c r="A905" s="11" t="str">
        <f t="array" ref="A905">IFERROR(
  INDEX('Starlink Launches'!$A:$A, MATCH($E905, 'Starlink Launches'!$B:$B, 0)),
  ""
)
</f>
        <v>6-44</v>
      </c>
      <c r="B905" s="3" t="s">
        <v>25</v>
      </c>
      <c r="C905" s="12" t="s">
        <v>917</v>
      </c>
      <c r="D905" s="13">
        <v>59252.0</v>
      </c>
      <c r="E905" s="4">
        <v>45367.0</v>
      </c>
      <c r="F905" s="4" t="str">
        <f>IF(D905="","", IFNA(VLOOKUP(D905, SATCAT_DECAY!A:B, 2, FALSE), ""))
</f>
        <v/>
      </c>
      <c r="G905" s="3" t="str">
        <f t="shared" si="1"/>
        <v>ACTIVE</v>
      </c>
    </row>
    <row r="906" ht="22.5" customHeight="1">
      <c r="A906" s="11" t="str">
        <f t="array" ref="A906">IFERROR(
  INDEX('Starlink Launches'!$A:$A, MATCH($E906, 'Starlink Launches'!$B:$B, 0)),
  ""
)
</f>
        <v>6-44</v>
      </c>
      <c r="B906" s="3" t="s">
        <v>25</v>
      </c>
      <c r="C906" s="12" t="s">
        <v>918</v>
      </c>
      <c r="D906" s="13">
        <v>59253.0</v>
      </c>
      <c r="E906" s="4">
        <v>45367.0</v>
      </c>
      <c r="F906" s="4" t="str">
        <f>IF(D906="","", IFNA(VLOOKUP(D906, SATCAT_DECAY!A:B, 2, FALSE), ""))
</f>
        <v/>
      </c>
      <c r="G906" s="3" t="str">
        <f t="shared" si="1"/>
        <v>ACTIVE</v>
      </c>
    </row>
    <row r="907" ht="22.5" customHeight="1">
      <c r="A907" s="11" t="str">
        <f t="array" ref="A907">IFERROR(
  INDEX('Starlink Launches'!$A:$A, MATCH($E907, 'Starlink Launches'!$B:$B, 0)),
  ""
)
</f>
        <v>6-42</v>
      </c>
      <c r="B907" s="3" t="s">
        <v>25</v>
      </c>
      <c r="C907" s="12" t="s">
        <v>919</v>
      </c>
      <c r="D907" s="13">
        <v>59296.0</v>
      </c>
      <c r="E907" s="4">
        <v>45375.0</v>
      </c>
      <c r="F907" s="4" t="str">
        <f>IF(D907="","", IFNA(VLOOKUP(D907, SATCAT_DECAY!A:B, 2, FALSE), ""))
</f>
        <v/>
      </c>
      <c r="G907" s="3" t="str">
        <f t="shared" si="1"/>
        <v>ACTIVE</v>
      </c>
    </row>
    <row r="908" ht="22.5" customHeight="1">
      <c r="A908" s="11" t="str">
        <f t="array" ref="A908">IFERROR(
  INDEX('Starlink Launches'!$A:$A, MATCH($E908, 'Starlink Launches'!$B:$B, 0)),
  ""
)
</f>
        <v>6-42</v>
      </c>
      <c r="B908" s="3" t="s">
        <v>25</v>
      </c>
      <c r="C908" s="12" t="s">
        <v>920</v>
      </c>
      <c r="D908" s="13">
        <v>59297.0</v>
      </c>
      <c r="E908" s="4">
        <v>45375.0</v>
      </c>
      <c r="F908" s="4" t="str">
        <f>IF(D908="","", IFNA(VLOOKUP(D908, SATCAT_DECAY!A:B, 2, FALSE), ""))
</f>
        <v/>
      </c>
      <c r="G908" s="3" t="str">
        <f t="shared" si="1"/>
        <v>ACTIVE</v>
      </c>
    </row>
    <row r="909" ht="22.5" customHeight="1">
      <c r="A909" s="11" t="str">
        <f t="array" ref="A909">IFERROR(
  INDEX('Starlink Launches'!$A:$A, MATCH($E909, 'Starlink Launches'!$B:$B, 0)),
  ""
)
</f>
        <v>6-42</v>
      </c>
      <c r="B909" s="3" t="s">
        <v>25</v>
      </c>
      <c r="C909" s="12" t="s">
        <v>921</v>
      </c>
      <c r="D909" s="13">
        <v>59298.0</v>
      </c>
      <c r="E909" s="4">
        <v>45375.0</v>
      </c>
      <c r="F909" s="4" t="str">
        <f>IF(D909="","", IFNA(VLOOKUP(D909, SATCAT_DECAY!A:B, 2, FALSE), ""))
</f>
        <v/>
      </c>
      <c r="G909" s="3" t="str">
        <f t="shared" si="1"/>
        <v>ACTIVE</v>
      </c>
    </row>
    <row r="910" ht="22.5" customHeight="1">
      <c r="A910" s="11" t="str">
        <f t="array" ref="A910">IFERROR(
  INDEX('Starlink Launches'!$A:$A, MATCH($E910, 'Starlink Launches'!$B:$B, 0)),
  ""
)
</f>
        <v>6-42</v>
      </c>
      <c r="B910" s="3" t="s">
        <v>25</v>
      </c>
      <c r="C910" s="12" t="s">
        <v>922</v>
      </c>
      <c r="D910" s="13">
        <v>59299.0</v>
      </c>
      <c r="E910" s="4">
        <v>45375.0</v>
      </c>
      <c r="F910" s="4" t="str">
        <f>IF(D910="","", IFNA(VLOOKUP(D910, SATCAT_DECAY!A:B, 2, FALSE), ""))
</f>
        <v/>
      </c>
      <c r="G910" s="3" t="str">
        <f t="shared" si="1"/>
        <v>ACTIVE</v>
      </c>
    </row>
    <row r="911" ht="22.5" customHeight="1">
      <c r="A911" s="11" t="str">
        <f t="array" ref="A911">IFERROR(
  INDEX('Starlink Launches'!$A:$A, MATCH($E911, 'Starlink Launches'!$B:$B, 0)),
  ""
)
</f>
        <v>6-42</v>
      </c>
      <c r="B911" s="3" t="s">
        <v>25</v>
      </c>
      <c r="C911" s="12" t="s">
        <v>923</v>
      </c>
      <c r="D911" s="13">
        <v>59300.0</v>
      </c>
      <c r="E911" s="4">
        <v>45375.0</v>
      </c>
      <c r="F911" s="4" t="str">
        <f>IF(D911="","", IFNA(VLOOKUP(D911, SATCAT_DECAY!A:B, 2, FALSE), ""))
</f>
        <v/>
      </c>
      <c r="G911" s="3" t="str">
        <f t="shared" si="1"/>
        <v>ACTIVE</v>
      </c>
    </row>
    <row r="912" ht="22.5" customHeight="1">
      <c r="A912" s="11" t="str">
        <f t="array" ref="A912">IFERROR(
  INDEX('Starlink Launches'!$A:$A, MATCH($E912, 'Starlink Launches'!$B:$B, 0)),
  ""
)
</f>
        <v>6-42</v>
      </c>
      <c r="B912" s="3" t="s">
        <v>25</v>
      </c>
      <c r="C912" s="12" t="s">
        <v>924</v>
      </c>
      <c r="D912" s="13">
        <v>59301.0</v>
      </c>
      <c r="E912" s="4">
        <v>45375.0</v>
      </c>
      <c r="F912" s="4" t="str">
        <f>IF(D912="","", IFNA(VLOOKUP(D912, SATCAT_DECAY!A:B, 2, FALSE), ""))
</f>
        <v/>
      </c>
      <c r="G912" s="3" t="str">
        <f t="shared" si="1"/>
        <v>ACTIVE</v>
      </c>
    </row>
    <row r="913" ht="22.5" customHeight="1">
      <c r="A913" s="11" t="str">
        <f t="array" ref="A913">IFERROR(
  INDEX('Starlink Launches'!$A:$A, MATCH($E913, 'Starlink Launches'!$B:$B, 0)),
  ""
)
</f>
        <v>6-42</v>
      </c>
      <c r="B913" s="3" t="s">
        <v>25</v>
      </c>
      <c r="C913" s="12" t="s">
        <v>925</v>
      </c>
      <c r="D913" s="13">
        <v>59302.0</v>
      </c>
      <c r="E913" s="4">
        <v>45375.0</v>
      </c>
      <c r="F913" s="4" t="str">
        <f>IF(D913="","", IFNA(VLOOKUP(D913, SATCAT_DECAY!A:B, 2, FALSE), ""))
</f>
        <v/>
      </c>
      <c r="G913" s="3" t="str">
        <f t="shared" si="1"/>
        <v>ACTIVE</v>
      </c>
    </row>
    <row r="914" ht="22.5" customHeight="1">
      <c r="A914" s="11" t="str">
        <f t="array" ref="A914">IFERROR(
  INDEX('Starlink Launches'!$A:$A, MATCH($E914, 'Starlink Launches'!$B:$B, 0)),
  ""
)
</f>
        <v>6-42</v>
      </c>
      <c r="B914" s="3" t="s">
        <v>25</v>
      </c>
      <c r="C914" s="12" t="s">
        <v>926</v>
      </c>
      <c r="D914" s="13">
        <v>59303.0</v>
      </c>
      <c r="E914" s="4">
        <v>45375.0</v>
      </c>
      <c r="F914" s="4" t="str">
        <f>IF(D914="","", IFNA(VLOOKUP(D914, SATCAT_DECAY!A:B, 2, FALSE), ""))
</f>
        <v/>
      </c>
      <c r="G914" s="3" t="str">
        <f t="shared" si="1"/>
        <v>ACTIVE</v>
      </c>
    </row>
    <row r="915" ht="22.5" customHeight="1">
      <c r="A915" s="11" t="str">
        <f t="array" ref="A915">IFERROR(
  INDEX('Starlink Launches'!$A:$A, MATCH($E915, 'Starlink Launches'!$B:$B, 0)),
  ""
)
</f>
        <v>6-42</v>
      </c>
      <c r="B915" s="3" t="s">
        <v>25</v>
      </c>
      <c r="C915" s="12" t="s">
        <v>927</v>
      </c>
      <c r="D915" s="13">
        <v>59304.0</v>
      </c>
      <c r="E915" s="4">
        <v>45375.0</v>
      </c>
      <c r="F915" s="4" t="str">
        <f>IF(D915="","", IFNA(VLOOKUP(D915, SATCAT_DECAY!A:B, 2, FALSE), ""))
</f>
        <v/>
      </c>
      <c r="G915" s="3" t="str">
        <f t="shared" si="1"/>
        <v>ACTIVE</v>
      </c>
    </row>
    <row r="916" ht="22.5" customHeight="1">
      <c r="A916" s="11" t="str">
        <f t="array" ref="A916">IFERROR(
  INDEX('Starlink Launches'!$A:$A, MATCH($E916, 'Starlink Launches'!$B:$B, 0)),
  ""
)
</f>
        <v>6-42</v>
      </c>
      <c r="B916" s="3" t="s">
        <v>25</v>
      </c>
      <c r="C916" s="12" t="s">
        <v>928</v>
      </c>
      <c r="D916" s="13">
        <v>59305.0</v>
      </c>
      <c r="E916" s="4">
        <v>45375.0</v>
      </c>
      <c r="F916" s="4" t="str">
        <f>IF(D916="","", IFNA(VLOOKUP(D916, SATCAT_DECAY!A:B, 2, FALSE), ""))
</f>
        <v/>
      </c>
      <c r="G916" s="3" t="str">
        <f t="shared" si="1"/>
        <v>ACTIVE</v>
      </c>
    </row>
    <row r="917" ht="22.5" customHeight="1">
      <c r="A917" s="11" t="str">
        <f t="array" ref="A917">IFERROR(
  INDEX('Starlink Launches'!$A:$A, MATCH($E917, 'Starlink Launches'!$B:$B, 0)),
  ""
)
</f>
        <v>6-42</v>
      </c>
      <c r="B917" s="3" t="s">
        <v>25</v>
      </c>
      <c r="C917" s="12" t="s">
        <v>929</v>
      </c>
      <c r="D917" s="13">
        <v>59306.0</v>
      </c>
      <c r="E917" s="4">
        <v>45375.0</v>
      </c>
      <c r="F917" s="4" t="str">
        <f>IF(D917="","", IFNA(VLOOKUP(D917, SATCAT_DECAY!A:B, 2, FALSE), ""))
</f>
        <v/>
      </c>
      <c r="G917" s="3" t="str">
        <f t="shared" si="1"/>
        <v>ACTIVE</v>
      </c>
    </row>
    <row r="918" ht="22.5" customHeight="1">
      <c r="A918" s="11" t="str">
        <f t="array" ref="A918">IFERROR(
  INDEX('Starlink Launches'!$A:$A, MATCH($E918, 'Starlink Launches'!$B:$B, 0)),
  ""
)
</f>
        <v>6-42</v>
      </c>
      <c r="B918" s="3" t="s">
        <v>25</v>
      </c>
      <c r="C918" s="12" t="s">
        <v>930</v>
      </c>
      <c r="D918" s="13">
        <v>59307.0</v>
      </c>
      <c r="E918" s="4">
        <v>45375.0</v>
      </c>
      <c r="F918" s="4" t="str">
        <f>IF(D918="","", IFNA(VLOOKUP(D918, SATCAT_DECAY!A:B, 2, FALSE), ""))
</f>
        <v/>
      </c>
      <c r="G918" s="3" t="str">
        <f t="shared" si="1"/>
        <v>ACTIVE</v>
      </c>
    </row>
    <row r="919" ht="22.5" customHeight="1">
      <c r="A919" s="11" t="str">
        <f t="array" ref="A919">IFERROR(
  INDEX('Starlink Launches'!$A:$A, MATCH($E919, 'Starlink Launches'!$B:$B, 0)),
  ""
)
</f>
        <v>6-42</v>
      </c>
      <c r="B919" s="3" t="s">
        <v>25</v>
      </c>
      <c r="C919" s="12" t="s">
        <v>931</v>
      </c>
      <c r="D919" s="13">
        <v>59308.0</v>
      </c>
      <c r="E919" s="4">
        <v>45375.0</v>
      </c>
      <c r="F919" s="4" t="str">
        <f>IF(D919="","", IFNA(VLOOKUP(D919, SATCAT_DECAY!A:B, 2, FALSE), ""))
</f>
        <v/>
      </c>
      <c r="G919" s="3" t="str">
        <f t="shared" si="1"/>
        <v>ACTIVE</v>
      </c>
    </row>
    <row r="920" ht="22.5" customHeight="1">
      <c r="A920" s="11" t="str">
        <f t="array" ref="A920">IFERROR(
  INDEX('Starlink Launches'!$A:$A, MATCH($E920, 'Starlink Launches'!$B:$B, 0)),
  ""
)
</f>
        <v>6-42</v>
      </c>
      <c r="B920" s="3" t="s">
        <v>25</v>
      </c>
      <c r="C920" s="12" t="s">
        <v>932</v>
      </c>
      <c r="D920" s="13">
        <v>59309.0</v>
      </c>
      <c r="E920" s="4">
        <v>45375.0</v>
      </c>
      <c r="F920" s="4" t="str">
        <f>IF(D920="","", IFNA(VLOOKUP(D920, SATCAT_DECAY!A:B, 2, FALSE), ""))
</f>
        <v/>
      </c>
      <c r="G920" s="3" t="str">
        <f t="shared" si="1"/>
        <v>ACTIVE</v>
      </c>
    </row>
    <row r="921" ht="22.5" customHeight="1">
      <c r="A921" s="11" t="str">
        <f t="array" ref="A921">IFERROR(
  INDEX('Starlink Launches'!$A:$A, MATCH($E921, 'Starlink Launches'!$B:$B, 0)),
  ""
)
</f>
        <v>6-42</v>
      </c>
      <c r="B921" s="3" t="s">
        <v>25</v>
      </c>
      <c r="C921" s="12" t="s">
        <v>933</v>
      </c>
      <c r="D921" s="13">
        <v>59310.0</v>
      </c>
      <c r="E921" s="4">
        <v>45375.0</v>
      </c>
      <c r="F921" s="4" t="str">
        <f>IF(D921="","", IFNA(VLOOKUP(D921, SATCAT_DECAY!A:B, 2, FALSE), ""))
</f>
        <v/>
      </c>
      <c r="G921" s="3" t="str">
        <f t="shared" si="1"/>
        <v>ACTIVE</v>
      </c>
    </row>
    <row r="922" ht="22.5" customHeight="1">
      <c r="A922" s="11" t="str">
        <f t="array" ref="A922">IFERROR(
  INDEX('Starlink Launches'!$A:$A, MATCH($E922, 'Starlink Launches'!$B:$B, 0)),
  ""
)
</f>
        <v>6-42</v>
      </c>
      <c r="B922" s="3" t="s">
        <v>25</v>
      </c>
      <c r="C922" s="12" t="s">
        <v>934</v>
      </c>
      <c r="D922" s="13">
        <v>59312.0</v>
      </c>
      <c r="E922" s="4">
        <v>45375.0</v>
      </c>
      <c r="F922" s="4" t="str">
        <f>IF(D922="","", IFNA(VLOOKUP(D922, SATCAT_DECAY!A:B, 2, FALSE), ""))
</f>
        <v/>
      </c>
      <c r="G922" s="3" t="str">
        <f t="shared" si="1"/>
        <v>ACTIVE</v>
      </c>
    </row>
    <row r="923" ht="22.5" customHeight="1">
      <c r="A923" s="11" t="str">
        <f t="array" ref="A923">IFERROR(
  INDEX('Starlink Launches'!$A:$A, MATCH($E923, 'Starlink Launches'!$B:$B, 0)),
  ""
)
</f>
        <v>6-42</v>
      </c>
      <c r="B923" s="3" t="s">
        <v>25</v>
      </c>
      <c r="C923" s="12" t="s">
        <v>935</v>
      </c>
      <c r="D923" s="13">
        <v>59313.0</v>
      </c>
      <c r="E923" s="4">
        <v>45375.0</v>
      </c>
      <c r="F923" s="4" t="str">
        <f>IF(D923="","", IFNA(VLOOKUP(D923, SATCAT_DECAY!A:B, 2, FALSE), ""))
</f>
        <v/>
      </c>
      <c r="G923" s="3" t="str">
        <f t="shared" si="1"/>
        <v>ACTIVE</v>
      </c>
    </row>
    <row r="924" ht="22.5" customHeight="1">
      <c r="A924" s="11" t="str">
        <f t="array" ref="A924">IFERROR(
  INDEX('Starlink Launches'!$A:$A, MATCH($E924, 'Starlink Launches'!$B:$B, 0)),
  ""
)
</f>
        <v>6-42</v>
      </c>
      <c r="B924" s="3" t="s">
        <v>25</v>
      </c>
      <c r="C924" s="12" t="s">
        <v>936</v>
      </c>
      <c r="D924" s="13">
        <v>59314.0</v>
      </c>
      <c r="E924" s="4">
        <v>45375.0</v>
      </c>
      <c r="F924" s="4" t="str">
        <f>IF(D924="","", IFNA(VLOOKUP(D924, SATCAT_DECAY!A:B, 2, FALSE), ""))
</f>
        <v/>
      </c>
      <c r="G924" s="3" t="str">
        <f t="shared" si="1"/>
        <v>ACTIVE</v>
      </c>
    </row>
    <row r="925" ht="22.5" customHeight="1">
      <c r="A925" s="11" t="str">
        <f t="array" ref="A925">IFERROR(
  INDEX('Starlink Launches'!$A:$A, MATCH($E925, 'Starlink Launches'!$B:$B, 0)),
  ""
)
</f>
        <v>6-42</v>
      </c>
      <c r="B925" s="3" t="s">
        <v>25</v>
      </c>
      <c r="C925" s="12" t="s">
        <v>937</v>
      </c>
      <c r="D925" s="13">
        <v>59315.0</v>
      </c>
      <c r="E925" s="4">
        <v>45375.0</v>
      </c>
      <c r="F925" s="4" t="str">
        <f>IF(D925="","", IFNA(VLOOKUP(D925, SATCAT_DECAY!A:B, 2, FALSE), ""))
</f>
        <v/>
      </c>
      <c r="G925" s="3" t="str">
        <f t="shared" si="1"/>
        <v>ACTIVE</v>
      </c>
    </row>
    <row r="926" ht="22.5" customHeight="1">
      <c r="A926" s="11" t="str">
        <f t="array" ref="A926">IFERROR(
  INDEX('Starlink Launches'!$A:$A, MATCH($E926, 'Starlink Launches'!$B:$B, 0)),
  ""
)
</f>
        <v>6-42</v>
      </c>
      <c r="B926" s="3" t="s">
        <v>25</v>
      </c>
      <c r="C926" s="12" t="s">
        <v>938</v>
      </c>
      <c r="D926" s="13">
        <v>59316.0</v>
      </c>
      <c r="E926" s="4">
        <v>45375.0</v>
      </c>
      <c r="F926" s="4" t="str">
        <f>IF(D926="","", IFNA(VLOOKUP(D926, SATCAT_DECAY!A:B, 2, FALSE), ""))
</f>
        <v/>
      </c>
      <c r="G926" s="3" t="str">
        <f t="shared" si="1"/>
        <v>ACTIVE</v>
      </c>
    </row>
    <row r="927" ht="22.5" customHeight="1">
      <c r="A927" s="11" t="str">
        <f t="array" ref="A927">IFERROR(
  INDEX('Starlink Launches'!$A:$A, MATCH($E927, 'Starlink Launches'!$B:$B, 0)),
  ""
)
</f>
        <v>6-42</v>
      </c>
      <c r="B927" s="3" t="s">
        <v>25</v>
      </c>
      <c r="C927" s="12" t="s">
        <v>939</v>
      </c>
      <c r="D927" s="13">
        <v>59317.0</v>
      </c>
      <c r="E927" s="4">
        <v>45375.0</v>
      </c>
      <c r="F927" s="4" t="str">
        <f>IF(D927="","", IFNA(VLOOKUP(D927, SATCAT_DECAY!A:B, 2, FALSE), ""))
</f>
        <v/>
      </c>
      <c r="G927" s="3" t="str">
        <f t="shared" si="1"/>
        <v>ACTIVE</v>
      </c>
    </row>
    <row r="928" ht="22.5" customHeight="1">
      <c r="A928" s="11" t="str">
        <f t="array" ref="A928">IFERROR(
  INDEX('Starlink Launches'!$A:$A, MATCH($E928, 'Starlink Launches'!$B:$B, 0)),
  ""
)
</f>
        <v>6-42</v>
      </c>
      <c r="B928" s="3" t="s">
        <v>25</v>
      </c>
      <c r="C928" s="12" t="s">
        <v>940</v>
      </c>
      <c r="D928" s="13">
        <v>59318.0</v>
      </c>
      <c r="E928" s="4">
        <v>45375.0</v>
      </c>
      <c r="F928" s="4" t="str">
        <f>IF(D928="","", IFNA(VLOOKUP(D928, SATCAT_DECAY!A:B, 2, FALSE), ""))
</f>
        <v/>
      </c>
      <c r="G928" s="3" t="str">
        <f t="shared" si="1"/>
        <v>ACTIVE</v>
      </c>
    </row>
    <row r="929" ht="22.5" customHeight="1">
      <c r="A929" s="11" t="str">
        <f t="array" ref="A929">IFERROR(
  INDEX('Starlink Launches'!$A:$A, MATCH($E929, 'Starlink Launches'!$B:$B, 0)),
  ""
)
</f>
        <v>6-46</v>
      </c>
      <c r="B929" s="3" t="s">
        <v>25</v>
      </c>
      <c r="C929" s="12" t="s">
        <v>941</v>
      </c>
      <c r="D929" s="13">
        <v>59320.0</v>
      </c>
      <c r="E929" s="4">
        <v>45376.0</v>
      </c>
      <c r="F929" s="4" t="str">
        <f>IF(D929="","", IFNA(VLOOKUP(D929, SATCAT_DECAY!A:B, 2, FALSE), ""))
</f>
        <v/>
      </c>
      <c r="G929" s="3" t="str">
        <f t="shared" si="1"/>
        <v>ACTIVE</v>
      </c>
    </row>
    <row r="930" ht="22.5" customHeight="1">
      <c r="A930" s="11" t="str">
        <f t="array" ref="A930">IFERROR(
  INDEX('Starlink Launches'!$A:$A, MATCH($E930, 'Starlink Launches'!$B:$B, 0)),
  ""
)
</f>
        <v>6-46</v>
      </c>
      <c r="B930" s="3" t="s">
        <v>25</v>
      </c>
      <c r="C930" s="12" t="s">
        <v>942</v>
      </c>
      <c r="D930" s="13">
        <v>59321.0</v>
      </c>
      <c r="E930" s="4">
        <v>45376.0</v>
      </c>
      <c r="F930" s="4" t="str">
        <f>IF(D930="","", IFNA(VLOOKUP(D930, SATCAT_DECAY!A:B, 2, FALSE), ""))
</f>
        <v/>
      </c>
      <c r="G930" s="3" t="str">
        <f t="shared" si="1"/>
        <v>ACTIVE</v>
      </c>
    </row>
    <row r="931" ht="22.5" customHeight="1">
      <c r="A931" s="11" t="str">
        <f t="array" ref="A931">IFERROR(
  INDEX('Starlink Launches'!$A:$A, MATCH($E931, 'Starlink Launches'!$B:$B, 0)),
  ""
)
</f>
        <v>6-46</v>
      </c>
      <c r="B931" s="3" t="s">
        <v>25</v>
      </c>
      <c r="C931" s="12" t="s">
        <v>943</v>
      </c>
      <c r="D931" s="13">
        <v>59322.0</v>
      </c>
      <c r="E931" s="4">
        <v>45376.0</v>
      </c>
      <c r="F931" s="4" t="str">
        <f>IF(D931="","", IFNA(VLOOKUP(D931, SATCAT_DECAY!A:B, 2, FALSE), ""))
</f>
        <v/>
      </c>
      <c r="G931" s="3" t="str">
        <f t="shared" si="1"/>
        <v>ACTIVE</v>
      </c>
    </row>
    <row r="932" ht="22.5" customHeight="1">
      <c r="A932" s="11" t="str">
        <f t="array" ref="A932">IFERROR(
  INDEX('Starlink Launches'!$A:$A, MATCH($E932, 'Starlink Launches'!$B:$B, 0)),
  ""
)
</f>
        <v>6-46</v>
      </c>
      <c r="B932" s="3" t="s">
        <v>25</v>
      </c>
      <c r="C932" s="12" t="s">
        <v>944</v>
      </c>
      <c r="D932" s="13">
        <v>59323.0</v>
      </c>
      <c r="E932" s="4">
        <v>45376.0</v>
      </c>
      <c r="F932" s="4" t="str">
        <f>IF(D932="","", IFNA(VLOOKUP(D932, SATCAT_DECAY!A:B, 2, FALSE), ""))
</f>
        <v/>
      </c>
      <c r="G932" s="3" t="str">
        <f t="shared" si="1"/>
        <v>ACTIVE</v>
      </c>
    </row>
    <row r="933" ht="22.5" customHeight="1">
      <c r="A933" s="11" t="str">
        <f t="array" ref="A933">IFERROR(
  INDEX('Starlink Launches'!$A:$A, MATCH($E933, 'Starlink Launches'!$B:$B, 0)),
  ""
)
</f>
        <v>6-46</v>
      </c>
      <c r="B933" s="3" t="s">
        <v>25</v>
      </c>
      <c r="C933" s="12" t="s">
        <v>945</v>
      </c>
      <c r="D933" s="13">
        <v>59324.0</v>
      </c>
      <c r="E933" s="4">
        <v>45376.0</v>
      </c>
      <c r="F933" s="4" t="str">
        <f>IF(D933="","", IFNA(VLOOKUP(D933, SATCAT_DECAY!A:B, 2, FALSE), ""))
</f>
        <v/>
      </c>
      <c r="G933" s="3" t="str">
        <f t="shared" si="1"/>
        <v>ACTIVE</v>
      </c>
    </row>
    <row r="934" ht="22.5" customHeight="1">
      <c r="A934" s="11" t="str">
        <f t="array" ref="A934">IFERROR(
  INDEX('Starlink Launches'!$A:$A, MATCH($E934, 'Starlink Launches'!$B:$B, 0)),
  ""
)
</f>
        <v>6-46</v>
      </c>
      <c r="B934" s="3" t="s">
        <v>25</v>
      </c>
      <c r="C934" s="12" t="s">
        <v>946</v>
      </c>
      <c r="D934" s="13">
        <v>59325.0</v>
      </c>
      <c r="E934" s="4">
        <v>45376.0</v>
      </c>
      <c r="F934" s="4" t="str">
        <f>IF(D934="","", IFNA(VLOOKUP(D934, SATCAT_DECAY!A:B, 2, FALSE), ""))
</f>
        <v/>
      </c>
      <c r="G934" s="3" t="str">
        <f t="shared" si="1"/>
        <v>ACTIVE</v>
      </c>
    </row>
    <row r="935" ht="22.5" customHeight="1">
      <c r="A935" s="11" t="str">
        <f t="array" ref="A935">IFERROR(
  INDEX('Starlink Launches'!$A:$A, MATCH($E935, 'Starlink Launches'!$B:$B, 0)),
  ""
)
</f>
        <v>6-46</v>
      </c>
      <c r="B935" s="3" t="s">
        <v>25</v>
      </c>
      <c r="C935" s="12" t="s">
        <v>947</v>
      </c>
      <c r="D935" s="13">
        <v>59326.0</v>
      </c>
      <c r="E935" s="4">
        <v>45376.0</v>
      </c>
      <c r="F935" s="4" t="str">
        <f>IF(D935="","", IFNA(VLOOKUP(D935, SATCAT_DECAY!A:B, 2, FALSE), ""))
</f>
        <v/>
      </c>
      <c r="G935" s="3" t="str">
        <f t="shared" si="1"/>
        <v>ACTIVE</v>
      </c>
    </row>
    <row r="936" ht="22.5" customHeight="1">
      <c r="A936" s="11" t="str">
        <f t="array" ref="A936">IFERROR(
  INDEX('Starlink Launches'!$A:$A, MATCH($E936, 'Starlink Launches'!$B:$B, 0)),
  ""
)
</f>
        <v>6-46</v>
      </c>
      <c r="B936" s="3" t="s">
        <v>25</v>
      </c>
      <c r="C936" s="12" t="s">
        <v>948</v>
      </c>
      <c r="D936" s="13">
        <v>59327.0</v>
      </c>
      <c r="E936" s="4">
        <v>45376.0</v>
      </c>
      <c r="F936" s="4" t="str">
        <f>IF(D936="","", IFNA(VLOOKUP(D936, SATCAT_DECAY!A:B, 2, FALSE), ""))
</f>
        <v/>
      </c>
      <c r="G936" s="3" t="str">
        <f t="shared" si="1"/>
        <v>ACTIVE</v>
      </c>
    </row>
    <row r="937" ht="22.5" customHeight="1">
      <c r="A937" s="11" t="str">
        <f t="array" ref="A937">IFERROR(
  INDEX('Starlink Launches'!$A:$A, MATCH($E937, 'Starlink Launches'!$B:$B, 0)),
  ""
)
</f>
        <v>6-46</v>
      </c>
      <c r="B937" s="3" t="s">
        <v>25</v>
      </c>
      <c r="C937" s="12" t="s">
        <v>949</v>
      </c>
      <c r="D937" s="13">
        <v>59328.0</v>
      </c>
      <c r="E937" s="4">
        <v>45376.0</v>
      </c>
      <c r="F937" s="4" t="str">
        <f>IF(D937="","", IFNA(VLOOKUP(D937, SATCAT_DECAY!A:B, 2, FALSE), ""))
</f>
        <v/>
      </c>
      <c r="G937" s="3" t="str">
        <f t="shared" si="1"/>
        <v>ACTIVE</v>
      </c>
    </row>
    <row r="938" ht="22.5" customHeight="1">
      <c r="A938" s="11" t="str">
        <f t="array" ref="A938">IFERROR(
  INDEX('Starlink Launches'!$A:$A, MATCH($E938, 'Starlink Launches'!$B:$B, 0)),
  ""
)
</f>
        <v>6-46</v>
      </c>
      <c r="B938" s="3" t="s">
        <v>25</v>
      </c>
      <c r="C938" s="12" t="s">
        <v>950</v>
      </c>
      <c r="D938" s="13">
        <v>59329.0</v>
      </c>
      <c r="E938" s="4">
        <v>45376.0</v>
      </c>
      <c r="F938" s="4" t="str">
        <f>IF(D938="","", IFNA(VLOOKUP(D938, SATCAT_DECAY!A:B, 2, FALSE), ""))
</f>
        <v/>
      </c>
      <c r="G938" s="3" t="str">
        <f t="shared" si="1"/>
        <v>ACTIVE</v>
      </c>
    </row>
    <row r="939" ht="22.5" customHeight="1">
      <c r="A939" s="11" t="str">
        <f t="array" ref="A939">IFERROR(
  INDEX('Starlink Launches'!$A:$A, MATCH($E939, 'Starlink Launches'!$B:$B, 0)),
  ""
)
</f>
        <v>6-46</v>
      </c>
      <c r="B939" s="3" t="s">
        <v>25</v>
      </c>
      <c r="C939" s="12" t="s">
        <v>951</v>
      </c>
      <c r="D939" s="13">
        <v>59330.0</v>
      </c>
      <c r="E939" s="4">
        <v>45376.0</v>
      </c>
      <c r="F939" s="4" t="str">
        <f>IF(D939="","", IFNA(VLOOKUP(D939, SATCAT_DECAY!A:B, 2, FALSE), ""))
</f>
        <v/>
      </c>
      <c r="G939" s="3" t="str">
        <f t="shared" si="1"/>
        <v>ACTIVE</v>
      </c>
    </row>
    <row r="940" ht="22.5" customHeight="1">
      <c r="A940" s="11" t="str">
        <f t="array" ref="A940">IFERROR(
  INDEX('Starlink Launches'!$A:$A, MATCH($E940, 'Starlink Launches'!$B:$B, 0)),
  ""
)
</f>
        <v>6-46</v>
      </c>
      <c r="B940" s="3" t="s">
        <v>25</v>
      </c>
      <c r="C940" s="12" t="s">
        <v>952</v>
      </c>
      <c r="D940" s="13">
        <v>59331.0</v>
      </c>
      <c r="E940" s="4">
        <v>45376.0</v>
      </c>
      <c r="F940" s="4" t="str">
        <f>IF(D940="","", IFNA(VLOOKUP(D940, SATCAT_DECAY!A:B, 2, FALSE), ""))
</f>
        <v/>
      </c>
      <c r="G940" s="3" t="str">
        <f t="shared" si="1"/>
        <v>ACTIVE</v>
      </c>
    </row>
    <row r="941" ht="22.5" customHeight="1">
      <c r="A941" s="11" t="str">
        <f t="array" ref="A941">IFERROR(
  INDEX('Starlink Launches'!$A:$A, MATCH($E941, 'Starlink Launches'!$B:$B, 0)),
  ""
)
</f>
        <v>6-46</v>
      </c>
      <c r="B941" s="3" t="s">
        <v>25</v>
      </c>
      <c r="C941" s="12" t="s">
        <v>953</v>
      </c>
      <c r="D941" s="13">
        <v>59332.0</v>
      </c>
      <c r="E941" s="4">
        <v>45376.0</v>
      </c>
      <c r="F941" s="4" t="str">
        <f>IF(D941="","", IFNA(VLOOKUP(D941, SATCAT_DECAY!A:B, 2, FALSE), ""))
</f>
        <v/>
      </c>
      <c r="G941" s="3" t="str">
        <f t="shared" si="1"/>
        <v>ACTIVE</v>
      </c>
    </row>
    <row r="942" ht="22.5" customHeight="1">
      <c r="A942" s="11" t="str">
        <f t="array" ref="A942">IFERROR(
  INDEX('Starlink Launches'!$A:$A, MATCH($E942, 'Starlink Launches'!$B:$B, 0)),
  ""
)
</f>
        <v>6-46</v>
      </c>
      <c r="B942" s="3" t="s">
        <v>25</v>
      </c>
      <c r="C942" s="12" t="s">
        <v>954</v>
      </c>
      <c r="D942" s="13">
        <v>59333.0</v>
      </c>
      <c r="E942" s="4">
        <v>45376.0</v>
      </c>
      <c r="F942" s="4" t="str">
        <f>IF(D942="","", IFNA(VLOOKUP(D942, SATCAT_DECAY!A:B, 2, FALSE), ""))
</f>
        <v/>
      </c>
      <c r="G942" s="3" t="str">
        <f t="shared" si="1"/>
        <v>ACTIVE</v>
      </c>
    </row>
    <row r="943" ht="22.5" customHeight="1">
      <c r="A943" s="11" t="str">
        <f t="array" ref="A943">IFERROR(
  INDEX('Starlink Launches'!$A:$A, MATCH($E943, 'Starlink Launches'!$B:$B, 0)),
  ""
)
</f>
        <v>6-46</v>
      </c>
      <c r="B943" s="3" t="s">
        <v>25</v>
      </c>
      <c r="C943" s="12" t="s">
        <v>955</v>
      </c>
      <c r="D943" s="13">
        <v>59334.0</v>
      </c>
      <c r="E943" s="4">
        <v>45376.0</v>
      </c>
      <c r="F943" s="4" t="str">
        <f>IF(D943="","", IFNA(VLOOKUP(D943, SATCAT_DECAY!A:B, 2, FALSE), ""))
</f>
        <v/>
      </c>
      <c r="G943" s="3" t="str">
        <f t="shared" si="1"/>
        <v>ACTIVE</v>
      </c>
    </row>
    <row r="944" ht="22.5" customHeight="1">
      <c r="A944" s="11" t="str">
        <f t="array" ref="A944">IFERROR(
  INDEX('Starlink Launches'!$A:$A, MATCH($E944, 'Starlink Launches'!$B:$B, 0)),
  ""
)
</f>
        <v>6-46</v>
      </c>
      <c r="B944" s="3" t="s">
        <v>25</v>
      </c>
      <c r="C944" s="12" t="s">
        <v>956</v>
      </c>
      <c r="D944" s="13">
        <v>59335.0</v>
      </c>
      <c r="E944" s="4">
        <v>45376.0</v>
      </c>
      <c r="F944" s="4" t="str">
        <f>IF(D944="","", IFNA(VLOOKUP(D944, SATCAT_DECAY!A:B, 2, FALSE), ""))
</f>
        <v/>
      </c>
      <c r="G944" s="3" t="str">
        <f t="shared" si="1"/>
        <v>ACTIVE</v>
      </c>
    </row>
    <row r="945" ht="22.5" customHeight="1">
      <c r="A945" s="11" t="str">
        <f t="array" ref="A945">IFERROR(
  INDEX('Starlink Launches'!$A:$A, MATCH($E945, 'Starlink Launches'!$B:$B, 0)),
  ""
)
</f>
        <v>6-46</v>
      </c>
      <c r="B945" s="3" t="s">
        <v>25</v>
      </c>
      <c r="C945" s="12" t="s">
        <v>957</v>
      </c>
      <c r="D945" s="13">
        <v>59336.0</v>
      </c>
      <c r="E945" s="4">
        <v>45376.0</v>
      </c>
      <c r="F945" s="4" t="str">
        <f>IF(D945="","", IFNA(VLOOKUP(D945, SATCAT_DECAY!A:B, 2, FALSE), ""))
</f>
        <v/>
      </c>
      <c r="G945" s="3" t="str">
        <f t="shared" si="1"/>
        <v>ACTIVE</v>
      </c>
    </row>
    <row r="946" ht="22.5" customHeight="1">
      <c r="A946" s="11" t="str">
        <f t="array" ref="A946">IFERROR(
  INDEX('Starlink Launches'!$A:$A, MATCH($E946, 'Starlink Launches'!$B:$B, 0)),
  ""
)
</f>
        <v>6-46</v>
      </c>
      <c r="B946" s="3" t="s">
        <v>25</v>
      </c>
      <c r="C946" s="12" t="s">
        <v>958</v>
      </c>
      <c r="D946" s="13">
        <v>59337.0</v>
      </c>
      <c r="E946" s="4">
        <v>45376.0</v>
      </c>
      <c r="F946" s="4" t="str">
        <f>IF(D946="","", IFNA(VLOOKUP(D946, SATCAT_DECAY!A:B, 2, FALSE), ""))
</f>
        <v/>
      </c>
      <c r="G946" s="3" t="str">
        <f t="shared" si="1"/>
        <v>ACTIVE</v>
      </c>
    </row>
    <row r="947" ht="22.5" customHeight="1">
      <c r="A947" s="11" t="str">
        <f t="array" ref="A947">IFERROR(
  INDEX('Starlink Launches'!$A:$A, MATCH($E947, 'Starlink Launches'!$B:$B, 0)),
  ""
)
</f>
        <v>6-46</v>
      </c>
      <c r="B947" s="3" t="s">
        <v>25</v>
      </c>
      <c r="C947" s="12" t="s">
        <v>959</v>
      </c>
      <c r="D947" s="13">
        <v>59338.0</v>
      </c>
      <c r="E947" s="4">
        <v>45376.0</v>
      </c>
      <c r="F947" s="4" t="str">
        <f>IF(D947="","", IFNA(VLOOKUP(D947, SATCAT_DECAY!A:B, 2, FALSE), ""))
</f>
        <v/>
      </c>
      <c r="G947" s="3" t="str">
        <f t="shared" si="1"/>
        <v>ACTIVE</v>
      </c>
    </row>
    <row r="948" ht="22.5" customHeight="1">
      <c r="A948" s="11" t="str">
        <f t="array" ref="A948">IFERROR(
  INDEX('Starlink Launches'!$A:$A, MATCH($E948, 'Starlink Launches'!$B:$B, 0)),
  ""
)
</f>
        <v>6-46</v>
      </c>
      <c r="B948" s="3" t="s">
        <v>25</v>
      </c>
      <c r="C948" s="12" t="s">
        <v>960</v>
      </c>
      <c r="D948" s="13">
        <v>59339.0</v>
      </c>
      <c r="E948" s="4">
        <v>45376.0</v>
      </c>
      <c r="F948" s="4" t="str">
        <f>IF(D948="","", IFNA(VLOOKUP(D948, SATCAT_DECAY!A:B, 2, FALSE), ""))
</f>
        <v/>
      </c>
      <c r="G948" s="3" t="str">
        <f t="shared" si="1"/>
        <v>ACTIVE</v>
      </c>
    </row>
    <row r="949" ht="22.5" customHeight="1">
      <c r="A949" s="11" t="str">
        <f t="array" ref="A949">IFERROR(
  INDEX('Starlink Launches'!$A:$A, MATCH($E949, 'Starlink Launches'!$B:$B, 0)),
  ""
)
</f>
        <v>6-46</v>
      </c>
      <c r="B949" s="3" t="s">
        <v>25</v>
      </c>
      <c r="C949" s="12" t="s">
        <v>961</v>
      </c>
      <c r="D949" s="13">
        <v>59340.0</v>
      </c>
      <c r="E949" s="4">
        <v>45376.0</v>
      </c>
      <c r="F949" s="4" t="str">
        <f>IF(D949="","", IFNA(VLOOKUP(D949, SATCAT_DECAY!A:B, 2, FALSE), ""))
</f>
        <v/>
      </c>
      <c r="G949" s="3" t="str">
        <f t="shared" si="1"/>
        <v>ACTIVE</v>
      </c>
    </row>
    <row r="950" ht="22.5" customHeight="1">
      <c r="A950" s="11" t="str">
        <f t="array" ref="A950">IFERROR(
  INDEX('Starlink Launches'!$A:$A, MATCH($E950, 'Starlink Launches'!$B:$B, 0)),
  ""
)
</f>
        <v>6-46</v>
      </c>
      <c r="B950" s="3" t="s">
        <v>25</v>
      </c>
      <c r="C950" s="12" t="s">
        <v>962</v>
      </c>
      <c r="D950" s="13">
        <v>59341.0</v>
      </c>
      <c r="E950" s="4">
        <v>45376.0</v>
      </c>
      <c r="F950" s="4" t="str">
        <f>IF(D950="","", IFNA(VLOOKUP(D950, SATCAT_DECAY!A:B, 2, FALSE), ""))
</f>
        <v/>
      </c>
      <c r="G950" s="3" t="str">
        <f t="shared" si="1"/>
        <v>ACTIVE</v>
      </c>
    </row>
    <row r="951" ht="22.5" customHeight="1">
      <c r="A951" s="11" t="str">
        <f t="array" ref="A951">IFERROR(
  INDEX('Starlink Launches'!$A:$A, MATCH($E951, 'Starlink Launches'!$B:$B, 0)),
  ""
)
</f>
        <v>6-46</v>
      </c>
      <c r="B951" s="3" t="s">
        <v>25</v>
      </c>
      <c r="C951" s="12" t="s">
        <v>963</v>
      </c>
      <c r="D951" s="13">
        <v>59342.0</v>
      </c>
      <c r="E951" s="4">
        <v>45376.0</v>
      </c>
      <c r="F951" s="4" t="str">
        <f>IF(D951="","", IFNA(VLOOKUP(D951, SATCAT_DECAY!A:B, 2, FALSE), ""))
</f>
        <v/>
      </c>
      <c r="G951" s="3" t="str">
        <f t="shared" si="1"/>
        <v>ACTIVE</v>
      </c>
    </row>
    <row r="952" ht="22.5" customHeight="1">
      <c r="A952" s="11" t="str">
        <f t="array" ref="A952">IFERROR(
  INDEX('Starlink Launches'!$A:$A, MATCH($E952, 'Starlink Launches'!$B:$B, 0)),
  ""
)
</f>
        <v>6-45</v>
      </c>
      <c r="B952" s="3" t="s">
        <v>25</v>
      </c>
      <c r="C952" s="12" t="s">
        <v>964</v>
      </c>
      <c r="D952" s="13">
        <v>59348.0</v>
      </c>
      <c r="E952" s="4">
        <v>45382.0</v>
      </c>
      <c r="F952" s="4" t="str">
        <f>IF(D952="","", IFNA(VLOOKUP(D952, SATCAT_DECAY!A:B, 2, FALSE), ""))
</f>
        <v/>
      </c>
      <c r="G952" s="3" t="str">
        <f t="shared" si="1"/>
        <v>ACTIVE</v>
      </c>
    </row>
    <row r="953" ht="22.5" customHeight="1">
      <c r="A953" s="11" t="str">
        <f t="array" ref="A953">IFERROR(
  INDEX('Starlink Launches'!$A:$A, MATCH($E953, 'Starlink Launches'!$B:$B, 0)),
  ""
)
</f>
        <v>6-45</v>
      </c>
      <c r="B953" s="3" t="s">
        <v>25</v>
      </c>
      <c r="C953" s="12" t="s">
        <v>965</v>
      </c>
      <c r="D953" s="13">
        <v>59349.0</v>
      </c>
      <c r="E953" s="4">
        <v>45382.0</v>
      </c>
      <c r="F953" s="4" t="str">
        <f>IF(D953="","", IFNA(VLOOKUP(D953, SATCAT_DECAY!A:B, 2, FALSE), ""))
</f>
        <v/>
      </c>
      <c r="G953" s="3" t="str">
        <f t="shared" si="1"/>
        <v>ACTIVE</v>
      </c>
    </row>
    <row r="954" ht="22.5" customHeight="1">
      <c r="A954" s="11" t="str">
        <f t="array" ref="A954">IFERROR(
  INDEX('Starlink Launches'!$A:$A, MATCH($E954, 'Starlink Launches'!$B:$B, 0)),
  ""
)
</f>
        <v>6-45</v>
      </c>
      <c r="B954" s="3" t="s">
        <v>25</v>
      </c>
      <c r="C954" s="12" t="s">
        <v>966</v>
      </c>
      <c r="D954" s="13">
        <v>59350.0</v>
      </c>
      <c r="E954" s="4">
        <v>45382.0</v>
      </c>
      <c r="F954" s="4" t="str">
        <f>IF(D954="","", IFNA(VLOOKUP(D954, SATCAT_DECAY!A:B, 2, FALSE), ""))
</f>
        <v/>
      </c>
      <c r="G954" s="3" t="str">
        <f t="shared" si="1"/>
        <v>ACTIVE</v>
      </c>
    </row>
    <row r="955" ht="22.5" customHeight="1">
      <c r="A955" s="11" t="str">
        <f t="array" ref="A955">IFERROR(
  INDEX('Starlink Launches'!$A:$A, MATCH($E955, 'Starlink Launches'!$B:$B, 0)),
  ""
)
</f>
        <v>6-45</v>
      </c>
      <c r="B955" s="3" t="s">
        <v>25</v>
      </c>
      <c r="C955" s="12" t="s">
        <v>967</v>
      </c>
      <c r="D955" s="13">
        <v>59351.0</v>
      </c>
      <c r="E955" s="4">
        <v>45382.0</v>
      </c>
      <c r="F955" s="4" t="str">
        <f>IF(D955="","", IFNA(VLOOKUP(D955, SATCAT_DECAY!A:B, 2, FALSE), ""))
</f>
        <v/>
      </c>
      <c r="G955" s="3" t="str">
        <f t="shared" si="1"/>
        <v>ACTIVE</v>
      </c>
    </row>
    <row r="956" ht="22.5" customHeight="1">
      <c r="A956" s="11" t="str">
        <f t="array" ref="A956">IFERROR(
  INDEX('Starlink Launches'!$A:$A, MATCH($E956, 'Starlink Launches'!$B:$B, 0)),
  ""
)
</f>
        <v>6-45</v>
      </c>
      <c r="B956" s="3" t="s">
        <v>25</v>
      </c>
      <c r="C956" s="12" t="s">
        <v>968</v>
      </c>
      <c r="D956" s="13">
        <v>59352.0</v>
      </c>
      <c r="E956" s="4">
        <v>45382.0</v>
      </c>
      <c r="F956" s="4" t="str">
        <f>IF(D956="","", IFNA(VLOOKUP(D956, SATCAT_DECAY!A:B, 2, FALSE), ""))
</f>
        <v/>
      </c>
      <c r="G956" s="3" t="str">
        <f t="shared" si="1"/>
        <v>ACTIVE</v>
      </c>
    </row>
    <row r="957" ht="22.5" customHeight="1">
      <c r="A957" s="11" t="str">
        <f t="array" ref="A957">IFERROR(
  INDEX('Starlink Launches'!$A:$A, MATCH($E957, 'Starlink Launches'!$B:$B, 0)),
  ""
)
</f>
        <v>6-45</v>
      </c>
      <c r="B957" s="3" t="s">
        <v>25</v>
      </c>
      <c r="C957" s="12" t="s">
        <v>969</v>
      </c>
      <c r="D957" s="13">
        <v>59353.0</v>
      </c>
      <c r="E957" s="4">
        <v>45382.0</v>
      </c>
      <c r="F957" s="4" t="str">
        <f>IF(D957="","", IFNA(VLOOKUP(D957, SATCAT_DECAY!A:B, 2, FALSE), ""))
</f>
        <v/>
      </c>
      <c r="G957" s="3" t="str">
        <f t="shared" si="1"/>
        <v>ACTIVE</v>
      </c>
    </row>
    <row r="958" ht="22.5" customHeight="1">
      <c r="A958" s="11" t="str">
        <f t="array" ref="A958">IFERROR(
  INDEX('Starlink Launches'!$A:$A, MATCH($E958, 'Starlink Launches'!$B:$B, 0)),
  ""
)
</f>
        <v>6-45</v>
      </c>
      <c r="B958" s="3" t="s">
        <v>25</v>
      </c>
      <c r="C958" s="12" t="s">
        <v>970</v>
      </c>
      <c r="D958" s="13">
        <v>59354.0</v>
      </c>
      <c r="E958" s="4">
        <v>45382.0</v>
      </c>
      <c r="F958" s="4" t="str">
        <f>IF(D958="","", IFNA(VLOOKUP(D958, SATCAT_DECAY!A:B, 2, FALSE), ""))
</f>
        <v/>
      </c>
      <c r="G958" s="3" t="str">
        <f t="shared" si="1"/>
        <v>ACTIVE</v>
      </c>
    </row>
    <row r="959" ht="22.5" customHeight="1">
      <c r="A959" s="11" t="str">
        <f t="array" ref="A959">IFERROR(
  INDEX('Starlink Launches'!$A:$A, MATCH($E959, 'Starlink Launches'!$B:$B, 0)),
  ""
)
</f>
        <v>6-45</v>
      </c>
      <c r="B959" s="3" t="s">
        <v>25</v>
      </c>
      <c r="C959" s="12" t="s">
        <v>971</v>
      </c>
      <c r="D959" s="13">
        <v>59355.0</v>
      </c>
      <c r="E959" s="4">
        <v>45382.0</v>
      </c>
      <c r="F959" s="4" t="str">
        <f>IF(D959="","", IFNA(VLOOKUP(D959, SATCAT_DECAY!A:B, 2, FALSE), ""))
</f>
        <v/>
      </c>
      <c r="G959" s="3" t="str">
        <f t="shared" si="1"/>
        <v>ACTIVE</v>
      </c>
    </row>
    <row r="960" ht="22.5" customHeight="1">
      <c r="A960" s="11" t="str">
        <f t="array" ref="A960">IFERROR(
  INDEX('Starlink Launches'!$A:$A, MATCH($E960, 'Starlink Launches'!$B:$B, 0)),
  ""
)
</f>
        <v>6-45</v>
      </c>
      <c r="B960" s="3" t="s">
        <v>25</v>
      </c>
      <c r="C960" s="12" t="s">
        <v>972</v>
      </c>
      <c r="D960" s="13">
        <v>59356.0</v>
      </c>
      <c r="E960" s="4">
        <v>45382.0</v>
      </c>
      <c r="F960" s="4" t="str">
        <f>IF(D960="","", IFNA(VLOOKUP(D960, SATCAT_DECAY!A:B, 2, FALSE), ""))
</f>
        <v/>
      </c>
      <c r="G960" s="3" t="str">
        <f t="shared" si="1"/>
        <v>ACTIVE</v>
      </c>
    </row>
    <row r="961" ht="22.5" customHeight="1">
      <c r="A961" s="11" t="str">
        <f t="array" ref="A961">IFERROR(
  INDEX('Starlink Launches'!$A:$A, MATCH($E961, 'Starlink Launches'!$B:$B, 0)),
  ""
)
</f>
        <v>6-45</v>
      </c>
      <c r="B961" s="3" t="s">
        <v>25</v>
      </c>
      <c r="C961" s="12" t="s">
        <v>973</v>
      </c>
      <c r="D961" s="13">
        <v>59357.0</v>
      </c>
      <c r="E961" s="4">
        <v>45382.0</v>
      </c>
      <c r="F961" s="4" t="str">
        <f>IF(D961="","", IFNA(VLOOKUP(D961, SATCAT_DECAY!A:B, 2, FALSE), ""))
</f>
        <v/>
      </c>
      <c r="G961" s="3" t="str">
        <f t="shared" si="1"/>
        <v>ACTIVE</v>
      </c>
    </row>
    <row r="962" ht="22.5" customHeight="1">
      <c r="A962" s="11" t="str">
        <f t="array" ref="A962">IFERROR(
  INDEX('Starlink Launches'!$A:$A, MATCH($E962, 'Starlink Launches'!$B:$B, 0)),
  ""
)
</f>
        <v>6-45</v>
      </c>
      <c r="B962" s="3" t="s">
        <v>25</v>
      </c>
      <c r="C962" s="12" t="s">
        <v>974</v>
      </c>
      <c r="D962" s="13">
        <v>59358.0</v>
      </c>
      <c r="E962" s="4">
        <v>45382.0</v>
      </c>
      <c r="F962" s="4" t="str">
        <f>IF(D962="","", IFNA(VLOOKUP(D962, SATCAT_DECAY!A:B, 2, FALSE), ""))
</f>
        <v/>
      </c>
      <c r="G962" s="3" t="str">
        <f t="shared" si="1"/>
        <v>ACTIVE</v>
      </c>
    </row>
    <row r="963" ht="22.5" customHeight="1">
      <c r="A963" s="11" t="str">
        <f t="array" ref="A963">IFERROR(
  INDEX('Starlink Launches'!$A:$A, MATCH($E963, 'Starlink Launches'!$B:$B, 0)),
  ""
)
</f>
        <v>6-45</v>
      </c>
      <c r="B963" s="3" t="s">
        <v>25</v>
      </c>
      <c r="C963" s="12" t="s">
        <v>975</v>
      </c>
      <c r="D963" s="13">
        <v>59359.0</v>
      </c>
      <c r="E963" s="4">
        <v>45382.0</v>
      </c>
      <c r="F963" s="4" t="str">
        <f>IF(D963="","", IFNA(VLOOKUP(D963, SATCAT_DECAY!A:B, 2, FALSE), ""))
</f>
        <v/>
      </c>
      <c r="G963" s="3" t="str">
        <f t="shared" si="1"/>
        <v>ACTIVE</v>
      </c>
    </row>
    <row r="964" ht="22.5" customHeight="1">
      <c r="A964" s="11" t="str">
        <f t="array" ref="A964">IFERROR(
  INDEX('Starlink Launches'!$A:$A, MATCH($E964, 'Starlink Launches'!$B:$B, 0)),
  ""
)
</f>
        <v>6-45</v>
      </c>
      <c r="B964" s="3" t="s">
        <v>25</v>
      </c>
      <c r="C964" s="12" t="s">
        <v>976</v>
      </c>
      <c r="D964" s="13">
        <v>59360.0</v>
      </c>
      <c r="E964" s="4">
        <v>45382.0</v>
      </c>
      <c r="F964" s="4" t="str">
        <f>IF(D964="","", IFNA(VLOOKUP(D964, SATCAT_DECAY!A:B, 2, FALSE), ""))
</f>
        <v/>
      </c>
      <c r="G964" s="3" t="str">
        <f t="shared" si="1"/>
        <v>ACTIVE</v>
      </c>
    </row>
    <row r="965" ht="22.5" customHeight="1">
      <c r="A965" s="11" t="str">
        <f t="array" ref="A965">IFERROR(
  INDEX('Starlink Launches'!$A:$A, MATCH($E965, 'Starlink Launches'!$B:$B, 0)),
  ""
)
</f>
        <v>6-45</v>
      </c>
      <c r="B965" s="3" t="s">
        <v>25</v>
      </c>
      <c r="C965" s="12" t="s">
        <v>977</v>
      </c>
      <c r="D965" s="13">
        <v>59361.0</v>
      </c>
      <c r="E965" s="4">
        <v>45382.0</v>
      </c>
      <c r="F965" s="4" t="str">
        <f>IF(D965="","", IFNA(VLOOKUP(D965, SATCAT_DECAY!A:B, 2, FALSE), ""))
</f>
        <v/>
      </c>
      <c r="G965" s="3" t="str">
        <f t="shared" si="1"/>
        <v>ACTIVE</v>
      </c>
    </row>
    <row r="966" ht="22.5" customHeight="1">
      <c r="A966" s="11" t="str">
        <f t="array" ref="A966">IFERROR(
  INDEX('Starlink Launches'!$A:$A, MATCH($E966, 'Starlink Launches'!$B:$B, 0)),
  ""
)
</f>
        <v>6-45</v>
      </c>
      <c r="B966" s="3" t="s">
        <v>25</v>
      </c>
      <c r="C966" s="12" t="s">
        <v>978</v>
      </c>
      <c r="D966" s="13">
        <v>59362.0</v>
      </c>
      <c r="E966" s="4">
        <v>45382.0</v>
      </c>
      <c r="F966" s="4" t="str">
        <f>IF(D966="","", IFNA(VLOOKUP(D966, SATCAT_DECAY!A:B, 2, FALSE), ""))
</f>
        <v/>
      </c>
      <c r="G966" s="3" t="str">
        <f t="shared" si="1"/>
        <v>ACTIVE</v>
      </c>
    </row>
    <row r="967" ht="22.5" customHeight="1">
      <c r="A967" s="11" t="str">
        <f t="array" ref="A967">IFERROR(
  INDEX('Starlink Launches'!$A:$A, MATCH($E967, 'Starlink Launches'!$B:$B, 0)),
  ""
)
</f>
        <v>6-45</v>
      </c>
      <c r="B967" s="3" t="s">
        <v>25</v>
      </c>
      <c r="C967" s="12" t="s">
        <v>979</v>
      </c>
      <c r="D967" s="13">
        <v>59363.0</v>
      </c>
      <c r="E967" s="4">
        <v>45382.0</v>
      </c>
      <c r="F967" s="4" t="str">
        <f>IF(D967="","", IFNA(VLOOKUP(D967, SATCAT_DECAY!A:B, 2, FALSE), ""))
</f>
        <v/>
      </c>
      <c r="G967" s="3" t="str">
        <f t="shared" si="1"/>
        <v>ACTIVE</v>
      </c>
    </row>
    <row r="968" ht="22.5" customHeight="1">
      <c r="A968" s="11" t="str">
        <f t="array" ref="A968">IFERROR(
  INDEX('Starlink Launches'!$A:$A, MATCH($E968, 'Starlink Launches'!$B:$B, 0)),
  ""
)
</f>
        <v>6-45</v>
      </c>
      <c r="B968" s="3" t="s">
        <v>25</v>
      </c>
      <c r="C968" s="12" t="s">
        <v>980</v>
      </c>
      <c r="D968" s="13">
        <v>59364.0</v>
      </c>
      <c r="E968" s="4">
        <v>45382.0</v>
      </c>
      <c r="F968" s="4" t="str">
        <f>IF(D968="","", IFNA(VLOOKUP(D968, SATCAT_DECAY!A:B, 2, FALSE), ""))
</f>
        <v/>
      </c>
      <c r="G968" s="3" t="str">
        <f t="shared" si="1"/>
        <v>ACTIVE</v>
      </c>
    </row>
    <row r="969" ht="22.5" customHeight="1">
      <c r="A969" s="11" t="str">
        <f t="array" ref="A969">IFERROR(
  INDEX('Starlink Launches'!$A:$A, MATCH($E969, 'Starlink Launches'!$B:$B, 0)),
  ""
)
</f>
        <v>6-45</v>
      </c>
      <c r="B969" s="3" t="s">
        <v>25</v>
      </c>
      <c r="C969" s="12" t="s">
        <v>981</v>
      </c>
      <c r="D969" s="13">
        <v>59365.0</v>
      </c>
      <c r="E969" s="4">
        <v>45382.0</v>
      </c>
      <c r="F969" s="4" t="str">
        <f>IF(D969="","", IFNA(VLOOKUP(D969, SATCAT_DECAY!A:B, 2, FALSE), ""))
</f>
        <v/>
      </c>
      <c r="G969" s="3" t="str">
        <f t="shared" si="1"/>
        <v>ACTIVE</v>
      </c>
    </row>
    <row r="970" ht="22.5" customHeight="1">
      <c r="A970" s="11" t="str">
        <f t="array" ref="A970">IFERROR(
  INDEX('Starlink Launches'!$A:$A, MATCH($E970, 'Starlink Launches'!$B:$B, 0)),
  ""
)
</f>
        <v>6-45</v>
      </c>
      <c r="B970" s="3" t="s">
        <v>25</v>
      </c>
      <c r="C970" s="12" t="s">
        <v>982</v>
      </c>
      <c r="D970" s="13">
        <v>59366.0</v>
      </c>
      <c r="E970" s="4">
        <v>45382.0</v>
      </c>
      <c r="F970" s="4" t="str">
        <f>IF(D970="","", IFNA(VLOOKUP(D970, SATCAT_DECAY!A:B, 2, FALSE), ""))
</f>
        <v/>
      </c>
      <c r="G970" s="3" t="str">
        <f t="shared" si="1"/>
        <v>ACTIVE</v>
      </c>
    </row>
    <row r="971" ht="22.5" customHeight="1">
      <c r="A971" s="11" t="str">
        <f t="array" ref="A971">IFERROR(
  INDEX('Starlink Launches'!$A:$A, MATCH($E971, 'Starlink Launches'!$B:$B, 0)),
  ""
)
</f>
        <v>6-45</v>
      </c>
      <c r="B971" s="3" t="s">
        <v>25</v>
      </c>
      <c r="C971" s="12" t="s">
        <v>983</v>
      </c>
      <c r="D971" s="13">
        <v>59367.0</v>
      </c>
      <c r="E971" s="4">
        <v>45382.0</v>
      </c>
      <c r="F971" s="4" t="str">
        <f>IF(D971="","", IFNA(VLOOKUP(D971, SATCAT_DECAY!A:B, 2, FALSE), ""))
</f>
        <v/>
      </c>
      <c r="G971" s="3" t="str">
        <f t="shared" si="1"/>
        <v>ACTIVE</v>
      </c>
    </row>
    <row r="972" ht="22.5" customHeight="1">
      <c r="A972" s="11" t="str">
        <f t="array" ref="A972">IFERROR(
  INDEX('Starlink Launches'!$A:$A, MATCH($E972, 'Starlink Launches'!$B:$B, 0)),
  ""
)
</f>
        <v>6-45</v>
      </c>
      <c r="B972" s="3" t="s">
        <v>25</v>
      </c>
      <c r="C972" s="12" t="s">
        <v>984</v>
      </c>
      <c r="D972" s="13">
        <v>59368.0</v>
      </c>
      <c r="E972" s="4">
        <v>45382.0</v>
      </c>
      <c r="F972" s="4" t="str">
        <f>IF(D972="","", IFNA(VLOOKUP(D972, SATCAT_DECAY!A:B, 2, FALSE), ""))
</f>
        <v/>
      </c>
      <c r="G972" s="3" t="str">
        <f t="shared" si="1"/>
        <v>ACTIVE</v>
      </c>
    </row>
    <row r="973" ht="22.5" customHeight="1">
      <c r="A973" s="11" t="str">
        <f t="array" ref="A973">IFERROR(
  INDEX('Starlink Launches'!$A:$A, MATCH($E973, 'Starlink Launches'!$B:$B, 0)),
  ""
)
</f>
        <v>6-45</v>
      </c>
      <c r="B973" s="3" t="s">
        <v>25</v>
      </c>
      <c r="C973" s="12" t="s">
        <v>985</v>
      </c>
      <c r="D973" s="13">
        <v>59369.0</v>
      </c>
      <c r="E973" s="4">
        <v>45382.0</v>
      </c>
      <c r="F973" s="4" t="str">
        <f>IF(D973="","", IFNA(VLOOKUP(D973, SATCAT_DECAY!A:B, 2, FALSE), ""))
</f>
        <v/>
      </c>
      <c r="G973" s="3" t="str">
        <f t="shared" si="1"/>
        <v>ACTIVE</v>
      </c>
    </row>
    <row r="974" ht="22.5" customHeight="1">
      <c r="A974" s="11" t="str">
        <f t="array" ref="A974">IFERROR(
  INDEX('Starlink Launches'!$A:$A, MATCH($E974, 'Starlink Launches'!$B:$B, 0)),
  ""
)
</f>
        <v>6-45</v>
      </c>
      <c r="B974" s="3" t="s">
        <v>25</v>
      </c>
      <c r="C974" s="12" t="s">
        <v>986</v>
      </c>
      <c r="D974" s="13">
        <v>59370.0</v>
      </c>
      <c r="E974" s="4">
        <v>45382.0</v>
      </c>
      <c r="F974" s="4" t="str">
        <f>IF(D974="","", IFNA(VLOOKUP(D974, SATCAT_DECAY!A:B, 2, FALSE), ""))
</f>
        <v/>
      </c>
      <c r="G974" s="3" t="str">
        <f t="shared" si="1"/>
        <v>ACTIVE</v>
      </c>
    </row>
    <row r="975" ht="22.5" customHeight="1">
      <c r="A975" s="11" t="str">
        <f t="array" ref="A975">IFERROR(
  INDEX('Starlink Launches'!$A:$A, MATCH($E975, 'Starlink Launches'!$B:$B, 0)),
  ""
)
</f>
        <v>6-47</v>
      </c>
      <c r="B975" s="3" t="s">
        <v>25</v>
      </c>
      <c r="C975" s="12" t="s">
        <v>987</v>
      </c>
      <c r="D975" s="13">
        <v>59398.0</v>
      </c>
      <c r="E975" s="4">
        <v>45387.0</v>
      </c>
      <c r="F975" s="4" t="str">
        <f>IF(D975="","", IFNA(VLOOKUP(D975, SATCAT_DECAY!A:B, 2, FALSE), ""))
</f>
        <v/>
      </c>
      <c r="G975" s="3" t="str">
        <f t="shared" si="1"/>
        <v>ACTIVE</v>
      </c>
    </row>
    <row r="976" ht="22.5" customHeight="1">
      <c r="A976" s="11" t="str">
        <f t="array" ref="A976">IFERROR(
  INDEX('Starlink Launches'!$A:$A, MATCH($E976, 'Starlink Launches'!$B:$B, 0)),
  ""
)
</f>
        <v>6-47</v>
      </c>
      <c r="B976" s="3" t="s">
        <v>25</v>
      </c>
      <c r="C976" s="12" t="s">
        <v>988</v>
      </c>
      <c r="D976" s="13">
        <v>59399.0</v>
      </c>
      <c r="E976" s="4">
        <v>45387.0</v>
      </c>
      <c r="F976" s="4" t="str">
        <f>IF(D976="","", IFNA(VLOOKUP(D976, SATCAT_DECAY!A:B, 2, FALSE), ""))
</f>
        <v/>
      </c>
      <c r="G976" s="3" t="str">
        <f t="shared" si="1"/>
        <v>ACTIVE</v>
      </c>
    </row>
    <row r="977" ht="22.5" customHeight="1">
      <c r="A977" s="11" t="str">
        <f t="array" ref="A977">IFERROR(
  INDEX('Starlink Launches'!$A:$A, MATCH($E977, 'Starlink Launches'!$B:$B, 0)),
  ""
)
</f>
        <v>6-47</v>
      </c>
      <c r="B977" s="3" t="s">
        <v>25</v>
      </c>
      <c r="C977" s="12" t="s">
        <v>989</v>
      </c>
      <c r="D977" s="13">
        <v>59400.0</v>
      </c>
      <c r="E977" s="4">
        <v>45387.0</v>
      </c>
      <c r="F977" s="4" t="str">
        <f>IF(D977="","", IFNA(VLOOKUP(D977, SATCAT_DECAY!A:B, 2, FALSE), ""))
</f>
        <v/>
      </c>
      <c r="G977" s="3" t="str">
        <f t="shared" si="1"/>
        <v>ACTIVE</v>
      </c>
    </row>
    <row r="978" ht="22.5" customHeight="1">
      <c r="A978" s="11" t="str">
        <f t="array" ref="A978">IFERROR(
  INDEX('Starlink Launches'!$A:$A, MATCH($E978, 'Starlink Launches'!$B:$B, 0)),
  ""
)
</f>
        <v>6-47</v>
      </c>
      <c r="B978" s="3" t="s">
        <v>25</v>
      </c>
      <c r="C978" s="12" t="s">
        <v>990</v>
      </c>
      <c r="D978" s="13">
        <v>59401.0</v>
      </c>
      <c r="E978" s="4">
        <v>45387.0</v>
      </c>
      <c r="F978" s="4" t="str">
        <f>IF(D978="","", IFNA(VLOOKUP(D978, SATCAT_DECAY!A:B, 2, FALSE), ""))
</f>
        <v/>
      </c>
      <c r="G978" s="3" t="str">
        <f t="shared" si="1"/>
        <v>ACTIVE</v>
      </c>
    </row>
    <row r="979" ht="22.5" customHeight="1">
      <c r="A979" s="11" t="str">
        <f t="array" ref="A979">IFERROR(
  INDEX('Starlink Launches'!$A:$A, MATCH($E979, 'Starlink Launches'!$B:$B, 0)),
  ""
)
</f>
        <v>6-47</v>
      </c>
      <c r="B979" s="3" t="s">
        <v>25</v>
      </c>
      <c r="C979" s="12" t="s">
        <v>991</v>
      </c>
      <c r="D979" s="13">
        <v>59402.0</v>
      </c>
      <c r="E979" s="4">
        <v>45387.0</v>
      </c>
      <c r="F979" s="4" t="str">
        <f>IF(D979="","", IFNA(VLOOKUP(D979, SATCAT_DECAY!A:B, 2, FALSE), ""))
</f>
        <v/>
      </c>
      <c r="G979" s="3" t="str">
        <f t="shared" si="1"/>
        <v>ACTIVE</v>
      </c>
    </row>
    <row r="980" ht="22.5" customHeight="1">
      <c r="A980" s="11" t="str">
        <f t="array" ref="A980">IFERROR(
  INDEX('Starlink Launches'!$A:$A, MATCH($E980, 'Starlink Launches'!$B:$B, 0)),
  ""
)
</f>
        <v>6-47</v>
      </c>
      <c r="B980" s="3" t="s">
        <v>25</v>
      </c>
      <c r="C980" s="12" t="s">
        <v>992</v>
      </c>
      <c r="D980" s="13">
        <v>59403.0</v>
      </c>
      <c r="E980" s="4">
        <v>45387.0</v>
      </c>
      <c r="F980" s="4" t="str">
        <f>IF(D980="","", IFNA(VLOOKUP(D980, SATCAT_DECAY!A:B, 2, FALSE), ""))
</f>
        <v/>
      </c>
      <c r="G980" s="3" t="str">
        <f t="shared" si="1"/>
        <v>ACTIVE</v>
      </c>
    </row>
    <row r="981" ht="22.5" customHeight="1">
      <c r="A981" s="11" t="str">
        <f t="array" ref="A981">IFERROR(
  INDEX('Starlink Launches'!$A:$A, MATCH($E981, 'Starlink Launches'!$B:$B, 0)),
  ""
)
</f>
        <v>6-47</v>
      </c>
      <c r="B981" s="3" t="s">
        <v>25</v>
      </c>
      <c r="C981" s="12" t="s">
        <v>993</v>
      </c>
      <c r="D981" s="13">
        <v>59404.0</v>
      </c>
      <c r="E981" s="4">
        <v>45387.0</v>
      </c>
      <c r="F981" s="4" t="str">
        <f>IF(D981="","", IFNA(VLOOKUP(D981, SATCAT_DECAY!A:B, 2, FALSE), ""))
</f>
        <v/>
      </c>
      <c r="G981" s="3" t="str">
        <f t="shared" si="1"/>
        <v>ACTIVE</v>
      </c>
    </row>
    <row r="982" ht="22.5" customHeight="1">
      <c r="A982" s="11" t="str">
        <f t="array" ref="A982">IFERROR(
  INDEX('Starlink Launches'!$A:$A, MATCH($E982, 'Starlink Launches'!$B:$B, 0)),
  ""
)
</f>
        <v>6-47</v>
      </c>
      <c r="B982" s="3" t="s">
        <v>25</v>
      </c>
      <c r="C982" s="12" t="s">
        <v>994</v>
      </c>
      <c r="D982" s="13">
        <v>59405.0</v>
      </c>
      <c r="E982" s="4">
        <v>45387.0</v>
      </c>
      <c r="F982" s="4" t="str">
        <f>IF(D982="","", IFNA(VLOOKUP(D982, SATCAT_DECAY!A:B, 2, FALSE), ""))
</f>
        <v/>
      </c>
      <c r="G982" s="3" t="str">
        <f t="shared" si="1"/>
        <v>ACTIVE</v>
      </c>
    </row>
    <row r="983" ht="22.5" customHeight="1">
      <c r="A983" s="11" t="str">
        <f t="array" ref="A983">IFERROR(
  INDEX('Starlink Launches'!$A:$A, MATCH($E983, 'Starlink Launches'!$B:$B, 0)),
  ""
)
</f>
        <v>6-47</v>
      </c>
      <c r="B983" s="3" t="s">
        <v>25</v>
      </c>
      <c r="C983" s="12" t="s">
        <v>995</v>
      </c>
      <c r="D983" s="13">
        <v>59406.0</v>
      </c>
      <c r="E983" s="4">
        <v>45387.0</v>
      </c>
      <c r="F983" s="4" t="str">
        <f>IF(D983="","", IFNA(VLOOKUP(D983, SATCAT_DECAY!A:B, 2, FALSE), ""))
</f>
        <v/>
      </c>
      <c r="G983" s="3" t="str">
        <f t="shared" si="1"/>
        <v>ACTIVE</v>
      </c>
    </row>
    <row r="984" ht="22.5" customHeight="1">
      <c r="A984" s="11" t="str">
        <f t="array" ref="A984">IFERROR(
  INDEX('Starlink Launches'!$A:$A, MATCH($E984, 'Starlink Launches'!$B:$B, 0)),
  ""
)
</f>
        <v>6-47</v>
      </c>
      <c r="B984" s="3" t="s">
        <v>25</v>
      </c>
      <c r="C984" s="12" t="s">
        <v>996</v>
      </c>
      <c r="D984" s="13">
        <v>59407.0</v>
      </c>
      <c r="E984" s="4">
        <v>45387.0</v>
      </c>
      <c r="F984" s="4" t="str">
        <f>IF(D984="","", IFNA(VLOOKUP(D984, SATCAT_DECAY!A:B, 2, FALSE), ""))
</f>
        <v/>
      </c>
      <c r="G984" s="3" t="str">
        <f t="shared" si="1"/>
        <v>ACTIVE</v>
      </c>
    </row>
    <row r="985" ht="22.5" customHeight="1">
      <c r="A985" s="11" t="str">
        <f t="array" ref="A985">IFERROR(
  INDEX('Starlink Launches'!$A:$A, MATCH($E985, 'Starlink Launches'!$B:$B, 0)),
  ""
)
</f>
        <v>6-47</v>
      </c>
      <c r="B985" s="3" t="s">
        <v>25</v>
      </c>
      <c r="C985" s="12" t="s">
        <v>997</v>
      </c>
      <c r="D985" s="13">
        <v>59409.0</v>
      </c>
      <c r="E985" s="4">
        <v>45387.0</v>
      </c>
      <c r="F985" s="4" t="str">
        <f>IF(D985="","", IFNA(VLOOKUP(D985, SATCAT_DECAY!A:B, 2, FALSE), ""))
</f>
        <v/>
      </c>
      <c r="G985" s="3" t="str">
        <f t="shared" si="1"/>
        <v>ACTIVE</v>
      </c>
    </row>
    <row r="986" ht="22.5" customHeight="1">
      <c r="A986" s="11" t="str">
        <f t="array" ref="A986">IFERROR(
  INDEX('Starlink Launches'!$A:$A, MATCH($E986, 'Starlink Launches'!$B:$B, 0)),
  ""
)
</f>
        <v>6-47</v>
      </c>
      <c r="B986" s="3" t="s">
        <v>25</v>
      </c>
      <c r="C986" s="12" t="s">
        <v>998</v>
      </c>
      <c r="D986" s="13">
        <v>59410.0</v>
      </c>
      <c r="E986" s="4">
        <v>45387.0</v>
      </c>
      <c r="F986" s="4" t="str">
        <f>IF(D986="","", IFNA(VLOOKUP(D986, SATCAT_DECAY!A:B, 2, FALSE), ""))
</f>
        <v/>
      </c>
      <c r="G986" s="3" t="str">
        <f t="shared" si="1"/>
        <v>ACTIVE</v>
      </c>
    </row>
    <row r="987" ht="22.5" customHeight="1">
      <c r="A987" s="11" t="str">
        <f t="array" ref="A987">IFERROR(
  INDEX('Starlink Launches'!$A:$A, MATCH($E987, 'Starlink Launches'!$B:$B, 0)),
  ""
)
</f>
        <v>6-47</v>
      </c>
      <c r="B987" s="3" t="s">
        <v>25</v>
      </c>
      <c r="C987" s="12" t="s">
        <v>999</v>
      </c>
      <c r="D987" s="13">
        <v>59411.0</v>
      </c>
      <c r="E987" s="4">
        <v>45387.0</v>
      </c>
      <c r="F987" s="4" t="str">
        <f>IF(D987="","", IFNA(VLOOKUP(D987, SATCAT_DECAY!A:B, 2, FALSE), ""))
</f>
        <v/>
      </c>
      <c r="G987" s="3" t="str">
        <f t="shared" si="1"/>
        <v>ACTIVE</v>
      </c>
    </row>
    <row r="988" ht="22.5" customHeight="1">
      <c r="A988" s="11" t="str">
        <f t="array" ref="A988">IFERROR(
  INDEX('Starlink Launches'!$A:$A, MATCH($E988, 'Starlink Launches'!$B:$B, 0)),
  ""
)
</f>
        <v>6-47</v>
      </c>
      <c r="B988" s="3" t="s">
        <v>25</v>
      </c>
      <c r="C988" s="12" t="s">
        <v>1000</v>
      </c>
      <c r="D988" s="13">
        <v>59412.0</v>
      </c>
      <c r="E988" s="4">
        <v>45387.0</v>
      </c>
      <c r="F988" s="4" t="str">
        <f>IF(D988="","", IFNA(VLOOKUP(D988, SATCAT_DECAY!A:B, 2, FALSE), ""))
</f>
        <v/>
      </c>
      <c r="G988" s="3" t="str">
        <f t="shared" si="1"/>
        <v>ACTIVE</v>
      </c>
    </row>
    <row r="989" ht="22.5" customHeight="1">
      <c r="A989" s="11" t="str">
        <f t="array" ref="A989">IFERROR(
  INDEX('Starlink Launches'!$A:$A, MATCH($E989, 'Starlink Launches'!$B:$B, 0)),
  ""
)
</f>
        <v>6-47</v>
      </c>
      <c r="B989" s="3" t="s">
        <v>25</v>
      </c>
      <c r="C989" s="12" t="s">
        <v>1001</v>
      </c>
      <c r="D989" s="13">
        <v>59413.0</v>
      </c>
      <c r="E989" s="4">
        <v>45387.0</v>
      </c>
      <c r="F989" s="4" t="str">
        <f>IF(D989="","", IFNA(VLOOKUP(D989, SATCAT_DECAY!A:B, 2, FALSE), ""))
</f>
        <v/>
      </c>
      <c r="G989" s="3" t="str">
        <f t="shared" si="1"/>
        <v>ACTIVE</v>
      </c>
    </row>
    <row r="990" ht="22.5" customHeight="1">
      <c r="A990" s="11" t="str">
        <f t="array" ref="A990">IFERROR(
  INDEX('Starlink Launches'!$A:$A, MATCH($E990, 'Starlink Launches'!$B:$B, 0)),
  ""
)
</f>
        <v>6-47</v>
      </c>
      <c r="B990" s="3" t="s">
        <v>25</v>
      </c>
      <c r="C990" s="12" t="s">
        <v>1002</v>
      </c>
      <c r="D990" s="13">
        <v>59414.0</v>
      </c>
      <c r="E990" s="4">
        <v>45387.0</v>
      </c>
      <c r="F990" s="4" t="str">
        <f>IF(D990="","", IFNA(VLOOKUP(D990, SATCAT_DECAY!A:B, 2, FALSE), ""))
</f>
        <v/>
      </c>
      <c r="G990" s="3" t="str">
        <f t="shared" si="1"/>
        <v>ACTIVE</v>
      </c>
    </row>
    <row r="991" ht="22.5" customHeight="1">
      <c r="A991" s="11" t="str">
        <f t="array" ref="A991">IFERROR(
  INDEX('Starlink Launches'!$A:$A, MATCH($E991, 'Starlink Launches'!$B:$B, 0)),
  ""
)
</f>
        <v>6-47</v>
      </c>
      <c r="B991" s="3" t="s">
        <v>25</v>
      </c>
      <c r="C991" s="12" t="s">
        <v>1003</v>
      </c>
      <c r="D991" s="13">
        <v>59415.0</v>
      </c>
      <c r="E991" s="4">
        <v>45387.0</v>
      </c>
      <c r="F991" s="4" t="str">
        <f>IF(D991="","", IFNA(VLOOKUP(D991, SATCAT_DECAY!A:B, 2, FALSE), ""))
</f>
        <v/>
      </c>
      <c r="G991" s="3" t="str">
        <f t="shared" si="1"/>
        <v>ACTIVE</v>
      </c>
    </row>
    <row r="992" ht="22.5" customHeight="1">
      <c r="A992" s="11" t="str">
        <f t="array" ref="A992">IFERROR(
  INDEX('Starlink Launches'!$A:$A, MATCH($E992, 'Starlink Launches'!$B:$B, 0)),
  ""
)
</f>
        <v>6-47</v>
      </c>
      <c r="B992" s="3" t="s">
        <v>25</v>
      </c>
      <c r="C992" s="12" t="s">
        <v>1004</v>
      </c>
      <c r="D992" s="13">
        <v>59416.0</v>
      </c>
      <c r="E992" s="4">
        <v>45387.0</v>
      </c>
      <c r="F992" s="4" t="str">
        <f>IF(D992="","", IFNA(VLOOKUP(D992, SATCAT_DECAY!A:B, 2, FALSE), ""))
</f>
        <v/>
      </c>
      <c r="G992" s="3" t="str">
        <f t="shared" si="1"/>
        <v>ACTIVE</v>
      </c>
    </row>
    <row r="993" ht="22.5" customHeight="1">
      <c r="A993" s="11" t="str">
        <f t="array" ref="A993">IFERROR(
  INDEX('Starlink Launches'!$A:$A, MATCH($E993, 'Starlink Launches'!$B:$B, 0)),
  ""
)
</f>
        <v>6-47</v>
      </c>
      <c r="B993" s="3" t="s">
        <v>25</v>
      </c>
      <c r="C993" s="12" t="s">
        <v>1005</v>
      </c>
      <c r="D993" s="13">
        <v>59417.0</v>
      </c>
      <c r="E993" s="4">
        <v>45387.0</v>
      </c>
      <c r="F993" s="4" t="str">
        <f>IF(D993="","", IFNA(VLOOKUP(D993, SATCAT_DECAY!A:B, 2, FALSE), ""))
</f>
        <v/>
      </c>
      <c r="G993" s="3" t="str">
        <f t="shared" si="1"/>
        <v>ACTIVE</v>
      </c>
    </row>
    <row r="994" ht="22.5" customHeight="1">
      <c r="A994" s="11" t="str">
        <f t="array" ref="A994">IFERROR(
  INDEX('Starlink Launches'!$A:$A, MATCH($E994, 'Starlink Launches'!$B:$B, 0)),
  ""
)
</f>
        <v>6-47</v>
      </c>
      <c r="B994" s="3" t="s">
        <v>25</v>
      </c>
      <c r="C994" s="12" t="s">
        <v>1006</v>
      </c>
      <c r="D994" s="13">
        <v>59418.0</v>
      </c>
      <c r="E994" s="4">
        <v>45387.0</v>
      </c>
      <c r="F994" s="4" t="str">
        <f>IF(D994="","", IFNA(VLOOKUP(D994, SATCAT_DECAY!A:B, 2, FALSE), ""))
</f>
        <v/>
      </c>
      <c r="G994" s="3" t="str">
        <f t="shared" si="1"/>
        <v>ACTIVE</v>
      </c>
    </row>
    <row r="995" ht="22.5" customHeight="1">
      <c r="A995" s="11" t="str">
        <f t="array" ref="A995">IFERROR(
  INDEX('Starlink Launches'!$A:$A, MATCH($E995, 'Starlink Launches'!$B:$B, 0)),
  ""
)
</f>
        <v>6-47</v>
      </c>
      <c r="B995" s="3" t="s">
        <v>25</v>
      </c>
      <c r="C995" s="12" t="s">
        <v>1007</v>
      </c>
      <c r="D995" s="13">
        <v>59419.0</v>
      </c>
      <c r="E995" s="4">
        <v>45387.0</v>
      </c>
      <c r="F995" s="4" t="str">
        <f>IF(D995="","", IFNA(VLOOKUP(D995, SATCAT_DECAY!A:B, 2, FALSE), ""))
</f>
        <v/>
      </c>
      <c r="G995" s="3" t="str">
        <f t="shared" si="1"/>
        <v>ACTIVE</v>
      </c>
    </row>
    <row r="996" ht="22.5" customHeight="1">
      <c r="A996" s="11" t="str">
        <f t="array" ref="A996">IFERROR(
  INDEX('Starlink Launches'!$A:$A, MATCH($E996, 'Starlink Launches'!$B:$B, 0)),
  ""
)
</f>
        <v>6-47</v>
      </c>
      <c r="B996" s="3" t="s">
        <v>25</v>
      </c>
      <c r="C996" s="12" t="s">
        <v>1008</v>
      </c>
      <c r="D996" s="13">
        <v>59420.0</v>
      </c>
      <c r="E996" s="4">
        <v>45387.0</v>
      </c>
      <c r="F996" s="4" t="str">
        <f>IF(D996="","", IFNA(VLOOKUP(D996, SATCAT_DECAY!A:B, 2, FALSE), ""))
</f>
        <v/>
      </c>
      <c r="G996" s="3" t="str">
        <f t="shared" si="1"/>
        <v>ACTIVE</v>
      </c>
    </row>
    <row r="997" ht="22.5" customHeight="1">
      <c r="A997" s="11" t="str">
        <f t="array" ref="A997">IFERROR(
  INDEX('Starlink Launches'!$A:$A, MATCH($E997, 'Starlink Launches'!$B:$B, 0)),
  ""
)
</f>
        <v>6-48</v>
      </c>
      <c r="B997" s="3" t="s">
        <v>25</v>
      </c>
      <c r="C997" s="12" t="s">
        <v>1009</v>
      </c>
      <c r="D997" s="13">
        <v>59456.0</v>
      </c>
      <c r="E997" s="4">
        <v>45392.0</v>
      </c>
      <c r="F997" s="4" t="str">
        <f>IF(D997="","", IFNA(VLOOKUP(D997, SATCAT_DECAY!A:B, 2, FALSE), ""))
</f>
        <v/>
      </c>
      <c r="G997" s="3" t="str">
        <f t="shared" si="1"/>
        <v>ACTIVE</v>
      </c>
    </row>
    <row r="998" ht="22.5" customHeight="1">
      <c r="A998" s="11" t="str">
        <f t="array" ref="A998">IFERROR(
  INDEX('Starlink Launches'!$A:$A, MATCH($E998, 'Starlink Launches'!$B:$B, 0)),
  ""
)
</f>
        <v>6-48</v>
      </c>
      <c r="B998" s="3" t="s">
        <v>25</v>
      </c>
      <c r="C998" s="12" t="s">
        <v>1010</v>
      </c>
      <c r="D998" s="13">
        <v>59457.0</v>
      </c>
      <c r="E998" s="4">
        <v>45392.0</v>
      </c>
      <c r="F998" s="4" t="str">
        <f>IF(D998="","", IFNA(VLOOKUP(D998, SATCAT_DECAY!A:B, 2, FALSE), ""))
</f>
        <v/>
      </c>
      <c r="G998" s="3" t="str">
        <f t="shared" si="1"/>
        <v>ACTIVE</v>
      </c>
    </row>
    <row r="999" ht="22.5" customHeight="1">
      <c r="A999" s="11" t="str">
        <f t="array" ref="A999">IFERROR(
  INDEX('Starlink Launches'!$A:$A, MATCH($E999, 'Starlink Launches'!$B:$B, 0)),
  ""
)
</f>
        <v>6-48</v>
      </c>
      <c r="B999" s="3" t="s">
        <v>25</v>
      </c>
      <c r="C999" s="12" t="s">
        <v>1011</v>
      </c>
      <c r="D999" s="13">
        <v>59458.0</v>
      </c>
      <c r="E999" s="4">
        <v>45392.0</v>
      </c>
      <c r="F999" s="4" t="str">
        <f>IF(D999="","", IFNA(VLOOKUP(D999, SATCAT_DECAY!A:B, 2, FALSE), ""))
</f>
        <v/>
      </c>
      <c r="G999" s="3" t="str">
        <f t="shared" si="1"/>
        <v>ACTIVE</v>
      </c>
    </row>
    <row r="1000" ht="22.5" customHeight="1">
      <c r="A1000" s="11" t="str">
        <f t="array" ref="A1000">IFERROR(
  INDEX('Starlink Launches'!$A:$A, MATCH($E1000, 'Starlink Launches'!$B:$B, 0)),
  ""
)
</f>
        <v>6-48</v>
      </c>
      <c r="B1000" s="3" t="s">
        <v>25</v>
      </c>
      <c r="C1000" s="12" t="s">
        <v>1012</v>
      </c>
      <c r="D1000" s="13">
        <v>59459.0</v>
      </c>
      <c r="E1000" s="4">
        <v>45392.0</v>
      </c>
      <c r="F1000" s="4" t="str">
        <f>IF(D1000="","", IFNA(VLOOKUP(D1000, SATCAT_DECAY!A:B, 2, FALSE), ""))
</f>
        <v/>
      </c>
      <c r="G1000" s="3" t="str">
        <f t="shared" si="1"/>
        <v>ACTIVE</v>
      </c>
    </row>
    <row r="1001" ht="22.5" customHeight="1">
      <c r="A1001" s="11" t="str">
        <f t="array" ref="A1001">IFERROR(
  INDEX('Starlink Launches'!$A:$A, MATCH($E1001, 'Starlink Launches'!$B:$B, 0)),
  ""
)
</f>
        <v>6-48</v>
      </c>
      <c r="B1001" s="3" t="s">
        <v>25</v>
      </c>
      <c r="C1001" s="12" t="s">
        <v>1013</v>
      </c>
      <c r="D1001" s="13">
        <v>59460.0</v>
      </c>
      <c r="E1001" s="4">
        <v>45392.0</v>
      </c>
      <c r="F1001" s="4" t="str">
        <f>IF(D1001="","", IFNA(VLOOKUP(D1001, SATCAT_DECAY!A:B, 2, FALSE), ""))
</f>
        <v/>
      </c>
      <c r="G1001" s="3" t="str">
        <f t="shared" si="1"/>
        <v>ACTIVE</v>
      </c>
    </row>
    <row r="1002" ht="22.5" customHeight="1">
      <c r="A1002" s="11" t="str">
        <f t="array" ref="A1002">IFERROR(
  INDEX('Starlink Launches'!$A:$A, MATCH($E1002, 'Starlink Launches'!$B:$B, 0)),
  ""
)
</f>
        <v>6-48</v>
      </c>
      <c r="B1002" s="3" t="s">
        <v>25</v>
      </c>
      <c r="C1002" s="12" t="s">
        <v>1014</v>
      </c>
      <c r="D1002" s="13">
        <v>59462.0</v>
      </c>
      <c r="E1002" s="4">
        <v>45392.0</v>
      </c>
      <c r="F1002" s="4" t="str">
        <f>IF(D1002="","", IFNA(VLOOKUP(D1002, SATCAT_DECAY!A:B, 2, FALSE), ""))
</f>
        <v/>
      </c>
      <c r="G1002" s="3" t="str">
        <f t="shared" si="1"/>
        <v>ACTIVE</v>
      </c>
    </row>
    <row r="1003" ht="22.5" customHeight="1">
      <c r="A1003" s="11" t="str">
        <f t="array" ref="A1003">IFERROR(
  INDEX('Starlink Launches'!$A:$A, MATCH($E1003, 'Starlink Launches'!$B:$B, 0)),
  ""
)
</f>
        <v>6-48</v>
      </c>
      <c r="B1003" s="3" t="s">
        <v>25</v>
      </c>
      <c r="C1003" s="12" t="s">
        <v>1015</v>
      </c>
      <c r="D1003" s="13">
        <v>59463.0</v>
      </c>
      <c r="E1003" s="4">
        <v>45392.0</v>
      </c>
      <c r="F1003" s="4" t="str">
        <f>IF(D1003="","", IFNA(VLOOKUP(D1003, SATCAT_DECAY!A:B, 2, FALSE), ""))
</f>
        <v/>
      </c>
      <c r="G1003" s="3" t="str">
        <f t="shared" si="1"/>
        <v>ACTIVE</v>
      </c>
    </row>
    <row r="1004" ht="22.5" customHeight="1">
      <c r="A1004" s="11" t="str">
        <f t="array" ref="A1004">IFERROR(
  INDEX('Starlink Launches'!$A:$A, MATCH($E1004, 'Starlink Launches'!$B:$B, 0)),
  ""
)
</f>
        <v>6-48</v>
      </c>
      <c r="B1004" s="3" t="s">
        <v>25</v>
      </c>
      <c r="C1004" s="12" t="s">
        <v>1016</v>
      </c>
      <c r="D1004" s="13">
        <v>59464.0</v>
      </c>
      <c r="E1004" s="4">
        <v>45392.0</v>
      </c>
      <c r="F1004" s="4" t="str">
        <f>IF(D1004="","", IFNA(VLOOKUP(D1004, SATCAT_DECAY!A:B, 2, FALSE), ""))
</f>
        <v/>
      </c>
      <c r="G1004" s="3" t="str">
        <f t="shared" si="1"/>
        <v>ACTIVE</v>
      </c>
    </row>
    <row r="1005" ht="22.5" customHeight="1">
      <c r="A1005" s="11" t="str">
        <f t="array" ref="A1005">IFERROR(
  INDEX('Starlink Launches'!$A:$A, MATCH($E1005, 'Starlink Launches'!$B:$B, 0)),
  ""
)
</f>
        <v>6-48</v>
      </c>
      <c r="B1005" s="3" t="s">
        <v>25</v>
      </c>
      <c r="C1005" s="12" t="s">
        <v>1017</v>
      </c>
      <c r="D1005" s="13">
        <v>59465.0</v>
      </c>
      <c r="E1005" s="4">
        <v>45392.0</v>
      </c>
      <c r="F1005" s="4" t="str">
        <f>IF(D1005="","", IFNA(VLOOKUP(D1005, SATCAT_DECAY!A:B, 2, FALSE), ""))
</f>
        <v/>
      </c>
      <c r="G1005" s="3" t="str">
        <f t="shared" si="1"/>
        <v>ACTIVE</v>
      </c>
    </row>
    <row r="1006" ht="22.5" customHeight="1">
      <c r="A1006" s="11" t="str">
        <f t="array" ref="A1006">IFERROR(
  INDEX('Starlink Launches'!$A:$A, MATCH($E1006, 'Starlink Launches'!$B:$B, 0)),
  ""
)
</f>
        <v>6-48</v>
      </c>
      <c r="B1006" s="3" t="s">
        <v>25</v>
      </c>
      <c r="C1006" s="12" t="s">
        <v>1018</v>
      </c>
      <c r="D1006" s="13">
        <v>59466.0</v>
      </c>
      <c r="E1006" s="4">
        <v>45392.0</v>
      </c>
      <c r="F1006" s="4" t="str">
        <f>IF(D1006="","", IFNA(VLOOKUP(D1006, SATCAT_DECAY!A:B, 2, FALSE), ""))
</f>
        <v/>
      </c>
      <c r="G1006" s="3" t="str">
        <f t="shared" si="1"/>
        <v>ACTIVE</v>
      </c>
    </row>
    <row r="1007" ht="22.5" customHeight="1">
      <c r="A1007" s="11" t="str">
        <f t="array" ref="A1007">IFERROR(
  INDEX('Starlink Launches'!$A:$A, MATCH($E1007, 'Starlink Launches'!$B:$B, 0)),
  ""
)
</f>
        <v>6-48</v>
      </c>
      <c r="B1007" s="3" t="s">
        <v>25</v>
      </c>
      <c r="C1007" s="12" t="s">
        <v>1019</v>
      </c>
      <c r="D1007" s="13">
        <v>59467.0</v>
      </c>
      <c r="E1007" s="4">
        <v>45392.0</v>
      </c>
      <c r="F1007" s="4" t="str">
        <f>IF(D1007="","", IFNA(VLOOKUP(D1007, SATCAT_DECAY!A:B, 2, FALSE), ""))
</f>
        <v/>
      </c>
      <c r="G1007" s="3" t="str">
        <f t="shared" si="1"/>
        <v>ACTIVE</v>
      </c>
    </row>
    <row r="1008" ht="22.5" customHeight="1">
      <c r="A1008" s="11" t="str">
        <f t="array" ref="A1008">IFERROR(
  INDEX('Starlink Launches'!$A:$A, MATCH($E1008, 'Starlink Launches'!$B:$B, 0)),
  ""
)
</f>
        <v>6-48</v>
      </c>
      <c r="B1008" s="3" t="s">
        <v>25</v>
      </c>
      <c r="C1008" s="12" t="s">
        <v>1020</v>
      </c>
      <c r="D1008" s="13">
        <v>59468.0</v>
      </c>
      <c r="E1008" s="4">
        <v>45392.0</v>
      </c>
      <c r="F1008" s="4" t="str">
        <f>IF(D1008="","", IFNA(VLOOKUP(D1008, SATCAT_DECAY!A:B, 2, FALSE), ""))
</f>
        <v/>
      </c>
      <c r="G1008" s="3" t="str">
        <f t="shared" si="1"/>
        <v>ACTIVE</v>
      </c>
    </row>
    <row r="1009" ht="22.5" customHeight="1">
      <c r="A1009" s="11" t="str">
        <f t="array" ref="A1009">IFERROR(
  INDEX('Starlink Launches'!$A:$A, MATCH($E1009, 'Starlink Launches'!$B:$B, 0)),
  ""
)
</f>
        <v>6-48</v>
      </c>
      <c r="B1009" s="3" t="s">
        <v>25</v>
      </c>
      <c r="C1009" s="12" t="s">
        <v>1021</v>
      </c>
      <c r="D1009" s="13">
        <v>59469.0</v>
      </c>
      <c r="E1009" s="4">
        <v>45392.0</v>
      </c>
      <c r="F1009" s="4" t="str">
        <f>IF(D1009="","", IFNA(VLOOKUP(D1009, SATCAT_DECAY!A:B, 2, FALSE), ""))
</f>
        <v/>
      </c>
      <c r="G1009" s="3" t="str">
        <f t="shared" si="1"/>
        <v>ACTIVE</v>
      </c>
    </row>
    <row r="1010" ht="22.5" customHeight="1">
      <c r="A1010" s="11" t="str">
        <f t="array" ref="A1010">IFERROR(
  INDEX('Starlink Launches'!$A:$A, MATCH($E1010, 'Starlink Launches'!$B:$B, 0)),
  ""
)
</f>
        <v>6-48</v>
      </c>
      <c r="B1010" s="3" t="s">
        <v>25</v>
      </c>
      <c r="C1010" s="12" t="s">
        <v>1022</v>
      </c>
      <c r="D1010" s="13">
        <v>59470.0</v>
      </c>
      <c r="E1010" s="4">
        <v>45392.0</v>
      </c>
      <c r="F1010" s="4" t="str">
        <f>IF(D1010="","", IFNA(VLOOKUP(D1010, SATCAT_DECAY!A:B, 2, FALSE), ""))
</f>
        <v/>
      </c>
      <c r="G1010" s="3" t="str">
        <f t="shared" si="1"/>
        <v>ACTIVE</v>
      </c>
    </row>
    <row r="1011" ht="22.5" customHeight="1">
      <c r="A1011" s="11" t="str">
        <f t="array" ref="A1011">IFERROR(
  INDEX('Starlink Launches'!$A:$A, MATCH($E1011, 'Starlink Launches'!$B:$B, 0)),
  ""
)
</f>
        <v>6-48</v>
      </c>
      <c r="B1011" s="3" t="s">
        <v>25</v>
      </c>
      <c r="C1011" s="12" t="s">
        <v>1023</v>
      </c>
      <c r="D1011" s="13">
        <v>59471.0</v>
      </c>
      <c r="E1011" s="4">
        <v>45392.0</v>
      </c>
      <c r="F1011" s="4" t="str">
        <f>IF(D1011="","", IFNA(VLOOKUP(D1011, SATCAT_DECAY!A:B, 2, FALSE), ""))
</f>
        <v/>
      </c>
      <c r="G1011" s="3" t="str">
        <f t="shared" si="1"/>
        <v>ACTIVE</v>
      </c>
    </row>
    <row r="1012" ht="22.5" customHeight="1">
      <c r="A1012" s="11" t="str">
        <f t="array" ref="A1012">IFERROR(
  INDEX('Starlink Launches'!$A:$A, MATCH($E1012, 'Starlink Launches'!$B:$B, 0)),
  ""
)
</f>
        <v>6-48</v>
      </c>
      <c r="B1012" s="3" t="s">
        <v>25</v>
      </c>
      <c r="C1012" s="12" t="s">
        <v>1024</v>
      </c>
      <c r="D1012" s="13">
        <v>59473.0</v>
      </c>
      <c r="E1012" s="4">
        <v>45392.0</v>
      </c>
      <c r="F1012" s="4" t="str">
        <f>IF(D1012="","", IFNA(VLOOKUP(D1012, SATCAT_DECAY!A:B, 2, FALSE), ""))
</f>
        <v/>
      </c>
      <c r="G1012" s="3" t="str">
        <f t="shared" si="1"/>
        <v>ACTIVE</v>
      </c>
    </row>
    <row r="1013" ht="22.5" customHeight="1">
      <c r="A1013" s="11" t="str">
        <f t="array" ref="A1013">IFERROR(
  INDEX('Starlink Launches'!$A:$A, MATCH($E1013, 'Starlink Launches'!$B:$B, 0)),
  ""
)
</f>
        <v>6-48</v>
      </c>
      <c r="B1013" s="3" t="s">
        <v>25</v>
      </c>
      <c r="C1013" s="12" t="s">
        <v>1025</v>
      </c>
      <c r="D1013" s="13">
        <v>59474.0</v>
      </c>
      <c r="E1013" s="4">
        <v>45392.0</v>
      </c>
      <c r="F1013" s="4" t="str">
        <f>IF(D1013="","", IFNA(VLOOKUP(D1013, SATCAT_DECAY!A:B, 2, FALSE), ""))
</f>
        <v/>
      </c>
      <c r="G1013" s="3" t="str">
        <f t="shared" si="1"/>
        <v>ACTIVE</v>
      </c>
    </row>
    <row r="1014" ht="22.5" customHeight="1">
      <c r="A1014" s="11" t="str">
        <f t="array" ref="A1014">IFERROR(
  INDEX('Starlink Launches'!$A:$A, MATCH($E1014, 'Starlink Launches'!$B:$B, 0)),
  ""
)
</f>
        <v>6-48</v>
      </c>
      <c r="B1014" s="3" t="s">
        <v>25</v>
      </c>
      <c r="C1014" s="12" t="s">
        <v>1026</v>
      </c>
      <c r="D1014" s="13">
        <v>59475.0</v>
      </c>
      <c r="E1014" s="4">
        <v>45392.0</v>
      </c>
      <c r="F1014" s="4" t="str">
        <f>IF(D1014="","", IFNA(VLOOKUP(D1014, SATCAT_DECAY!A:B, 2, FALSE), ""))
</f>
        <v/>
      </c>
      <c r="G1014" s="3" t="str">
        <f t="shared" si="1"/>
        <v>ACTIVE</v>
      </c>
    </row>
    <row r="1015" ht="22.5" customHeight="1">
      <c r="A1015" s="11" t="str">
        <f t="array" ref="A1015">IFERROR(
  INDEX('Starlink Launches'!$A:$A, MATCH($E1015, 'Starlink Launches'!$B:$B, 0)),
  ""
)
</f>
        <v>6-48</v>
      </c>
      <c r="B1015" s="3" t="s">
        <v>25</v>
      </c>
      <c r="C1015" s="12" t="s">
        <v>1027</v>
      </c>
      <c r="D1015" s="13">
        <v>59476.0</v>
      </c>
      <c r="E1015" s="4">
        <v>45392.0</v>
      </c>
      <c r="F1015" s="4" t="str">
        <f>IF(D1015="","", IFNA(VLOOKUP(D1015, SATCAT_DECAY!A:B, 2, FALSE), ""))
</f>
        <v/>
      </c>
      <c r="G1015" s="3" t="str">
        <f t="shared" si="1"/>
        <v>ACTIVE</v>
      </c>
    </row>
    <row r="1016" ht="22.5" customHeight="1">
      <c r="A1016" s="11" t="str">
        <f t="array" ref="A1016">IFERROR(
  INDEX('Starlink Launches'!$A:$A, MATCH($E1016, 'Starlink Launches'!$B:$B, 0)),
  ""
)
</f>
        <v>6-48</v>
      </c>
      <c r="B1016" s="3" t="s">
        <v>25</v>
      </c>
      <c r="C1016" s="12" t="s">
        <v>1028</v>
      </c>
      <c r="D1016" s="13">
        <v>59477.0</v>
      </c>
      <c r="E1016" s="4">
        <v>45392.0</v>
      </c>
      <c r="F1016" s="4" t="str">
        <f>IF(D1016="","", IFNA(VLOOKUP(D1016, SATCAT_DECAY!A:B, 2, FALSE), ""))
</f>
        <v/>
      </c>
      <c r="G1016" s="3" t="str">
        <f t="shared" si="1"/>
        <v>ACTIVE</v>
      </c>
    </row>
    <row r="1017" ht="22.5" customHeight="1">
      <c r="A1017" s="11" t="str">
        <f t="array" ref="A1017">IFERROR(
  INDEX('Starlink Launches'!$A:$A, MATCH($E1017, 'Starlink Launches'!$B:$B, 0)),
  ""
)
</f>
        <v>6-49</v>
      </c>
      <c r="B1017" s="3" t="s">
        <v>25</v>
      </c>
      <c r="C1017" s="12" t="s">
        <v>1029</v>
      </c>
      <c r="D1017" s="13">
        <v>59484.0</v>
      </c>
      <c r="E1017" s="4">
        <v>45395.0</v>
      </c>
      <c r="F1017" s="4" t="str">
        <f>IF(D1017="","", IFNA(VLOOKUP(D1017, SATCAT_DECAY!A:B, 2, FALSE), ""))
</f>
        <v/>
      </c>
      <c r="G1017" s="3" t="str">
        <f t="shared" si="1"/>
        <v>ACTIVE</v>
      </c>
    </row>
    <row r="1018" ht="22.5" customHeight="1">
      <c r="A1018" s="11" t="str">
        <f t="array" ref="A1018">IFERROR(
  INDEX('Starlink Launches'!$A:$A, MATCH($E1018, 'Starlink Launches'!$B:$B, 0)),
  ""
)
</f>
        <v>6-49</v>
      </c>
      <c r="B1018" s="3" t="s">
        <v>25</v>
      </c>
      <c r="C1018" s="12" t="s">
        <v>1030</v>
      </c>
      <c r="D1018" s="13">
        <v>59486.0</v>
      </c>
      <c r="E1018" s="4">
        <v>45395.0</v>
      </c>
      <c r="F1018" s="4" t="str">
        <f>IF(D1018="","", IFNA(VLOOKUP(D1018, SATCAT_DECAY!A:B, 2, FALSE), ""))
</f>
        <v/>
      </c>
      <c r="G1018" s="3" t="str">
        <f t="shared" si="1"/>
        <v>ACTIVE</v>
      </c>
    </row>
    <row r="1019" ht="22.5" customHeight="1">
      <c r="A1019" s="11" t="str">
        <f t="array" ref="A1019">IFERROR(
  INDEX('Starlink Launches'!$A:$A, MATCH($E1019, 'Starlink Launches'!$B:$B, 0)),
  ""
)
</f>
        <v>6-49</v>
      </c>
      <c r="B1019" s="3" t="s">
        <v>25</v>
      </c>
      <c r="C1019" s="12" t="s">
        <v>1031</v>
      </c>
      <c r="D1019" s="13">
        <v>59487.0</v>
      </c>
      <c r="E1019" s="4">
        <v>45395.0</v>
      </c>
      <c r="F1019" s="4" t="str">
        <f>IF(D1019="","", IFNA(VLOOKUP(D1019, SATCAT_DECAY!A:B, 2, FALSE), ""))
</f>
        <v/>
      </c>
      <c r="G1019" s="3" t="str">
        <f t="shared" si="1"/>
        <v>ACTIVE</v>
      </c>
    </row>
    <row r="1020" ht="22.5" customHeight="1">
      <c r="A1020" s="11" t="str">
        <f t="array" ref="A1020">IFERROR(
  INDEX('Starlink Launches'!$A:$A, MATCH($E1020, 'Starlink Launches'!$B:$B, 0)),
  ""
)
</f>
        <v>6-49</v>
      </c>
      <c r="B1020" s="3" t="s">
        <v>25</v>
      </c>
      <c r="C1020" s="12" t="s">
        <v>1032</v>
      </c>
      <c r="D1020" s="13">
        <v>59488.0</v>
      </c>
      <c r="E1020" s="4">
        <v>45395.0</v>
      </c>
      <c r="F1020" s="4" t="str">
        <f>IF(D1020="","", IFNA(VLOOKUP(D1020, SATCAT_DECAY!A:B, 2, FALSE), ""))
</f>
        <v/>
      </c>
      <c r="G1020" s="3" t="str">
        <f t="shared" si="1"/>
        <v>ACTIVE</v>
      </c>
    </row>
    <row r="1021" ht="22.5" customHeight="1">
      <c r="A1021" s="11" t="str">
        <f t="array" ref="A1021">IFERROR(
  INDEX('Starlink Launches'!$A:$A, MATCH($E1021, 'Starlink Launches'!$B:$B, 0)),
  ""
)
</f>
        <v>6-49</v>
      </c>
      <c r="B1021" s="3" t="s">
        <v>25</v>
      </c>
      <c r="C1021" s="12" t="s">
        <v>1033</v>
      </c>
      <c r="D1021" s="13">
        <v>59489.0</v>
      </c>
      <c r="E1021" s="4">
        <v>45395.0</v>
      </c>
      <c r="F1021" s="4" t="str">
        <f>IF(D1021="","", IFNA(VLOOKUP(D1021, SATCAT_DECAY!A:B, 2, FALSE), ""))
</f>
        <v/>
      </c>
      <c r="G1021" s="3" t="str">
        <f t="shared" si="1"/>
        <v>ACTIVE</v>
      </c>
    </row>
    <row r="1022" ht="22.5" customHeight="1">
      <c r="A1022" s="11" t="str">
        <f t="array" ref="A1022">IFERROR(
  INDEX('Starlink Launches'!$A:$A, MATCH($E1022, 'Starlink Launches'!$B:$B, 0)),
  ""
)
</f>
        <v>6-49</v>
      </c>
      <c r="B1022" s="3" t="s">
        <v>25</v>
      </c>
      <c r="C1022" s="12" t="s">
        <v>1034</v>
      </c>
      <c r="D1022" s="13">
        <v>59490.0</v>
      </c>
      <c r="E1022" s="4">
        <v>45395.0</v>
      </c>
      <c r="F1022" s="4" t="str">
        <f>IF(D1022="","", IFNA(VLOOKUP(D1022, SATCAT_DECAY!A:B, 2, FALSE), ""))
</f>
        <v/>
      </c>
      <c r="G1022" s="3" t="str">
        <f t="shared" si="1"/>
        <v>ACTIVE</v>
      </c>
    </row>
    <row r="1023" ht="22.5" customHeight="1">
      <c r="A1023" s="11" t="str">
        <f t="array" ref="A1023">IFERROR(
  INDEX('Starlink Launches'!$A:$A, MATCH($E1023, 'Starlink Launches'!$B:$B, 0)),
  ""
)
</f>
        <v>6-49</v>
      </c>
      <c r="B1023" s="3" t="s">
        <v>25</v>
      </c>
      <c r="C1023" s="12" t="s">
        <v>1035</v>
      </c>
      <c r="D1023" s="13">
        <v>59491.0</v>
      </c>
      <c r="E1023" s="4">
        <v>45395.0</v>
      </c>
      <c r="F1023" s="4" t="str">
        <f>IF(D1023="","", IFNA(VLOOKUP(D1023, SATCAT_DECAY!A:B, 2, FALSE), ""))
</f>
        <v/>
      </c>
      <c r="G1023" s="3" t="str">
        <f t="shared" si="1"/>
        <v>ACTIVE</v>
      </c>
    </row>
    <row r="1024" ht="22.5" customHeight="1">
      <c r="A1024" s="11" t="str">
        <f t="array" ref="A1024">IFERROR(
  INDEX('Starlink Launches'!$A:$A, MATCH($E1024, 'Starlink Launches'!$B:$B, 0)),
  ""
)
</f>
        <v>6-49</v>
      </c>
      <c r="B1024" s="3" t="s">
        <v>25</v>
      </c>
      <c r="C1024" s="12" t="s">
        <v>1036</v>
      </c>
      <c r="D1024" s="13">
        <v>59492.0</v>
      </c>
      <c r="E1024" s="4">
        <v>45395.0</v>
      </c>
      <c r="F1024" s="4" t="str">
        <f>IF(D1024="","", IFNA(VLOOKUP(D1024, SATCAT_DECAY!A:B, 2, FALSE), ""))
</f>
        <v/>
      </c>
      <c r="G1024" s="3" t="str">
        <f t="shared" si="1"/>
        <v>ACTIVE</v>
      </c>
    </row>
    <row r="1025" ht="22.5" customHeight="1">
      <c r="A1025" s="11" t="str">
        <f t="array" ref="A1025">IFERROR(
  INDEX('Starlink Launches'!$A:$A, MATCH($E1025, 'Starlink Launches'!$B:$B, 0)),
  ""
)
</f>
        <v>6-49</v>
      </c>
      <c r="B1025" s="3" t="s">
        <v>25</v>
      </c>
      <c r="C1025" s="12" t="s">
        <v>1037</v>
      </c>
      <c r="D1025" s="13">
        <v>59493.0</v>
      </c>
      <c r="E1025" s="4">
        <v>45395.0</v>
      </c>
      <c r="F1025" s="4" t="str">
        <f>IF(D1025="","", IFNA(VLOOKUP(D1025, SATCAT_DECAY!A:B, 2, FALSE), ""))
</f>
        <v/>
      </c>
      <c r="G1025" s="3" t="str">
        <f t="shared" si="1"/>
        <v>ACTIVE</v>
      </c>
    </row>
    <row r="1026" ht="22.5" customHeight="1">
      <c r="A1026" s="11" t="str">
        <f t="array" ref="A1026">IFERROR(
  INDEX('Starlink Launches'!$A:$A, MATCH($E1026, 'Starlink Launches'!$B:$B, 0)),
  ""
)
</f>
        <v>6-49</v>
      </c>
      <c r="B1026" s="3" t="s">
        <v>25</v>
      </c>
      <c r="C1026" s="12" t="s">
        <v>1038</v>
      </c>
      <c r="D1026" s="13">
        <v>59494.0</v>
      </c>
      <c r="E1026" s="4">
        <v>45395.0</v>
      </c>
      <c r="F1026" s="4" t="str">
        <f>IF(D1026="","", IFNA(VLOOKUP(D1026, SATCAT_DECAY!A:B, 2, FALSE), ""))
</f>
        <v/>
      </c>
      <c r="G1026" s="3" t="str">
        <f t="shared" si="1"/>
        <v>ACTIVE</v>
      </c>
    </row>
    <row r="1027" ht="22.5" customHeight="1">
      <c r="A1027" s="11" t="str">
        <f t="array" ref="A1027">IFERROR(
  INDEX('Starlink Launches'!$A:$A, MATCH($E1027, 'Starlink Launches'!$B:$B, 0)),
  ""
)
</f>
        <v>6-49</v>
      </c>
      <c r="B1027" s="3" t="s">
        <v>25</v>
      </c>
      <c r="C1027" s="12" t="s">
        <v>1039</v>
      </c>
      <c r="D1027" s="13">
        <v>59495.0</v>
      </c>
      <c r="E1027" s="4">
        <v>45395.0</v>
      </c>
      <c r="F1027" s="4" t="str">
        <f>IF(D1027="","", IFNA(VLOOKUP(D1027, SATCAT_DECAY!A:B, 2, FALSE), ""))
</f>
        <v/>
      </c>
      <c r="G1027" s="3" t="str">
        <f t="shared" si="1"/>
        <v>ACTIVE</v>
      </c>
    </row>
    <row r="1028" ht="22.5" customHeight="1">
      <c r="A1028" s="11" t="str">
        <f t="array" ref="A1028">IFERROR(
  INDEX('Starlink Launches'!$A:$A, MATCH($E1028, 'Starlink Launches'!$B:$B, 0)),
  ""
)
</f>
        <v>6-49</v>
      </c>
      <c r="B1028" s="3" t="s">
        <v>25</v>
      </c>
      <c r="C1028" s="12" t="s">
        <v>1040</v>
      </c>
      <c r="D1028" s="13">
        <v>59496.0</v>
      </c>
      <c r="E1028" s="4">
        <v>45395.0</v>
      </c>
      <c r="F1028" s="4" t="str">
        <f>IF(D1028="","", IFNA(VLOOKUP(D1028, SATCAT_DECAY!A:B, 2, FALSE), ""))
</f>
        <v/>
      </c>
      <c r="G1028" s="3" t="str">
        <f t="shared" si="1"/>
        <v>ACTIVE</v>
      </c>
    </row>
    <row r="1029" ht="22.5" customHeight="1">
      <c r="A1029" s="11" t="str">
        <f t="array" ref="A1029">IFERROR(
  INDEX('Starlink Launches'!$A:$A, MATCH($E1029, 'Starlink Launches'!$B:$B, 0)),
  ""
)
</f>
        <v>6-49</v>
      </c>
      <c r="B1029" s="3" t="s">
        <v>25</v>
      </c>
      <c r="C1029" s="12" t="s">
        <v>1041</v>
      </c>
      <c r="D1029" s="13">
        <v>59497.0</v>
      </c>
      <c r="E1029" s="4">
        <v>45395.0</v>
      </c>
      <c r="F1029" s="4" t="str">
        <f>IF(D1029="","", IFNA(VLOOKUP(D1029, SATCAT_DECAY!A:B, 2, FALSE), ""))
</f>
        <v/>
      </c>
      <c r="G1029" s="3" t="str">
        <f t="shared" si="1"/>
        <v>ACTIVE</v>
      </c>
    </row>
    <row r="1030" ht="22.5" customHeight="1">
      <c r="A1030" s="11" t="str">
        <f t="array" ref="A1030">IFERROR(
  INDEX('Starlink Launches'!$A:$A, MATCH($E1030, 'Starlink Launches'!$B:$B, 0)),
  ""
)
</f>
        <v>6-49</v>
      </c>
      <c r="B1030" s="3" t="s">
        <v>25</v>
      </c>
      <c r="C1030" s="12" t="s">
        <v>1042</v>
      </c>
      <c r="D1030" s="13">
        <v>59498.0</v>
      </c>
      <c r="E1030" s="4">
        <v>45395.0</v>
      </c>
      <c r="F1030" s="4" t="str">
        <f>IF(D1030="","", IFNA(VLOOKUP(D1030, SATCAT_DECAY!A:B, 2, FALSE), ""))
</f>
        <v/>
      </c>
      <c r="G1030" s="3" t="str">
        <f t="shared" si="1"/>
        <v>ACTIVE</v>
      </c>
    </row>
    <row r="1031" ht="22.5" customHeight="1">
      <c r="A1031" s="11" t="str">
        <f t="array" ref="A1031">IFERROR(
  INDEX('Starlink Launches'!$A:$A, MATCH($E1031, 'Starlink Launches'!$B:$B, 0)),
  ""
)
</f>
        <v>6-49</v>
      </c>
      <c r="B1031" s="3" t="s">
        <v>25</v>
      </c>
      <c r="C1031" s="12" t="s">
        <v>1043</v>
      </c>
      <c r="D1031" s="13">
        <v>59499.0</v>
      </c>
      <c r="E1031" s="4">
        <v>45395.0</v>
      </c>
      <c r="F1031" s="4" t="str">
        <f>IF(D1031="","", IFNA(VLOOKUP(D1031, SATCAT_DECAY!A:B, 2, FALSE), ""))
</f>
        <v/>
      </c>
      <c r="G1031" s="3" t="str">
        <f t="shared" si="1"/>
        <v>ACTIVE</v>
      </c>
    </row>
    <row r="1032" ht="22.5" customHeight="1">
      <c r="A1032" s="11" t="str">
        <f t="array" ref="A1032">IFERROR(
  INDEX('Starlink Launches'!$A:$A, MATCH($E1032, 'Starlink Launches'!$B:$B, 0)),
  ""
)
</f>
        <v>6-49</v>
      </c>
      <c r="B1032" s="3" t="s">
        <v>25</v>
      </c>
      <c r="C1032" s="12" t="s">
        <v>1044</v>
      </c>
      <c r="D1032" s="13">
        <v>59500.0</v>
      </c>
      <c r="E1032" s="4">
        <v>45395.0</v>
      </c>
      <c r="F1032" s="4" t="str">
        <f>IF(D1032="","", IFNA(VLOOKUP(D1032, SATCAT_DECAY!A:B, 2, FALSE), ""))
</f>
        <v/>
      </c>
      <c r="G1032" s="3" t="str">
        <f t="shared" si="1"/>
        <v>ACTIVE</v>
      </c>
    </row>
    <row r="1033" ht="22.5" customHeight="1">
      <c r="A1033" s="11" t="str">
        <f t="array" ref="A1033">IFERROR(
  INDEX('Starlink Launches'!$A:$A, MATCH($E1033, 'Starlink Launches'!$B:$B, 0)),
  ""
)
</f>
        <v>6-49</v>
      </c>
      <c r="B1033" s="3" t="s">
        <v>25</v>
      </c>
      <c r="C1033" s="12" t="s">
        <v>1045</v>
      </c>
      <c r="D1033" s="13">
        <v>59501.0</v>
      </c>
      <c r="E1033" s="4">
        <v>45395.0</v>
      </c>
      <c r="F1033" s="4" t="str">
        <f>IF(D1033="","", IFNA(VLOOKUP(D1033, SATCAT_DECAY!A:B, 2, FALSE), ""))
</f>
        <v/>
      </c>
      <c r="G1033" s="3" t="str">
        <f t="shared" si="1"/>
        <v>ACTIVE</v>
      </c>
    </row>
    <row r="1034" ht="22.5" customHeight="1">
      <c r="A1034" s="11" t="str">
        <f t="array" ref="A1034">IFERROR(
  INDEX('Starlink Launches'!$A:$A, MATCH($E1034, 'Starlink Launches'!$B:$B, 0)),
  ""
)
</f>
        <v>6-49</v>
      </c>
      <c r="B1034" s="3" t="s">
        <v>25</v>
      </c>
      <c r="C1034" s="12" t="s">
        <v>1046</v>
      </c>
      <c r="D1034" s="13">
        <v>59502.0</v>
      </c>
      <c r="E1034" s="4">
        <v>45395.0</v>
      </c>
      <c r="F1034" s="4" t="str">
        <f>IF(D1034="","", IFNA(VLOOKUP(D1034, SATCAT_DECAY!A:B, 2, FALSE), ""))
</f>
        <v/>
      </c>
      <c r="G1034" s="3" t="str">
        <f t="shared" si="1"/>
        <v>ACTIVE</v>
      </c>
    </row>
    <row r="1035" ht="22.5" customHeight="1">
      <c r="A1035" s="11" t="str">
        <f t="array" ref="A1035">IFERROR(
  INDEX('Starlink Launches'!$A:$A, MATCH($E1035, 'Starlink Launches'!$B:$B, 0)),
  ""
)
</f>
        <v>6-49</v>
      </c>
      <c r="B1035" s="3" t="s">
        <v>25</v>
      </c>
      <c r="C1035" s="12" t="s">
        <v>1047</v>
      </c>
      <c r="D1035" s="13">
        <v>59503.0</v>
      </c>
      <c r="E1035" s="4">
        <v>45395.0</v>
      </c>
      <c r="F1035" s="4" t="str">
        <f>IF(D1035="","", IFNA(VLOOKUP(D1035, SATCAT_DECAY!A:B, 2, FALSE), ""))
</f>
        <v/>
      </c>
      <c r="G1035" s="3" t="str">
        <f t="shared" si="1"/>
        <v>ACTIVE</v>
      </c>
    </row>
    <row r="1036" ht="22.5" customHeight="1">
      <c r="A1036" s="11" t="str">
        <f t="array" ref="A1036">IFERROR(
  INDEX('Starlink Launches'!$A:$A, MATCH($E1036, 'Starlink Launches'!$B:$B, 0)),
  ""
)
</f>
        <v>6-49</v>
      </c>
      <c r="B1036" s="3" t="s">
        <v>25</v>
      </c>
      <c r="C1036" s="12" t="s">
        <v>1048</v>
      </c>
      <c r="D1036" s="13">
        <v>59504.0</v>
      </c>
      <c r="E1036" s="4">
        <v>45395.0</v>
      </c>
      <c r="F1036" s="4" t="str">
        <f>IF(D1036="","", IFNA(VLOOKUP(D1036, SATCAT_DECAY!A:B, 2, FALSE), ""))
</f>
        <v/>
      </c>
      <c r="G1036" s="3" t="str">
        <f t="shared" si="1"/>
        <v>ACTIVE</v>
      </c>
    </row>
    <row r="1037" ht="22.5" customHeight="1">
      <c r="A1037" s="11" t="str">
        <f t="array" ref="A1037">IFERROR(
  INDEX('Starlink Launches'!$A:$A, MATCH($E1037, 'Starlink Launches'!$B:$B, 0)),
  ""
)
</f>
        <v>6-49</v>
      </c>
      <c r="B1037" s="3" t="s">
        <v>25</v>
      </c>
      <c r="C1037" s="12" t="s">
        <v>1049</v>
      </c>
      <c r="D1037" s="13">
        <v>59505.0</v>
      </c>
      <c r="E1037" s="4">
        <v>45395.0</v>
      </c>
      <c r="F1037" s="4" t="str">
        <f>IF(D1037="","", IFNA(VLOOKUP(D1037, SATCAT_DECAY!A:B, 2, FALSE), ""))
</f>
        <v/>
      </c>
      <c r="G1037" s="3" t="str">
        <f t="shared" si="1"/>
        <v>ACTIVE</v>
      </c>
    </row>
    <row r="1038" ht="22.5" customHeight="1">
      <c r="A1038" s="11" t="str">
        <f t="array" ref="A1038">IFERROR(
  INDEX('Starlink Launches'!$A:$A, MATCH($E1038, 'Starlink Launches'!$B:$B, 0)),
  ""
)
</f>
        <v>6-49</v>
      </c>
      <c r="B1038" s="3" t="s">
        <v>25</v>
      </c>
      <c r="C1038" s="12" t="s">
        <v>1050</v>
      </c>
      <c r="D1038" s="13">
        <v>59506.0</v>
      </c>
      <c r="E1038" s="4">
        <v>45395.0</v>
      </c>
      <c r="F1038" s="4" t="str">
        <f>IF(D1038="","", IFNA(VLOOKUP(D1038, SATCAT_DECAY!A:B, 2, FALSE), ""))
</f>
        <v/>
      </c>
      <c r="G1038" s="3" t="str">
        <f t="shared" si="1"/>
        <v>ACTIVE</v>
      </c>
    </row>
    <row r="1039" ht="22.5" customHeight="1">
      <c r="A1039" s="11" t="str">
        <f t="array" ref="A1039">IFERROR(
  INDEX('Starlink Launches'!$A:$A, MATCH($E1039, 'Starlink Launches'!$B:$B, 0)),
  ""
)
</f>
        <v>6-51</v>
      </c>
      <c r="B1039" s="3" t="s">
        <v>25</v>
      </c>
      <c r="C1039" s="12" t="s">
        <v>1051</v>
      </c>
      <c r="D1039" s="13">
        <v>59511.0</v>
      </c>
      <c r="E1039" s="4">
        <v>45399.0</v>
      </c>
      <c r="F1039" s="4" t="str">
        <f>IF(D1039="","", IFNA(VLOOKUP(D1039, SATCAT_DECAY!A:B, 2, FALSE), ""))
</f>
        <v/>
      </c>
      <c r="G1039" s="3" t="str">
        <f t="shared" si="1"/>
        <v>ACTIVE</v>
      </c>
    </row>
    <row r="1040" ht="22.5" customHeight="1">
      <c r="A1040" s="11" t="str">
        <f t="array" ref="A1040">IFERROR(
  INDEX('Starlink Launches'!$A:$A, MATCH($E1040, 'Starlink Launches'!$B:$B, 0)),
  ""
)
</f>
        <v>6-51</v>
      </c>
      <c r="B1040" s="3" t="s">
        <v>25</v>
      </c>
      <c r="C1040" s="12" t="s">
        <v>1052</v>
      </c>
      <c r="D1040" s="13">
        <v>59512.0</v>
      </c>
      <c r="E1040" s="4">
        <v>45399.0</v>
      </c>
      <c r="F1040" s="4" t="str">
        <f>IF(D1040="","", IFNA(VLOOKUP(D1040, SATCAT_DECAY!A:B, 2, FALSE), ""))
</f>
        <v/>
      </c>
      <c r="G1040" s="3" t="str">
        <f t="shared" si="1"/>
        <v>ACTIVE</v>
      </c>
    </row>
    <row r="1041" ht="22.5" customHeight="1">
      <c r="A1041" s="11" t="str">
        <f t="array" ref="A1041">IFERROR(
  INDEX('Starlink Launches'!$A:$A, MATCH($E1041, 'Starlink Launches'!$B:$B, 0)),
  ""
)
</f>
        <v>6-51</v>
      </c>
      <c r="B1041" s="3" t="s">
        <v>25</v>
      </c>
      <c r="C1041" s="12" t="s">
        <v>1053</v>
      </c>
      <c r="D1041" s="13">
        <v>59513.0</v>
      </c>
      <c r="E1041" s="4">
        <v>45399.0</v>
      </c>
      <c r="F1041" s="4" t="str">
        <f>IF(D1041="","", IFNA(VLOOKUP(D1041, SATCAT_DECAY!A:B, 2, FALSE), ""))
</f>
        <v/>
      </c>
      <c r="G1041" s="3" t="str">
        <f t="shared" si="1"/>
        <v>ACTIVE</v>
      </c>
    </row>
    <row r="1042" ht="22.5" customHeight="1">
      <c r="A1042" s="11" t="str">
        <f t="array" ref="A1042">IFERROR(
  INDEX('Starlink Launches'!$A:$A, MATCH($E1042, 'Starlink Launches'!$B:$B, 0)),
  ""
)
</f>
        <v>6-51</v>
      </c>
      <c r="B1042" s="3" t="s">
        <v>25</v>
      </c>
      <c r="C1042" s="12" t="s">
        <v>1054</v>
      </c>
      <c r="D1042" s="13">
        <v>59515.0</v>
      </c>
      <c r="E1042" s="4">
        <v>45399.0</v>
      </c>
      <c r="F1042" s="4" t="str">
        <f>IF(D1042="","", IFNA(VLOOKUP(D1042, SATCAT_DECAY!A:B, 2, FALSE), ""))
</f>
        <v/>
      </c>
      <c r="G1042" s="3" t="str">
        <f t="shared" si="1"/>
        <v>ACTIVE</v>
      </c>
    </row>
    <row r="1043" ht="22.5" customHeight="1">
      <c r="A1043" s="11" t="str">
        <f t="array" ref="A1043">IFERROR(
  INDEX('Starlink Launches'!$A:$A, MATCH($E1043, 'Starlink Launches'!$B:$B, 0)),
  ""
)
</f>
        <v>6-51</v>
      </c>
      <c r="B1043" s="3" t="s">
        <v>25</v>
      </c>
      <c r="C1043" s="12" t="s">
        <v>1055</v>
      </c>
      <c r="D1043" s="13">
        <v>59516.0</v>
      </c>
      <c r="E1043" s="4">
        <v>45399.0</v>
      </c>
      <c r="F1043" s="4" t="str">
        <f>IF(D1043="","", IFNA(VLOOKUP(D1043, SATCAT_DECAY!A:B, 2, FALSE), ""))
</f>
        <v/>
      </c>
      <c r="G1043" s="3" t="str">
        <f t="shared" si="1"/>
        <v>ACTIVE</v>
      </c>
    </row>
    <row r="1044" ht="22.5" customHeight="1">
      <c r="A1044" s="11" t="str">
        <f t="array" ref="A1044">IFERROR(
  INDEX('Starlink Launches'!$A:$A, MATCH($E1044, 'Starlink Launches'!$B:$B, 0)),
  ""
)
</f>
        <v>6-51</v>
      </c>
      <c r="B1044" s="3" t="s">
        <v>25</v>
      </c>
      <c r="C1044" s="12" t="s">
        <v>1056</v>
      </c>
      <c r="D1044" s="13">
        <v>59517.0</v>
      </c>
      <c r="E1044" s="4">
        <v>45399.0</v>
      </c>
      <c r="F1044" s="4" t="str">
        <f>IF(D1044="","", IFNA(VLOOKUP(D1044, SATCAT_DECAY!A:B, 2, FALSE), ""))
</f>
        <v/>
      </c>
      <c r="G1044" s="3" t="str">
        <f t="shared" si="1"/>
        <v>ACTIVE</v>
      </c>
    </row>
    <row r="1045" ht="22.5" customHeight="1">
      <c r="A1045" s="11" t="str">
        <f t="array" ref="A1045">IFERROR(
  INDEX('Starlink Launches'!$A:$A, MATCH($E1045, 'Starlink Launches'!$B:$B, 0)),
  ""
)
</f>
        <v>6-51</v>
      </c>
      <c r="B1045" s="3" t="s">
        <v>25</v>
      </c>
      <c r="C1045" s="12" t="s">
        <v>1057</v>
      </c>
      <c r="D1045" s="13">
        <v>59519.0</v>
      </c>
      <c r="E1045" s="4">
        <v>45399.0</v>
      </c>
      <c r="F1045" s="4" t="str">
        <f>IF(D1045="","", IFNA(VLOOKUP(D1045, SATCAT_DECAY!A:B, 2, FALSE), ""))
</f>
        <v/>
      </c>
      <c r="G1045" s="3" t="str">
        <f t="shared" si="1"/>
        <v>ACTIVE</v>
      </c>
    </row>
    <row r="1046" ht="22.5" customHeight="1">
      <c r="A1046" s="11" t="str">
        <f t="array" ref="A1046">IFERROR(
  INDEX('Starlink Launches'!$A:$A, MATCH($E1046, 'Starlink Launches'!$B:$B, 0)),
  ""
)
</f>
        <v>6-51</v>
      </c>
      <c r="B1046" s="3" t="s">
        <v>25</v>
      </c>
      <c r="C1046" s="12" t="s">
        <v>1058</v>
      </c>
      <c r="D1046" s="13">
        <v>59520.0</v>
      </c>
      <c r="E1046" s="4">
        <v>45399.0</v>
      </c>
      <c r="F1046" s="4" t="str">
        <f>IF(D1046="","", IFNA(VLOOKUP(D1046, SATCAT_DECAY!A:B, 2, FALSE), ""))
</f>
        <v/>
      </c>
      <c r="G1046" s="3" t="str">
        <f t="shared" si="1"/>
        <v>ACTIVE</v>
      </c>
    </row>
    <row r="1047" ht="22.5" customHeight="1">
      <c r="A1047" s="11" t="str">
        <f t="array" ref="A1047">IFERROR(
  INDEX('Starlink Launches'!$A:$A, MATCH($E1047, 'Starlink Launches'!$B:$B, 0)),
  ""
)
</f>
        <v>6-51</v>
      </c>
      <c r="B1047" s="3" t="s">
        <v>25</v>
      </c>
      <c r="C1047" s="12" t="s">
        <v>1059</v>
      </c>
      <c r="D1047" s="13">
        <v>59521.0</v>
      </c>
      <c r="E1047" s="4">
        <v>45399.0</v>
      </c>
      <c r="F1047" s="4" t="str">
        <f>IF(D1047="","", IFNA(VLOOKUP(D1047, SATCAT_DECAY!A:B, 2, FALSE), ""))
</f>
        <v/>
      </c>
      <c r="G1047" s="3" t="str">
        <f t="shared" si="1"/>
        <v>ACTIVE</v>
      </c>
    </row>
    <row r="1048" ht="22.5" customHeight="1">
      <c r="A1048" s="11" t="str">
        <f t="array" ref="A1048">IFERROR(
  INDEX('Starlink Launches'!$A:$A, MATCH($E1048, 'Starlink Launches'!$B:$B, 0)),
  ""
)
</f>
        <v>6-51</v>
      </c>
      <c r="B1048" s="3" t="s">
        <v>25</v>
      </c>
      <c r="C1048" s="12" t="s">
        <v>1060</v>
      </c>
      <c r="D1048" s="13">
        <v>59522.0</v>
      </c>
      <c r="E1048" s="4">
        <v>45399.0</v>
      </c>
      <c r="F1048" s="4" t="str">
        <f>IF(D1048="","", IFNA(VLOOKUP(D1048, SATCAT_DECAY!A:B, 2, FALSE), ""))
</f>
        <v/>
      </c>
      <c r="G1048" s="3" t="str">
        <f t="shared" si="1"/>
        <v>ACTIVE</v>
      </c>
    </row>
    <row r="1049" ht="22.5" customHeight="1">
      <c r="A1049" s="11" t="str">
        <f t="array" ref="A1049">IFERROR(
  INDEX('Starlink Launches'!$A:$A, MATCH($E1049, 'Starlink Launches'!$B:$B, 0)),
  ""
)
</f>
        <v>6-51</v>
      </c>
      <c r="B1049" s="3" t="s">
        <v>25</v>
      </c>
      <c r="C1049" s="12" t="s">
        <v>1061</v>
      </c>
      <c r="D1049" s="13">
        <v>59523.0</v>
      </c>
      <c r="E1049" s="4">
        <v>45399.0</v>
      </c>
      <c r="F1049" s="4" t="str">
        <f>IF(D1049="","", IFNA(VLOOKUP(D1049, SATCAT_DECAY!A:B, 2, FALSE), ""))
</f>
        <v/>
      </c>
      <c r="G1049" s="3" t="str">
        <f t="shared" si="1"/>
        <v>ACTIVE</v>
      </c>
    </row>
    <row r="1050" ht="22.5" customHeight="1">
      <c r="A1050" s="11" t="str">
        <f t="array" ref="A1050">IFERROR(
  INDEX('Starlink Launches'!$A:$A, MATCH($E1050, 'Starlink Launches'!$B:$B, 0)),
  ""
)
</f>
        <v>6-51</v>
      </c>
      <c r="B1050" s="3" t="s">
        <v>25</v>
      </c>
      <c r="C1050" s="12" t="s">
        <v>1062</v>
      </c>
      <c r="D1050" s="13">
        <v>59525.0</v>
      </c>
      <c r="E1050" s="4">
        <v>45399.0</v>
      </c>
      <c r="F1050" s="4" t="str">
        <f>IF(D1050="","", IFNA(VLOOKUP(D1050, SATCAT_DECAY!A:B, 2, FALSE), ""))
</f>
        <v/>
      </c>
      <c r="G1050" s="3" t="str">
        <f t="shared" si="1"/>
        <v>ACTIVE</v>
      </c>
    </row>
    <row r="1051" ht="22.5" customHeight="1">
      <c r="A1051" s="11" t="str">
        <f t="array" ref="A1051">IFERROR(
  INDEX('Starlink Launches'!$A:$A, MATCH($E1051, 'Starlink Launches'!$B:$B, 0)),
  ""
)
</f>
        <v>6-51</v>
      </c>
      <c r="B1051" s="3" t="s">
        <v>25</v>
      </c>
      <c r="C1051" s="12" t="s">
        <v>1063</v>
      </c>
      <c r="D1051" s="13">
        <v>59526.0</v>
      </c>
      <c r="E1051" s="4">
        <v>45399.0</v>
      </c>
      <c r="F1051" s="4" t="str">
        <f>IF(D1051="","", IFNA(VLOOKUP(D1051, SATCAT_DECAY!A:B, 2, FALSE), ""))
</f>
        <v/>
      </c>
      <c r="G1051" s="3" t="str">
        <f t="shared" si="1"/>
        <v>ACTIVE</v>
      </c>
    </row>
    <row r="1052" ht="22.5" customHeight="1">
      <c r="A1052" s="11" t="str">
        <f t="array" ref="A1052">IFERROR(
  INDEX('Starlink Launches'!$A:$A, MATCH($E1052, 'Starlink Launches'!$B:$B, 0)),
  ""
)
</f>
        <v>6-51</v>
      </c>
      <c r="B1052" s="3" t="s">
        <v>25</v>
      </c>
      <c r="C1052" s="12" t="s">
        <v>1064</v>
      </c>
      <c r="D1052" s="13">
        <v>59527.0</v>
      </c>
      <c r="E1052" s="4">
        <v>45399.0</v>
      </c>
      <c r="F1052" s="4" t="str">
        <f>IF(D1052="","", IFNA(VLOOKUP(D1052, SATCAT_DECAY!A:B, 2, FALSE), ""))
</f>
        <v/>
      </c>
      <c r="G1052" s="3" t="str">
        <f t="shared" si="1"/>
        <v>ACTIVE</v>
      </c>
    </row>
    <row r="1053" ht="22.5" customHeight="1">
      <c r="A1053" s="11" t="str">
        <f t="array" ref="A1053">IFERROR(
  INDEX('Starlink Launches'!$A:$A, MATCH($E1053, 'Starlink Launches'!$B:$B, 0)),
  ""
)
</f>
        <v>6-51</v>
      </c>
      <c r="B1053" s="3" t="s">
        <v>25</v>
      </c>
      <c r="C1053" s="12" t="s">
        <v>1065</v>
      </c>
      <c r="D1053" s="13">
        <v>59529.0</v>
      </c>
      <c r="E1053" s="4">
        <v>45399.0</v>
      </c>
      <c r="F1053" s="4" t="str">
        <f>IF(D1053="","", IFNA(VLOOKUP(D1053, SATCAT_DECAY!A:B, 2, FALSE), ""))
</f>
        <v/>
      </c>
      <c r="G1053" s="3" t="str">
        <f t="shared" si="1"/>
        <v>ACTIVE</v>
      </c>
    </row>
    <row r="1054" ht="22.5" customHeight="1">
      <c r="A1054" s="11" t="str">
        <f t="array" ref="A1054">IFERROR(
  INDEX('Starlink Launches'!$A:$A, MATCH($E1054, 'Starlink Launches'!$B:$B, 0)),
  ""
)
</f>
        <v>6-51</v>
      </c>
      <c r="B1054" s="3" t="s">
        <v>25</v>
      </c>
      <c r="C1054" s="12" t="s">
        <v>1066</v>
      </c>
      <c r="D1054" s="13">
        <v>59530.0</v>
      </c>
      <c r="E1054" s="4">
        <v>45399.0</v>
      </c>
      <c r="F1054" s="4" t="str">
        <f>IF(D1054="","", IFNA(VLOOKUP(D1054, SATCAT_DECAY!A:B, 2, FALSE), ""))
</f>
        <v/>
      </c>
      <c r="G1054" s="3" t="str">
        <f t="shared" si="1"/>
        <v>ACTIVE</v>
      </c>
    </row>
    <row r="1055" ht="22.5" customHeight="1">
      <c r="A1055" s="11" t="str">
        <f t="array" ref="A1055">IFERROR(
  INDEX('Starlink Launches'!$A:$A, MATCH($E1055, 'Starlink Launches'!$B:$B, 0)),
  ""
)
</f>
        <v>6-51</v>
      </c>
      <c r="B1055" s="3" t="s">
        <v>25</v>
      </c>
      <c r="C1055" s="12" t="s">
        <v>1067</v>
      </c>
      <c r="D1055" s="13">
        <v>59531.0</v>
      </c>
      <c r="E1055" s="4">
        <v>45399.0</v>
      </c>
      <c r="F1055" s="4" t="str">
        <f>IF(D1055="","", IFNA(VLOOKUP(D1055, SATCAT_DECAY!A:B, 2, FALSE), ""))
</f>
        <v/>
      </c>
      <c r="G1055" s="3" t="str">
        <f t="shared" si="1"/>
        <v>ACTIVE</v>
      </c>
    </row>
    <row r="1056" ht="22.5" customHeight="1">
      <c r="A1056" s="11" t="str">
        <f t="array" ref="A1056">IFERROR(
  INDEX('Starlink Launches'!$A:$A, MATCH($E1056, 'Starlink Launches'!$B:$B, 0)),
  ""
)
</f>
        <v>6-51</v>
      </c>
      <c r="B1056" s="3" t="s">
        <v>25</v>
      </c>
      <c r="C1056" s="12" t="s">
        <v>1068</v>
      </c>
      <c r="D1056" s="13">
        <v>59533.0</v>
      </c>
      <c r="E1056" s="4">
        <v>45399.0</v>
      </c>
      <c r="F1056" s="4" t="str">
        <f>IF(D1056="","", IFNA(VLOOKUP(D1056, SATCAT_DECAY!A:B, 2, FALSE), ""))
</f>
        <v/>
      </c>
      <c r="G1056" s="3" t="str">
        <f t="shared" si="1"/>
        <v>ACTIVE</v>
      </c>
    </row>
    <row r="1057" ht="22.5" customHeight="1">
      <c r="A1057" s="11" t="str">
        <f t="array" ref="A1057">IFERROR(
  INDEX('Starlink Launches'!$A:$A, MATCH($E1057, 'Starlink Launches'!$B:$B, 0)),
  ""
)
</f>
        <v>6-52</v>
      </c>
      <c r="B1057" s="3" t="s">
        <v>25</v>
      </c>
      <c r="C1057" s="12" t="s">
        <v>1069</v>
      </c>
      <c r="D1057" s="13">
        <v>59534.0</v>
      </c>
      <c r="E1057" s="4">
        <v>45400.0</v>
      </c>
      <c r="F1057" s="4" t="str">
        <f>IF(D1057="","", IFNA(VLOOKUP(D1057, SATCAT_DECAY!A:B, 2, FALSE), ""))
</f>
        <v/>
      </c>
      <c r="G1057" s="3" t="str">
        <f t="shared" si="1"/>
        <v>ACTIVE</v>
      </c>
    </row>
    <row r="1058" ht="22.5" customHeight="1">
      <c r="A1058" s="11" t="str">
        <f t="array" ref="A1058">IFERROR(
  INDEX('Starlink Launches'!$A:$A, MATCH($E1058, 'Starlink Launches'!$B:$B, 0)),
  ""
)
</f>
        <v>6-52</v>
      </c>
      <c r="B1058" s="3" t="s">
        <v>25</v>
      </c>
      <c r="C1058" s="12" t="s">
        <v>1070</v>
      </c>
      <c r="D1058" s="13">
        <v>59535.0</v>
      </c>
      <c r="E1058" s="4">
        <v>45400.0</v>
      </c>
      <c r="F1058" s="4" t="str">
        <f>IF(D1058="","", IFNA(VLOOKUP(D1058, SATCAT_DECAY!A:B, 2, FALSE), ""))
</f>
        <v/>
      </c>
      <c r="G1058" s="3" t="str">
        <f t="shared" si="1"/>
        <v>ACTIVE</v>
      </c>
    </row>
    <row r="1059" ht="22.5" customHeight="1">
      <c r="A1059" s="11" t="str">
        <f t="array" ref="A1059">IFERROR(
  INDEX('Starlink Launches'!$A:$A, MATCH($E1059, 'Starlink Launches'!$B:$B, 0)),
  ""
)
</f>
        <v>6-52</v>
      </c>
      <c r="B1059" s="3" t="s">
        <v>25</v>
      </c>
      <c r="C1059" s="12" t="s">
        <v>1071</v>
      </c>
      <c r="D1059" s="13">
        <v>59536.0</v>
      </c>
      <c r="E1059" s="4">
        <v>45400.0</v>
      </c>
      <c r="F1059" s="4" t="str">
        <f>IF(D1059="","", IFNA(VLOOKUP(D1059, SATCAT_DECAY!A:B, 2, FALSE), ""))
</f>
        <v/>
      </c>
      <c r="G1059" s="3" t="str">
        <f t="shared" si="1"/>
        <v>ACTIVE</v>
      </c>
    </row>
    <row r="1060" ht="22.5" customHeight="1">
      <c r="A1060" s="11" t="str">
        <f t="array" ref="A1060">IFERROR(
  INDEX('Starlink Launches'!$A:$A, MATCH($E1060, 'Starlink Launches'!$B:$B, 0)),
  ""
)
</f>
        <v>6-52</v>
      </c>
      <c r="B1060" s="3" t="s">
        <v>25</v>
      </c>
      <c r="C1060" s="12" t="s">
        <v>1072</v>
      </c>
      <c r="D1060" s="13">
        <v>59537.0</v>
      </c>
      <c r="E1060" s="4">
        <v>45400.0</v>
      </c>
      <c r="F1060" s="4" t="str">
        <f>IF(D1060="","", IFNA(VLOOKUP(D1060, SATCAT_DECAY!A:B, 2, FALSE), ""))
</f>
        <v/>
      </c>
      <c r="G1060" s="3" t="str">
        <f t="shared" si="1"/>
        <v>ACTIVE</v>
      </c>
    </row>
    <row r="1061" ht="22.5" customHeight="1">
      <c r="A1061" s="11" t="str">
        <f t="array" ref="A1061">IFERROR(
  INDEX('Starlink Launches'!$A:$A, MATCH($E1061, 'Starlink Launches'!$B:$B, 0)),
  ""
)
</f>
        <v>6-52</v>
      </c>
      <c r="B1061" s="3" t="s">
        <v>25</v>
      </c>
      <c r="C1061" s="12" t="s">
        <v>1073</v>
      </c>
      <c r="D1061" s="13">
        <v>59538.0</v>
      </c>
      <c r="E1061" s="4">
        <v>45400.0</v>
      </c>
      <c r="F1061" s="4" t="str">
        <f>IF(D1061="","", IFNA(VLOOKUP(D1061, SATCAT_DECAY!A:B, 2, FALSE), ""))
</f>
        <v/>
      </c>
      <c r="G1061" s="3" t="str">
        <f t="shared" si="1"/>
        <v>ACTIVE</v>
      </c>
    </row>
    <row r="1062" ht="22.5" customHeight="1">
      <c r="A1062" s="11" t="str">
        <f t="array" ref="A1062">IFERROR(
  INDEX('Starlink Launches'!$A:$A, MATCH($E1062, 'Starlink Launches'!$B:$B, 0)),
  ""
)
</f>
        <v>6-52</v>
      </c>
      <c r="B1062" s="3" t="s">
        <v>25</v>
      </c>
      <c r="C1062" s="12" t="s">
        <v>1074</v>
      </c>
      <c r="D1062" s="13">
        <v>59539.0</v>
      </c>
      <c r="E1062" s="4">
        <v>45400.0</v>
      </c>
      <c r="F1062" s="4" t="str">
        <f>IF(D1062="","", IFNA(VLOOKUP(D1062, SATCAT_DECAY!A:B, 2, FALSE), ""))
</f>
        <v/>
      </c>
      <c r="G1062" s="3" t="str">
        <f t="shared" si="1"/>
        <v>ACTIVE</v>
      </c>
    </row>
    <row r="1063" ht="22.5" customHeight="1">
      <c r="A1063" s="11" t="str">
        <f t="array" ref="A1063">IFERROR(
  INDEX('Starlink Launches'!$A:$A, MATCH($E1063, 'Starlink Launches'!$B:$B, 0)),
  ""
)
</f>
        <v>6-52</v>
      </c>
      <c r="B1063" s="3" t="s">
        <v>25</v>
      </c>
      <c r="C1063" s="12" t="s">
        <v>1075</v>
      </c>
      <c r="D1063" s="13">
        <v>59540.0</v>
      </c>
      <c r="E1063" s="4">
        <v>45400.0</v>
      </c>
      <c r="F1063" s="4" t="str">
        <f>IF(D1063="","", IFNA(VLOOKUP(D1063, SATCAT_DECAY!A:B, 2, FALSE), ""))
</f>
        <v/>
      </c>
      <c r="G1063" s="3" t="str">
        <f t="shared" si="1"/>
        <v>ACTIVE</v>
      </c>
    </row>
    <row r="1064" ht="22.5" customHeight="1">
      <c r="A1064" s="11" t="str">
        <f t="array" ref="A1064">IFERROR(
  INDEX('Starlink Launches'!$A:$A, MATCH($E1064, 'Starlink Launches'!$B:$B, 0)),
  ""
)
</f>
        <v>6-52</v>
      </c>
      <c r="B1064" s="3" t="s">
        <v>25</v>
      </c>
      <c r="C1064" s="12" t="s">
        <v>1076</v>
      </c>
      <c r="D1064" s="13">
        <v>59541.0</v>
      </c>
      <c r="E1064" s="4">
        <v>45400.0</v>
      </c>
      <c r="F1064" s="4" t="str">
        <f>IF(D1064="","", IFNA(VLOOKUP(D1064, SATCAT_DECAY!A:B, 2, FALSE), ""))
</f>
        <v/>
      </c>
      <c r="G1064" s="3" t="str">
        <f t="shared" si="1"/>
        <v>ACTIVE</v>
      </c>
    </row>
    <row r="1065" ht="22.5" customHeight="1">
      <c r="A1065" s="11" t="str">
        <f t="array" ref="A1065">IFERROR(
  INDEX('Starlink Launches'!$A:$A, MATCH($E1065, 'Starlink Launches'!$B:$B, 0)),
  ""
)
</f>
        <v>6-52</v>
      </c>
      <c r="B1065" s="3" t="s">
        <v>25</v>
      </c>
      <c r="C1065" s="12" t="s">
        <v>1077</v>
      </c>
      <c r="D1065" s="13">
        <v>59542.0</v>
      </c>
      <c r="E1065" s="4">
        <v>45400.0</v>
      </c>
      <c r="F1065" s="4" t="str">
        <f>IF(D1065="","", IFNA(VLOOKUP(D1065, SATCAT_DECAY!A:B, 2, FALSE), ""))
</f>
        <v/>
      </c>
      <c r="G1065" s="3" t="str">
        <f t="shared" si="1"/>
        <v>ACTIVE</v>
      </c>
    </row>
    <row r="1066" ht="22.5" customHeight="1">
      <c r="A1066" s="11" t="str">
        <f t="array" ref="A1066">IFERROR(
  INDEX('Starlink Launches'!$A:$A, MATCH($E1066, 'Starlink Launches'!$B:$B, 0)),
  ""
)
</f>
        <v>6-52</v>
      </c>
      <c r="B1066" s="3" t="s">
        <v>25</v>
      </c>
      <c r="C1066" s="12" t="s">
        <v>1078</v>
      </c>
      <c r="D1066" s="13">
        <v>59543.0</v>
      </c>
      <c r="E1066" s="4">
        <v>45400.0</v>
      </c>
      <c r="F1066" s="4" t="str">
        <f>IF(D1066="","", IFNA(VLOOKUP(D1066, SATCAT_DECAY!A:B, 2, FALSE), ""))
</f>
        <v/>
      </c>
      <c r="G1066" s="3" t="str">
        <f t="shared" si="1"/>
        <v>ACTIVE</v>
      </c>
    </row>
    <row r="1067" ht="22.5" customHeight="1">
      <c r="A1067" s="11" t="str">
        <f t="array" ref="A1067">IFERROR(
  INDEX('Starlink Launches'!$A:$A, MATCH($E1067, 'Starlink Launches'!$B:$B, 0)),
  ""
)
</f>
        <v>6-52</v>
      </c>
      <c r="B1067" s="3" t="s">
        <v>25</v>
      </c>
      <c r="C1067" s="12" t="s">
        <v>1079</v>
      </c>
      <c r="D1067" s="13">
        <v>59544.0</v>
      </c>
      <c r="E1067" s="4">
        <v>45400.0</v>
      </c>
      <c r="F1067" s="4" t="str">
        <f>IF(D1067="","", IFNA(VLOOKUP(D1067, SATCAT_DECAY!A:B, 2, FALSE), ""))
</f>
        <v/>
      </c>
      <c r="G1067" s="3" t="str">
        <f t="shared" si="1"/>
        <v>ACTIVE</v>
      </c>
    </row>
    <row r="1068" ht="22.5" customHeight="1">
      <c r="A1068" s="11" t="str">
        <f t="array" ref="A1068">IFERROR(
  INDEX('Starlink Launches'!$A:$A, MATCH($E1068, 'Starlink Launches'!$B:$B, 0)),
  ""
)
</f>
        <v>6-52</v>
      </c>
      <c r="B1068" s="3" t="s">
        <v>25</v>
      </c>
      <c r="C1068" s="12" t="s">
        <v>1080</v>
      </c>
      <c r="D1068" s="13">
        <v>59545.0</v>
      </c>
      <c r="E1068" s="4">
        <v>45400.0</v>
      </c>
      <c r="F1068" s="4" t="str">
        <f>IF(D1068="","", IFNA(VLOOKUP(D1068, SATCAT_DECAY!A:B, 2, FALSE), ""))
</f>
        <v/>
      </c>
      <c r="G1068" s="3" t="str">
        <f t="shared" si="1"/>
        <v>ACTIVE</v>
      </c>
    </row>
    <row r="1069" ht="22.5" customHeight="1">
      <c r="A1069" s="11" t="str">
        <f t="array" ref="A1069">IFERROR(
  INDEX('Starlink Launches'!$A:$A, MATCH($E1069, 'Starlink Launches'!$B:$B, 0)),
  ""
)
</f>
        <v>6-52</v>
      </c>
      <c r="B1069" s="3" t="s">
        <v>25</v>
      </c>
      <c r="C1069" s="12" t="s">
        <v>1081</v>
      </c>
      <c r="D1069" s="13">
        <v>59546.0</v>
      </c>
      <c r="E1069" s="4">
        <v>45400.0</v>
      </c>
      <c r="F1069" s="4" t="str">
        <f>IF(D1069="","", IFNA(VLOOKUP(D1069, SATCAT_DECAY!A:B, 2, FALSE), ""))
</f>
        <v/>
      </c>
      <c r="G1069" s="3" t="str">
        <f t="shared" si="1"/>
        <v>ACTIVE</v>
      </c>
    </row>
    <row r="1070" ht="22.5" customHeight="1">
      <c r="A1070" s="11" t="str">
        <f t="array" ref="A1070">IFERROR(
  INDEX('Starlink Launches'!$A:$A, MATCH($E1070, 'Starlink Launches'!$B:$B, 0)),
  ""
)
</f>
        <v>6-52</v>
      </c>
      <c r="B1070" s="3" t="s">
        <v>25</v>
      </c>
      <c r="C1070" s="12" t="s">
        <v>1082</v>
      </c>
      <c r="D1070" s="13">
        <v>59547.0</v>
      </c>
      <c r="E1070" s="4">
        <v>45400.0</v>
      </c>
      <c r="F1070" s="4" t="str">
        <f>IF(D1070="","", IFNA(VLOOKUP(D1070, SATCAT_DECAY!A:B, 2, FALSE), ""))
</f>
        <v/>
      </c>
      <c r="G1070" s="3" t="str">
        <f t="shared" si="1"/>
        <v>ACTIVE</v>
      </c>
    </row>
    <row r="1071" ht="22.5" customHeight="1">
      <c r="A1071" s="11" t="str">
        <f t="array" ref="A1071">IFERROR(
  INDEX('Starlink Launches'!$A:$A, MATCH($E1071, 'Starlink Launches'!$B:$B, 0)),
  ""
)
</f>
        <v>6-52</v>
      </c>
      <c r="B1071" s="3" t="s">
        <v>25</v>
      </c>
      <c r="C1071" s="12" t="s">
        <v>1083</v>
      </c>
      <c r="D1071" s="13">
        <v>59548.0</v>
      </c>
      <c r="E1071" s="4">
        <v>45400.0</v>
      </c>
      <c r="F1071" s="4" t="str">
        <f>IF(D1071="","", IFNA(VLOOKUP(D1071, SATCAT_DECAY!A:B, 2, FALSE), ""))
</f>
        <v/>
      </c>
      <c r="G1071" s="3" t="str">
        <f t="shared" si="1"/>
        <v>ACTIVE</v>
      </c>
    </row>
    <row r="1072" ht="22.5" customHeight="1">
      <c r="A1072" s="11" t="str">
        <f t="array" ref="A1072">IFERROR(
  INDEX('Starlink Launches'!$A:$A, MATCH($E1072, 'Starlink Launches'!$B:$B, 0)),
  ""
)
</f>
        <v>6-52</v>
      </c>
      <c r="B1072" s="3" t="s">
        <v>25</v>
      </c>
      <c r="C1072" s="12" t="s">
        <v>1084</v>
      </c>
      <c r="D1072" s="13">
        <v>59549.0</v>
      </c>
      <c r="E1072" s="4">
        <v>45400.0</v>
      </c>
      <c r="F1072" s="4" t="str">
        <f>IF(D1072="","", IFNA(VLOOKUP(D1072, SATCAT_DECAY!A:B, 2, FALSE), ""))
</f>
        <v/>
      </c>
      <c r="G1072" s="3" t="str">
        <f t="shared" si="1"/>
        <v>ACTIVE</v>
      </c>
    </row>
    <row r="1073" ht="22.5" customHeight="1">
      <c r="A1073" s="11" t="str">
        <f t="array" ref="A1073">IFERROR(
  INDEX('Starlink Launches'!$A:$A, MATCH($E1073, 'Starlink Launches'!$B:$B, 0)),
  ""
)
</f>
        <v>6-52</v>
      </c>
      <c r="B1073" s="3" t="s">
        <v>25</v>
      </c>
      <c r="C1073" s="12" t="s">
        <v>1085</v>
      </c>
      <c r="D1073" s="13">
        <v>59550.0</v>
      </c>
      <c r="E1073" s="4">
        <v>45400.0</v>
      </c>
      <c r="F1073" s="4" t="str">
        <f>IF(D1073="","", IFNA(VLOOKUP(D1073, SATCAT_DECAY!A:B, 2, FALSE), ""))
</f>
        <v/>
      </c>
      <c r="G1073" s="3" t="str">
        <f t="shared" si="1"/>
        <v>ACTIVE</v>
      </c>
    </row>
    <row r="1074" ht="22.5" customHeight="1">
      <c r="A1074" s="11" t="str">
        <f t="array" ref="A1074">IFERROR(
  INDEX('Starlink Launches'!$A:$A, MATCH($E1074, 'Starlink Launches'!$B:$B, 0)),
  ""
)
</f>
        <v>6-52</v>
      </c>
      <c r="B1074" s="3" t="s">
        <v>25</v>
      </c>
      <c r="C1074" s="12" t="s">
        <v>1086</v>
      </c>
      <c r="D1074" s="13">
        <v>59551.0</v>
      </c>
      <c r="E1074" s="4">
        <v>45400.0</v>
      </c>
      <c r="F1074" s="4" t="str">
        <f>IF(D1074="","", IFNA(VLOOKUP(D1074, SATCAT_DECAY!A:B, 2, FALSE), ""))
</f>
        <v/>
      </c>
      <c r="G1074" s="3" t="str">
        <f t="shared" si="1"/>
        <v>ACTIVE</v>
      </c>
    </row>
    <row r="1075" ht="22.5" customHeight="1">
      <c r="A1075" s="11" t="str">
        <f t="array" ref="A1075">IFERROR(
  INDEX('Starlink Launches'!$A:$A, MATCH($E1075, 'Starlink Launches'!$B:$B, 0)),
  ""
)
</f>
        <v>6-52</v>
      </c>
      <c r="B1075" s="3" t="s">
        <v>25</v>
      </c>
      <c r="C1075" s="12" t="s">
        <v>1087</v>
      </c>
      <c r="D1075" s="13">
        <v>59552.0</v>
      </c>
      <c r="E1075" s="4">
        <v>45400.0</v>
      </c>
      <c r="F1075" s="4" t="str">
        <f>IF(D1075="","", IFNA(VLOOKUP(D1075, SATCAT_DECAY!A:B, 2, FALSE), ""))
</f>
        <v/>
      </c>
      <c r="G1075" s="3" t="str">
        <f t="shared" si="1"/>
        <v>ACTIVE</v>
      </c>
    </row>
    <row r="1076" ht="22.5" customHeight="1">
      <c r="A1076" s="11" t="str">
        <f t="array" ref="A1076">IFERROR(
  INDEX('Starlink Launches'!$A:$A, MATCH($E1076, 'Starlink Launches'!$B:$B, 0)),
  ""
)
</f>
        <v>6-52</v>
      </c>
      <c r="B1076" s="3" t="s">
        <v>25</v>
      </c>
      <c r="C1076" s="12" t="s">
        <v>1088</v>
      </c>
      <c r="D1076" s="13">
        <v>59553.0</v>
      </c>
      <c r="E1076" s="4">
        <v>45400.0</v>
      </c>
      <c r="F1076" s="4" t="str">
        <f>IF(D1076="","", IFNA(VLOOKUP(D1076, SATCAT_DECAY!A:B, 2, FALSE), ""))
</f>
        <v/>
      </c>
      <c r="G1076" s="3" t="str">
        <f t="shared" si="1"/>
        <v>ACTIVE</v>
      </c>
    </row>
    <row r="1077" ht="22.5" customHeight="1">
      <c r="A1077" s="11" t="str">
        <f t="array" ref="A1077">IFERROR(
  INDEX('Starlink Launches'!$A:$A, MATCH($E1077, 'Starlink Launches'!$B:$B, 0)),
  ""
)
</f>
        <v>6-52</v>
      </c>
      <c r="B1077" s="3" t="s">
        <v>25</v>
      </c>
      <c r="C1077" s="12" t="s">
        <v>1089</v>
      </c>
      <c r="D1077" s="13">
        <v>59554.0</v>
      </c>
      <c r="E1077" s="4">
        <v>45400.0</v>
      </c>
      <c r="F1077" s="4" t="str">
        <f>IF(D1077="","", IFNA(VLOOKUP(D1077, SATCAT_DECAY!A:B, 2, FALSE), ""))
</f>
        <v/>
      </c>
      <c r="G1077" s="3" t="str">
        <f t="shared" si="1"/>
        <v>ACTIVE</v>
      </c>
    </row>
    <row r="1078" ht="22.5" customHeight="1">
      <c r="A1078" s="11" t="str">
        <f t="array" ref="A1078">IFERROR(
  INDEX('Starlink Launches'!$A:$A, MATCH($E1078, 'Starlink Launches'!$B:$B, 0)),
  ""
)
</f>
        <v>6-52</v>
      </c>
      <c r="B1078" s="3" t="s">
        <v>25</v>
      </c>
      <c r="C1078" s="12" t="s">
        <v>1090</v>
      </c>
      <c r="D1078" s="13">
        <v>59555.0</v>
      </c>
      <c r="E1078" s="4">
        <v>45400.0</v>
      </c>
      <c r="F1078" s="4" t="str">
        <f>IF(D1078="","", IFNA(VLOOKUP(D1078, SATCAT_DECAY!A:B, 2, FALSE), ""))
</f>
        <v/>
      </c>
      <c r="G1078" s="3" t="str">
        <f t="shared" si="1"/>
        <v>ACTIVE</v>
      </c>
    </row>
    <row r="1079" ht="22.5" customHeight="1">
      <c r="A1079" s="11" t="str">
        <f t="array" ref="A1079">IFERROR(
  INDEX('Starlink Launches'!$A:$A, MATCH($E1079, 'Starlink Launches'!$B:$B, 0)),
  ""
)
</f>
        <v>6-52</v>
      </c>
      <c r="B1079" s="3" t="s">
        <v>25</v>
      </c>
      <c r="C1079" s="12" t="s">
        <v>1091</v>
      </c>
      <c r="D1079" s="13">
        <v>59556.0</v>
      </c>
      <c r="E1079" s="4">
        <v>45400.0</v>
      </c>
      <c r="F1079" s="4" t="str">
        <f>IF(D1079="","", IFNA(VLOOKUP(D1079, SATCAT_DECAY!A:B, 2, FALSE), ""))
</f>
        <v/>
      </c>
      <c r="G1079" s="3" t="str">
        <f t="shared" si="1"/>
        <v>ACTIVE</v>
      </c>
    </row>
    <row r="1080" ht="22.5" customHeight="1">
      <c r="A1080" s="11" t="str">
        <f t="array" ref="A1080">IFERROR(
  INDEX('Starlink Launches'!$A:$A, MATCH($E1080, 'Starlink Launches'!$B:$B, 0)),
  ""
)
</f>
        <v>6-53</v>
      </c>
      <c r="B1080" s="3" t="s">
        <v>25</v>
      </c>
      <c r="C1080" s="12" t="s">
        <v>1092</v>
      </c>
      <c r="D1080" s="13">
        <v>59564.0</v>
      </c>
      <c r="E1080" s="4">
        <v>45405.0</v>
      </c>
      <c r="F1080" s="4" t="str">
        <f>IF(D1080="","", IFNA(VLOOKUP(D1080, SATCAT_DECAY!A:B, 2, FALSE), ""))
</f>
        <v/>
      </c>
      <c r="G1080" s="3" t="str">
        <f t="shared" si="1"/>
        <v>ACTIVE</v>
      </c>
    </row>
    <row r="1081" ht="22.5" customHeight="1">
      <c r="A1081" s="11" t="str">
        <f t="array" ref="A1081">IFERROR(
  INDEX('Starlink Launches'!$A:$A, MATCH($E1081, 'Starlink Launches'!$B:$B, 0)),
  ""
)
</f>
        <v>6-53</v>
      </c>
      <c r="B1081" s="3" t="s">
        <v>25</v>
      </c>
      <c r="C1081" s="12" t="s">
        <v>1093</v>
      </c>
      <c r="D1081" s="13">
        <v>59565.0</v>
      </c>
      <c r="E1081" s="4">
        <v>45405.0</v>
      </c>
      <c r="F1081" s="4" t="str">
        <f>IF(D1081="","", IFNA(VLOOKUP(D1081, SATCAT_DECAY!A:B, 2, FALSE), ""))
</f>
        <v/>
      </c>
      <c r="G1081" s="3" t="str">
        <f t="shared" si="1"/>
        <v>ACTIVE</v>
      </c>
    </row>
    <row r="1082" ht="22.5" customHeight="1">
      <c r="A1082" s="11" t="str">
        <f t="array" ref="A1082">IFERROR(
  INDEX('Starlink Launches'!$A:$A, MATCH($E1082, 'Starlink Launches'!$B:$B, 0)),
  ""
)
</f>
        <v>6-53</v>
      </c>
      <c r="B1082" s="3" t="s">
        <v>25</v>
      </c>
      <c r="C1082" s="12" t="s">
        <v>1094</v>
      </c>
      <c r="D1082" s="13">
        <v>59566.0</v>
      </c>
      <c r="E1082" s="4">
        <v>45405.0</v>
      </c>
      <c r="F1082" s="4" t="str">
        <f>IF(D1082="","", IFNA(VLOOKUP(D1082, SATCAT_DECAY!A:B, 2, FALSE), ""))
</f>
        <v/>
      </c>
      <c r="G1082" s="3" t="str">
        <f t="shared" si="1"/>
        <v>ACTIVE</v>
      </c>
    </row>
    <row r="1083" ht="22.5" customHeight="1">
      <c r="A1083" s="11" t="str">
        <f t="array" ref="A1083">IFERROR(
  INDEX('Starlink Launches'!$A:$A, MATCH($E1083, 'Starlink Launches'!$B:$B, 0)),
  ""
)
</f>
        <v>6-53</v>
      </c>
      <c r="B1083" s="3" t="s">
        <v>25</v>
      </c>
      <c r="C1083" s="12" t="s">
        <v>1095</v>
      </c>
      <c r="D1083" s="13">
        <v>59567.0</v>
      </c>
      <c r="E1083" s="4">
        <v>45405.0</v>
      </c>
      <c r="F1083" s="4" t="str">
        <f>IF(D1083="","", IFNA(VLOOKUP(D1083, SATCAT_DECAY!A:B, 2, FALSE), ""))
</f>
        <v/>
      </c>
      <c r="G1083" s="3" t="str">
        <f t="shared" si="1"/>
        <v>ACTIVE</v>
      </c>
    </row>
    <row r="1084" ht="22.5" customHeight="1">
      <c r="A1084" s="11" t="str">
        <f t="array" ref="A1084">IFERROR(
  INDEX('Starlink Launches'!$A:$A, MATCH($E1084, 'Starlink Launches'!$B:$B, 0)),
  ""
)
</f>
        <v>6-53</v>
      </c>
      <c r="B1084" s="3" t="s">
        <v>25</v>
      </c>
      <c r="C1084" s="12" t="s">
        <v>1096</v>
      </c>
      <c r="D1084" s="13">
        <v>59568.0</v>
      </c>
      <c r="E1084" s="4">
        <v>45405.0</v>
      </c>
      <c r="F1084" s="4" t="str">
        <f>IF(D1084="","", IFNA(VLOOKUP(D1084, SATCAT_DECAY!A:B, 2, FALSE), ""))
</f>
        <v/>
      </c>
      <c r="G1084" s="3" t="str">
        <f t="shared" si="1"/>
        <v>ACTIVE</v>
      </c>
    </row>
    <row r="1085" ht="22.5" customHeight="1">
      <c r="A1085" s="11" t="str">
        <f t="array" ref="A1085">IFERROR(
  INDEX('Starlink Launches'!$A:$A, MATCH($E1085, 'Starlink Launches'!$B:$B, 0)),
  ""
)
</f>
        <v>6-53</v>
      </c>
      <c r="B1085" s="3" t="s">
        <v>25</v>
      </c>
      <c r="C1085" s="12" t="s">
        <v>1097</v>
      </c>
      <c r="D1085" s="13">
        <v>59569.0</v>
      </c>
      <c r="E1085" s="4">
        <v>45405.0</v>
      </c>
      <c r="F1085" s="4" t="str">
        <f>IF(D1085="","", IFNA(VLOOKUP(D1085, SATCAT_DECAY!A:B, 2, FALSE), ""))
</f>
        <v/>
      </c>
      <c r="G1085" s="3" t="str">
        <f t="shared" si="1"/>
        <v>ACTIVE</v>
      </c>
    </row>
    <row r="1086" ht="22.5" customHeight="1">
      <c r="A1086" s="11" t="str">
        <f t="array" ref="A1086">IFERROR(
  INDEX('Starlink Launches'!$A:$A, MATCH($E1086, 'Starlink Launches'!$B:$B, 0)),
  ""
)
</f>
        <v>6-53</v>
      </c>
      <c r="B1086" s="3" t="s">
        <v>25</v>
      </c>
      <c r="C1086" s="12" t="s">
        <v>1098</v>
      </c>
      <c r="D1086" s="13">
        <v>59570.0</v>
      </c>
      <c r="E1086" s="4">
        <v>45405.0</v>
      </c>
      <c r="F1086" s="4" t="str">
        <f>IF(D1086="","", IFNA(VLOOKUP(D1086, SATCAT_DECAY!A:B, 2, FALSE), ""))
</f>
        <v/>
      </c>
      <c r="G1086" s="3" t="str">
        <f t="shared" si="1"/>
        <v>ACTIVE</v>
      </c>
    </row>
    <row r="1087" ht="22.5" customHeight="1">
      <c r="A1087" s="11" t="str">
        <f t="array" ref="A1087">IFERROR(
  INDEX('Starlink Launches'!$A:$A, MATCH($E1087, 'Starlink Launches'!$B:$B, 0)),
  ""
)
</f>
        <v>6-53</v>
      </c>
      <c r="B1087" s="3" t="s">
        <v>25</v>
      </c>
      <c r="C1087" s="12" t="s">
        <v>1099</v>
      </c>
      <c r="D1087" s="13">
        <v>59571.0</v>
      </c>
      <c r="E1087" s="4">
        <v>45405.0</v>
      </c>
      <c r="F1087" s="4" t="str">
        <f>IF(D1087="","", IFNA(VLOOKUP(D1087, SATCAT_DECAY!A:B, 2, FALSE), ""))
</f>
        <v/>
      </c>
      <c r="G1087" s="3" t="str">
        <f t="shared" si="1"/>
        <v>ACTIVE</v>
      </c>
    </row>
    <row r="1088" ht="22.5" customHeight="1">
      <c r="A1088" s="11" t="str">
        <f t="array" ref="A1088">IFERROR(
  INDEX('Starlink Launches'!$A:$A, MATCH($E1088, 'Starlink Launches'!$B:$B, 0)),
  ""
)
</f>
        <v>6-53</v>
      </c>
      <c r="B1088" s="3" t="s">
        <v>25</v>
      </c>
      <c r="C1088" s="12" t="s">
        <v>1100</v>
      </c>
      <c r="D1088" s="13">
        <v>59572.0</v>
      </c>
      <c r="E1088" s="4">
        <v>45405.0</v>
      </c>
      <c r="F1088" s="4" t="str">
        <f>IF(D1088="","", IFNA(VLOOKUP(D1088, SATCAT_DECAY!A:B, 2, FALSE), ""))
</f>
        <v/>
      </c>
      <c r="G1088" s="3" t="str">
        <f t="shared" si="1"/>
        <v>ACTIVE</v>
      </c>
    </row>
    <row r="1089" ht="22.5" customHeight="1">
      <c r="A1089" s="11" t="str">
        <f t="array" ref="A1089">IFERROR(
  INDEX('Starlink Launches'!$A:$A, MATCH($E1089, 'Starlink Launches'!$B:$B, 0)),
  ""
)
</f>
        <v>6-53</v>
      </c>
      <c r="B1089" s="3" t="s">
        <v>25</v>
      </c>
      <c r="C1089" s="12" t="s">
        <v>1101</v>
      </c>
      <c r="D1089" s="13">
        <v>59573.0</v>
      </c>
      <c r="E1089" s="4">
        <v>45405.0</v>
      </c>
      <c r="F1089" s="4" t="str">
        <f>IF(D1089="","", IFNA(VLOOKUP(D1089, SATCAT_DECAY!A:B, 2, FALSE), ""))
</f>
        <v/>
      </c>
      <c r="G1089" s="3" t="str">
        <f t="shared" si="1"/>
        <v>ACTIVE</v>
      </c>
    </row>
    <row r="1090" ht="22.5" customHeight="1">
      <c r="A1090" s="11" t="str">
        <f t="array" ref="A1090">IFERROR(
  INDEX('Starlink Launches'!$A:$A, MATCH($E1090, 'Starlink Launches'!$B:$B, 0)),
  ""
)
</f>
        <v>6-53</v>
      </c>
      <c r="B1090" s="3" t="s">
        <v>25</v>
      </c>
      <c r="C1090" s="12" t="s">
        <v>1102</v>
      </c>
      <c r="D1090" s="13">
        <v>59574.0</v>
      </c>
      <c r="E1090" s="4">
        <v>45405.0</v>
      </c>
      <c r="F1090" s="4" t="str">
        <f>IF(D1090="","", IFNA(VLOOKUP(D1090, SATCAT_DECAY!A:B, 2, FALSE), ""))
</f>
        <v/>
      </c>
      <c r="G1090" s="3" t="str">
        <f t="shared" si="1"/>
        <v>ACTIVE</v>
      </c>
    </row>
    <row r="1091" ht="22.5" customHeight="1">
      <c r="A1091" s="11" t="str">
        <f t="array" ref="A1091">IFERROR(
  INDEX('Starlink Launches'!$A:$A, MATCH($E1091, 'Starlink Launches'!$B:$B, 0)),
  ""
)
</f>
        <v>6-53</v>
      </c>
      <c r="B1091" s="3" t="s">
        <v>25</v>
      </c>
      <c r="C1091" s="12" t="s">
        <v>1103</v>
      </c>
      <c r="D1091" s="13">
        <v>59575.0</v>
      </c>
      <c r="E1091" s="4">
        <v>45405.0</v>
      </c>
      <c r="F1091" s="4" t="str">
        <f>IF(D1091="","", IFNA(VLOOKUP(D1091, SATCAT_DECAY!A:B, 2, FALSE), ""))
</f>
        <v/>
      </c>
      <c r="G1091" s="3" t="str">
        <f t="shared" si="1"/>
        <v>ACTIVE</v>
      </c>
    </row>
    <row r="1092" ht="22.5" customHeight="1">
      <c r="A1092" s="11" t="str">
        <f t="array" ref="A1092">IFERROR(
  INDEX('Starlink Launches'!$A:$A, MATCH($E1092, 'Starlink Launches'!$B:$B, 0)),
  ""
)
</f>
        <v>6-53</v>
      </c>
      <c r="B1092" s="3" t="s">
        <v>25</v>
      </c>
      <c r="C1092" s="12" t="s">
        <v>1104</v>
      </c>
      <c r="D1092" s="13">
        <v>59576.0</v>
      </c>
      <c r="E1092" s="4">
        <v>45405.0</v>
      </c>
      <c r="F1092" s="4" t="str">
        <f>IF(D1092="","", IFNA(VLOOKUP(D1092, SATCAT_DECAY!A:B, 2, FALSE), ""))
</f>
        <v/>
      </c>
      <c r="G1092" s="3" t="str">
        <f t="shared" si="1"/>
        <v>ACTIVE</v>
      </c>
    </row>
    <row r="1093" ht="22.5" customHeight="1">
      <c r="A1093" s="11" t="str">
        <f t="array" ref="A1093">IFERROR(
  INDEX('Starlink Launches'!$A:$A, MATCH($E1093, 'Starlink Launches'!$B:$B, 0)),
  ""
)
</f>
        <v>6-53</v>
      </c>
      <c r="B1093" s="3" t="s">
        <v>25</v>
      </c>
      <c r="C1093" s="12" t="s">
        <v>1105</v>
      </c>
      <c r="D1093" s="13">
        <v>59577.0</v>
      </c>
      <c r="E1093" s="4">
        <v>45405.0</v>
      </c>
      <c r="F1093" s="4" t="str">
        <f>IF(D1093="","", IFNA(VLOOKUP(D1093, SATCAT_DECAY!A:B, 2, FALSE), ""))
</f>
        <v/>
      </c>
      <c r="G1093" s="3" t="str">
        <f t="shared" si="1"/>
        <v>ACTIVE</v>
      </c>
    </row>
    <row r="1094" ht="22.5" customHeight="1">
      <c r="A1094" s="11" t="str">
        <f t="array" ref="A1094">IFERROR(
  INDEX('Starlink Launches'!$A:$A, MATCH($E1094, 'Starlink Launches'!$B:$B, 0)),
  ""
)
</f>
        <v>6-53</v>
      </c>
      <c r="B1094" s="3" t="s">
        <v>25</v>
      </c>
      <c r="C1094" s="12" t="s">
        <v>1106</v>
      </c>
      <c r="D1094" s="13">
        <v>59578.0</v>
      </c>
      <c r="E1094" s="4">
        <v>45405.0</v>
      </c>
      <c r="F1094" s="4" t="str">
        <f>IF(D1094="","", IFNA(VLOOKUP(D1094, SATCAT_DECAY!A:B, 2, FALSE), ""))
</f>
        <v/>
      </c>
      <c r="G1094" s="3" t="str">
        <f t="shared" si="1"/>
        <v>ACTIVE</v>
      </c>
    </row>
    <row r="1095" ht="22.5" customHeight="1">
      <c r="A1095" s="11" t="str">
        <f t="array" ref="A1095">IFERROR(
  INDEX('Starlink Launches'!$A:$A, MATCH($E1095, 'Starlink Launches'!$B:$B, 0)),
  ""
)
</f>
        <v>6-53</v>
      </c>
      <c r="B1095" s="3" t="s">
        <v>25</v>
      </c>
      <c r="C1095" s="12" t="s">
        <v>1107</v>
      </c>
      <c r="D1095" s="13">
        <v>59579.0</v>
      </c>
      <c r="E1095" s="4">
        <v>45405.0</v>
      </c>
      <c r="F1095" s="4" t="str">
        <f>IF(D1095="","", IFNA(VLOOKUP(D1095, SATCAT_DECAY!A:B, 2, FALSE), ""))
</f>
        <v/>
      </c>
      <c r="G1095" s="3" t="str">
        <f t="shared" si="1"/>
        <v>ACTIVE</v>
      </c>
    </row>
    <row r="1096" ht="22.5" customHeight="1">
      <c r="A1096" s="11" t="str">
        <f t="array" ref="A1096">IFERROR(
  INDEX('Starlink Launches'!$A:$A, MATCH($E1096, 'Starlink Launches'!$B:$B, 0)),
  ""
)
</f>
        <v>6-53</v>
      </c>
      <c r="B1096" s="3" t="s">
        <v>25</v>
      </c>
      <c r="C1096" s="12" t="s">
        <v>1108</v>
      </c>
      <c r="D1096" s="13">
        <v>59580.0</v>
      </c>
      <c r="E1096" s="4">
        <v>45405.0</v>
      </c>
      <c r="F1096" s="4" t="str">
        <f>IF(D1096="","", IFNA(VLOOKUP(D1096, SATCAT_DECAY!A:B, 2, FALSE), ""))
</f>
        <v/>
      </c>
      <c r="G1096" s="3" t="str">
        <f t="shared" si="1"/>
        <v>ACTIVE</v>
      </c>
    </row>
    <row r="1097" ht="22.5" customHeight="1">
      <c r="A1097" s="11" t="str">
        <f t="array" ref="A1097">IFERROR(
  INDEX('Starlink Launches'!$A:$A, MATCH($E1097, 'Starlink Launches'!$B:$B, 0)),
  ""
)
</f>
        <v>6-53</v>
      </c>
      <c r="B1097" s="3" t="s">
        <v>25</v>
      </c>
      <c r="C1097" s="12" t="s">
        <v>1109</v>
      </c>
      <c r="D1097" s="13">
        <v>59581.0</v>
      </c>
      <c r="E1097" s="4">
        <v>45405.0</v>
      </c>
      <c r="F1097" s="4" t="str">
        <f>IF(D1097="","", IFNA(VLOOKUP(D1097, SATCAT_DECAY!A:B, 2, FALSE), ""))
</f>
        <v/>
      </c>
      <c r="G1097" s="3" t="str">
        <f t="shared" si="1"/>
        <v>ACTIVE</v>
      </c>
    </row>
    <row r="1098" ht="22.5" customHeight="1">
      <c r="A1098" s="11" t="str">
        <f t="array" ref="A1098">IFERROR(
  INDEX('Starlink Launches'!$A:$A, MATCH($E1098, 'Starlink Launches'!$B:$B, 0)),
  ""
)
</f>
        <v>6-53</v>
      </c>
      <c r="B1098" s="3" t="s">
        <v>25</v>
      </c>
      <c r="C1098" s="12" t="s">
        <v>1110</v>
      </c>
      <c r="D1098" s="13">
        <v>59582.0</v>
      </c>
      <c r="E1098" s="4">
        <v>45405.0</v>
      </c>
      <c r="F1098" s="4" t="str">
        <f>IF(D1098="","", IFNA(VLOOKUP(D1098, SATCAT_DECAY!A:B, 2, FALSE), ""))
</f>
        <v/>
      </c>
      <c r="G1098" s="3" t="str">
        <f t="shared" si="1"/>
        <v>ACTIVE</v>
      </c>
    </row>
    <row r="1099" ht="22.5" customHeight="1">
      <c r="A1099" s="11" t="str">
        <f t="array" ref="A1099">IFERROR(
  INDEX('Starlink Launches'!$A:$A, MATCH($E1099, 'Starlink Launches'!$B:$B, 0)),
  ""
)
</f>
        <v>6-53</v>
      </c>
      <c r="B1099" s="3" t="s">
        <v>25</v>
      </c>
      <c r="C1099" s="12" t="s">
        <v>1111</v>
      </c>
      <c r="D1099" s="13">
        <v>59583.0</v>
      </c>
      <c r="E1099" s="4">
        <v>45405.0</v>
      </c>
      <c r="F1099" s="4" t="str">
        <f>IF(D1099="","", IFNA(VLOOKUP(D1099, SATCAT_DECAY!A:B, 2, FALSE), ""))
</f>
        <v/>
      </c>
      <c r="G1099" s="3" t="str">
        <f t="shared" si="1"/>
        <v>ACTIVE</v>
      </c>
    </row>
    <row r="1100" ht="22.5" customHeight="1">
      <c r="A1100" s="11" t="str">
        <f t="array" ref="A1100">IFERROR(
  INDEX('Starlink Launches'!$A:$A, MATCH($E1100, 'Starlink Launches'!$B:$B, 0)),
  ""
)
</f>
        <v>6-53</v>
      </c>
      <c r="B1100" s="3" t="s">
        <v>25</v>
      </c>
      <c r="C1100" s="12" t="s">
        <v>1112</v>
      </c>
      <c r="D1100" s="13">
        <v>59584.0</v>
      </c>
      <c r="E1100" s="4">
        <v>45405.0</v>
      </c>
      <c r="F1100" s="4" t="str">
        <f>IF(D1100="","", IFNA(VLOOKUP(D1100, SATCAT_DECAY!A:B, 2, FALSE), ""))
</f>
        <v/>
      </c>
      <c r="G1100" s="3" t="str">
        <f t="shared" si="1"/>
        <v>ACTIVE</v>
      </c>
    </row>
    <row r="1101" ht="22.5" customHeight="1">
      <c r="A1101" s="11" t="str">
        <f t="array" ref="A1101">IFERROR(
  INDEX('Starlink Launches'!$A:$A, MATCH($E1101, 'Starlink Launches'!$B:$B, 0)),
  ""
)
</f>
        <v>6-53</v>
      </c>
      <c r="B1101" s="3" t="s">
        <v>25</v>
      </c>
      <c r="C1101" s="12" t="s">
        <v>1113</v>
      </c>
      <c r="D1101" s="13">
        <v>59585.0</v>
      </c>
      <c r="E1101" s="4">
        <v>45405.0</v>
      </c>
      <c r="F1101" s="4" t="str">
        <f>IF(D1101="","", IFNA(VLOOKUP(D1101, SATCAT_DECAY!A:B, 2, FALSE), ""))
</f>
        <v/>
      </c>
      <c r="G1101" s="3" t="str">
        <f t="shared" si="1"/>
        <v>ACTIVE</v>
      </c>
    </row>
    <row r="1102" ht="22.5" customHeight="1">
      <c r="A1102" s="11" t="str">
        <f t="array" ref="A1102">IFERROR(
  INDEX('Starlink Launches'!$A:$A, MATCH($E1102, 'Starlink Launches'!$B:$B, 0)),
  ""
)
</f>
        <v>6-53</v>
      </c>
      <c r="B1102" s="3" t="s">
        <v>25</v>
      </c>
      <c r="C1102" s="12" t="s">
        <v>1114</v>
      </c>
      <c r="D1102" s="13">
        <v>59586.0</v>
      </c>
      <c r="E1102" s="4">
        <v>45405.0</v>
      </c>
      <c r="F1102" s="4" t="str">
        <f>IF(D1102="","", IFNA(VLOOKUP(D1102, SATCAT_DECAY!A:B, 2, FALSE), ""))
</f>
        <v/>
      </c>
      <c r="G1102" s="3" t="str">
        <f t="shared" si="1"/>
        <v>ACTIVE</v>
      </c>
    </row>
    <row r="1103" ht="22.5" customHeight="1">
      <c r="A1103" s="11" t="str">
        <f t="array" ref="A1103">IFERROR(
  INDEX('Starlink Launches'!$A:$A, MATCH($E1103, 'Starlink Launches'!$B:$B, 0)),
  ""
)
</f>
        <v>6-54</v>
      </c>
      <c r="B1103" s="3" t="s">
        <v>25</v>
      </c>
      <c r="C1103" s="12" t="s">
        <v>1115</v>
      </c>
      <c r="D1103" s="13">
        <v>59601.0</v>
      </c>
      <c r="E1103" s="4">
        <v>45410.0</v>
      </c>
      <c r="F1103" s="4" t="str">
        <f>IF(D1103="","", IFNA(VLOOKUP(D1103, SATCAT_DECAY!A:B, 2, FALSE), ""))
</f>
        <v/>
      </c>
      <c r="G1103" s="3" t="str">
        <f t="shared" si="1"/>
        <v>ACTIVE</v>
      </c>
    </row>
    <row r="1104" ht="22.5" customHeight="1">
      <c r="A1104" s="11" t="str">
        <f t="array" ref="A1104">IFERROR(
  INDEX('Starlink Launches'!$A:$A, MATCH($E1104, 'Starlink Launches'!$B:$B, 0)),
  ""
)
</f>
        <v>6-54</v>
      </c>
      <c r="B1104" s="3" t="s">
        <v>25</v>
      </c>
      <c r="C1104" s="12" t="s">
        <v>1116</v>
      </c>
      <c r="D1104" s="13">
        <v>59602.0</v>
      </c>
      <c r="E1104" s="4">
        <v>45410.0</v>
      </c>
      <c r="F1104" s="4" t="str">
        <f>IF(D1104="","", IFNA(VLOOKUP(D1104, SATCAT_DECAY!A:B, 2, FALSE), ""))
</f>
        <v/>
      </c>
      <c r="G1104" s="3" t="str">
        <f t="shared" si="1"/>
        <v>ACTIVE</v>
      </c>
    </row>
    <row r="1105" ht="22.5" customHeight="1">
      <c r="A1105" s="11" t="str">
        <f t="array" ref="A1105">IFERROR(
  INDEX('Starlink Launches'!$A:$A, MATCH($E1105, 'Starlink Launches'!$B:$B, 0)),
  ""
)
</f>
        <v>6-54</v>
      </c>
      <c r="B1105" s="3" t="s">
        <v>25</v>
      </c>
      <c r="C1105" s="12" t="s">
        <v>1117</v>
      </c>
      <c r="D1105" s="13">
        <v>59603.0</v>
      </c>
      <c r="E1105" s="4">
        <v>45410.0</v>
      </c>
      <c r="F1105" s="4" t="str">
        <f>IF(D1105="","", IFNA(VLOOKUP(D1105, SATCAT_DECAY!A:B, 2, FALSE), ""))
</f>
        <v/>
      </c>
      <c r="G1105" s="3" t="str">
        <f t="shared" si="1"/>
        <v>ACTIVE</v>
      </c>
    </row>
    <row r="1106" ht="22.5" customHeight="1">
      <c r="A1106" s="11" t="str">
        <f t="array" ref="A1106">IFERROR(
  INDEX('Starlink Launches'!$A:$A, MATCH($E1106, 'Starlink Launches'!$B:$B, 0)),
  ""
)
</f>
        <v>6-54</v>
      </c>
      <c r="B1106" s="3" t="s">
        <v>25</v>
      </c>
      <c r="C1106" s="12" t="s">
        <v>1118</v>
      </c>
      <c r="D1106" s="13">
        <v>59604.0</v>
      </c>
      <c r="E1106" s="4">
        <v>45410.0</v>
      </c>
      <c r="F1106" s="4" t="str">
        <f>IF(D1106="","", IFNA(VLOOKUP(D1106, SATCAT_DECAY!A:B, 2, FALSE), ""))
</f>
        <v/>
      </c>
      <c r="G1106" s="3" t="str">
        <f t="shared" si="1"/>
        <v>ACTIVE</v>
      </c>
    </row>
    <row r="1107" ht="22.5" customHeight="1">
      <c r="A1107" s="11" t="str">
        <f t="array" ref="A1107">IFERROR(
  INDEX('Starlink Launches'!$A:$A, MATCH($E1107, 'Starlink Launches'!$B:$B, 0)),
  ""
)
</f>
        <v>6-54</v>
      </c>
      <c r="B1107" s="3" t="s">
        <v>25</v>
      </c>
      <c r="C1107" s="12" t="s">
        <v>1119</v>
      </c>
      <c r="D1107" s="13">
        <v>59605.0</v>
      </c>
      <c r="E1107" s="4">
        <v>45410.0</v>
      </c>
      <c r="F1107" s="4" t="str">
        <f>IF(D1107="","", IFNA(VLOOKUP(D1107, SATCAT_DECAY!A:B, 2, FALSE), ""))
</f>
        <v/>
      </c>
      <c r="G1107" s="3" t="str">
        <f t="shared" si="1"/>
        <v>ACTIVE</v>
      </c>
    </row>
    <row r="1108" ht="22.5" customHeight="1">
      <c r="A1108" s="11" t="str">
        <f t="array" ref="A1108">IFERROR(
  INDEX('Starlink Launches'!$A:$A, MATCH($E1108, 'Starlink Launches'!$B:$B, 0)),
  ""
)
</f>
        <v>6-54</v>
      </c>
      <c r="B1108" s="3" t="s">
        <v>25</v>
      </c>
      <c r="C1108" s="12" t="s">
        <v>1120</v>
      </c>
      <c r="D1108" s="13">
        <v>59606.0</v>
      </c>
      <c r="E1108" s="4">
        <v>45410.0</v>
      </c>
      <c r="F1108" s="4" t="str">
        <f>IF(D1108="","", IFNA(VLOOKUP(D1108, SATCAT_DECAY!A:B, 2, FALSE), ""))
</f>
        <v/>
      </c>
      <c r="G1108" s="3" t="str">
        <f t="shared" si="1"/>
        <v>ACTIVE</v>
      </c>
    </row>
    <row r="1109" ht="22.5" customHeight="1">
      <c r="A1109" s="11" t="str">
        <f t="array" ref="A1109">IFERROR(
  INDEX('Starlink Launches'!$A:$A, MATCH($E1109, 'Starlink Launches'!$B:$B, 0)),
  ""
)
</f>
        <v>6-54</v>
      </c>
      <c r="B1109" s="3" t="s">
        <v>25</v>
      </c>
      <c r="C1109" s="12" t="s">
        <v>1121</v>
      </c>
      <c r="D1109" s="13">
        <v>59607.0</v>
      </c>
      <c r="E1109" s="4">
        <v>45410.0</v>
      </c>
      <c r="F1109" s="4" t="str">
        <f>IF(D1109="","", IFNA(VLOOKUP(D1109, SATCAT_DECAY!A:B, 2, FALSE), ""))
</f>
        <v/>
      </c>
      <c r="G1109" s="3" t="str">
        <f t="shared" si="1"/>
        <v>ACTIVE</v>
      </c>
    </row>
    <row r="1110" ht="22.5" customHeight="1">
      <c r="A1110" s="11" t="str">
        <f t="array" ref="A1110">IFERROR(
  INDEX('Starlink Launches'!$A:$A, MATCH($E1110, 'Starlink Launches'!$B:$B, 0)),
  ""
)
</f>
        <v>6-54</v>
      </c>
      <c r="B1110" s="3" t="s">
        <v>25</v>
      </c>
      <c r="C1110" s="12" t="s">
        <v>1122</v>
      </c>
      <c r="D1110" s="13">
        <v>59608.0</v>
      </c>
      <c r="E1110" s="4">
        <v>45410.0</v>
      </c>
      <c r="F1110" s="4" t="str">
        <f>IF(D1110="","", IFNA(VLOOKUP(D1110, SATCAT_DECAY!A:B, 2, FALSE), ""))
</f>
        <v/>
      </c>
      <c r="G1110" s="3" t="str">
        <f t="shared" si="1"/>
        <v>ACTIVE</v>
      </c>
    </row>
    <row r="1111" ht="22.5" customHeight="1">
      <c r="A1111" s="11" t="str">
        <f t="array" ref="A1111">IFERROR(
  INDEX('Starlink Launches'!$A:$A, MATCH($E1111, 'Starlink Launches'!$B:$B, 0)),
  ""
)
</f>
        <v>6-54</v>
      </c>
      <c r="B1111" s="3" t="s">
        <v>25</v>
      </c>
      <c r="C1111" s="12" t="s">
        <v>1123</v>
      </c>
      <c r="D1111" s="13">
        <v>59609.0</v>
      </c>
      <c r="E1111" s="4">
        <v>45410.0</v>
      </c>
      <c r="F1111" s="4" t="str">
        <f>IF(D1111="","", IFNA(VLOOKUP(D1111, SATCAT_DECAY!A:B, 2, FALSE), ""))
</f>
        <v/>
      </c>
      <c r="G1111" s="3" t="str">
        <f t="shared" si="1"/>
        <v>ACTIVE</v>
      </c>
    </row>
    <row r="1112" ht="22.5" customHeight="1">
      <c r="A1112" s="11" t="str">
        <f t="array" ref="A1112">IFERROR(
  INDEX('Starlink Launches'!$A:$A, MATCH($E1112, 'Starlink Launches'!$B:$B, 0)),
  ""
)
</f>
        <v>6-54</v>
      </c>
      <c r="B1112" s="3" t="s">
        <v>25</v>
      </c>
      <c r="C1112" s="12" t="s">
        <v>1124</v>
      </c>
      <c r="D1112" s="13">
        <v>59610.0</v>
      </c>
      <c r="E1112" s="4">
        <v>45410.0</v>
      </c>
      <c r="F1112" s="4" t="str">
        <f>IF(D1112="","", IFNA(VLOOKUP(D1112, SATCAT_DECAY!A:B, 2, FALSE), ""))
</f>
        <v/>
      </c>
      <c r="G1112" s="3" t="str">
        <f t="shared" si="1"/>
        <v>ACTIVE</v>
      </c>
    </row>
    <row r="1113" ht="22.5" customHeight="1">
      <c r="A1113" s="11" t="str">
        <f t="array" ref="A1113">IFERROR(
  INDEX('Starlink Launches'!$A:$A, MATCH($E1113, 'Starlink Launches'!$B:$B, 0)),
  ""
)
</f>
        <v>6-54</v>
      </c>
      <c r="B1113" s="3" t="s">
        <v>25</v>
      </c>
      <c r="C1113" s="12" t="s">
        <v>1125</v>
      </c>
      <c r="D1113" s="13">
        <v>59611.0</v>
      </c>
      <c r="E1113" s="4">
        <v>45410.0</v>
      </c>
      <c r="F1113" s="4" t="str">
        <f>IF(D1113="","", IFNA(VLOOKUP(D1113, SATCAT_DECAY!A:B, 2, FALSE), ""))
</f>
        <v/>
      </c>
      <c r="G1113" s="3" t="str">
        <f t="shared" si="1"/>
        <v>ACTIVE</v>
      </c>
    </row>
    <row r="1114" ht="22.5" customHeight="1">
      <c r="A1114" s="11" t="str">
        <f t="array" ref="A1114">IFERROR(
  INDEX('Starlink Launches'!$A:$A, MATCH($E1114, 'Starlink Launches'!$B:$B, 0)),
  ""
)
</f>
        <v>6-54</v>
      </c>
      <c r="B1114" s="3" t="s">
        <v>25</v>
      </c>
      <c r="C1114" s="12" t="s">
        <v>1126</v>
      </c>
      <c r="D1114" s="13">
        <v>59612.0</v>
      </c>
      <c r="E1114" s="4">
        <v>45410.0</v>
      </c>
      <c r="F1114" s="4" t="str">
        <f>IF(D1114="","", IFNA(VLOOKUP(D1114, SATCAT_DECAY!A:B, 2, FALSE), ""))
</f>
        <v/>
      </c>
      <c r="G1114" s="3" t="str">
        <f t="shared" si="1"/>
        <v>ACTIVE</v>
      </c>
    </row>
    <row r="1115" ht="22.5" customHeight="1">
      <c r="A1115" s="11" t="str">
        <f t="array" ref="A1115">IFERROR(
  INDEX('Starlink Launches'!$A:$A, MATCH($E1115, 'Starlink Launches'!$B:$B, 0)),
  ""
)
</f>
        <v>6-54</v>
      </c>
      <c r="B1115" s="3" t="s">
        <v>25</v>
      </c>
      <c r="C1115" s="12" t="s">
        <v>1127</v>
      </c>
      <c r="D1115" s="13">
        <v>59613.0</v>
      </c>
      <c r="E1115" s="4">
        <v>45410.0</v>
      </c>
      <c r="F1115" s="4" t="str">
        <f>IF(D1115="","", IFNA(VLOOKUP(D1115, SATCAT_DECAY!A:B, 2, FALSE), ""))
</f>
        <v/>
      </c>
      <c r="G1115" s="3" t="str">
        <f t="shared" si="1"/>
        <v>ACTIVE</v>
      </c>
    </row>
    <row r="1116" ht="22.5" customHeight="1">
      <c r="A1116" s="11" t="str">
        <f t="array" ref="A1116">IFERROR(
  INDEX('Starlink Launches'!$A:$A, MATCH($E1116, 'Starlink Launches'!$B:$B, 0)),
  ""
)
</f>
        <v>6-54</v>
      </c>
      <c r="B1116" s="3" t="s">
        <v>25</v>
      </c>
      <c r="C1116" s="12" t="s">
        <v>1128</v>
      </c>
      <c r="D1116" s="13">
        <v>59614.0</v>
      </c>
      <c r="E1116" s="4">
        <v>45410.0</v>
      </c>
      <c r="F1116" s="4" t="str">
        <f>IF(D1116="","", IFNA(VLOOKUP(D1116, SATCAT_DECAY!A:B, 2, FALSE), ""))
</f>
        <v/>
      </c>
      <c r="G1116" s="3" t="str">
        <f t="shared" si="1"/>
        <v>ACTIVE</v>
      </c>
    </row>
    <row r="1117" ht="22.5" customHeight="1">
      <c r="A1117" s="11" t="str">
        <f t="array" ref="A1117">IFERROR(
  INDEX('Starlink Launches'!$A:$A, MATCH($E1117, 'Starlink Launches'!$B:$B, 0)),
  ""
)
</f>
        <v>6-54</v>
      </c>
      <c r="B1117" s="3" t="s">
        <v>25</v>
      </c>
      <c r="C1117" s="12" t="s">
        <v>1129</v>
      </c>
      <c r="D1117" s="13">
        <v>59615.0</v>
      </c>
      <c r="E1117" s="4">
        <v>45410.0</v>
      </c>
      <c r="F1117" s="4" t="str">
        <f>IF(D1117="","", IFNA(VLOOKUP(D1117, SATCAT_DECAY!A:B, 2, FALSE), ""))
</f>
        <v/>
      </c>
      <c r="G1117" s="3" t="str">
        <f t="shared" si="1"/>
        <v>ACTIVE</v>
      </c>
    </row>
    <row r="1118" ht="22.5" customHeight="1">
      <c r="A1118" s="11" t="str">
        <f t="array" ref="A1118">IFERROR(
  INDEX('Starlink Launches'!$A:$A, MATCH($E1118, 'Starlink Launches'!$B:$B, 0)),
  ""
)
</f>
        <v>6-54</v>
      </c>
      <c r="B1118" s="3" t="s">
        <v>25</v>
      </c>
      <c r="C1118" s="12" t="s">
        <v>1130</v>
      </c>
      <c r="D1118" s="13">
        <v>59616.0</v>
      </c>
      <c r="E1118" s="4">
        <v>45410.0</v>
      </c>
      <c r="F1118" s="4" t="str">
        <f>IF(D1118="","", IFNA(VLOOKUP(D1118, SATCAT_DECAY!A:B, 2, FALSE), ""))
</f>
        <v/>
      </c>
      <c r="G1118" s="3" t="str">
        <f t="shared" si="1"/>
        <v>ACTIVE</v>
      </c>
    </row>
    <row r="1119" ht="22.5" customHeight="1">
      <c r="A1119" s="11" t="str">
        <f t="array" ref="A1119">IFERROR(
  INDEX('Starlink Launches'!$A:$A, MATCH($E1119, 'Starlink Launches'!$B:$B, 0)),
  ""
)
</f>
        <v>6-54</v>
      </c>
      <c r="B1119" s="3" t="s">
        <v>25</v>
      </c>
      <c r="C1119" s="12" t="s">
        <v>1131</v>
      </c>
      <c r="D1119" s="13">
        <v>59617.0</v>
      </c>
      <c r="E1119" s="4">
        <v>45410.0</v>
      </c>
      <c r="F1119" s="4" t="str">
        <f>IF(D1119="","", IFNA(VLOOKUP(D1119, SATCAT_DECAY!A:B, 2, FALSE), ""))
</f>
        <v/>
      </c>
      <c r="G1119" s="3" t="str">
        <f t="shared" si="1"/>
        <v>ACTIVE</v>
      </c>
    </row>
    <row r="1120" ht="22.5" customHeight="1">
      <c r="A1120" s="11" t="str">
        <f t="array" ref="A1120">IFERROR(
  INDEX('Starlink Launches'!$A:$A, MATCH($E1120, 'Starlink Launches'!$B:$B, 0)),
  ""
)
</f>
        <v>6-54</v>
      </c>
      <c r="B1120" s="3" t="s">
        <v>25</v>
      </c>
      <c r="C1120" s="12" t="s">
        <v>1132</v>
      </c>
      <c r="D1120" s="13">
        <v>59618.0</v>
      </c>
      <c r="E1120" s="4">
        <v>45410.0</v>
      </c>
      <c r="F1120" s="4" t="str">
        <f>IF(D1120="","", IFNA(VLOOKUP(D1120, SATCAT_DECAY!A:B, 2, FALSE), ""))
</f>
        <v/>
      </c>
      <c r="G1120" s="3" t="str">
        <f t="shared" si="1"/>
        <v>ACTIVE</v>
      </c>
    </row>
    <row r="1121" ht="22.5" customHeight="1">
      <c r="A1121" s="11" t="str">
        <f t="array" ref="A1121">IFERROR(
  INDEX('Starlink Launches'!$A:$A, MATCH($E1121, 'Starlink Launches'!$B:$B, 0)),
  ""
)
</f>
        <v>6-54</v>
      </c>
      <c r="B1121" s="3" t="s">
        <v>25</v>
      </c>
      <c r="C1121" s="12" t="s">
        <v>1133</v>
      </c>
      <c r="D1121" s="13">
        <v>59619.0</v>
      </c>
      <c r="E1121" s="4">
        <v>45410.0</v>
      </c>
      <c r="F1121" s="4" t="str">
        <f>IF(D1121="","", IFNA(VLOOKUP(D1121, SATCAT_DECAY!A:B, 2, FALSE), ""))
</f>
        <v/>
      </c>
      <c r="G1121" s="3" t="str">
        <f t="shared" si="1"/>
        <v>ACTIVE</v>
      </c>
    </row>
    <row r="1122" ht="22.5" customHeight="1">
      <c r="A1122" s="11" t="str">
        <f t="array" ref="A1122">IFERROR(
  INDEX('Starlink Launches'!$A:$A, MATCH($E1122, 'Starlink Launches'!$B:$B, 0)),
  ""
)
</f>
        <v>6-54</v>
      </c>
      <c r="B1122" s="3" t="s">
        <v>25</v>
      </c>
      <c r="C1122" s="12" t="s">
        <v>1134</v>
      </c>
      <c r="D1122" s="13">
        <v>59621.0</v>
      </c>
      <c r="E1122" s="4">
        <v>45410.0</v>
      </c>
      <c r="F1122" s="4" t="str">
        <f>IF(D1122="","", IFNA(VLOOKUP(D1122, SATCAT_DECAY!A:B, 2, FALSE), ""))
</f>
        <v/>
      </c>
      <c r="G1122" s="3" t="str">
        <f t="shared" si="1"/>
        <v>ACTIVE</v>
      </c>
    </row>
    <row r="1123" ht="22.5" customHeight="1">
      <c r="A1123" s="11" t="str">
        <f t="array" ref="A1123">IFERROR(
  INDEX('Starlink Launches'!$A:$A, MATCH($E1123, 'Starlink Launches'!$B:$B, 0)),
  ""
)
</f>
        <v>6-54</v>
      </c>
      <c r="B1123" s="3" t="s">
        <v>25</v>
      </c>
      <c r="C1123" s="12" t="s">
        <v>1135</v>
      </c>
      <c r="D1123" s="13">
        <v>59622.0</v>
      </c>
      <c r="E1123" s="4">
        <v>45410.0</v>
      </c>
      <c r="F1123" s="4" t="str">
        <f>IF(D1123="","", IFNA(VLOOKUP(D1123, SATCAT_DECAY!A:B, 2, FALSE), ""))
</f>
        <v/>
      </c>
      <c r="G1123" s="3" t="str">
        <f t="shared" si="1"/>
        <v>ACTIVE</v>
      </c>
    </row>
    <row r="1124" ht="22.5" customHeight="1">
      <c r="A1124" s="11" t="str">
        <f t="array" ref="A1124">IFERROR(
  INDEX('Starlink Launches'!$A:$A, MATCH($E1124, 'Starlink Launches'!$B:$B, 0)),
  ""
)
</f>
        <v>6-54</v>
      </c>
      <c r="B1124" s="3" t="s">
        <v>25</v>
      </c>
      <c r="C1124" s="12" t="s">
        <v>1136</v>
      </c>
      <c r="D1124" s="13">
        <v>59623.0</v>
      </c>
      <c r="E1124" s="4">
        <v>45410.0</v>
      </c>
      <c r="F1124" s="4" t="str">
        <f>IF(D1124="","", IFNA(VLOOKUP(D1124, SATCAT_DECAY!A:B, 2, FALSE), ""))
</f>
        <v/>
      </c>
      <c r="G1124" s="3" t="str">
        <f t="shared" si="1"/>
        <v>ACTIVE</v>
      </c>
    </row>
    <row r="1125" ht="22.5" customHeight="1">
      <c r="A1125" s="11" t="str">
        <f t="array" ref="A1125">IFERROR(
  INDEX('Starlink Launches'!$A:$A, MATCH($E1125, 'Starlink Launches'!$B:$B, 0)),
  ""
)
</f>
        <v>6-55</v>
      </c>
      <c r="B1125" s="3" t="s">
        <v>25</v>
      </c>
      <c r="C1125" s="12" t="s">
        <v>1137</v>
      </c>
      <c r="D1125" s="13">
        <v>59631.0</v>
      </c>
      <c r="E1125" s="4">
        <v>45415.0</v>
      </c>
      <c r="F1125" s="4" t="str">
        <f>IF(D1125="","", IFNA(VLOOKUP(D1125, SATCAT_DECAY!A:B, 2, FALSE), ""))
</f>
        <v/>
      </c>
      <c r="G1125" s="3" t="str">
        <f t="shared" si="1"/>
        <v>ACTIVE</v>
      </c>
    </row>
    <row r="1126" ht="22.5" customHeight="1">
      <c r="A1126" s="11" t="str">
        <f t="array" ref="A1126">IFERROR(
  INDEX('Starlink Launches'!$A:$A, MATCH($E1126, 'Starlink Launches'!$B:$B, 0)),
  ""
)
</f>
        <v>6-55</v>
      </c>
      <c r="B1126" s="3" t="s">
        <v>25</v>
      </c>
      <c r="C1126" s="12" t="s">
        <v>1138</v>
      </c>
      <c r="D1126" s="13">
        <v>59632.0</v>
      </c>
      <c r="E1126" s="4">
        <v>45415.0</v>
      </c>
      <c r="F1126" s="4" t="str">
        <f>IF(D1126="","", IFNA(VLOOKUP(D1126, SATCAT_DECAY!A:B, 2, FALSE), ""))
</f>
        <v/>
      </c>
      <c r="G1126" s="3" t="str">
        <f t="shared" si="1"/>
        <v>ACTIVE</v>
      </c>
    </row>
    <row r="1127" ht="22.5" customHeight="1">
      <c r="A1127" s="11" t="str">
        <f t="array" ref="A1127">IFERROR(
  INDEX('Starlink Launches'!$A:$A, MATCH($E1127, 'Starlink Launches'!$B:$B, 0)),
  ""
)
</f>
        <v>6-55</v>
      </c>
      <c r="B1127" s="3" t="s">
        <v>25</v>
      </c>
      <c r="C1127" s="12" t="s">
        <v>1139</v>
      </c>
      <c r="D1127" s="13">
        <v>59633.0</v>
      </c>
      <c r="E1127" s="4">
        <v>45415.0</v>
      </c>
      <c r="F1127" s="4" t="str">
        <f>IF(D1127="","", IFNA(VLOOKUP(D1127, SATCAT_DECAY!A:B, 2, FALSE), ""))
</f>
        <v/>
      </c>
      <c r="G1127" s="3" t="str">
        <f t="shared" si="1"/>
        <v>ACTIVE</v>
      </c>
    </row>
    <row r="1128" ht="22.5" customHeight="1">
      <c r="A1128" s="11" t="str">
        <f t="array" ref="A1128">IFERROR(
  INDEX('Starlink Launches'!$A:$A, MATCH($E1128, 'Starlink Launches'!$B:$B, 0)),
  ""
)
</f>
        <v>6-55</v>
      </c>
      <c r="B1128" s="3" t="s">
        <v>25</v>
      </c>
      <c r="C1128" s="12" t="s">
        <v>1140</v>
      </c>
      <c r="D1128" s="13">
        <v>59634.0</v>
      </c>
      <c r="E1128" s="4">
        <v>45415.0</v>
      </c>
      <c r="F1128" s="4" t="str">
        <f>IF(D1128="","", IFNA(VLOOKUP(D1128, SATCAT_DECAY!A:B, 2, FALSE), ""))
</f>
        <v/>
      </c>
      <c r="G1128" s="3" t="str">
        <f t="shared" si="1"/>
        <v>ACTIVE</v>
      </c>
    </row>
    <row r="1129" ht="22.5" customHeight="1">
      <c r="A1129" s="11" t="str">
        <f t="array" ref="A1129">IFERROR(
  INDEX('Starlink Launches'!$A:$A, MATCH($E1129, 'Starlink Launches'!$B:$B, 0)),
  ""
)
</f>
        <v>6-55</v>
      </c>
      <c r="B1129" s="3" t="s">
        <v>25</v>
      </c>
      <c r="C1129" s="12" t="s">
        <v>1141</v>
      </c>
      <c r="D1129" s="13">
        <v>59635.0</v>
      </c>
      <c r="E1129" s="4">
        <v>45415.0</v>
      </c>
      <c r="F1129" s="4" t="str">
        <f>IF(D1129="","", IFNA(VLOOKUP(D1129, SATCAT_DECAY!A:B, 2, FALSE), ""))
</f>
        <v/>
      </c>
      <c r="G1129" s="3" t="str">
        <f t="shared" si="1"/>
        <v>ACTIVE</v>
      </c>
    </row>
    <row r="1130" ht="22.5" customHeight="1">
      <c r="A1130" s="11" t="str">
        <f t="array" ref="A1130">IFERROR(
  INDEX('Starlink Launches'!$A:$A, MATCH($E1130, 'Starlink Launches'!$B:$B, 0)),
  ""
)
</f>
        <v>6-55</v>
      </c>
      <c r="B1130" s="3" t="s">
        <v>25</v>
      </c>
      <c r="C1130" s="12" t="s">
        <v>1142</v>
      </c>
      <c r="D1130" s="13">
        <v>59636.0</v>
      </c>
      <c r="E1130" s="4">
        <v>45415.0</v>
      </c>
      <c r="F1130" s="4" t="str">
        <f>IF(D1130="","", IFNA(VLOOKUP(D1130, SATCAT_DECAY!A:B, 2, FALSE), ""))
</f>
        <v/>
      </c>
      <c r="G1130" s="3" t="str">
        <f t="shared" si="1"/>
        <v>ACTIVE</v>
      </c>
    </row>
    <row r="1131" ht="22.5" customHeight="1">
      <c r="A1131" s="11" t="str">
        <f t="array" ref="A1131">IFERROR(
  INDEX('Starlink Launches'!$A:$A, MATCH($E1131, 'Starlink Launches'!$B:$B, 0)),
  ""
)
</f>
        <v>6-55</v>
      </c>
      <c r="B1131" s="3" t="s">
        <v>25</v>
      </c>
      <c r="C1131" s="12" t="s">
        <v>1143</v>
      </c>
      <c r="D1131" s="13">
        <v>59637.0</v>
      </c>
      <c r="E1131" s="4">
        <v>45415.0</v>
      </c>
      <c r="F1131" s="4" t="str">
        <f>IF(D1131="","", IFNA(VLOOKUP(D1131, SATCAT_DECAY!A:B, 2, FALSE), ""))
</f>
        <v/>
      </c>
      <c r="G1131" s="3" t="str">
        <f t="shared" si="1"/>
        <v>ACTIVE</v>
      </c>
    </row>
    <row r="1132" ht="22.5" customHeight="1">
      <c r="A1132" s="11" t="str">
        <f t="array" ref="A1132">IFERROR(
  INDEX('Starlink Launches'!$A:$A, MATCH($E1132, 'Starlink Launches'!$B:$B, 0)),
  ""
)
</f>
        <v>6-55</v>
      </c>
      <c r="B1132" s="3" t="s">
        <v>25</v>
      </c>
      <c r="C1132" s="12" t="s">
        <v>1144</v>
      </c>
      <c r="D1132" s="13">
        <v>59638.0</v>
      </c>
      <c r="E1132" s="4">
        <v>45415.0</v>
      </c>
      <c r="F1132" s="4" t="str">
        <f>IF(D1132="","", IFNA(VLOOKUP(D1132, SATCAT_DECAY!A:B, 2, FALSE), ""))
</f>
        <v/>
      </c>
      <c r="G1132" s="3" t="str">
        <f t="shared" si="1"/>
        <v>ACTIVE</v>
      </c>
    </row>
    <row r="1133" ht="22.5" customHeight="1">
      <c r="A1133" s="11" t="str">
        <f t="array" ref="A1133">IFERROR(
  INDEX('Starlink Launches'!$A:$A, MATCH($E1133, 'Starlink Launches'!$B:$B, 0)),
  ""
)
</f>
        <v>6-55</v>
      </c>
      <c r="B1133" s="3" t="s">
        <v>25</v>
      </c>
      <c r="C1133" s="12" t="s">
        <v>1145</v>
      </c>
      <c r="D1133" s="13">
        <v>59639.0</v>
      </c>
      <c r="E1133" s="4">
        <v>45415.0</v>
      </c>
      <c r="F1133" s="4" t="str">
        <f>IF(D1133="","", IFNA(VLOOKUP(D1133, SATCAT_DECAY!A:B, 2, FALSE), ""))
</f>
        <v/>
      </c>
      <c r="G1133" s="3" t="str">
        <f t="shared" si="1"/>
        <v>ACTIVE</v>
      </c>
    </row>
    <row r="1134" ht="22.5" customHeight="1">
      <c r="A1134" s="11" t="str">
        <f t="array" ref="A1134">IFERROR(
  INDEX('Starlink Launches'!$A:$A, MATCH($E1134, 'Starlink Launches'!$B:$B, 0)),
  ""
)
</f>
        <v>6-55</v>
      </c>
      <c r="B1134" s="3" t="s">
        <v>25</v>
      </c>
      <c r="C1134" s="12" t="s">
        <v>1146</v>
      </c>
      <c r="D1134" s="13">
        <v>59640.0</v>
      </c>
      <c r="E1134" s="4">
        <v>45415.0</v>
      </c>
      <c r="F1134" s="4" t="str">
        <f>IF(D1134="","", IFNA(VLOOKUP(D1134, SATCAT_DECAY!A:B, 2, FALSE), ""))
</f>
        <v/>
      </c>
      <c r="G1134" s="3" t="str">
        <f t="shared" si="1"/>
        <v>ACTIVE</v>
      </c>
    </row>
    <row r="1135" ht="22.5" customHeight="1">
      <c r="A1135" s="11" t="str">
        <f t="array" ref="A1135">IFERROR(
  INDEX('Starlink Launches'!$A:$A, MATCH($E1135, 'Starlink Launches'!$B:$B, 0)),
  ""
)
</f>
        <v>6-55</v>
      </c>
      <c r="B1135" s="3" t="s">
        <v>25</v>
      </c>
      <c r="C1135" s="12" t="s">
        <v>1147</v>
      </c>
      <c r="D1135" s="13">
        <v>59641.0</v>
      </c>
      <c r="E1135" s="4">
        <v>45415.0</v>
      </c>
      <c r="F1135" s="4" t="str">
        <f>IF(D1135="","", IFNA(VLOOKUP(D1135, SATCAT_DECAY!A:B, 2, FALSE), ""))
</f>
        <v/>
      </c>
      <c r="G1135" s="3" t="str">
        <f t="shared" si="1"/>
        <v>ACTIVE</v>
      </c>
    </row>
    <row r="1136" ht="22.5" customHeight="1">
      <c r="A1136" s="11" t="str">
        <f t="array" ref="A1136">IFERROR(
  INDEX('Starlink Launches'!$A:$A, MATCH($E1136, 'Starlink Launches'!$B:$B, 0)),
  ""
)
</f>
        <v>6-55</v>
      </c>
      <c r="B1136" s="3" t="s">
        <v>25</v>
      </c>
      <c r="C1136" s="12" t="s">
        <v>1148</v>
      </c>
      <c r="D1136" s="13">
        <v>59642.0</v>
      </c>
      <c r="E1136" s="4">
        <v>45415.0</v>
      </c>
      <c r="F1136" s="4" t="str">
        <f>IF(D1136="","", IFNA(VLOOKUP(D1136, SATCAT_DECAY!A:B, 2, FALSE), ""))
</f>
        <v/>
      </c>
      <c r="G1136" s="3" t="str">
        <f t="shared" si="1"/>
        <v>ACTIVE</v>
      </c>
    </row>
    <row r="1137" ht="22.5" customHeight="1">
      <c r="A1137" s="11" t="str">
        <f t="array" ref="A1137">IFERROR(
  INDEX('Starlink Launches'!$A:$A, MATCH($E1137, 'Starlink Launches'!$B:$B, 0)),
  ""
)
</f>
        <v>6-55</v>
      </c>
      <c r="B1137" s="3" t="s">
        <v>25</v>
      </c>
      <c r="C1137" s="12" t="s">
        <v>1149</v>
      </c>
      <c r="D1137" s="13">
        <v>59643.0</v>
      </c>
      <c r="E1137" s="4">
        <v>45415.0</v>
      </c>
      <c r="F1137" s="4" t="str">
        <f>IF(D1137="","", IFNA(VLOOKUP(D1137, SATCAT_DECAY!A:B, 2, FALSE), ""))
</f>
        <v/>
      </c>
      <c r="G1137" s="3" t="str">
        <f t="shared" si="1"/>
        <v>ACTIVE</v>
      </c>
    </row>
    <row r="1138" ht="22.5" customHeight="1">
      <c r="A1138" s="11" t="str">
        <f t="array" ref="A1138">IFERROR(
  INDEX('Starlink Launches'!$A:$A, MATCH($E1138, 'Starlink Launches'!$B:$B, 0)),
  ""
)
</f>
        <v>6-55</v>
      </c>
      <c r="B1138" s="3" t="s">
        <v>25</v>
      </c>
      <c r="C1138" s="12" t="s">
        <v>1150</v>
      </c>
      <c r="D1138" s="13">
        <v>59644.0</v>
      </c>
      <c r="E1138" s="4">
        <v>45415.0</v>
      </c>
      <c r="F1138" s="4" t="str">
        <f>IF(D1138="","", IFNA(VLOOKUP(D1138, SATCAT_DECAY!A:B, 2, FALSE), ""))
</f>
        <v/>
      </c>
      <c r="G1138" s="3" t="str">
        <f t="shared" si="1"/>
        <v>ACTIVE</v>
      </c>
    </row>
    <row r="1139" ht="22.5" customHeight="1">
      <c r="A1139" s="11" t="str">
        <f t="array" ref="A1139">IFERROR(
  INDEX('Starlink Launches'!$A:$A, MATCH($E1139, 'Starlink Launches'!$B:$B, 0)),
  ""
)
</f>
        <v>6-55</v>
      </c>
      <c r="B1139" s="3" t="s">
        <v>25</v>
      </c>
      <c r="C1139" s="12" t="s">
        <v>1151</v>
      </c>
      <c r="D1139" s="13">
        <v>59645.0</v>
      </c>
      <c r="E1139" s="4">
        <v>45415.0</v>
      </c>
      <c r="F1139" s="4" t="str">
        <f>IF(D1139="","", IFNA(VLOOKUP(D1139, SATCAT_DECAY!A:B, 2, FALSE), ""))
</f>
        <v/>
      </c>
      <c r="G1139" s="3" t="str">
        <f t="shared" si="1"/>
        <v>ACTIVE</v>
      </c>
    </row>
    <row r="1140" ht="22.5" customHeight="1">
      <c r="A1140" s="11" t="str">
        <f t="array" ref="A1140">IFERROR(
  INDEX('Starlink Launches'!$A:$A, MATCH($E1140, 'Starlink Launches'!$B:$B, 0)),
  ""
)
</f>
        <v>6-55</v>
      </c>
      <c r="B1140" s="3" t="s">
        <v>25</v>
      </c>
      <c r="C1140" s="12" t="s">
        <v>1152</v>
      </c>
      <c r="D1140" s="13">
        <v>59646.0</v>
      </c>
      <c r="E1140" s="4">
        <v>45415.0</v>
      </c>
      <c r="F1140" s="4" t="str">
        <f>IF(D1140="","", IFNA(VLOOKUP(D1140, SATCAT_DECAY!A:B, 2, FALSE), ""))
</f>
        <v/>
      </c>
      <c r="G1140" s="3" t="str">
        <f t="shared" si="1"/>
        <v>ACTIVE</v>
      </c>
    </row>
    <row r="1141" ht="22.5" customHeight="1">
      <c r="A1141" s="11" t="str">
        <f t="array" ref="A1141">IFERROR(
  INDEX('Starlink Launches'!$A:$A, MATCH($E1141, 'Starlink Launches'!$B:$B, 0)),
  ""
)
</f>
        <v>6-55</v>
      </c>
      <c r="B1141" s="3" t="s">
        <v>25</v>
      </c>
      <c r="C1141" s="12" t="s">
        <v>1153</v>
      </c>
      <c r="D1141" s="13">
        <v>59647.0</v>
      </c>
      <c r="E1141" s="4">
        <v>45415.0</v>
      </c>
      <c r="F1141" s="4" t="str">
        <f>IF(D1141="","", IFNA(VLOOKUP(D1141, SATCAT_DECAY!A:B, 2, FALSE), ""))
</f>
        <v/>
      </c>
      <c r="G1141" s="3" t="str">
        <f t="shared" si="1"/>
        <v>ACTIVE</v>
      </c>
    </row>
    <row r="1142" ht="22.5" customHeight="1">
      <c r="A1142" s="11" t="str">
        <f t="array" ref="A1142">IFERROR(
  INDEX('Starlink Launches'!$A:$A, MATCH($E1142, 'Starlink Launches'!$B:$B, 0)),
  ""
)
</f>
        <v>6-55</v>
      </c>
      <c r="B1142" s="3" t="s">
        <v>25</v>
      </c>
      <c r="C1142" s="12" t="s">
        <v>1154</v>
      </c>
      <c r="D1142" s="13">
        <v>59650.0</v>
      </c>
      <c r="E1142" s="4">
        <v>45415.0</v>
      </c>
      <c r="F1142" s="4" t="str">
        <f>IF(D1142="","", IFNA(VLOOKUP(D1142, SATCAT_DECAY!A:B, 2, FALSE), ""))
</f>
        <v/>
      </c>
      <c r="G1142" s="3" t="str">
        <f t="shared" si="1"/>
        <v>ACTIVE</v>
      </c>
    </row>
    <row r="1143" ht="22.5" customHeight="1">
      <c r="A1143" s="11" t="str">
        <f t="array" ref="A1143">IFERROR(
  INDEX('Starlink Launches'!$A:$A, MATCH($E1143, 'Starlink Launches'!$B:$B, 0)),
  ""
)
</f>
        <v>6-55</v>
      </c>
      <c r="B1143" s="3" t="s">
        <v>25</v>
      </c>
      <c r="C1143" s="12" t="s">
        <v>1155</v>
      </c>
      <c r="D1143" s="13">
        <v>59651.0</v>
      </c>
      <c r="E1143" s="4">
        <v>45415.0</v>
      </c>
      <c r="F1143" s="4" t="str">
        <f>IF(D1143="","", IFNA(VLOOKUP(D1143, SATCAT_DECAY!A:B, 2, FALSE), ""))
</f>
        <v/>
      </c>
      <c r="G1143" s="3" t="str">
        <f t="shared" si="1"/>
        <v>ACTIVE</v>
      </c>
    </row>
    <row r="1144" ht="22.5" customHeight="1">
      <c r="A1144" s="11" t="str">
        <f t="array" ref="A1144">IFERROR(
  INDEX('Starlink Launches'!$A:$A, MATCH($E1144, 'Starlink Launches'!$B:$B, 0)),
  ""
)
</f>
        <v>6-55</v>
      </c>
      <c r="B1144" s="3" t="s">
        <v>25</v>
      </c>
      <c r="C1144" s="12" t="s">
        <v>1156</v>
      </c>
      <c r="D1144" s="13">
        <v>59652.0</v>
      </c>
      <c r="E1144" s="4">
        <v>45415.0</v>
      </c>
      <c r="F1144" s="4" t="str">
        <f>IF(D1144="","", IFNA(VLOOKUP(D1144, SATCAT_DECAY!A:B, 2, FALSE), ""))
</f>
        <v/>
      </c>
      <c r="G1144" s="3" t="str">
        <f t="shared" si="1"/>
        <v>ACTIVE</v>
      </c>
    </row>
    <row r="1145" ht="22.5" customHeight="1">
      <c r="A1145" s="11" t="str">
        <f t="array" ref="A1145">IFERROR(
  INDEX('Starlink Launches'!$A:$A, MATCH($E1145, 'Starlink Launches'!$B:$B, 0)),
  ""
)
</f>
        <v>6-55</v>
      </c>
      <c r="B1145" s="3" t="s">
        <v>25</v>
      </c>
      <c r="C1145" s="12" t="s">
        <v>1157</v>
      </c>
      <c r="D1145" s="13">
        <v>59653.0</v>
      </c>
      <c r="E1145" s="4">
        <v>45415.0</v>
      </c>
      <c r="F1145" s="4" t="str">
        <f>IF(D1145="","", IFNA(VLOOKUP(D1145, SATCAT_DECAY!A:B, 2, FALSE), ""))
</f>
        <v/>
      </c>
      <c r="G1145" s="3" t="str">
        <f t="shared" si="1"/>
        <v>ACTIVE</v>
      </c>
    </row>
    <row r="1146" ht="22.5" customHeight="1">
      <c r="A1146" s="11" t="str">
        <f t="array" ref="A1146">IFERROR(
  INDEX('Starlink Launches'!$A:$A, MATCH($E1146, 'Starlink Launches'!$B:$B, 0)),
  ""
)
</f>
        <v>6-57</v>
      </c>
      <c r="B1146" s="3" t="s">
        <v>25</v>
      </c>
      <c r="C1146" s="12" t="s">
        <v>1158</v>
      </c>
      <c r="D1146" s="13">
        <v>59654.0</v>
      </c>
      <c r="E1146" s="4">
        <v>45418.0</v>
      </c>
      <c r="F1146" s="4" t="str">
        <f>IF(D1146="","", IFNA(VLOOKUP(D1146, SATCAT_DECAY!A:B, 2, FALSE), ""))
</f>
        <v/>
      </c>
      <c r="G1146" s="3" t="str">
        <f t="shared" si="1"/>
        <v>ACTIVE</v>
      </c>
    </row>
    <row r="1147" ht="22.5" customHeight="1">
      <c r="A1147" s="11" t="str">
        <f t="array" ref="A1147">IFERROR(
  INDEX('Starlink Launches'!$A:$A, MATCH($E1147, 'Starlink Launches'!$B:$B, 0)),
  ""
)
</f>
        <v>6-57</v>
      </c>
      <c r="B1147" s="3" t="s">
        <v>25</v>
      </c>
      <c r="C1147" s="12" t="s">
        <v>1159</v>
      </c>
      <c r="D1147" s="13">
        <v>59655.0</v>
      </c>
      <c r="E1147" s="4">
        <v>45418.0</v>
      </c>
      <c r="F1147" s="4" t="str">
        <f>IF(D1147="","", IFNA(VLOOKUP(D1147, SATCAT_DECAY!A:B, 2, FALSE), ""))
</f>
        <v/>
      </c>
      <c r="G1147" s="3" t="str">
        <f t="shared" si="1"/>
        <v>ACTIVE</v>
      </c>
    </row>
    <row r="1148" ht="22.5" customHeight="1">
      <c r="A1148" s="11" t="str">
        <f t="array" ref="A1148">IFERROR(
  INDEX('Starlink Launches'!$A:$A, MATCH($E1148, 'Starlink Launches'!$B:$B, 0)),
  ""
)
</f>
        <v>6-57</v>
      </c>
      <c r="B1148" s="3" t="s">
        <v>25</v>
      </c>
      <c r="C1148" s="12" t="s">
        <v>1160</v>
      </c>
      <c r="D1148" s="13">
        <v>59656.0</v>
      </c>
      <c r="E1148" s="4">
        <v>45418.0</v>
      </c>
      <c r="F1148" s="4" t="str">
        <f>IF(D1148="","", IFNA(VLOOKUP(D1148, SATCAT_DECAY!A:B, 2, FALSE), ""))
</f>
        <v/>
      </c>
      <c r="G1148" s="3" t="str">
        <f t="shared" si="1"/>
        <v>ACTIVE</v>
      </c>
    </row>
    <row r="1149" ht="22.5" customHeight="1">
      <c r="A1149" s="11" t="str">
        <f t="array" ref="A1149">IFERROR(
  INDEX('Starlink Launches'!$A:$A, MATCH($E1149, 'Starlink Launches'!$B:$B, 0)),
  ""
)
</f>
        <v>6-57</v>
      </c>
      <c r="B1149" s="3" t="s">
        <v>25</v>
      </c>
      <c r="C1149" s="12" t="s">
        <v>1161</v>
      </c>
      <c r="D1149" s="13">
        <v>59657.0</v>
      </c>
      <c r="E1149" s="4">
        <v>45418.0</v>
      </c>
      <c r="F1149" s="4" t="str">
        <f>IF(D1149="","", IFNA(VLOOKUP(D1149, SATCAT_DECAY!A:B, 2, FALSE), ""))
</f>
        <v/>
      </c>
      <c r="G1149" s="3" t="str">
        <f t="shared" si="1"/>
        <v>ACTIVE</v>
      </c>
    </row>
    <row r="1150" ht="22.5" customHeight="1">
      <c r="A1150" s="11" t="str">
        <f t="array" ref="A1150">IFERROR(
  INDEX('Starlink Launches'!$A:$A, MATCH($E1150, 'Starlink Launches'!$B:$B, 0)),
  ""
)
</f>
        <v>6-57</v>
      </c>
      <c r="B1150" s="3" t="s">
        <v>25</v>
      </c>
      <c r="C1150" s="12" t="s">
        <v>1162</v>
      </c>
      <c r="D1150" s="13">
        <v>59658.0</v>
      </c>
      <c r="E1150" s="4">
        <v>45418.0</v>
      </c>
      <c r="F1150" s="4" t="str">
        <f>IF(D1150="","", IFNA(VLOOKUP(D1150, SATCAT_DECAY!A:B, 2, FALSE), ""))
</f>
        <v/>
      </c>
      <c r="G1150" s="3" t="str">
        <f t="shared" si="1"/>
        <v>ACTIVE</v>
      </c>
    </row>
    <row r="1151" ht="22.5" customHeight="1">
      <c r="A1151" s="11" t="str">
        <f t="array" ref="A1151">IFERROR(
  INDEX('Starlink Launches'!$A:$A, MATCH($E1151, 'Starlink Launches'!$B:$B, 0)),
  ""
)
</f>
        <v>6-57</v>
      </c>
      <c r="B1151" s="3" t="s">
        <v>25</v>
      </c>
      <c r="C1151" s="12" t="s">
        <v>1163</v>
      </c>
      <c r="D1151" s="13">
        <v>59659.0</v>
      </c>
      <c r="E1151" s="4">
        <v>45418.0</v>
      </c>
      <c r="F1151" s="4" t="str">
        <f>IF(D1151="","", IFNA(VLOOKUP(D1151, SATCAT_DECAY!A:B, 2, FALSE), ""))
</f>
        <v/>
      </c>
      <c r="G1151" s="3" t="str">
        <f t="shared" si="1"/>
        <v>ACTIVE</v>
      </c>
    </row>
    <row r="1152" ht="22.5" customHeight="1">
      <c r="A1152" s="11" t="str">
        <f t="array" ref="A1152">IFERROR(
  INDEX('Starlink Launches'!$A:$A, MATCH($E1152, 'Starlink Launches'!$B:$B, 0)),
  ""
)
</f>
        <v>6-57</v>
      </c>
      <c r="B1152" s="3" t="s">
        <v>25</v>
      </c>
      <c r="C1152" s="12" t="s">
        <v>1164</v>
      </c>
      <c r="D1152" s="13">
        <v>59660.0</v>
      </c>
      <c r="E1152" s="4">
        <v>45418.0</v>
      </c>
      <c r="F1152" s="4" t="str">
        <f>IF(D1152="","", IFNA(VLOOKUP(D1152, SATCAT_DECAY!A:B, 2, FALSE), ""))
</f>
        <v/>
      </c>
      <c r="G1152" s="3" t="str">
        <f t="shared" si="1"/>
        <v>ACTIVE</v>
      </c>
    </row>
    <row r="1153" ht="22.5" customHeight="1">
      <c r="A1153" s="11" t="str">
        <f t="array" ref="A1153">IFERROR(
  INDEX('Starlink Launches'!$A:$A, MATCH($E1153, 'Starlink Launches'!$B:$B, 0)),
  ""
)
</f>
        <v>6-57</v>
      </c>
      <c r="B1153" s="3" t="s">
        <v>25</v>
      </c>
      <c r="C1153" s="12" t="s">
        <v>1165</v>
      </c>
      <c r="D1153" s="13">
        <v>59661.0</v>
      </c>
      <c r="E1153" s="4">
        <v>45418.0</v>
      </c>
      <c r="F1153" s="4" t="str">
        <f>IF(D1153="","", IFNA(VLOOKUP(D1153, SATCAT_DECAY!A:B, 2, FALSE), ""))
</f>
        <v/>
      </c>
      <c r="G1153" s="3" t="str">
        <f t="shared" si="1"/>
        <v>ACTIVE</v>
      </c>
    </row>
    <row r="1154" ht="22.5" customHeight="1">
      <c r="A1154" s="11" t="str">
        <f t="array" ref="A1154">IFERROR(
  INDEX('Starlink Launches'!$A:$A, MATCH($E1154, 'Starlink Launches'!$B:$B, 0)),
  ""
)
</f>
        <v>6-57</v>
      </c>
      <c r="B1154" s="3" t="s">
        <v>25</v>
      </c>
      <c r="C1154" s="12" t="s">
        <v>1166</v>
      </c>
      <c r="D1154" s="13">
        <v>59662.0</v>
      </c>
      <c r="E1154" s="4">
        <v>45418.0</v>
      </c>
      <c r="F1154" s="4" t="str">
        <f>IF(D1154="","", IFNA(VLOOKUP(D1154, SATCAT_DECAY!A:B, 2, FALSE), ""))
</f>
        <v/>
      </c>
      <c r="G1154" s="3" t="str">
        <f t="shared" si="1"/>
        <v>ACTIVE</v>
      </c>
    </row>
    <row r="1155" ht="22.5" customHeight="1">
      <c r="A1155" s="11" t="str">
        <f t="array" ref="A1155">IFERROR(
  INDEX('Starlink Launches'!$A:$A, MATCH($E1155, 'Starlink Launches'!$B:$B, 0)),
  ""
)
</f>
        <v>6-57</v>
      </c>
      <c r="B1155" s="3" t="s">
        <v>25</v>
      </c>
      <c r="C1155" s="12" t="s">
        <v>1167</v>
      </c>
      <c r="D1155" s="13">
        <v>59663.0</v>
      </c>
      <c r="E1155" s="4">
        <v>45418.0</v>
      </c>
      <c r="F1155" s="4" t="str">
        <f>IF(D1155="","", IFNA(VLOOKUP(D1155, SATCAT_DECAY!A:B, 2, FALSE), ""))
</f>
        <v/>
      </c>
      <c r="G1155" s="3" t="str">
        <f t="shared" si="1"/>
        <v>ACTIVE</v>
      </c>
    </row>
    <row r="1156" ht="22.5" customHeight="1">
      <c r="A1156" s="11" t="str">
        <f t="array" ref="A1156">IFERROR(
  INDEX('Starlink Launches'!$A:$A, MATCH($E1156, 'Starlink Launches'!$B:$B, 0)),
  ""
)
</f>
        <v>6-57</v>
      </c>
      <c r="B1156" s="3" t="s">
        <v>25</v>
      </c>
      <c r="C1156" s="12" t="s">
        <v>1168</v>
      </c>
      <c r="D1156" s="13">
        <v>59664.0</v>
      </c>
      <c r="E1156" s="4">
        <v>45418.0</v>
      </c>
      <c r="F1156" s="4" t="str">
        <f>IF(D1156="","", IFNA(VLOOKUP(D1156, SATCAT_DECAY!A:B, 2, FALSE), ""))
</f>
        <v/>
      </c>
      <c r="G1156" s="3" t="str">
        <f t="shared" si="1"/>
        <v>ACTIVE</v>
      </c>
    </row>
    <row r="1157" ht="22.5" customHeight="1">
      <c r="A1157" s="11" t="str">
        <f t="array" ref="A1157">IFERROR(
  INDEX('Starlink Launches'!$A:$A, MATCH($E1157, 'Starlink Launches'!$B:$B, 0)),
  ""
)
</f>
        <v>6-57</v>
      </c>
      <c r="B1157" s="3" t="s">
        <v>25</v>
      </c>
      <c r="C1157" s="12" t="s">
        <v>1169</v>
      </c>
      <c r="D1157" s="13">
        <v>59666.0</v>
      </c>
      <c r="E1157" s="4">
        <v>45418.0</v>
      </c>
      <c r="F1157" s="4" t="str">
        <f>IF(D1157="","", IFNA(VLOOKUP(D1157, SATCAT_DECAY!A:B, 2, FALSE), ""))
</f>
        <v/>
      </c>
      <c r="G1157" s="3" t="str">
        <f t="shared" si="1"/>
        <v>ACTIVE</v>
      </c>
    </row>
    <row r="1158" ht="22.5" customHeight="1">
      <c r="A1158" s="11" t="str">
        <f t="array" ref="A1158">IFERROR(
  INDEX('Starlink Launches'!$A:$A, MATCH($E1158, 'Starlink Launches'!$B:$B, 0)),
  ""
)
</f>
        <v>6-57</v>
      </c>
      <c r="B1158" s="3" t="s">
        <v>25</v>
      </c>
      <c r="C1158" s="12" t="s">
        <v>1170</v>
      </c>
      <c r="D1158" s="13">
        <v>59667.0</v>
      </c>
      <c r="E1158" s="4">
        <v>45418.0</v>
      </c>
      <c r="F1158" s="4" t="str">
        <f>IF(D1158="","", IFNA(VLOOKUP(D1158, SATCAT_DECAY!A:B, 2, FALSE), ""))
</f>
        <v/>
      </c>
      <c r="G1158" s="3" t="str">
        <f t="shared" si="1"/>
        <v>ACTIVE</v>
      </c>
    </row>
    <row r="1159" ht="22.5" customHeight="1">
      <c r="A1159" s="11" t="str">
        <f t="array" ref="A1159">IFERROR(
  INDEX('Starlink Launches'!$A:$A, MATCH($E1159, 'Starlink Launches'!$B:$B, 0)),
  ""
)
</f>
        <v>6-57</v>
      </c>
      <c r="B1159" s="3" t="s">
        <v>25</v>
      </c>
      <c r="C1159" s="12" t="s">
        <v>1171</v>
      </c>
      <c r="D1159" s="13">
        <v>59668.0</v>
      </c>
      <c r="E1159" s="4">
        <v>45418.0</v>
      </c>
      <c r="F1159" s="4" t="str">
        <f>IF(D1159="","", IFNA(VLOOKUP(D1159, SATCAT_DECAY!A:B, 2, FALSE), ""))
</f>
        <v/>
      </c>
      <c r="G1159" s="3" t="str">
        <f t="shared" si="1"/>
        <v>ACTIVE</v>
      </c>
    </row>
    <row r="1160" ht="22.5" customHeight="1">
      <c r="A1160" s="11" t="str">
        <f t="array" ref="A1160">IFERROR(
  INDEX('Starlink Launches'!$A:$A, MATCH($E1160, 'Starlink Launches'!$B:$B, 0)),
  ""
)
</f>
        <v>6-57</v>
      </c>
      <c r="B1160" s="3" t="s">
        <v>25</v>
      </c>
      <c r="C1160" s="12" t="s">
        <v>1172</v>
      </c>
      <c r="D1160" s="13">
        <v>59669.0</v>
      </c>
      <c r="E1160" s="4">
        <v>45418.0</v>
      </c>
      <c r="F1160" s="4" t="str">
        <f>IF(D1160="","", IFNA(VLOOKUP(D1160, SATCAT_DECAY!A:B, 2, FALSE), ""))
</f>
        <v/>
      </c>
      <c r="G1160" s="3" t="str">
        <f t="shared" si="1"/>
        <v>ACTIVE</v>
      </c>
    </row>
    <row r="1161" ht="22.5" customHeight="1">
      <c r="A1161" s="11" t="str">
        <f t="array" ref="A1161">IFERROR(
  INDEX('Starlink Launches'!$A:$A, MATCH($E1161, 'Starlink Launches'!$B:$B, 0)),
  ""
)
</f>
        <v>6-57</v>
      </c>
      <c r="B1161" s="3" t="s">
        <v>25</v>
      </c>
      <c r="C1161" s="12" t="s">
        <v>1173</v>
      </c>
      <c r="D1161" s="13">
        <v>59670.0</v>
      </c>
      <c r="E1161" s="4">
        <v>45418.0</v>
      </c>
      <c r="F1161" s="4" t="str">
        <f>IF(D1161="","", IFNA(VLOOKUP(D1161, SATCAT_DECAY!A:B, 2, FALSE), ""))
</f>
        <v/>
      </c>
      <c r="G1161" s="3" t="str">
        <f t="shared" si="1"/>
        <v>ACTIVE</v>
      </c>
    </row>
    <row r="1162" ht="22.5" customHeight="1">
      <c r="A1162" s="11" t="str">
        <f t="array" ref="A1162">IFERROR(
  INDEX('Starlink Launches'!$A:$A, MATCH($E1162, 'Starlink Launches'!$B:$B, 0)),
  ""
)
</f>
        <v>6-57</v>
      </c>
      <c r="B1162" s="3" t="s">
        <v>25</v>
      </c>
      <c r="C1162" s="12" t="s">
        <v>1174</v>
      </c>
      <c r="D1162" s="13">
        <v>59671.0</v>
      </c>
      <c r="E1162" s="4">
        <v>45418.0</v>
      </c>
      <c r="F1162" s="4" t="str">
        <f>IF(D1162="","", IFNA(VLOOKUP(D1162, SATCAT_DECAY!A:B, 2, FALSE), ""))
</f>
        <v/>
      </c>
      <c r="G1162" s="3" t="str">
        <f t="shared" si="1"/>
        <v>ACTIVE</v>
      </c>
    </row>
    <row r="1163" ht="22.5" customHeight="1">
      <c r="A1163" s="11" t="str">
        <f t="array" ref="A1163">IFERROR(
  INDEX('Starlink Launches'!$A:$A, MATCH($E1163, 'Starlink Launches'!$B:$B, 0)),
  ""
)
</f>
        <v>6-57</v>
      </c>
      <c r="B1163" s="3" t="s">
        <v>25</v>
      </c>
      <c r="C1163" s="12" t="s">
        <v>1175</v>
      </c>
      <c r="D1163" s="13">
        <v>59672.0</v>
      </c>
      <c r="E1163" s="4">
        <v>45418.0</v>
      </c>
      <c r="F1163" s="4" t="str">
        <f>IF(D1163="","", IFNA(VLOOKUP(D1163, SATCAT_DECAY!A:B, 2, FALSE), ""))
</f>
        <v/>
      </c>
      <c r="G1163" s="3" t="str">
        <f t="shared" si="1"/>
        <v>ACTIVE</v>
      </c>
    </row>
    <row r="1164" ht="22.5" customHeight="1">
      <c r="A1164" s="11" t="str">
        <f t="array" ref="A1164">IFERROR(
  INDEX('Starlink Launches'!$A:$A, MATCH($E1164, 'Starlink Launches'!$B:$B, 0)),
  ""
)
</f>
        <v>6-57</v>
      </c>
      <c r="B1164" s="3" t="s">
        <v>25</v>
      </c>
      <c r="C1164" s="12" t="s">
        <v>1176</v>
      </c>
      <c r="D1164" s="13">
        <v>59673.0</v>
      </c>
      <c r="E1164" s="4">
        <v>45418.0</v>
      </c>
      <c r="F1164" s="4" t="str">
        <f>IF(D1164="","", IFNA(VLOOKUP(D1164, SATCAT_DECAY!A:B, 2, FALSE), ""))
</f>
        <v/>
      </c>
      <c r="G1164" s="3" t="str">
        <f t="shared" si="1"/>
        <v>ACTIVE</v>
      </c>
    </row>
    <row r="1165" ht="22.5" customHeight="1">
      <c r="A1165" s="11" t="str">
        <f t="array" ref="A1165">IFERROR(
  INDEX('Starlink Launches'!$A:$A, MATCH($E1165, 'Starlink Launches'!$B:$B, 0)),
  ""
)
</f>
        <v>6-57</v>
      </c>
      <c r="B1165" s="3" t="s">
        <v>25</v>
      </c>
      <c r="C1165" s="12" t="s">
        <v>1177</v>
      </c>
      <c r="D1165" s="13">
        <v>59674.0</v>
      </c>
      <c r="E1165" s="4">
        <v>45418.0</v>
      </c>
      <c r="F1165" s="4" t="str">
        <f>IF(D1165="","", IFNA(VLOOKUP(D1165, SATCAT_DECAY!A:B, 2, FALSE), ""))
</f>
        <v/>
      </c>
      <c r="G1165" s="3" t="str">
        <f t="shared" si="1"/>
        <v>ACTIVE</v>
      </c>
    </row>
    <row r="1166" ht="22.5" customHeight="1">
      <c r="A1166" s="11" t="str">
        <f t="array" ref="A1166">IFERROR(
  INDEX('Starlink Launches'!$A:$A, MATCH($E1166, 'Starlink Launches'!$B:$B, 0)),
  ""
)
</f>
        <v>6-57</v>
      </c>
      <c r="B1166" s="3" t="s">
        <v>25</v>
      </c>
      <c r="C1166" s="12" t="s">
        <v>1178</v>
      </c>
      <c r="D1166" s="13">
        <v>59675.0</v>
      </c>
      <c r="E1166" s="4">
        <v>45418.0</v>
      </c>
      <c r="F1166" s="4" t="str">
        <f>IF(D1166="","", IFNA(VLOOKUP(D1166, SATCAT_DECAY!A:B, 2, FALSE), ""))
</f>
        <v/>
      </c>
      <c r="G1166" s="3" t="str">
        <f t="shared" si="1"/>
        <v>ACTIVE</v>
      </c>
    </row>
    <row r="1167" ht="22.5" customHeight="1">
      <c r="A1167" s="11" t="str">
        <f t="array" ref="A1167">IFERROR(
  INDEX('Starlink Launches'!$A:$A, MATCH($E1167, 'Starlink Launches'!$B:$B, 0)),
  ""
)
</f>
        <v>6-57</v>
      </c>
      <c r="B1167" s="3" t="s">
        <v>25</v>
      </c>
      <c r="C1167" s="12" t="s">
        <v>1179</v>
      </c>
      <c r="D1167" s="13">
        <v>59676.0</v>
      </c>
      <c r="E1167" s="4">
        <v>45418.0</v>
      </c>
      <c r="F1167" s="4" t="str">
        <f>IF(D1167="","", IFNA(VLOOKUP(D1167, SATCAT_DECAY!A:B, 2, FALSE), ""))
</f>
        <v/>
      </c>
      <c r="G1167" s="3" t="str">
        <f t="shared" si="1"/>
        <v>ACTIVE</v>
      </c>
    </row>
    <row r="1168" ht="22.5" customHeight="1">
      <c r="A1168" s="11" t="str">
        <f t="array" ref="A1168">IFERROR(
  INDEX('Starlink Launches'!$A:$A, MATCH($E1168, 'Starlink Launches'!$B:$B, 0)),
  ""
)
</f>
        <v>6-56</v>
      </c>
      <c r="B1168" s="3" t="s">
        <v>25</v>
      </c>
      <c r="C1168" s="12" t="s">
        <v>1180</v>
      </c>
      <c r="D1168" s="13">
        <v>59682.0</v>
      </c>
      <c r="E1168" s="4">
        <v>45420.0</v>
      </c>
      <c r="F1168" s="4" t="str">
        <f>IF(D1168="","", IFNA(VLOOKUP(D1168, SATCAT_DECAY!A:B, 2, FALSE), ""))
</f>
        <v/>
      </c>
      <c r="G1168" s="3" t="str">
        <f t="shared" si="1"/>
        <v>ACTIVE</v>
      </c>
    </row>
    <row r="1169" ht="22.5" customHeight="1">
      <c r="A1169" s="11" t="str">
        <f t="array" ref="A1169">IFERROR(
  INDEX('Starlink Launches'!$A:$A, MATCH($E1169, 'Starlink Launches'!$B:$B, 0)),
  ""
)
</f>
        <v>6-56</v>
      </c>
      <c r="B1169" s="3" t="s">
        <v>25</v>
      </c>
      <c r="C1169" s="12" t="s">
        <v>1181</v>
      </c>
      <c r="D1169" s="13">
        <v>59683.0</v>
      </c>
      <c r="E1169" s="4">
        <v>45420.0</v>
      </c>
      <c r="F1169" s="4" t="str">
        <f>IF(D1169="","", IFNA(VLOOKUP(D1169, SATCAT_DECAY!A:B, 2, FALSE), ""))
</f>
        <v/>
      </c>
      <c r="G1169" s="3" t="str">
        <f t="shared" si="1"/>
        <v>ACTIVE</v>
      </c>
    </row>
    <row r="1170" ht="22.5" customHeight="1">
      <c r="A1170" s="11" t="str">
        <f t="array" ref="A1170">IFERROR(
  INDEX('Starlink Launches'!$A:$A, MATCH($E1170, 'Starlink Launches'!$B:$B, 0)),
  ""
)
</f>
        <v>6-56</v>
      </c>
      <c r="B1170" s="3" t="s">
        <v>25</v>
      </c>
      <c r="C1170" s="12" t="s">
        <v>1182</v>
      </c>
      <c r="D1170" s="13">
        <v>59684.0</v>
      </c>
      <c r="E1170" s="4">
        <v>45420.0</v>
      </c>
      <c r="F1170" s="4" t="str">
        <f>IF(D1170="","", IFNA(VLOOKUP(D1170, SATCAT_DECAY!A:B, 2, FALSE), ""))
</f>
        <v/>
      </c>
      <c r="G1170" s="3" t="str">
        <f t="shared" si="1"/>
        <v>ACTIVE</v>
      </c>
    </row>
    <row r="1171" ht="22.5" customHeight="1">
      <c r="A1171" s="11" t="str">
        <f t="array" ref="A1171">IFERROR(
  INDEX('Starlink Launches'!$A:$A, MATCH($E1171, 'Starlink Launches'!$B:$B, 0)),
  ""
)
</f>
        <v>6-56</v>
      </c>
      <c r="B1171" s="3" t="s">
        <v>25</v>
      </c>
      <c r="C1171" s="12" t="s">
        <v>1183</v>
      </c>
      <c r="D1171" s="13">
        <v>59685.0</v>
      </c>
      <c r="E1171" s="4">
        <v>45420.0</v>
      </c>
      <c r="F1171" s="4" t="str">
        <f>IF(D1171="","", IFNA(VLOOKUP(D1171, SATCAT_DECAY!A:B, 2, FALSE), ""))
</f>
        <v/>
      </c>
      <c r="G1171" s="3" t="str">
        <f t="shared" si="1"/>
        <v>ACTIVE</v>
      </c>
    </row>
    <row r="1172" ht="22.5" customHeight="1">
      <c r="A1172" s="11" t="str">
        <f t="array" ref="A1172">IFERROR(
  INDEX('Starlink Launches'!$A:$A, MATCH($E1172, 'Starlink Launches'!$B:$B, 0)),
  ""
)
</f>
        <v>6-56</v>
      </c>
      <c r="B1172" s="3" t="s">
        <v>25</v>
      </c>
      <c r="C1172" s="12" t="s">
        <v>1184</v>
      </c>
      <c r="D1172" s="13">
        <v>59686.0</v>
      </c>
      <c r="E1172" s="4">
        <v>45420.0</v>
      </c>
      <c r="F1172" s="4" t="str">
        <f>IF(D1172="","", IFNA(VLOOKUP(D1172, SATCAT_DECAY!A:B, 2, FALSE), ""))
</f>
        <v/>
      </c>
      <c r="G1172" s="3" t="str">
        <f t="shared" si="1"/>
        <v>ACTIVE</v>
      </c>
    </row>
    <row r="1173" ht="22.5" customHeight="1">
      <c r="A1173" s="11" t="str">
        <f t="array" ref="A1173">IFERROR(
  INDEX('Starlink Launches'!$A:$A, MATCH($E1173, 'Starlink Launches'!$B:$B, 0)),
  ""
)
</f>
        <v>6-56</v>
      </c>
      <c r="B1173" s="3" t="s">
        <v>25</v>
      </c>
      <c r="C1173" s="12" t="s">
        <v>1185</v>
      </c>
      <c r="D1173" s="13">
        <v>59687.0</v>
      </c>
      <c r="E1173" s="4">
        <v>45420.0</v>
      </c>
      <c r="F1173" s="4" t="str">
        <f>IF(D1173="","", IFNA(VLOOKUP(D1173, SATCAT_DECAY!A:B, 2, FALSE), ""))
</f>
        <v/>
      </c>
      <c r="G1173" s="3" t="str">
        <f t="shared" si="1"/>
        <v>ACTIVE</v>
      </c>
    </row>
    <row r="1174" ht="22.5" customHeight="1">
      <c r="A1174" s="11" t="str">
        <f t="array" ref="A1174">IFERROR(
  INDEX('Starlink Launches'!$A:$A, MATCH($E1174, 'Starlink Launches'!$B:$B, 0)),
  ""
)
</f>
        <v>6-56</v>
      </c>
      <c r="B1174" s="3" t="s">
        <v>25</v>
      </c>
      <c r="C1174" s="12" t="s">
        <v>1186</v>
      </c>
      <c r="D1174" s="13">
        <v>59688.0</v>
      </c>
      <c r="E1174" s="4">
        <v>45420.0</v>
      </c>
      <c r="F1174" s="4" t="str">
        <f>IF(D1174="","", IFNA(VLOOKUP(D1174, SATCAT_DECAY!A:B, 2, FALSE), ""))
</f>
        <v/>
      </c>
      <c r="G1174" s="3" t="str">
        <f t="shared" si="1"/>
        <v>ACTIVE</v>
      </c>
    </row>
    <row r="1175" ht="22.5" customHeight="1">
      <c r="A1175" s="11" t="str">
        <f t="array" ref="A1175">IFERROR(
  INDEX('Starlink Launches'!$A:$A, MATCH($E1175, 'Starlink Launches'!$B:$B, 0)),
  ""
)
</f>
        <v>6-56</v>
      </c>
      <c r="B1175" s="3" t="s">
        <v>25</v>
      </c>
      <c r="C1175" s="12" t="s">
        <v>1187</v>
      </c>
      <c r="D1175" s="13">
        <v>59689.0</v>
      </c>
      <c r="E1175" s="4">
        <v>45420.0</v>
      </c>
      <c r="F1175" s="4" t="str">
        <f>IF(D1175="","", IFNA(VLOOKUP(D1175, SATCAT_DECAY!A:B, 2, FALSE), ""))
</f>
        <v/>
      </c>
      <c r="G1175" s="3" t="str">
        <f t="shared" si="1"/>
        <v>ACTIVE</v>
      </c>
    </row>
    <row r="1176" ht="22.5" customHeight="1">
      <c r="A1176" s="11" t="str">
        <f t="array" ref="A1176">IFERROR(
  INDEX('Starlink Launches'!$A:$A, MATCH($E1176, 'Starlink Launches'!$B:$B, 0)),
  ""
)
</f>
        <v>6-56</v>
      </c>
      <c r="B1176" s="3" t="s">
        <v>25</v>
      </c>
      <c r="C1176" s="12" t="s">
        <v>1188</v>
      </c>
      <c r="D1176" s="13">
        <v>59690.0</v>
      </c>
      <c r="E1176" s="4">
        <v>45420.0</v>
      </c>
      <c r="F1176" s="4" t="str">
        <f>IF(D1176="","", IFNA(VLOOKUP(D1176, SATCAT_DECAY!A:B, 2, FALSE), ""))
</f>
        <v/>
      </c>
      <c r="G1176" s="3" t="str">
        <f t="shared" si="1"/>
        <v>ACTIVE</v>
      </c>
    </row>
    <row r="1177" ht="22.5" customHeight="1">
      <c r="A1177" s="11" t="str">
        <f t="array" ref="A1177">IFERROR(
  INDEX('Starlink Launches'!$A:$A, MATCH($E1177, 'Starlink Launches'!$B:$B, 0)),
  ""
)
</f>
        <v>6-56</v>
      </c>
      <c r="B1177" s="3" t="s">
        <v>25</v>
      </c>
      <c r="C1177" s="12" t="s">
        <v>1189</v>
      </c>
      <c r="D1177" s="13">
        <v>59691.0</v>
      </c>
      <c r="E1177" s="4">
        <v>45420.0</v>
      </c>
      <c r="F1177" s="4" t="str">
        <f>IF(D1177="","", IFNA(VLOOKUP(D1177, SATCAT_DECAY!A:B, 2, FALSE), ""))
</f>
        <v/>
      </c>
      <c r="G1177" s="3" t="str">
        <f t="shared" si="1"/>
        <v>ACTIVE</v>
      </c>
    </row>
    <row r="1178" ht="22.5" customHeight="1">
      <c r="A1178" s="11" t="str">
        <f t="array" ref="A1178">IFERROR(
  INDEX('Starlink Launches'!$A:$A, MATCH($E1178, 'Starlink Launches'!$B:$B, 0)),
  ""
)
</f>
        <v>6-56</v>
      </c>
      <c r="B1178" s="3" t="s">
        <v>25</v>
      </c>
      <c r="C1178" s="12" t="s">
        <v>1190</v>
      </c>
      <c r="D1178" s="13">
        <v>59693.0</v>
      </c>
      <c r="E1178" s="4">
        <v>45420.0</v>
      </c>
      <c r="F1178" s="4" t="str">
        <f>IF(D1178="","", IFNA(VLOOKUP(D1178, SATCAT_DECAY!A:B, 2, FALSE), ""))
</f>
        <v/>
      </c>
      <c r="G1178" s="3" t="str">
        <f t="shared" si="1"/>
        <v>ACTIVE</v>
      </c>
    </row>
    <row r="1179" ht="22.5" customHeight="1">
      <c r="A1179" s="11" t="str">
        <f t="array" ref="A1179">IFERROR(
  INDEX('Starlink Launches'!$A:$A, MATCH($E1179, 'Starlink Launches'!$B:$B, 0)),
  ""
)
</f>
        <v>6-56</v>
      </c>
      <c r="B1179" s="3" t="s">
        <v>25</v>
      </c>
      <c r="C1179" s="12" t="s">
        <v>1191</v>
      </c>
      <c r="D1179" s="13">
        <v>59694.0</v>
      </c>
      <c r="E1179" s="4">
        <v>45420.0</v>
      </c>
      <c r="F1179" s="4" t="str">
        <f>IF(D1179="","", IFNA(VLOOKUP(D1179, SATCAT_DECAY!A:B, 2, FALSE), ""))
</f>
        <v/>
      </c>
      <c r="G1179" s="3" t="str">
        <f t="shared" si="1"/>
        <v>ACTIVE</v>
      </c>
    </row>
    <row r="1180" ht="22.5" customHeight="1">
      <c r="A1180" s="11" t="str">
        <f t="array" ref="A1180">IFERROR(
  INDEX('Starlink Launches'!$A:$A, MATCH($E1180, 'Starlink Launches'!$B:$B, 0)),
  ""
)
</f>
        <v>6-56</v>
      </c>
      <c r="B1180" s="3" t="s">
        <v>25</v>
      </c>
      <c r="C1180" s="12" t="s">
        <v>1192</v>
      </c>
      <c r="D1180" s="13">
        <v>59695.0</v>
      </c>
      <c r="E1180" s="4">
        <v>45420.0</v>
      </c>
      <c r="F1180" s="4" t="str">
        <f>IF(D1180="","", IFNA(VLOOKUP(D1180, SATCAT_DECAY!A:B, 2, FALSE), ""))
</f>
        <v/>
      </c>
      <c r="G1180" s="3" t="str">
        <f t="shared" si="1"/>
        <v>ACTIVE</v>
      </c>
    </row>
    <row r="1181" ht="22.5" customHeight="1">
      <c r="A1181" s="11" t="str">
        <f t="array" ref="A1181">IFERROR(
  INDEX('Starlink Launches'!$A:$A, MATCH($E1181, 'Starlink Launches'!$B:$B, 0)),
  ""
)
</f>
        <v>6-56</v>
      </c>
      <c r="B1181" s="3" t="s">
        <v>25</v>
      </c>
      <c r="C1181" s="12" t="s">
        <v>1193</v>
      </c>
      <c r="D1181" s="13">
        <v>59696.0</v>
      </c>
      <c r="E1181" s="4">
        <v>45420.0</v>
      </c>
      <c r="F1181" s="4" t="str">
        <f>IF(D1181="","", IFNA(VLOOKUP(D1181, SATCAT_DECAY!A:B, 2, FALSE), ""))
</f>
        <v/>
      </c>
      <c r="G1181" s="3" t="str">
        <f t="shared" si="1"/>
        <v>ACTIVE</v>
      </c>
    </row>
    <row r="1182" ht="22.5" customHeight="1">
      <c r="A1182" s="11" t="str">
        <f t="array" ref="A1182">IFERROR(
  INDEX('Starlink Launches'!$A:$A, MATCH($E1182, 'Starlink Launches'!$B:$B, 0)),
  ""
)
</f>
        <v>6-56</v>
      </c>
      <c r="B1182" s="3" t="s">
        <v>25</v>
      </c>
      <c r="C1182" s="12" t="s">
        <v>1194</v>
      </c>
      <c r="D1182" s="13">
        <v>59697.0</v>
      </c>
      <c r="E1182" s="4">
        <v>45420.0</v>
      </c>
      <c r="F1182" s="4" t="str">
        <f>IF(D1182="","", IFNA(VLOOKUP(D1182, SATCAT_DECAY!A:B, 2, FALSE), ""))
</f>
        <v/>
      </c>
      <c r="G1182" s="3" t="str">
        <f t="shared" si="1"/>
        <v>ACTIVE</v>
      </c>
    </row>
    <row r="1183" ht="22.5" customHeight="1">
      <c r="A1183" s="11" t="str">
        <f t="array" ref="A1183">IFERROR(
  INDEX('Starlink Launches'!$A:$A, MATCH($E1183, 'Starlink Launches'!$B:$B, 0)),
  ""
)
</f>
        <v>6-56</v>
      </c>
      <c r="B1183" s="3" t="s">
        <v>25</v>
      </c>
      <c r="C1183" s="12" t="s">
        <v>1195</v>
      </c>
      <c r="D1183" s="13">
        <v>59698.0</v>
      </c>
      <c r="E1183" s="4">
        <v>45420.0</v>
      </c>
      <c r="F1183" s="4" t="str">
        <f>IF(D1183="","", IFNA(VLOOKUP(D1183, SATCAT_DECAY!A:B, 2, FALSE), ""))
</f>
        <v/>
      </c>
      <c r="G1183" s="3" t="str">
        <f t="shared" si="1"/>
        <v>ACTIVE</v>
      </c>
    </row>
    <row r="1184" ht="22.5" customHeight="1">
      <c r="A1184" s="11" t="str">
        <f t="array" ref="A1184">IFERROR(
  INDEX('Starlink Launches'!$A:$A, MATCH($E1184, 'Starlink Launches'!$B:$B, 0)),
  ""
)
</f>
        <v>6-56</v>
      </c>
      <c r="B1184" s="3" t="s">
        <v>25</v>
      </c>
      <c r="C1184" s="12" t="s">
        <v>1196</v>
      </c>
      <c r="D1184" s="13">
        <v>59699.0</v>
      </c>
      <c r="E1184" s="4">
        <v>45420.0</v>
      </c>
      <c r="F1184" s="4" t="str">
        <f>IF(D1184="","", IFNA(VLOOKUP(D1184, SATCAT_DECAY!A:B, 2, FALSE), ""))
</f>
        <v/>
      </c>
      <c r="G1184" s="3" t="str">
        <f t="shared" si="1"/>
        <v>ACTIVE</v>
      </c>
    </row>
    <row r="1185" ht="22.5" customHeight="1">
      <c r="A1185" s="11" t="str">
        <f t="array" ref="A1185">IFERROR(
  INDEX('Starlink Launches'!$A:$A, MATCH($E1185, 'Starlink Launches'!$B:$B, 0)),
  ""
)
</f>
        <v>6-56</v>
      </c>
      <c r="B1185" s="3" t="s">
        <v>25</v>
      </c>
      <c r="C1185" s="12" t="s">
        <v>1197</v>
      </c>
      <c r="D1185" s="13">
        <v>59700.0</v>
      </c>
      <c r="E1185" s="4">
        <v>45420.0</v>
      </c>
      <c r="F1185" s="4" t="str">
        <f>IF(D1185="","", IFNA(VLOOKUP(D1185, SATCAT_DECAY!A:B, 2, FALSE), ""))
</f>
        <v/>
      </c>
      <c r="G1185" s="3" t="str">
        <f t="shared" si="1"/>
        <v>ACTIVE</v>
      </c>
    </row>
    <row r="1186" ht="22.5" customHeight="1">
      <c r="A1186" s="11" t="str">
        <f t="array" ref="A1186">IFERROR(
  INDEX('Starlink Launches'!$A:$A, MATCH($E1186, 'Starlink Launches'!$B:$B, 0)),
  ""
)
</f>
        <v>6-56</v>
      </c>
      <c r="B1186" s="3" t="s">
        <v>25</v>
      </c>
      <c r="C1186" s="12" t="s">
        <v>1198</v>
      </c>
      <c r="D1186" s="13">
        <v>59701.0</v>
      </c>
      <c r="E1186" s="4">
        <v>45420.0</v>
      </c>
      <c r="F1186" s="4" t="str">
        <f>IF(D1186="","", IFNA(VLOOKUP(D1186, SATCAT_DECAY!A:B, 2, FALSE), ""))
</f>
        <v/>
      </c>
      <c r="G1186" s="3" t="str">
        <f t="shared" si="1"/>
        <v>ACTIVE</v>
      </c>
    </row>
    <row r="1187" ht="22.5" customHeight="1">
      <c r="A1187" s="11" t="str">
        <f t="array" ref="A1187">IFERROR(
  INDEX('Starlink Launches'!$A:$A, MATCH($E1187, 'Starlink Launches'!$B:$B, 0)),
  ""
)
</f>
        <v>6-56</v>
      </c>
      <c r="B1187" s="3" t="s">
        <v>25</v>
      </c>
      <c r="C1187" s="12" t="s">
        <v>1199</v>
      </c>
      <c r="D1187" s="13">
        <v>59702.0</v>
      </c>
      <c r="E1187" s="4">
        <v>45420.0</v>
      </c>
      <c r="F1187" s="4" t="str">
        <f>IF(D1187="","", IFNA(VLOOKUP(D1187, SATCAT_DECAY!A:B, 2, FALSE), ""))
</f>
        <v/>
      </c>
      <c r="G1187" s="3" t="str">
        <f t="shared" si="1"/>
        <v>ACTIVE</v>
      </c>
    </row>
    <row r="1188" ht="22.5" customHeight="1">
      <c r="A1188" s="11" t="str">
        <f t="array" ref="A1188">IFERROR(
  INDEX('Starlink Launches'!$A:$A, MATCH($E1188, 'Starlink Launches'!$B:$B, 0)),
  ""
)
</f>
        <v>6-56</v>
      </c>
      <c r="B1188" s="3" t="s">
        <v>25</v>
      </c>
      <c r="C1188" s="12" t="s">
        <v>1200</v>
      </c>
      <c r="D1188" s="13">
        <v>59703.0</v>
      </c>
      <c r="E1188" s="4">
        <v>45420.0</v>
      </c>
      <c r="F1188" s="4" t="str">
        <f>IF(D1188="","", IFNA(VLOOKUP(D1188, SATCAT_DECAY!A:B, 2, FALSE), ""))
</f>
        <v/>
      </c>
      <c r="G1188" s="3" t="str">
        <f t="shared" si="1"/>
        <v>ACTIVE</v>
      </c>
    </row>
    <row r="1189" ht="22.5" customHeight="1">
      <c r="A1189" s="11" t="str">
        <f t="array" ref="A1189">IFERROR(
  INDEX('Starlink Launches'!$A:$A, MATCH($E1189, 'Starlink Launches'!$B:$B, 0)),
  ""
)
</f>
        <v>6-56</v>
      </c>
      <c r="B1189" s="3" t="s">
        <v>25</v>
      </c>
      <c r="C1189" s="12" t="s">
        <v>1201</v>
      </c>
      <c r="D1189" s="13">
        <v>59704.0</v>
      </c>
      <c r="E1189" s="4">
        <v>45420.0</v>
      </c>
      <c r="F1189" s="4" t="str">
        <f>IF(D1189="","", IFNA(VLOOKUP(D1189, SATCAT_DECAY!A:B, 2, FALSE), ""))
</f>
        <v/>
      </c>
      <c r="G1189" s="3" t="str">
        <f t="shared" si="1"/>
        <v>ACTIVE</v>
      </c>
    </row>
    <row r="1190" ht="22.5" customHeight="1">
      <c r="A1190" s="11" t="str">
        <f t="array" ref="A1190">IFERROR(
  INDEX('Starlink Launches'!$A:$A, MATCH($E1190, 'Starlink Launches'!$B:$B, 0)),
  ""
)
</f>
        <v>6-58</v>
      </c>
      <c r="B1190" s="3" t="s">
        <v>25</v>
      </c>
      <c r="C1190" s="12" t="s">
        <v>1202</v>
      </c>
      <c r="D1190" s="13">
        <v>59730.0</v>
      </c>
      <c r="E1190" s="4">
        <v>45425.0</v>
      </c>
      <c r="F1190" s="4" t="str">
        <f>IF(D1190="","", IFNA(VLOOKUP(D1190, SATCAT_DECAY!A:B, 2, FALSE), ""))
</f>
        <v/>
      </c>
      <c r="G1190" s="3" t="str">
        <f t="shared" si="1"/>
        <v>ACTIVE</v>
      </c>
    </row>
    <row r="1191" ht="22.5" customHeight="1">
      <c r="A1191" s="11" t="str">
        <f t="array" ref="A1191">IFERROR(
  INDEX('Starlink Launches'!$A:$A, MATCH($E1191, 'Starlink Launches'!$B:$B, 0)),
  ""
)
</f>
        <v>6-58</v>
      </c>
      <c r="B1191" s="3" t="s">
        <v>25</v>
      </c>
      <c r="C1191" s="12" t="s">
        <v>1203</v>
      </c>
      <c r="D1191" s="13">
        <v>59731.0</v>
      </c>
      <c r="E1191" s="4">
        <v>45425.0</v>
      </c>
      <c r="F1191" s="4" t="str">
        <f>IF(D1191="","", IFNA(VLOOKUP(D1191, SATCAT_DECAY!A:B, 2, FALSE), ""))
</f>
        <v/>
      </c>
      <c r="G1191" s="3" t="str">
        <f t="shared" si="1"/>
        <v>ACTIVE</v>
      </c>
    </row>
    <row r="1192" ht="22.5" customHeight="1">
      <c r="A1192" s="11" t="str">
        <f t="array" ref="A1192">IFERROR(
  INDEX('Starlink Launches'!$A:$A, MATCH($E1192, 'Starlink Launches'!$B:$B, 0)),
  ""
)
</f>
        <v>6-58</v>
      </c>
      <c r="B1192" s="3" t="s">
        <v>25</v>
      </c>
      <c r="C1192" s="12" t="s">
        <v>1204</v>
      </c>
      <c r="D1192" s="13">
        <v>59733.0</v>
      </c>
      <c r="E1192" s="4">
        <v>45425.0</v>
      </c>
      <c r="F1192" s="4" t="str">
        <f>IF(D1192="","", IFNA(VLOOKUP(D1192, SATCAT_DECAY!A:B, 2, FALSE), ""))
</f>
        <v/>
      </c>
      <c r="G1192" s="3" t="str">
        <f t="shared" si="1"/>
        <v>ACTIVE</v>
      </c>
    </row>
    <row r="1193" ht="22.5" customHeight="1">
      <c r="A1193" s="11" t="str">
        <f t="array" ref="A1193">IFERROR(
  INDEX('Starlink Launches'!$A:$A, MATCH($E1193, 'Starlink Launches'!$B:$B, 0)),
  ""
)
</f>
        <v>6-58</v>
      </c>
      <c r="B1193" s="3" t="s">
        <v>25</v>
      </c>
      <c r="C1193" s="12" t="s">
        <v>1205</v>
      </c>
      <c r="D1193" s="13">
        <v>59734.0</v>
      </c>
      <c r="E1193" s="4">
        <v>45425.0</v>
      </c>
      <c r="F1193" s="4" t="str">
        <f>IF(D1193="","", IFNA(VLOOKUP(D1193, SATCAT_DECAY!A:B, 2, FALSE), ""))
</f>
        <v/>
      </c>
      <c r="G1193" s="3" t="str">
        <f t="shared" si="1"/>
        <v>ACTIVE</v>
      </c>
    </row>
    <row r="1194" ht="22.5" customHeight="1">
      <c r="A1194" s="11" t="str">
        <f t="array" ref="A1194">IFERROR(
  INDEX('Starlink Launches'!$A:$A, MATCH($E1194, 'Starlink Launches'!$B:$B, 0)),
  ""
)
</f>
        <v>6-58</v>
      </c>
      <c r="B1194" s="3" t="s">
        <v>25</v>
      </c>
      <c r="C1194" s="12" t="s">
        <v>1206</v>
      </c>
      <c r="D1194" s="13">
        <v>59735.0</v>
      </c>
      <c r="E1194" s="4">
        <v>45425.0</v>
      </c>
      <c r="F1194" s="4" t="str">
        <f>IF(D1194="","", IFNA(VLOOKUP(D1194, SATCAT_DECAY!A:B, 2, FALSE), ""))
</f>
        <v/>
      </c>
      <c r="G1194" s="3" t="str">
        <f t="shared" si="1"/>
        <v>ACTIVE</v>
      </c>
    </row>
    <row r="1195" ht="22.5" customHeight="1">
      <c r="A1195" s="11" t="str">
        <f t="array" ref="A1195">IFERROR(
  INDEX('Starlink Launches'!$A:$A, MATCH($E1195, 'Starlink Launches'!$B:$B, 0)),
  ""
)
</f>
        <v>6-58</v>
      </c>
      <c r="B1195" s="3" t="s">
        <v>25</v>
      </c>
      <c r="C1195" s="12" t="s">
        <v>1207</v>
      </c>
      <c r="D1195" s="13">
        <v>59736.0</v>
      </c>
      <c r="E1195" s="4">
        <v>45425.0</v>
      </c>
      <c r="F1195" s="4" t="str">
        <f>IF(D1195="","", IFNA(VLOOKUP(D1195, SATCAT_DECAY!A:B, 2, FALSE), ""))
</f>
        <v/>
      </c>
      <c r="G1195" s="3" t="str">
        <f t="shared" si="1"/>
        <v>ACTIVE</v>
      </c>
    </row>
    <row r="1196" ht="22.5" customHeight="1">
      <c r="A1196" s="11" t="str">
        <f t="array" ref="A1196">IFERROR(
  INDEX('Starlink Launches'!$A:$A, MATCH($E1196, 'Starlink Launches'!$B:$B, 0)),
  ""
)
</f>
        <v>6-58</v>
      </c>
      <c r="B1196" s="3" t="s">
        <v>25</v>
      </c>
      <c r="C1196" s="12" t="s">
        <v>1208</v>
      </c>
      <c r="D1196" s="13">
        <v>59737.0</v>
      </c>
      <c r="E1196" s="4">
        <v>45425.0</v>
      </c>
      <c r="F1196" s="4" t="str">
        <f>IF(D1196="","", IFNA(VLOOKUP(D1196, SATCAT_DECAY!A:B, 2, FALSE), ""))
</f>
        <v/>
      </c>
      <c r="G1196" s="3" t="str">
        <f t="shared" si="1"/>
        <v>ACTIVE</v>
      </c>
    </row>
    <row r="1197" ht="22.5" customHeight="1">
      <c r="A1197" s="11" t="str">
        <f t="array" ref="A1197">IFERROR(
  INDEX('Starlink Launches'!$A:$A, MATCH($E1197, 'Starlink Launches'!$B:$B, 0)),
  ""
)
</f>
        <v>6-58</v>
      </c>
      <c r="B1197" s="3" t="s">
        <v>25</v>
      </c>
      <c r="C1197" s="12" t="s">
        <v>1209</v>
      </c>
      <c r="D1197" s="13">
        <v>59738.0</v>
      </c>
      <c r="E1197" s="4">
        <v>45425.0</v>
      </c>
      <c r="F1197" s="4" t="str">
        <f>IF(D1197="","", IFNA(VLOOKUP(D1197, SATCAT_DECAY!A:B, 2, FALSE), ""))
</f>
        <v/>
      </c>
      <c r="G1197" s="3" t="str">
        <f t="shared" si="1"/>
        <v>ACTIVE</v>
      </c>
    </row>
    <row r="1198" ht="22.5" customHeight="1">
      <c r="A1198" s="11" t="str">
        <f t="array" ref="A1198">IFERROR(
  INDEX('Starlink Launches'!$A:$A, MATCH($E1198, 'Starlink Launches'!$B:$B, 0)),
  ""
)
</f>
        <v>6-58</v>
      </c>
      <c r="B1198" s="3" t="s">
        <v>25</v>
      </c>
      <c r="C1198" s="12" t="s">
        <v>1210</v>
      </c>
      <c r="D1198" s="13">
        <v>59739.0</v>
      </c>
      <c r="E1198" s="4">
        <v>45425.0</v>
      </c>
      <c r="F1198" s="4" t="str">
        <f>IF(D1198="","", IFNA(VLOOKUP(D1198, SATCAT_DECAY!A:B, 2, FALSE), ""))
</f>
        <v/>
      </c>
      <c r="G1198" s="3" t="str">
        <f t="shared" si="1"/>
        <v>ACTIVE</v>
      </c>
    </row>
    <row r="1199" ht="22.5" customHeight="1">
      <c r="A1199" s="11" t="str">
        <f t="array" ref="A1199">IFERROR(
  INDEX('Starlink Launches'!$A:$A, MATCH($E1199, 'Starlink Launches'!$B:$B, 0)),
  ""
)
</f>
        <v>6-58</v>
      </c>
      <c r="B1199" s="3" t="s">
        <v>25</v>
      </c>
      <c r="C1199" s="12" t="s">
        <v>1211</v>
      </c>
      <c r="D1199" s="13">
        <v>59740.0</v>
      </c>
      <c r="E1199" s="4">
        <v>45425.0</v>
      </c>
      <c r="F1199" s="4" t="str">
        <f>IF(D1199="","", IFNA(VLOOKUP(D1199, SATCAT_DECAY!A:B, 2, FALSE), ""))
</f>
        <v/>
      </c>
      <c r="G1199" s="3" t="str">
        <f t="shared" si="1"/>
        <v>ACTIVE</v>
      </c>
    </row>
    <row r="1200" ht="22.5" customHeight="1">
      <c r="A1200" s="11" t="str">
        <f t="array" ref="A1200">IFERROR(
  INDEX('Starlink Launches'!$A:$A, MATCH($E1200, 'Starlink Launches'!$B:$B, 0)),
  ""
)
</f>
        <v>6-58</v>
      </c>
      <c r="B1200" s="3" t="s">
        <v>25</v>
      </c>
      <c r="C1200" s="12" t="s">
        <v>1212</v>
      </c>
      <c r="D1200" s="13">
        <v>59741.0</v>
      </c>
      <c r="E1200" s="4">
        <v>45425.0</v>
      </c>
      <c r="F1200" s="4" t="str">
        <f>IF(D1200="","", IFNA(VLOOKUP(D1200, SATCAT_DECAY!A:B, 2, FALSE), ""))
</f>
        <v/>
      </c>
      <c r="G1200" s="3" t="str">
        <f t="shared" si="1"/>
        <v>ACTIVE</v>
      </c>
    </row>
    <row r="1201" ht="22.5" customHeight="1">
      <c r="A1201" s="11" t="str">
        <f t="array" ref="A1201">IFERROR(
  INDEX('Starlink Launches'!$A:$A, MATCH($E1201, 'Starlink Launches'!$B:$B, 0)),
  ""
)
</f>
        <v>6-58</v>
      </c>
      <c r="B1201" s="3" t="s">
        <v>25</v>
      </c>
      <c r="C1201" s="12" t="s">
        <v>1213</v>
      </c>
      <c r="D1201" s="13">
        <v>59742.0</v>
      </c>
      <c r="E1201" s="4">
        <v>45425.0</v>
      </c>
      <c r="F1201" s="4" t="str">
        <f>IF(D1201="","", IFNA(VLOOKUP(D1201, SATCAT_DECAY!A:B, 2, FALSE), ""))
</f>
        <v/>
      </c>
      <c r="G1201" s="3" t="str">
        <f t="shared" si="1"/>
        <v>ACTIVE</v>
      </c>
    </row>
    <row r="1202" ht="22.5" customHeight="1">
      <c r="A1202" s="11" t="str">
        <f t="array" ref="A1202">IFERROR(
  INDEX('Starlink Launches'!$A:$A, MATCH($E1202, 'Starlink Launches'!$B:$B, 0)),
  ""
)
</f>
        <v>6-58</v>
      </c>
      <c r="B1202" s="3" t="s">
        <v>25</v>
      </c>
      <c r="C1202" s="12" t="s">
        <v>1214</v>
      </c>
      <c r="D1202" s="13">
        <v>59743.0</v>
      </c>
      <c r="E1202" s="4">
        <v>45425.0</v>
      </c>
      <c r="F1202" s="4" t="str">
        <f>IF(D1202="","", IFNA(VLOOKUP(D1202, SATCAT_DECAY!A:B, 2, FALSE), ""))
</f>
        <v/>
      </c>
      <c r="G1202" s="3" t="str">
        <f t="shared" si="1"/>
        <v>ACTIVE</v>
      </c>
    </row>
    <row r="1203" ht="22.5" customHeight="1">
      <c r="A1203" s="11" t="str">
        <f t="array" ref="A1203">IFERROR(
  INDEX('Starlink Launches'!$A:$A, MATCH($E1203, 'Starlink Launches'!$B:$B, 0)),
  ""
)
</f>
        <v>6-58</v>
      </c>
      <c r="B1203" s="3" t="s">
        <v>25</v>
      </c>
      <c r="C1203" s="12" t="s">
        <v>1215</v>
      </c>
      <c r="D1203" s="13">
        <v>59744.0</v>
      </c>
      <c r="E1203" s="4">
        <v>45425.0</v>
      </c>
      <c r="F1203" s="4" t="str">
        <f>IF(D1203="","", IFNA(VLOOKUP(D1203, SATCAT_DECAY!A:B, 2, FALSE), ""))
</f>
        <v/>
      </c>
      <c r="G1203" s="3" t="str">
        <f t="shared" si="1"/>
        <v>ACTIVE</v>
      </c>
    </row>
    <row r="1204" ht="22.5" customHeight="1">
      <c r="A1204" s="11" t="str">
        <f t="array" ref="A1204">IFERROR(
  INDEX('Starlink Launches'!$A:$A, MATCH($E1204, 'Starlink Launches'!$B:$B, 0)),
  ""
)
</f>
        <v>6-58</v>
      </c>
      <c r="B1204" s="3" t="s">
        <v>25</v>
      </c>
      <c r="C1204" s="12" t="s">
        <v>1216</v>
      </c>
      <c r="D1204" s="13">
        <v>59745.0</v>
      </c>
      <c r="E1204" s="4">
        <v>45425.0</v>
      </c>
      <c r="F1204" s="4" t="str">
        <f>IF(D1204="","", IFNA(VLOOKUP(D1204, SATCAT_DECAY!A:B, 2, FALSE), ""))
</f>
        <v/>
      </c>
      <c r="G1204" s="3" t="str">
        <f t="shared" si="1"/>
        <v>ACTIVE</v>
      </c>
    </row>
    <row r="1205" ht="22.5" customHeight="1">
      <c r="A1205" s="11" t="str">
        <f t="array" ref="A1205">IFERROR(
  INDEX('Starlink Launches'!$A:$A, MATCH($E1205, 'Starlink Launches'!$B:$B, 0)),
  ""
)
</f>
        <v>6-58</v>
      </c>
      <c r="B1205" s="3" t="s">
        <v>25</v>
      </c>
      <c r="C1205" s="12" t="s">
        <v>1217</v>
      </c>
      <c r="D1205" s="13">
        <v>59746.0</v>
      </c>
      <c r="E1205" s="4">
        <v>45425.0</v>
      </c>
      <c r="F1205" s="4" t="str">
        <f>IF(D1205="","", IFNA(VLOOKUP(D1205, SATCAT_DECAY!A:B, 2, FALSE), ""))
</f>
        <v/>
      </c>
      <c r="G1205" s="3" t="str">
        <f t="shared" si="1"/>
        <v>ACTIVE</v>
      </c>
    </row>
    <row r="1206" ht="22.5" customHeight="1">
      <c r="A1206" s="11" t="str">
        <f t="array" ref="A1206">IFERROR(
  INDEX('Starlink Launches'!$A:$A, MATCH($E1206, 'Starlink Launches'!$B:$B, 0)),
  ""
)
</f>
        <v>6-58</v>
      </c>
      <c r="B1206" s="3" t="s">
        <v>25</v>
      </c>
      <c r="C1206" s="12" t="s">
        <v>1218</v>
      </c>
      <c r="D1206" s="13">
        <v>59747.0</v>
      </c>
      <c r="E1206" s="4">
        <v>45425.0</v>
      </c>
      <c r="F1206" s="4" t="str">
        <f>IF(D1206="","", IFNA(VLOOKUP(D1206, SATCAT_DECAY!A:B, 2, FALSE), ""))
</f>
        <v/>
      </c>
      <c r="G1206" s="3" t="str">
        <f t="shared" si="1"/>
        <v>ACTIVE</v>
      </c>
    </row>
    <row r="1207" ht="22.5" customHeight="1">
      <c r="A1207" s="11" t="str">
        <f t="array" ref="A1207">IFERROR(
  INDEX('Starlink Launches'!$A:$A, MATCH($E1207, 'Starlink Launches'!$B:$B, 0)),
  ""
)
</f>
        <v>6-58</v>
      </c>
      <c r="B1207" s="3" t="s">
        <v>25</v>
      </c>
      <c r="C1207" s="12" t="s">
        <v>1219</v>
      </c>
      <c r="D1207" s="13">
        <v>59748.0</v>
      </c>
      <c r="E1207" s="4">
        <v>45425.0</v>
      </c>
      <c r="F1207" s="4" t="str">
        <f>IF(D1207="","", IFNA(VLOOKUP(D1207, SATCAT_DECAY!A:B, 2, FALSE), ""))
</f>
        <v/>
      </c>
      <c r="G1207" s="3" t="str">
        <f t="shared" si="1"/>
        <v>ACTIVE</v>
      </c>
    </row>
    <row r="1208" ht="22.5" customHeight="1">
      <c r="A1208" s="11" t="str">
        <f t="array" ref="A1208">IFERROR(
  INDEX('Starlink Launches'!$A:$A, MATCH($E1208, 'Starlink Launches'!$B:$B, 0)),
  ""
)
</f>
        <v>6-58</v>
      </c>
      <c r="B1208" s="3" t="s">
        <v>25</v>
      </c>
      <c r="C1208" s="12" t="s">
        <v>1220</v>
      </c>
      <c r="D1208" s="13">
        <v>59749.0</v>
      </c>
      <c r="E1208" s="4">
        <v>45425.0</v>
      </c>
      <c r="F1208" s="4" t="str">
        <f>IF(D1208="","", IFNA(VLOOKUP(D1208, SATCAT_DECAY!A:B, 2, FALSE), ""))
</f>
        <v/>
      </c>
      <c r="G1208" s="3" t="str">
        <f t="shared" si="1"/>
        <v>ACTIVE</v>
      </c>
    </row>
    <row r="1209" ht="22.5" customHeight="1">
      <c r="A1209" s="11" t="str">
        <f t="array" ref="A1209">IFERROR(
  INDEX('Starlink Launches'!$A:$A, MATCH($E1209, 'Starlink Launches'!$B:$B, 0)),
  ""
)
</f>
        <v>6-58</v>
      </c>
      <c r="B1209" s="3" t="s">
        <v>25</v>
      </c>
      <c r="C1209" s="12" t="s">
        <v>1221</v>
      </c>
      <c r="D1209" s="13">
        <v>59750.0</v>
      </c>
      <c r="E1209" s="4">
        <v>45425.0</v>
      </c>
      <c r="F1209" s="4" t="str">
        <f>IF(D1209="","", IFNA(VLOOKUP(D1209, SATCAT_DECAY!A:B, 2, FALSE), ""))
</f>
        <v/>
      </c>
      <c r="G1209" s="3" t="str">
        <f t="shared" si="1"/>
        <v>ACTIVE</v>
      </c>
    </row>
    <row r="1210" ht="22.5" customHeight="1">
      <c r="A1210" s="11" t="str">
        <f t="array" ref="A1210">IFERROR(
  INDEX('Starlink Launches'!$A:$A, MATCH($E1210, 'Starlink Launches'!$B:$B, 0)),
  ""
)
</f>
        <v>6-58</v>
      </c>
      <c r="B1210" s="3" t="s">
        <v>25</v>
      </c>
      <c r="C1210" s="12" t="s">
        <v>1222</v>
      </c>
      <c r="D1210" s="13">
        <v>59751.0</v>
      </c>
      <c r="E1210" s="4">
        <v>45425.0</v>
      </c>
      <c r="F1210" s="4" t="str">
        <f>IF(D1210="","", IFNA(VLOOKUP(D1210, SATCAT_DECAY!A:B, 2, FALSE), ""))
</f>
        <v/>
      </c>
      <c r="G1210" s="3" t="str">
        <f t="shared" si="1"/>
        <v>ACTIVE</v>
      </c>
    </row>
    <row r="1211" ht="22.5" customHeight="1">
      <c r="A1211" s="11" t="str">
        <f t="array" ref="A1211">IFERROR(
  INDEX('Starlink Launches'!$A:$A, MATCH($E1211, 'Starlink Launches'!$B:$B, 0)),
  ""
)
</f>
        <v>6-58</v>
      </c>
      <c r="B1211" s="3" t="s">
        <v>25</v>
      </c>
      <c r="C1211" s="12" t="s">
        <v>1223</v>
      </c>
      <c r="D1211" s="13">
        <v>59752.0</v>
      </c>
      <c r="E1211" s="4">
        <v>45425.0</v>
      </c>
      <c r="F1211" s="4" t="str">
        <f>IF(D1211="","", IFNA(VLOOKUP(D1211, SATCAT_DECAY!A:B, 2, FALSE), ""))
</f>
        <v/>
      </c>
      <c r="G1211" s="3" t="str">
        <f t="shared" si="1"/>
        <v>ACTIVE</v>
      </c>
    </row>
    <row r="1212" ht="22.5" customHeight="1">
      <c r="A1212" s="11" t="str">
        <f t="array" ref="A1212">IFERROR(
  INDEX('Starlink Launches'!$A:$A, MATCH($E1212, 'Starlink Launches'!$B:$B, 0)),
  ""
)
</f>
        <v>6-59</v>
      </c>
      <c r="B1212" s="3" t="s">
        <v>25</v>
      </c>
      <c r="C1212" s="12" t="s">
        <v>1224</v>
      </c>
      <c r="D1212" s="13">
        <v>59782.0</v>
      </c>
      <c r="E1212" s="4">
        <v>45430.0</v>
      </c>
      <c r="F1212" s="4" t="str">
        <f>IF(D1212="","", IFNA(VLOOKUP(D1212, SATCAT_DECAY!A:B, 2, FALSE), ""))
</f>
        <v/>
      </c>
      <c r="G1212" s="3" t="str">
        <f t="shared" si="1"/>
        <v>ACTIVE</v>
      </c>
    </row>
    <row r="1213" ht="22.5" customHeight="1">
      <c r="A1213" s="11" t="str">
        <f t="array" ref="A1213">IFERROR(
  INDEX('Starlink Launches'!$A:$A, MATCH($E1213, 'Starlink Launches'!$B:$B, 0)),
  ""
)
</f>
        <v>6-59</v>
      </c>
      <c r="B1213" s="3" t="s">
        <v>25</v>
      </c>
      <c r="C1213" s="12" t="s">
        <v>1225</v>
      </c>
      <c r="D1213" s="13">
        <v>59783.0</v>
      </c>
      <c r="E1213" s="4">
        <v>45430.0</v>
      </c>
      <c r="F1213" s="4" t="str">
        <f>IF(D1213="","", IFNA(VLOOKUP(D1213, SATCAT_DECAY!A:B, 2, FALSE), ""))
</f>
        <v/>
      </c>
      <c r="G1213" s="3" t="str">
        <f t="shared" si="1"/>
        <v>ACTIVE</v>
      </c>
    </row>
    <row r="1214" ht="22.5" customHeight="1">
      <c r="A1214" s="11" t="str">
        <f t="array" ref="A1214">IFERROR(
  INDEX('Starlink Launches'!$A:$A, MATCH($E1214, 'Starlink Launches'!$B:$B, 0)),
  ""
)
</f>
        <v>6-59</v>
      </c>
      <c r="B1214" s="3" t="s">
        <v>25</v>
      </c>
      <c r="C1214" s="12" t="s">
        <v>1226</v>
      </c>
      <c r="D1214" s="13">
        <v>59784.0</v>
      </c>
      <c r="E1214" s="4">
        <v>45430.0</v>
      </c>
      <c r="F1214" s="4" t="str">
        <f>IF(D1214="","", IFNA(VLOOKUP(D1214, SATCAT_DECAY!A:B, 2, FALSE), ""))
</f>
        <v/>
      </c>
      <c r="G1214" s="3" t="str">
        <f t="shared" si="1"/>
        <v>ACTIVE</v>
      </c>
    </row>
    <row r="1215" ht="22.5" customHeight="1">
      <c r="A1215" s="11" t="str">
        <f t="array" ref="A1215">IFERROR(
  INDEX('Starlink Launches'!$A:$A, MATCH($E1215, 'Starlink Launches'!$B:$B, 0)),
  ""
)
</f>
        <v>6-59</v>
      </c>
      <c r="B1215" s="3" t="s">
        <v>25</v>
      </c>
      <c r="C1215" s="12" t="s">
        <v>1227</v>
      </c>
      <c r="D1215" s="13">
        <v>59785.0</v>
      </c>
      <c r="E1215" s="4">
        <v>45430.0</v>
      </c>
      <c r="F1215" s="4" t="str">
        <f>IF(D1215="","", IFNA(VLOOKUP(D1215, SATCAT_DECAY!A:B, 2, FALSE), ""))
</f>
        <v/>
      </c>
      <c r="G1215" s="3" t="str">
        <f t="shared" si="1"/>
        <v>ACTIVE</v>
      </c>
    </row>
    <row r="1216" ht="22.5" customHeight="1">
      <c r="A1216" s="11" t="str">
        <f t="array" ref="A1216">IFERROR(
  INDEX('Starlink Launches'!$A:$A, MATCH($E1216, 'Starlink Launches'!$B:$B, 0)),
  ""
)
</f>
        <v>6-59</v>
      </c>
      <c r="B1216" s="3" t="s">
        <v>25</v>
      </c>
      <c r="C1216" s="12" t="s">
        <v>1228</v>
      </c>
      <c r="D1216" s="13">
        <v>59786.0</v>
      </c>
      <c r="E1216" s="4">
        <v>45430.0</v>
      </c>
      <c r="F1216" s="4" t="str">
        <f>IF(D1216="","", IFNA(VLOOKUP(D1216, SATCAT_DECAY!A:B, 2, FALSE), ""))
</f>
        <v/>
      </c>
      <c r="G1216" s="3" t="str">
        <f t="shared" si="1"/>
        <v>ACTIVE</v>
      </c>
    </row>
    <row r="1217" ht="22.5" customHeight="1">
      <c r="A1217" s="11" t="str">
        <f t="array" ref="A1217">IFERROR(
  INDEX('Starlink Launches'!$A:$A, MATCH($E1217, 'Starlink Launches'!$B:$B, 0)),
  ""
)
</f>
        <v>6-59</v>
      </c>
      <c r="B1217" s="3" t="s">
        <v>25</v>
      </c>
      <c r="C1217" s="12" t="s">
        <v>1229</v>
      </c>
      <c r="D1217" s="13">
        <v>59787.0</v>
      </c>
      <c r="E1217" s="4">
        <v>45430.0</v>
      </c>
      <c r="F1217" s="4" t="str">
        <f>IF(D1217="","", IFNA(VLOOKUP(D1217, SATCAT_DECAY!A:B, 2, FALSE), ""))
</f>
        <v/>
      </c>
      <c r="G1217" s="3" t="str">
        <f t="shared" si="1"/>
        <v>ACTIVE</v>
      </c>
    </row>
    <row r="1218" ht="22.5" customHeight="1">
      <c r="A1218" s="11" t="str">
        <f t="array" ref="A1218">IFERROR(
  INDEX('Starlink Launches'!$A:$A, MATCH($E1218, 'Starlink Launches'!$B:$B, 0)),
  ""
)
</f>
        <v>6-59</v>
      </c>
      <c r="B1218" s="3" t="s">
        <v>25</v>
      </c>
      <c r="C1218" s="12" t="s">
        <v>1230</v>
      </c>
      <c r="D1218" s="13">
        <v>59788.0</v>
      </c>
      <c r="E1218" s="4">
        <v>45430.0</v>
      </c>
      <c r="F1218" s="4" t="str">
        <f>IF(D1218="","", IFNA(VLOOKUP(D1218, SATCAT_DECAY!A:B, 2, FALSE), ""))
</f>
        <v/>
      </c>
      <c r="G1218" s="3" t="str">
        <f t="shared" si="1"/>
        <v>ACTIVE</v>
      </c>
    </row>
    <row r="1219" ht="22.5" customHeight="1">
      <c r="A1219" s="11" t="str">
        <f t="array" ref="A1219">IFERROR(
  INDEX('Starlink Launches'!$A:$A, MATCH($E1219, 'Starlink Launches'!$B:$B, 0)),
  ""
)
</f>
        <v>6-59</v>
      </c>
      <c r="B1219" s="3" t="s">
        <v>25</v>
      </c>
      <c r="C1219" s="12" t="s">
        <v>1231</v>
      </c>
      <c r="D1219" s="13">
        <v>59789.0</v>
      </c>
      <c r="E1219" s="4">
        <v>45430.0</v>
      </c>
      <c r="F1219" s="4" t="str">
        <f>IF(D1219="","", IFNA(VLOOKUP(D1219, SATCAT_DECAY!A:B, 2, FALSE), ""))
</f>
        <v/>
      </c>
      <c r="G1219" s="3" t="str">
        <f t="shared" si="1"/>
        <v>ACTIVE</v>
      </c>
    </row>
    <row r="1220" ht="22.5" customHeight="1">
      <c r="A1220" s="11" t="str">
        <f t="array" ref="A1220">IFERROR(
  INDEX('Starlink Launches'!$A:$A, MATCH($E1220, 'Starlink Launches'!$B:$B, 0)),
  ""
)
</f>
        <v>6-59</v>
      </c>
      <c r="B1220" s="3" t="s">
        <v>25</v>
      </c>
      <c r="C1220" s="12" t="s">
        <v>1232</v>
      </c>
      <c r="D1220" s="13">
        <v>59790.0</v>
      </c>
      <c r="E1220" s="4">
        <v>45430.0</v>
      </c>
      <c r="F1220" s="4" t="str">
        <f>IF(D1220="","", IFNA(VLOOKUP(D1220, SATCAT_DECAY!A:B, 2, FALSE), ""))
</f>
        <v/>
      </c>
      <c r="G1220" s="3" t="str">
        <f t="shared" si="1"/>
        <v>ACTIVE</v>
      </c>
    </row>
    <row r="1221" ht="22.5" customHeight="1">
      <c r="A1221" s="11" t="str">
        <f t="array" ref="A1221">IFERROR(
  INDEX('Starlink Launches'!$A:$A, MATCH($E1221, 'Starlink Launches'!$B:$B, 0)),
  ""
)
</f>
        <v>6-59</v>
      </c>
      <c r="B1221" s="3" t="s">
        <v>25</v>
      </c>
      <c r="C1221" s="12" t="s">
        <v>1233</v>
      </c>
      <c r="D1221" s="13">
        <v>59791.0</v>
      </c>
      <c r="E1221" s="4">
        <v>45430.0</v>
      </c>
      <c r="F1221" s="4" t="str">
        <f>IF(D1221="","", IFNA(VLOOKUP(D1221, SATCAT_DECAY!A:B, 2, FALSE), ""))
</f>
        <v/>
      </c>
      <c r="G1221" s="3" t="str">
        <f t="shared" si="1"/>
        <v>ACTIVE</v>
      </c>
    </row>
    <row r="1222" ht="22.5" customHeight="1">
      <c r="A1222" s="11" t="str">
        <f t="array" ref="A1222">IFERROR(
  INDEX('Starlink Launches'!$A:$A, MATCH($E1222, 'Starlink Launches'!$B:$B, 0)),
  ""
)
</f>
        <v>6-59</v>
      </c>
      <c r="B1222" s="3" t="s">
        <v>25</v>
      </c>
      <c r="C1222" s="12" t="s">
        <v>1234</v>
      </c>
      <c r="D1222" s="13">
        <v>59794.0</v>
      </c>
      <c r="E1222" s="4">
        <v>45430.0</v>
      </c>
      <c r="F1222" s="4" t="str">
        <f>IF(D1222="","", IFNA(VLOOKUP(D1222, SATCAT_DECAY!A:B, 2, FALSE), ""))
</f>
        <v/>
      </c>
      <c r="G1222" s="3" t="str">
        <f t="shared" si="1"/>
        <v>ACTIVE</v>
      </c>
    </row>
    <row r="1223" ht="22.5" customHeight="1">
      <c r="A1223" s="11" t="str">
        <f t="array" ref="A1223">IFERROR(
  INDEX('Starlink Launches'!$A:$A, MATCH($E1223, 'Starlink Launches'!$B:$B, 0)),
  ""
)
</f>
        <v>6-59</v>
      </c>
      <c r="B1223" s="3" t="s">
        <v>25</v>
      </c>
      <c r="C1223" s="12" t="s">
        <v>1235</v>
      </c>
      <c r="D1223" s="13">
        <v>59795.0</v>
      </c>
      <c r="E1223" s="4">
        <v>45430.0</v>
      </c>
      <c r="F1223" s="4" t="str">
        <f>IF(D1223="","", IFNA(VLOOKUP(D1223, SATCAT_DECAY!A:B, 2, FALSE), ""))
</f>
        <v/>
      </c>
      <c r="G1223" s="3" t="str">
        <f t="shared" si="1"/>
        <v>ACTIVE</v>
      </c>
    </row>
    <row r="1224" ht="22.5" customHeight="1">
      <c r="A1224" s="11" t="str">
        <f t="array" ref="A1224">IFERROR(
  INDEX('Starlink Launches'!$A:$A, MATCH($E1224, 'Starlink Launches'!$B:$B, 0)),
  ""
)
</f>
        <v>6-59</v>
      </c>
      <c r="B1224" s="3" t="s">
        <v>25</v>
      </c>
      <c r="C1224" s="12" t="s">
        <v>1236</v>
      </c>
      <c r="D1224" s="13">
        <v>59797.0</v>
      </c>
      <c r="E1224" s="4">
        <v>45430.0</v>
      </c>
      <c r="F1224" s="4" t="str">
        <f>IF(D1224="","", IFNA(VLOOKUP(D1224, SATCAT_DECAY!A:B, 2, FALSE), ""))
</f>
        <v/>
      </c>
      <c r="G1224" s="3" t="str">
        <f t="shared" si="1"/>
        <v>ACTIVE</v>
      </c>
    </row>
    <row r="1225" ht="22.5" customHeight="1">
      <c r="A1225" s="11" t="str">
        <f t="array" ref="A1225">IFERROR(
  INDEX('Starlink Launches'!$A:$A, MATCH($E1225, 'Starlink Launches'!$B:$B, 0)),
  ""
)
</f>
        <v>6-59</v>
      </c>
      <c r="B1225" s="3" t="s">
        <v>25</v>
      </c>
      <c r="C1225" s="12" t="s">
        <v>1237</v>
      </c>
      <c r="D1225" s="13">
        <v>59798.0</v>
      </c>
      <c r="E1225" s="4">
        <v>45430.0</v>
      </c>
      <c r="F1225" s="4" t="str">
        <f>IF(D1225="","", IFNA(VLOOKUP(D1225, SATCAT_DECAY!A:B, 2, FALSE), ""))
</f>
        <v/>
      </c>
      <c r="G1225" s="3" t="str">
        <f t="shared" si="1"/>
        <v>ACTIVE</v>
      </c>
    </row>
    <row r="1226" ht="22.5" customHeight="1">
      <c r="A1226" s="11" t="str">
        <f t="array" ref="A1226">IFERROR(
  INDEX('Starlink Launches'!$A:$A, MATCH($E1226, 'Starlink Launches'!$B:$B, 0)),
  ""
)
</f>
        <v>6-59</v>
      </c>
      <c r="B1226" s="3" t="s">
        <v>25</v>
      </c>
      <c r="C1226" s="12" t="s">
        <v>1238</v>
      </c>
      <c r="D1226" s="13">
        <v>59799.0</v>
      </c>
      <c r="E1226" s="4">
        <v>45430.0</v>
      </c>
      <c r="F1226" s="4" t="str">
        <f>IF(D1226="","", IFNA(VLOOKUP(D1226, SATCAT_DECAY!A:B, 2, FALSE), ""))
</f>
        <v/>
      </c>
      <c r="G1226" s="3" t="str">
        <f t="shared" si="1"/>
        <v>ACTIVE</v>
      </c>
    </row>
    <row r="1227" ht="22.5" customHeight="1">
      <c r="A1227" s="11" t="str">
        <f t="array" ref="A1227">IFERROR(
  INDEX('Starlink Launches'!$A:$A, MATCH($E1227, 'Starlink Launches'!$B:$B, 0)),
  ""
)
</f>
        <v>6-59</v>
      </c>
      <c r="B1227" s="3" t="s">
        <v>25</v>
      </c>
      <c r="C1227" s="12" t="s">
        <v>1239</v>
      </c>
      <c r="D1227" s="13">
        <v>59800.0</v>
      </c>
      <c r="E1227" s="4">
        <v>45430.0</v>
      </c>
      <c r="F1227" s="4" t="str">
        <f>IF(D1227="","", IFNA(VLOOKUP(D1227, SATCAT_DECAY!A:B, 2, FALSE), ""))
</f>
        <v/>
      </c>
      <c r="G1227" s="3" t="str">
        <f t="shared" si="1"/>
        <v>ACTIVE</v>
      </c>
    </row>
    <row r="1228" ht="22.5" customHeight="1">
      <c r="A1228" s="11" t="str">
        <f t="array" ref="A1228">IFERROR(
  INDEX('Starlink Launches'!$A:$A, MATCH($E1228, 'Starlink Launches'!$B:$B, 0)),
  ""
)
</f>
        <v>6-59</v>
      </c>
      <c r="B1228" s="3" t="s">
        <v>25</v>
      </c>
      <c r="C1228" s="12" t="s">
        <v>1240</v>
      </c>
      <c r="D1228" s="13">
        <v>59801.0</v>
      </c>
      <c r="E1228" s="4">
        <v>45430.0</v>
      </c>
      <c r="F1228" s="4" t="str">
        <f>IF(D1228="","", IFNA(VLOOKUP(D1228, SATCAT_DECAY!A:B, 2, FALSE), ""))
</f>
        <v/>
      </c>
      <c r="G1228" s="3" t="str">
        <f t="shared" si="1"/>
        <v>ACTIVE</v>
      </c>
    </row>
    <row r="1229" ht="22.5" customHeight="1">
      <c r="A1229" s="11" t="str">
        <f t="array" ref="A1229">IFERROR(
  INDEX('Starlink Launches'!$A:$A, MATCH($E1229, 'Starlink Launches'!$B:$B, 0)),
  ""
)
</f>
        <v>6-59</v>
      </c>
      <c r="B1229" s="3" t="s">
        <v>25</v>
      </c>
      <c r="C1229" s="12" t="s">
        <v>1241</v>
      </c>
      <c r="D1229" s="13">
        <v>59802.0</v>
      </c>
      <c r="E1229" s="4">
        <v>45430.0</v>
      </c>
      <c r="F1229" s="4" t="str">
        <f>IF(D1229="","", IFNA(VLOOKUP(D1229, SATCAT_DECAY!A:B, 2, FALSE), ""))
</f>
        <v/>
      </c>
      <c r="G1229" s="3" t="str">
        <f t="shared" si="1"/>
        <v>ACTIVE</v>
      </c>
    </row>
    <row r="1230" ht="22.5" customHeight="1">
      <c r="A1230" s="11" t="str">
        <f t="array" ref="A1230">IFERROR(
  INDEX('Starlink Launches'!$A:$A, MATCH($E1230, 'Starlink Launches'!$B:$B, 0)),
  ""
)
</f>
        <v>6-59</v>
      </c>
      <c r="B1230" s="3" t="s">
        <v>25</v>
      </c>
      <c r="C1230" s="12" t="s">
        <v>1242</v>
      </c>
      <c r="D1230" s="13">
        <v>59803.0</v>
      </c>
      <c r="E1230" s="4">
        <v>45430.0</v>
      </c>
      <c r="F1230" s="4" t="str">
        <f>IF(D1230="","", IFNA(VLOOKUP(D1230, SATCAT_DECAY!A:B, 2, FALSE), ""))
</f>
        <v/>
      </c>
      <c r="G1230" s="3" t="str">
        <f t="shared" si="1"/>
        <v>ACTIVE</v>
      </c>
    </row>
    <row r="1231" ht="22.5" customHeight="1">
      <c r="A1231" s="11" t="str">
        <f t="array" ref="A1231">IFERROR(
  INDEX('Starlink Launches'!$A:$A, MATCH($E1231, 'Starlink Launches'!$B:$B, 0)),
  ""
)
</f>
        <v>6-59</v>
      </c>
      <c r="B1231" s="3" t="s">
        <v>25</v>
      </c>
      <c r="C1231" s="12" t="s">
        <v>1243</v>
      </c>
      <c r="D1231" s="13">
        <v>59804.0</v>
      </c>
      <c r="E1231" s="4">
        <v>45430.0</v>
      </c>
      <c r="F1231" s="4" t="str">
        <f>IF(D1231="","", IFNA(VLOOKUP(D1231, SATCAT_DECAY!A:B, 2, FALSE), ""))
</f>
        <v/>
      </c>
      <c r="G1231" s="3" t="str">
        <f t="shared" si="1"/>
        <v>ACTIVE</v>
      </c>
    </row>
    <row r="1232" ht="22.5" customHeight="1">
      <c r="A1232" s="11" t="str">
        <f t="array" ref="A1232">IFERROR(
  INDEX('Starlink Launches'!$A:$A, MATCH($E1232, 'Starlink Launches'!$B:$B, 0)),
  ""
)
</f>
        <v>6-62</v>
      </c>
      <c r="B1232" s="3" t="s">
        <v>25</v>
      </c>
      <c r="C1232" s="12" t="s">
        <v>1244</v>
      </c>
      <c r="D1232" s="13">
        <v>59835.0</v>
      </c>
      <c r="E1232" s="4">
        <v>45435.0</v>
      </c>
      <c r="F1232" s="4" t="str">
        <f>IF(D1232="","", IFNA(VLOOKUP(D1232, SATCAT_DECAY!A:B, 2, FALSE), ""))
</f>
        <v/>
      </c>
      <c r="G1232" s="3" t="str">
        <f t="shared" si="1"/>
        <v>ACTIVE</v>
      </c>
    </row>
    <row r="1233" ht="22.5" customHeight="1">
      <c r="A1233" s="11" t="str">
        <f t="array" ref="A1233">IFERROR(
  INDEX('Starlink Launches'!$A:$A, MATCH($E1233, 'Starlink Launches'!$B:$B, 0)),
  ""
)
</f>
        <v>6-62</v>
      </c>
      <c r="B1233" s="3" t="s">
        <v>25</v>
      </c>
      <c r="C1233" s="12" t="s">
        <v>1245</v>
      </c>
      <c r="D1233" s="13">
        <v>59836.0</v>
      </c>
      <c r="E1233" s="4">
        <v>45435.0</v>
      </c>
      <c r="F1233" s="4" t="str">
        <f>IF(D1233="","", IFNA(VLOOKUP(D1233, SATCAT_DECAY!A:B, 2, FALSE), ""))
</f>
        <v/>
      </c>
      <c r="G1233" s="3" t="str">
        <f t="shared" si="1"/>
        <v>ACTIVE</v>
      </c>
    </row>
    <row r="1234" ht="22.5" customHeight="1">
      <c r="A1234" s="11" t="str">
        <f t="array" ref="A1234">IFERROR(
  INDEX('Starlink Launches'!$A:$A, MATCH($E1234, 'Starlink Launches'!$B:$B, 0)),
  ""
)
</f>
        <v>6-62</v>
      </c>
      <c r="B1234" s="3" t="s">
        <v>25</v>
      </c>
      <c r="C1234" s="12" t="s">
        <v>1246</v>
      </c>
      <c r="D1234" s="13">
        <v>59837.0</v>
      </c>
      <c r="E1234" s="4">
        <v>45435.0</v>
      </c>
      <c r="F1234" s="4" t="str">
        <f>IF(D1234="","", IFNA(VLOOKUP(D1234, SATCAT_DECAY!A:B, 2, FALSE), ""))
</f>
        <v/>
      </c>
      <c r="G1234" s="3" t="str">
        <f t="shared" si="1"/>
        <v>ACTIVE</v>
      </c>
    </row>
    <row r="1235" ht="22.5" customHeight="1">
      <c r="A1235" s="11" t="str">
        <f t="array" ref="A1235">IFERROR(
  INDEX('Starlink Launches'!$A:$A, MATCH($E1235, 'Starlink Launches'!$B:$B, 0)),
  ""
)
</f>
        <v>6-62</v>
      </c>
      <c r="B1235" s="3" t="s">
        <v>25</v>
      </c>
      <c r="C1235" s="12" t="s">
        <v>1247</v>
      </c>
      <c r="D1235" s="13">
        <v>59838.0</v>
      </c>
      <c r="E1235" s="4">
        <v>45435.0</v>
      </c>
      <c r="F1235" s="4" t="str">
        <f>IF(D1235="","", IFNA(VLOOKUP(D1235, SATCAT_DECAY!A:B, 2, FALSE), ""))
</f>
        <v/>
      </c>
      <c r="G1235" s="3" t="str">
        <f t="shared" si="1"/>
        <v>ACTIVE</v>
      </c>
    </row>
    <row r="1236" ht="22.5" customHeight="1">
      <c r="A1236" s="11" t="str">
        <f t="array" ref="A1236">IFERROR(
  INDEX('Starlink Launches'!$A:$A, MATCH($E1236, 'Starlink Launches'!$B:$B, 0)),
  ""
)
</f>
        <v>6-62</v>
      </c>
      <c r="B1236" s="3" t="s">
        <v>25</v>
      </c>
      <c r="C1236" s="12" t="s">
        <v>1248</v>
      </c>
      <c r="D1236" s="13">
        <v>59839.0</v>
      </c>
      <c r="E1236" s="4">
        <v>45435.0</v>
      </c>
      <c r="F1236" s="4" t="str">
        <f>IF(D1236="","", IFNA(VLOOKUP(D1236, SATCAT_DECAY!A:B, 2, FALSE), ""))
</f>
        <v/>
      </c>
      <c r="G1236" s="3" t="str">
        <f t="shared" si="1"/>
        <v>ACTIVE</v>
      </c>
    </row>
    <row r="1237" ht="22.5" customHeight="1">
      <c r="A1237" s="11" t="str">
        <f t="array" ref="A1237">IFERROR(
  INDEX('Starlink Launches'!$A:$A, MATCH($E1237, 'Starlink Launches'!$B:$B, 0)),
  ""
)
</f>
        <v>6-62</v>
      </c>
      <c r="B1237" s="3" t="s">
        <v>25</v>
      </c>
      <c r="C1237" s="12" t="s">
        <v>1249</v>
      </c>
      <c r="D1237" s="13">
        <v>59841.0</v>
      </c>
      <c r="E1237" s="4">
        <v>45435.0</v>
      </c>
      <c r="F1237" s="4" t="str">
        <f>IF(D1237="","", IFNA(VLOOKUP(D1237, SATCAT_DECAY!A:B, 2, FALSE), ""))
</f>
        <v/>
      </c>
      <c r="G1237" s="3" t="str">
        <f t="shared" si="1"/>
        <v>ACTIVE</v>
      </c>
    </row>
    <row r="1238" ht="22.5" customHeight="1">
      <c r="A1238" s="11" t="str">
        <f t="array" ref="A1238">IFERROR(
  INDEX('Starlink Launches'!$A:$A, MATCH($E1238, 'Starlink Launches'!$B:$B, 0)),
  ""
)
</f>
        <v>6-62</v>
      </c>
      <c r="B1238" s="3" t="s">
        <v>25</v>
      </c>
      <c r="C1238" s="12" t="s">
        <v>1250</v>
      </c>
      <c r="D1238" s="13">
        <v>59842.0</v>
      </c>
      <c r="E1238" s="4">
        <v>45435.0</v>
      </c>
      <c r="F1238" s="4" t="str">
        <f>IF(D1238="","", IFNA(VLOOKUP(D1238, SATCAT_DECAY!A:B, 2, FALSE), ""))
</f>
        <v/>
      </c>
      <c r="G1238" s="3" t="str">
        <f t="shared" si="1"/>
        <v>ACTIVE</v>
      </c>
    </row>
    <row r="1239" ht="22.5" customHeight="1">
      <c r="A1239" s="11" t="str">
        <f t="array" ref="A1239">IFERROR(
  INDEX('Starlink Launches'!$A:$A, MATCH($E1239, 'Starlink Launches'!$B:$B, 0)),
  ""
)
</f>
        <v>6-62</v>
      </c>
      <c r="B1239" s="3" t="s">
        <v>25</v>
      </c>
      <c r="C1239" s="12" t="s">
        <v>1251</v>
      </c>
      <c r="D1239" s="13">
        <v>59843.0</v>
      </c>
      <c r="E1239" s="4">
        <v>45435.0</v>
      </c>
      <c r="F1239" s="4" t="str">
        <f>IF(D1239="","", IFNA(VLOOKUP(D1239, SATCAT_DECAY!A:B, 2, FALSE), ""))
</f>
        <v/>
      </c>
      <c r="G1239" s="3" t="str">
        <f t="shared" si="1"/>
        <v>ACTIVE</v>
      </c>
    </row>
    <row r="1240" ht="22.5" customHeight="1">
      <c r="A1240" s="11" t="str">
        <f t="array" ref="A1240">IFERROR(
  INDEX('Starlink Launches'!$A:$A, MATCH($E1240, 'Starlink Launches'!$B:$B, 0)),
  ""
)
</f>
        <v>6-62</v>
      </c>
      <c r="B1240" s="3" t="s">
        <v>25</v>
      </c>
      <c r="C1240" s="12" t="s">
        <v>1252</v>
      </c>
      <c r="D1240" s="13">
        <v>59844.0</v>
      </c>
      <c r="E1240" s="4">
        <v>45435.0</v>
      </c>
      <c r="F1240" s="4" t="str">
        <f>IF(D1240="","", IFNA(VLOOKUP(D1240, SATCAT_DECAY!A:B, 2, FALSE), ""))
</f>
        <v/>
      </c>
      <c r="G1240" s="3" t="str">
        <f t="shared" si="1"/>
        <v>ACTIVE</v>
      </c>
    </row>
    <row r="1241" ht="22.5" customHeight="1">
      <c r="A1241" s="11" t="str">
        <f t="array" ref="A1241">IFERROR(
  INDEX('Starlink Launches'!$A:$A, MATCH($E1241, 'Starlink Launches'!$B:$B, 0)),
  ""
)
</f>
        <v>6-62</v>
      </c>
      <c r="B1241" s="3" t="s">
        <v>25</v>
      </c>
      <c r="C1241" s="12" t="s">
        <v>1253</v>
      </c>
      <c r="D1241" s="13">
        <v>59845.0</v>
      </c>
      <c r="E1241" s="4">
        <v>45435.0</v>
      </c>
      <c r="F1241" s="4" t="str">
        <f>IF(D1241="","", IFNA(VLOOKUP(D1241, SATCAT_DECAY!A:B, 2, FALSE), ""))
</f>
        <v/>
      </c>
      <c r="G1241" s="3" t="str">
        <f t="shared" si="1"/>
        <v>ACTIVE</v>
      </c>
    </row>
    <row r="1242" ht="22.5" customHeight="1">
      <c r="A1242" s="11" t="str">
        <f t="array" ref="A1242">IFERROR(
  INDEX('Starlink Launches'!$A:$A, MATCH($E1242, 'Starlink Launches'!$B:$B, 0)),
  ""
)
</f>
        <v>6-62</v>
      </c>
      <c r="B1242" s="3" t="s">
        <v>25</v>
      </c>
      <c r="C1242" s="12" t="s">
        <v>1254</v>
      </c>
      <c r="D1242" s="13">
        <v>59846.0</v>
      </c>
      <c r="E1242" s="4">
        <v>45435.0</v>
      </c>
      <c r="F1242" s="4" t="str">
        <f>IF(D1242="","", IFNA(VLOOKUP(D1242, SATCAT_DECAY!A:B, 2, FALSE), ""))
</f>
        <v/>
      </c>
      <c r="G1242" s="3" t="str">
        <f t="shared" si="1"/>
        <v>ACTIVE</v>
      </c>
    </row>
    <row r="1243" ht="22.5" customHeight="1">
      <c r="A1243" s="11" t="str">
        <f t="array" ref="A1243">IFERROR(
  INDEX('Starlink Launches'!$A:$A, MATCH($E1243, 'Starlink Launches'!$B:$B, 0)),
  ""
)
</f>
        <v>6-62</v>
      </c>
      <c r="B1243" s="3" t="s">
        <v>25</v>
      </c>
      <c r="C1243" s="12" t="s">
        <v>1255</v>
      </c>
      <c r="D1243" s="13">
        <v>59847.0</v>
      </c>
      <c r="E1243" s="4">
        <v>45435.0</v>
      </c>
      <c r="F1243" s="4" t="str">
        <f>IF(D1243="","", IFNA(VLOOKUP(D1243, SATCAT_DECAY!A:B, 2, FALSE), ""))
</f>
        <v/>
      </c>
      <c r="G1243" s="3" t="str">
        <f t="shared" si="1"/>
        <v>ACTIVE</v>
      </c>
    </row>
    <row r="1244" ht="22.5" customHeight="1">
      <c r="A1244" s="11" t="str">
        <f t="array" ref="A1244">IFERROR(
  INDEX('Starlink Launches'!$A:$A, MATCH($E1244, 'Starlink Launches'!$B:$B, 0)),
  ""
)
</f>
        <v>6-62</v>
      </c>
      <c r="B1244" s="3" t="s">
        <v>25</v>
      </c>
      <c r="C1244" s="12" t="s">
        <v>1256</v>
      </c>
      <c r="D1244" s="13">
        <v>59848.0</v>
      </c>
      <c r="E1244" s="4">
        <v>45435.0</v>
      </c>
      <c r="F1244" s="4" t="str">
        <f>IF(D1244="","", IFNA(VLOOKUP(D1244, SATCAT_DECAY!A:B, 2, FALSE), ""))
</f>
        <v/>
      </c>
      <c r="G1244" s="3" t="str">
        <f t="shared" si="1"/>
        <v>ACTIVE</v>
      </c>
    </row>
    <row r="1245" ht="22.5" customHeight="1">
      <c r="A1245" s="11" t="str">
        <f t="array" ref="A1245">IFERROR(
  INDEX('Starlink Launches'!$A:$A, MATCH($E1245, 'Starlink Launches'!$B:$B, 0)),
  ""
)
</f>
        <v>6-62</v>
      </c>
      <c r="B1245" s="3" t="s">
        <v>25</v>
      </c>
      <c r="C1245" s="12" t="s">
        <v>1257</v>
      </c>
      <c r="D1245" s="13">
        <v>59849.0</v>
      </c>
      <c r="E1245" s="4">
        <v>45435.0</v>
      </c>
      <c r="F1245" s="4" t="str">
        <f>IF(D1245="","", IFNA(VLOOKUP(D1245, SATCAT_DECAY!A:B, 2, FALSE), ""))
</f>
        <v/>
      </c>
      <c r="G1245" s="3" t="str">
        <f t="shared" si="1"/>
        <v>ACTIVE</v>
      </c>
    </row>
    <row r="1246" ht="22.5" customHeight="1">
      <c r="A1246" s="11" t="str">
        <f t="array" ref="A1246">IFERROR(
  INDEX('Starlink Launches'!$A:$A, MATCH($E1246, 'Starlink Launches'!$B:$B, 0)),
  ""
)
</f>
        <v>6-62</v>
      </c>
      <c r="B1246" s="3" t="s">
        <v>25</v>
      </c>
      <c r="C1246" s="12" t="s">
        <v>1258</v>
      </c>
      <c r="D1246" s="13">
        <v>59850.0</v>
      </c>
      <c r="E1246" s="4">
        <v>45435.0</v>
      </c>
      <c r="F1246" s="4" t="str">
        <f>IF(D1246="","", IFNA(VLOOKUP(D1246, SATCAT_DECAY!A:B, 2, FALSE), ""))
</f>
        <v/>
      </c>
      <c r="G1246" s="3" t="str">
        <f t="shared" si="1"/>
        <v>ACTIVE</v>
      </c>
    </row>
    <row r="1247" ht="22.5" customHeight="1">
      <c r="A1247" s="11" t="str">
        <f t="array" ref="A1247">IFERROR(
  INDEX('Starlink Launches'!$A:$A, MATCH($E1247, 'Starlink Launches'!$B:$B, 0)),
  ""
)
</f>
        <v>6-62</v>
      </c>
      <c r="B1247" s="3" t="s">
        <v>25</v>
      </c>
      <c r="C1247" s="12" t="s">
        <v>1259</v>
      </c>
      <c r="D1247" s="13">
        <v>59851.0</v>
      </c>
      <c r="E1247" s="4">
        <v>45435.0</v>
      </c>
      <c r="F1247" s="4" t="str">
        <f>IF(D1247="","", IFNA(VLOOKUP(D1247, SATCAT_DECAY!A:B, 2, FALSE), ""))
</f>
        <v/>
      </c>
      <c r="G1247" s="3" t="str">
        <f t="shared" si="1"/>
        <v>ACTIVE</v>
      </c>
    </row>
    <row r="1248" ht="22.5" customHeight="1">
      <c r="A1248" s="11" t="str">
        <f t="array" ref="A1248">IFERROR(
  INDEX('Starlink Launches'!$A:$A, MATCH($E1248, 'Starlink Launches'!$B:$B, 0)),
  ""
)
</f>
        <v>6-62</v>
      </c>
      <c r="B1248" s="3" t="s">
        <v>25</v>
      </c>
      <c r="C1248" s="12" t="s">
        <v>1260</v>
      </c>
      <c r="D1248" s="13">
        <v>59853.0</v>
      </c>
      <c r="E1248" s="4">
        <v>45435.0</v>
      </c>
      <c r="F1248" s="4" t="str">
        <f>IF(D1248="","", IFNA(VLOOKUP(D1248, SATCAT_DECAY!A:B, 2, FALSE), ""))
</f>
        <v/>
      </c>
      <c r="G1248" s="3" t="str">
        <f t="shared" si="1"/>
        <v>ACTIVE</v>
      </c>
    </row>
    <row r="1249" ht="22.5" customHeight="1">
      <c r="A1249" s="11" t="str">
        <f t="array" ref="A1249">IFERROR(
  INDEX('Starlink Launches'!$A:$A, MATCH($E1249, 'Starlink Launches'!$B:$B, 0)),
  ""
)
</f>
        <v>6-62</v>
      </c>
      <c r="B1249" s="3" t="s">
        <v>25</v>
      </c>
      <c r="C1249" s="12" t="s">
        <v>1261</v>
      </c>
      <c r="D1249" s="13">
        <v>59854.0</v>
      </c>
      <c r="E1249" s="4">
        <v>45435.0</v>
      </c>
      <c r="F1249" s="4" t="str">
        <f>IF(D1249="","", IFNA(VLOOKUP(D1249, SATCAT_DECAY!A:B, 2, FALSE), ""))
</f>
        <v/>
      </c>
      <c r="G1249" s="3" t="str">
        <f t="shared" si="1"/>
        <v>ACTIVE</v>
      </c>
    </row>
    <row r="1250" ht="22.5" customHeight="1">
      <c r="A1250" s="11" t="str">
        <f t="array" ref="A1250">IFERROR(
  INDEX('Starlink Launches'!$A:$A, MATCH($E1250, 'Starlink Launches'!$B:$B, 0)),
  ""
)
</f>
        <v>6-62</v>
      </c>
      <c r="B1250" s="3" t="s">
        <v>25</v>
      </c>
      <c r="C1250" s="12" t="s">
        <v>1262</v>
      </c>
      <c r="D1250" s="13">
        <v>59855.0</v>
      </c>
      <c r="E1250" s="4">
        <v>45435.0</v>
      </c>
      <c r="F1250" s="4" t="str">
        <f>IF(D1250="","", IFNA(VLOOKUP(D1250, SATCAT_DECAY!A:B, 2, FALSE), ""))
</f>
        <v/>
      </c>
      <c r="G1250" s="3" t="str">
        <f t="shared" si="1"/>
        <v>ACTIVE</v>
      </c>
    </row>
    <row r="1251" ht="22.5" customHeight="1">
      <c r="A1251" s="11" t="str">
        <f t="array" ref="A1251">IFERROR(
  INDEX('Starlink Launches'!$A:$A, MATCH($E1251, 'Starlink Launches'!$B:$B, 0)),
  ""
)
</f>
        <v>6-62</v>
      </c>
      <c r="B1251" s="3" t="s">
        <v>25</v>
      </c>
      <c r="C1251" s="12" t="s">
        <v>1263</v>
      </c>
      <c r="D1251" s="13">
        <v>59856.0</v>
      </c>
      <c r="E1251" s="4">
        <v>45435.0</v>
      </c>
      <c r="F1251" s="4" t="str">
        <f>IF(D1251="","", IFNA(VLOOKUP(D1251, SATCAT_DECAY!A:B, 2, FALSE), ""))
</f>
        <v/>
      </c>
      <c r="G1251" s="3" t="str">
        <f t="shared" si="1"/>
        <v>ACTIVE</v>
      </c>
    </row>
    <row r="1252" ht="22.5" customHeight="1">
      <c r="A1252" s="11" t="str">
        <f t="array" ref="A1252">IFERROR(
  INDEX('Starlink Launches'!$A:$A, MATCH($E1252, 'Starlink Launches'!$B:$B, 0)),
  ""
)
</f>
        <v>6-62</v>
      </c>
      <c r="B1252" s="3" t="s">
        <v>25</v>
      </c>
      <c r="C1252" s="12" t="s">
        <v>1264</v>
      </c>
      <c r="D1252" s="13">
        <v>59857.0</v>
      </c>
      <c r="E1252" s="4">
        <v>45435.0</v>
      </c>
      <c r="F1252" s="4" t="str">
        <f>IF(D1252="","", IFNA(VLOOKUP(D1252, SATCAT_DECAY!A:B, 2, FALSE), ""))
</f>
        <v/>
      </c>
      <c r="G1252" s="3" t="str">
        <f t="shared" si="1"/>
        <v>ACTIVE</v>
      </c>
    </row>
    <row r="1253" ht="22.5" customHeight="1">
      <c r="A1253" s="11" t="str">
        <f t="array" ref="A1253">IFERROR(
  INDEX('Starlink Launches'!$A:$A, MATCH($E1253, 'Starlink Launches'!$B:$B, 0)),
  ""
)
</f>
        <v>6-63</v>
      </c>
      <c r="B1253" s="3" t="s">
        <v>25</v>
      </c>
      <c r="C1253" s="12" t="s">
        <v>1265</v>
      </c>
      <c r="D1253" s="13">
        <v>59858.0</v>
      </c>
      <c r="E1253" s="4">
        <v>45436.0</v>
      </c>
      <c r="F1253" s="4" t="str">
        <f>IF(D1253="","", IFNA(VLOOKUP(D1253, SATCAT_DECAY!A:B, 2, FALSE), ""))
</f>
        <v/>
      </c>
      <c r="G1253" s="3" t="str">
        <f t="shared" si="1"/>
        <v>ACTIVE</v>
      </c>
    </row>
    <row r="1254" ht="22.5" customHeight="1">
      <c r="A1254" s="11" t="str">
        <f t="array" ref="A1254">IFERROR(
  INDEX('Starlink Launches'!$A:$A, MATCH($E1254, 'Starlink Launches'!$B:$B, 0)),
  ""
)
</f>
        <v>6-63</v>
      </c>
      <c r="B1254" s="3" t="s">
        <v>25</v>
      </c>
      <c r="C1254" s="12" t="s">
        <v>1266</v>
      </c>
      <c r="D1254" s="13">
        <v>59859.0</v>
      </c>
      <c r="E1254" s="4">
        <v>45436.0</v>
      </c>
      <c r="F1254" s="4" t="str">
        <f>IF(D1254="","", IFNA(VLOOKUP(D1254, SATCAT_DECAY!A:B, 2, FALSE), ""))
</f>
        <v/>
      </c>
      <c r="G1254" s="3" t="str">
        <f t="shared" si="1"/>
        <v>ACTIVE</v>
      </c>
    </row>
    <row r="1255" ht="22.5" customHeight="1">
      <c r="A1255" s="11" t="str">
        <f t="array" ref="A1255">IFERROR(
  INDEX('Starlink Launches'!$A:$A, MATCH($E1255, 'Starlink Launches'!$B:$B, 0)),
  ""
)
</f>
        <v>6-63</v>
      </c>
      <c r="B1255" s="3" t="s">
        <v>25</v>
      </c>
      <c r="C1255" s="12" t="s">
        <v>1267</v>
      </c>
      <c r="D1255" s="13">
        <v>59860.0</v>
      </c>
      <c r="E1255" s="4">
        <v>45436.0</v>
      </c>
      <c r="F1255" s="4" t="str">
        <f>IF(D1255="","", IFNA(VLOOKUP(D1255, SATCAT_DECAY!A:B, 2, FALSE), ""))
</f>
        <v/>
      </c>
      <c r="G1255" s="3" t="str">
        <f t="shared" si="1"/>
        <v>ACTIVE</v>
      </c>
    </row>
    <row r="1256" ht="22.5" customHeight="1">
      <c r="A1256" s="11" t="str">
        <f t="array" ref="A1256">IFERROR(
  INDEX('Starlink Launches'!$A:$A, MATCH($E1256, 'Starlink Launches'!$B:$B, 0)),
  ""
)
</f>
        <v>6-63</v>
      </c>
      <c r="B1256" s="3" t="s">
        <v>25</v>
      </c>
      <c r="C1256" s="12" t="s">
        <v>1268</v>
      </c>
      <c r="D1256" s="13">
        <v>59862.0</v>
      </c>
      <c r="E1256" s="4">
        <v>45436.0</v>
      </c>
      <c r="F1256" s="4" t="str">
        <f>IF(D1256="","", IFNA(VLOOKUP(D1256, SATCAT_DECAY!A:B, 2, FALSE), ""))
</f>
        <v/>
      </c>
      <c r="G1256" s="3" t="str">
        <f t="shared" si="1"/>
        <v>ACTIVE</v>
      </c>
    </row>
    <row r="1257" ht="22.5" customHeight="1">
      <c r="A1257" s="11" t="str">
        <f t="array" ref="A1257">IFERROR(
  INDEX('Starlink Launches'!$A:$A, MATCH($E1257, 'Starlink Launches'!$B:$B, 0)),
  ""
)
</f>
        <v>6-63</v>
      </c>
      <c r="B1257" s="3" t="s">
        <v>25</v>
      </c>
      <c r="C1257" s="12" t="s">
        <v>1269</v>
      </c>
      <c r="D1257" s="13">
        <v>59863.0</v>
      </c>
      <c r="E1257" s="4">
        <v>45436.0</v>
      </c>
      <c r="F1257" s="4" t="str">
        <f>IF(D1257="","", IFNA(VLOOKUP(D1257, SATCAT_DECAY!A:B, 2, FALSE), ""))
</f>
        <v/>
      </c>
      <c r="G1257" s="3" t="str">
        <f t="shared" si="1"/>
        <v>ACTIVE</v>
      </c>
    </row>
    <row r="1258" ht="22.5" customHeight="1">
      <c r="A1258" s="11" t="str">
        <f t="array" ref="A1258">IFERROR(
  INDEX('Starlink Launches'!$A:$A, MATCH($E1258, 'Starlink Launches'!$B:$B, 0)),
  ""
)
</f>
        <v>6-63</v>
      </c>
      <c r="B1258" s="3" t="s">
        <v>25</v>
      </c>
      <c r="C1258" s="12" t="s">
        <v>1270</v>
      </c>
      <c r="D1258" s="13">
        <v>59864.0</v>
      </c>
      <c r="E1258" s="4">
        <v>45436.0</v>
      </c>
      <c r="F1258" s="4" t="str">
        <f>IF(D1258="","", IFNA(VLOOKUP(D1258, SATCAT_DECAY!A:B, 2, FALSE), ""))
</f>
        <v/>
      </c>
      <c r="G1258" s="3" t="str">
        <f t="shared" si="1"/>
        <v>ACTIVE</v>
      </c>
    </row>
    <row r="1259" ht="22.5" customHeight="1">
      <c r="A1259" s="11" t="str">
        <f t="array" ref="A1259">IFERROR(
  INDEX('Starlink Launches'!$A:$A, MATCH($E1259, 'Starlink Launches'!$B:$B, 0)),
  ""
)
</f>
        <v>6-63</v>
      </c>
      <c r="B1259" s="3" t="s">
        <v>25</v>
      </c>
      <c r="C1259" s="12" t="s">
        <v>1271</v>
      </c>
      <c r="D1259" s="13">
        <v>59865.0</v>
      </c>
      <c r="E1259" s="4">
        <v>45436.0</v>
      </c>
      <c r="F1259" s="4" t="str">
        <f>IF(D1259="","", IFNA(VLOOKUP(D1259, SATCAT_DECAY!A:B, 2, FALSE), ""))
</f>
        <v/>
      </c>
      <c r="G1259" s="3" t="str">
        <f t="shared" si="1"/>
        <v>ACTIVE</v>
      </c>
    </row>
    <row r="1260" ht="22.5" customHeight="1">
      <c r="A1260" s="11" t="str">
        <f t="array" ref="A1260">IFERROR(
  INDEX('Starlink Launches'!$A:$A, MATCH($E1260, 'Starlink Launches'!$B:$B, 0)),
  ""
)
</f>
        <v>6-63</v>
      </c>
      <c r="B1260" s="3" t="s">
        <v>25</v>
      </c>
      <c r="C1260" s="12" t="s">
        <v>1272</v>
      </c>
      <c r="D1260" s="13">
        <v>59866.0</v>
      </c>
      <c r="E1260" s="4">
        <v>45436.0</v>
      </c>
      <c r="F1260" s="4" t="str">
        <f>IF(D1260="","", IFNA(VLOOKUP(D1260, SATCAT_DECAY!A:B, 2, FALSE), ""))
</f>
        <v/>
      </c>
      <c r="G1260" s="3" t="str">
        <f t="shared" si="1"/>
        <v>ACTIVE</v>
      </c>
    </row>
    <row r="1261" ht="22.5" customHeight="1">
      <c r="A1261" s="11" t="str">
        <f t="array" ref="A1261">IFERROR(
  INDEX('Starlink Launches'!$A:$A, MATCH($E1261, 'Starlink Launches'!$B:$B, 0)),
  ""
)
</f>
        <v>6-63</v>
      </c>
      <c r="B1261" s="3" t="s">
        <v>25</v>
      </c>
      <c r="C1261" s="12" t="s">
        <v>1273</v>
      </c>
      <c r="D1261" s="13">
        <v>59867.0</v>
      </c>
      <c r="E1261" s="4">
        <v>45436.0</v>
      </c>
      <c r="F1261" s="4" t="str">
        <f>IF(D1261="","", IFNA(VLOOKUP(D1261, SATCAT_DECAY!A:B, 2, FALSE), ""))
</f>
        <v/>
      </c>
      <c r="G1261" s="3" t="str">
        <f t="shared" si="1"/>
        <v>ACTIVE</v>
      </c>
    </row>
    <row r="1262" ht="22.5" customHeight="1">
      <c r="A1262" s="11" t="str">
        <f t="array" ref="A1262">IFERROR(
  INDEX('Starlink Launches'!$A:$A, MATCH($E1262, 'Starlink Launches'!$B:$B, 0)),
  ""
)
</f>
        <v>6-63</v>
      </c>
      <c r="B1262" s="3" t="s">
        <v>25</v>
      </c>
      <c r="C1262" s="12" t="s">
        <v>1274</v>
      </c>
      <c r="D1262" s="13">
        <v>59868.0</v>
      </c>
      <c r="E1262" s="4">
        <v>45436.0</v>
      </c>
      <c r="F1262" s="4" t="str">
        <f>IF(D1262="","", IFNA(VLOOKUP(D1262, SATCAT_DECAY!A:B, 2, FALSE), ""))
</f>
        <v/>
      </c>
      <c r="G1262" s="3" t="str">
        <f t="shared" si="1"/>
        <v>ACTIVE</v>
      </c>
    </row>
    <row r="1263" ht="22.5" customHeight="1">
      <c r="A1263" s="11" t="str">
        <f t="array" ref="A1263">IFERROR(
  INDEX('Starlink Launches'!$A:$A, MATCH($E1263, 'Starlink Launches'!$B:$B, 0)),
  ""
)
</f>
        <v>6-63</v>
      </c>
      <c r="B1263" s="3" t="s">
        <v>25</v>
      </c>
      <c r="C1263" s="12" t="s">
        <v>1275</v>
      </c>
      <c r="D1263" s="13">
        <v>59869.0</v>
      </c>
      <c r="E1263" s="4">
        <v>45436.0</v>
      </c>
      <c r="F1263" s="4" t="str">
        <f>IF(D1263="","", IFNA(VLOOKUP(D1263, SATCAT_DECAY!A:B, 2, FALSE), ""))
</f>
        <v/>
      </c>
      <c r="G1263" s="3" t="str">
        <f t="shared" si="1"/>
        <v>ACTIVE</v>
      </c>
    </row>
    <row r="1264" ht="22.5" customHeight="1">
      <c r="A1264" s="11" t="str">
        <f t="array" ref="A1264">IFERROR(
  INDEX('Starlink Launches'!$A:$A, MATCH($E1264, 'Starlink Launches'!$B:$B, 0)),
  ""
)
</f>
        <v>6-63</v>
      </c>
      <c r="B1264" s="3" t="s">
        <v>25</v>
      </c>
      <c r="C1264" s="12" t="s">
        <v>1276</v>
      </c>
      <c r="D1264" s="13">
        <v>59870.0</v>
      </c>
      <c r="E1264" s="4">
        <v>45436.0</v>
      </c>
      <c r="F1264" s="4" t="str">
        <f>IF(D1264="","", IFNA(VLOOKUP(D1264, SATCAT_DECAY!A:B, 2, FALSE), ""))
</f>
        <v/>
      </c>
      <c r="G1264" s="3" t="str">
        <f t="shared" si="1"/>
        <v>ACTIVE</v>
      </c>
    </row>
    <row r="1265" ht="22.5" customHeight="1">
      <c r="A1265" s="11" t="str">
        <f t="array" ref="A1265">IFERROR(
  INDEX('Starlink Launches'!$A:$A, MATCH($E1265, 'Starlink Launches'!$B:$B, 0)),
  ""
)
</f>
        <v>6-63</v>
      </c>
      <c r="B1265" s="3" t="s">
        <v>25</v>
      </c>
      <c r="C1265" s="12" t="s">
        <v>1277</v>
      </c>
      <c r="D1265" s="13">
        <v>59871.0</v>
      </c>
      <c r="E1265" s="4">
        <v>45436.0</v>
      </c>
      <c r="F1265" s="4" t="str">
        <f>IF(D1265="","", IFNA(VLOOKUP(D1265, SATCAT_DECAY!A:B, 2, FALSE), ""))
</f>
        <v/>
      </c>
      <c r="G1265" s="3" t="str">
        <f t="shared" si="1"/>
        <v>ACTIVE</v>
      </c>
    </row>
    <row r="1266" ht="22.5" customHeight="1">
      <c r="A1266" s="11" t="str">
        <f t="array" ref="A1266">IFERROR(
  INDEX('Starlink Launches'!$A:$A, MATCH($E1266, 'Starlink Launches'!$B:$B, 0)),
  ""
)
</f>
        <v>6-63</v>
      </c>
      <c r="B1266" s="3" t="s">
        <v>25</v>
      </c>
      <c r="C1266" s="12" t="s">
        <v>1278</v>
      </c>
      <c r="D1266" s="13">
        <v>59873.0</v>
      </c>
      <c r="E1266" s="4">
        <v>45436.0</v>
      </c>
      <c r="F1266" s="4" t="str">
        <f>IF(D1266="","", IFNA(VLOOKUP(D1266, SATCAT_DECAY!A:B, 2, FALSE), ""))
</f>
        <v/>
      </c>
      <c r="G1266" s="3" t="str">
        <f t="shared" si="1"/>
        <v>ACTIVE</v>
      </c>
    </row>
    <row r="1267" ht="22.5" customHeight="1">
      <c r="A1267" s="11" t="str">
        <f t="array" ref="A1267">IFERROR(
  INDEX('Starlink Launches'!$A:$A, MATCH($E1267, 'Starlink Launches'!$B:$B, 0)),
  ""
)
</f>
        <v>6-63</v>
      </c>
      <c r="B1267" s="3" t="s">
        <v>25</v>
      </c>
      <c r="C1267" s="12" t="s">
        <v>1279</v>
      </c>
      <c r="D1267" s="13">
        <v>59874.0</v>
      </c>
      <c r="E1267" s="4">
        <v>45436.0</v>
      </c>
      <c r="F1267" s="4" t="str">
        <f>IF(D1267="","", IFNA(VLOOKUP(D1267, SATCAT_DECAY!A:B, 2, FALSE), ""))
</f>
        <v/>
      </c>
      <c r="G1267" s="3" t="str">
        <f t="shared" si="1"/>
        <v>ACTIVE</v>
      </c>
    </row>
    <row r="1268" ht="22.5" customHeight="1">
      <c r="A1268" s="11" t="str">
        <f t="array" ref="A1268">IFERROR(
  INDEX('Starlink Launches'!$A:$A, MATCH($E1268, 'Starlink Launches'!$B:$B, 0)),
  ""
)
</f>
        <v>6-63</v>
      </c>
      <c r="B1268" s="3" t="s">
        <v>25</v>
      </c>
      <c r="C1268" s="12" t="s">
        <v>1280</v>
      </c>
      <c r="D1268" s="13">
        <v>59875.0</v>
      </c>
      <c r="E1268" s="4">
        <v>45436.0</v>
      </c>
      <c r="F1268" s="4" t="str">
        <f>IF(D1268="","", IFNA(VLOOKUP(D1268, SATCAT_DECAY!A:B, 2, FALSE), ""))
</f>
        <v/>
      </c>
      <c r="G1268" s="3" t="str">
        <f t="shared" si="1"/>
        <v>ACTIVE</v>
      </c>
    </row>
    <row r="1269" ht="22.5" customHeight="1">
      <c r="A1269" s="11" t="str">
        <f t="array" ref="A1269">IFERROR(
  INDEX('Starlink Launches'!$A:$A, MATCH($E1269, 'Starlink Launches'!$B:$B, 0)),
  ""
)
</f>
        <v>6-63</v>
      </c>
      <c r="B1269" s="3" t="s">
        <v>25</v>
      </c>
      <c r="C1269" s="12" t="s">
        <v>1281</v>
      </c>
      <c r="D1269" s="13">
        <v>59876.0</v>
      </c>
      <c r="E1269" s="4">
        <v>45436.0</v>
      </c>
      <c r="F1269" s="4" t="str">
        <f>IF(D1269="","", IFNA(VLOOKUP(D1269, SATCAT_DECAY!A:B, 2, FALSE), ""))
</f>
        <v/>
      </c>
      <c r="G1269" s="3" t="str">
        <f t="shared" si="1"/>
        <v>ACTIVE</v>
      </c>
    </row>
    <row r="1270" ht="22.5" customHeight="1">
      <c r="A1270" s="11" t="str">
        <f t="array" ref="A1270">IFERROR(
  INDEX('Starlink Launches'!$A:$A, MATCH($E1270, 'Starlink Launches'!$B:$B, 0)),
  ""
)
</f>
        <v>6-63</v>
      </c>
      <c r="B1270" s="3" t="s">
        <v>25</v>
      </c>
      <c r="C1270" s="12" t="s">
        <v>1282</v>
      </c>
      <c r="D1270" s="13">
        <v>59877.0</v>
      </c>
      <c r="E1270" s="4">
        <v>45436.0</v>
      </c>
      <c r="F1270" s="4" t="str">
        <f>IF(D1270="","", IFNA(VLOOKUP(D1270, SATCAT_DECAY!A:B, 2, FALSE), ""))
</f>
        <v/>
      </c>
      <c r="G1270" s="3" t="str">
        <f t="shared" si="1"/>
        <v>ACTIVE</v>
      </c>
    </row>
    <row r="1271" ht="22.5" customHeight="1">
      <c r="A1271" s="11" t="str">
        <f t="array" ref="A1271">IFERROR(
  INDEX('Starlink Launches'!$A:$A, MATCH($E1271, 'Starlink Launches'!$B:$B, 0)),
  ""
)
</f>
        <v>6-63</v>
      </c>
      <c r="B1271" s="3" t="s">
        <v>25</v>
      </c>
      <c r="C1271" s="12" t="s">
        <v>1283</v>
      </c>
      <c r="D1271" s="13">
        <v>59878.0</v>
      </c>
      <c r="E1271" s="4">
        <v>45436.0</v>
      </c>
      <c r="F1271" s="4" t="str">
        <f>IF(D1271="","", IFNA(VLOOKUP(D1271, SATCAT_DECAY!A:B, 2, FALSE), ""))
</f>
        <v/>
      </c>
      <c r="G1271" s="3" t="str">
        <f t="shared" si="1"/>
        <v>ACTIVE</v>
      </c>
    </row>
    <row r="1272" ht="22.5" customHeight="1">
      <c r="A1272" s="11" t="str">
        <f t="array" ref="A1272">IFERROR(
  INDEX('Starlink Launches'!$A:$A, MATCH($E1272, 'Starlink Launches'!$B:$B, 0)),
  ""
)
</f>
        <v>6-63</v>
      </c>
      <c r="B1272" s="3" t="s">
        <v>25</v>
      </c>
      <c r="C1272" s="12" t="s">
        <v>1284</v>
      </c>
      <c r="D1272" s="13">
        <v>59879.0</v>
      </c>
      <c r="E1272" s="4">
        <v>45436.0</v>
      </c>
      <c r="F1272" s="4" t="str">
        <f>IF(D1272="","", IFNA(VLOOKUP(D1272, SATCAT_DECAY!A:B, 2, FALSE), ""))
</f>
        <v/>
      </c>
      <c r="G1272" s="3" t="str">
        <f t="shared" si="1"/>
        <v>ACTIVE</v>
      </c>
    </row>
    <row r="1273" ht="22.5" customHeight="1">
      <c r="A1273" s="11" t="str">
        <f t="array" ref="A1273">IFERROR(
  INDEX('Starlink Launches'!$A:$A, MATCH($E1273, 'Starlink Launches'!$B:$B, 0)),
  ""
)
</f>
        <v>6-63</v>
      </c>
      <c r="B1273" s="3" t="s">
        <v>25</v>
      </c>
      <c r="C1273" s="12" t="s">
        <v>1285</v>
      </c>
      <c r="D1273" s="13">
        <v>59880.0</v>
      </c>
      <c r="E1273" s="4">
        <v>45436.0</v>
      </c>
      <c r="F1273" s="4" t="str">
        <f>IF(D1273="","", IFNA(VLOOKUP(D1273, SATCAT_DECAY!A:B, 2, FALSE), ""))
</f>
        <v/>
      </c>
      <c r="G1273" s="3" t="str">
        <f t="shared" si="1"/>
        <v>ACTIVE</v>
      </c>
    </row>
    <row r="1274" ht="22.5" customHeight="1">
      <c r="A1274" s="11" t="str">
        <f t="array" ref="A1274">IFERROR(
  INDEX('Starlink Launches'!$A:$A, MATCH($E1274, 'Starlink Launches'!$B:$B, 0)),
  ""
)
</f>
        <v>6-60</v>
      </c>
      <c r="B1274" s="3" t="s">
        <v>25</v>
      </c>
      <c r="C1274" s="12" t="s">
        <v>1286</v>
      </c>
      <c r="D1274" s="13">
        <v>59885.0</v>
      </c>
      <c r="E1274" s="4">
        <v>45440.0</v>
      </c>
      <c r="F1274" s="4" t="str">
        <f>IF(D1274="","", IFNA(VLOOKUP(D1274, SATCAT_DECAY!A:B, 2, FALSE), ""))
</f>
        <v/>
      </c>
      <c r="G1274" s="3" t="str">
        <f t="shared" si="1"/>
        <v>ACTIVE</v>
      </c>
    </row>
    <row r="1275" ht="22.5" customHeight="1">
      <c r="A1275" s="11" t="str">
        <f t="array" ref="A1275">IFERROR(
  INDEX('Starlink Launches'!$A:$A, MATCH($E1275, 'Starlink Launches'!$B:$B, 0)),
  ""
)
</f>
        <v>6-60</v>
      </c>
      <c r="B1275" s="3" t="s">
        <v>25</v>
      </c>
      <c r="C1275" s="12" t="s">
        <v>1287</v>
      </c>
      <c r="D1275" s="13">
        <v>59886.0</v>
      </c>
      <c r="E1275" s="4">
        <v>45440.0</v>
      </c>
      <c r="F1275" s="4" t="str">
        <f>IF(D1275="","", IFNA(VLOOKUP(D1275, SATCAT_DECAY!A:B, 2, FALSE), ""))
</f>
        <v/>
      </c>
      <c r="G1275" s="3" t="str">
        <f t="shared" si="1"/>
        <v>ACTIVE</v>
      </c>
    </row>
    <row r="1276" ht="22.5" customHeight="1">
      <c r="A1276" s="11" t="str">
        <f t="array" ref="A1276">IFERROR(
  INDEX('Starlink Launches'!$A:$A, MATCH($E1276, 'Starlink Launches'!$B:$B, 0)),
  ""
)
</f>
        <v>6-60</v>
      </c>
      <c r="B1276" s="3" t="s">
        <v>25</v>
      </c>
      <c r="C1276" s="12" t="s">
        <v>1288</v>
      </c>
      <c r="D1276" s="13">
        <v>59887.0</v>
      </c>
      <c r="E1276" s="4">
        <v>45440.0</v>
      </c>
      <c r="F1276" s="4" t="str">
        <f>IF(D1276="","", IFNA(VLOOKUP(D1276, SATCAT_DECAY!A:B, 2, FALSE), ""))
</f>
        <v/>
      </c>
      <c r="G1276" s="3" t="str">
        <f t="shared" si="1"/>
        <v>ACTIVE</v>
      </c>
    </row>
    <row r="1277" ht="22.5" customHeight="1">
      <c r="A1277" s="11" t="str">
        <f t="array" ref="A1277">IFERROR(
  INDEX('Starlink Launches'!$A:$A, MATCH($E1277, 'Starlink Launches'!$B:$B, 0)),
  ""
)
</f>
        <v>6-60</v>
      </c>
      <c r="B1277" s="3" t="s">
        <v>25</v>
      </c>
      <c r="C1277" s="12" t="s">
        <v>1289</v>
      </c>
      <c r="D1277" s="13">
        <v>59888.0</v>
      </c>
      <c r="E1277" s="4">
        <v>45440.0</v>
      </c>
      <c r="F1277" s="4" t="str">
        <f>IF(D1277="","", IFNA(VLOOKUP(D1277, SATCAT_DECAY!A:B, 2, FALSE), ""))
</f>
        <v/>
      </c>
      <c r="G1277" s="3" t="str">
        <f t="shared" si="1"/>
        <v>ACTIVE</v>
      </c>
    </row>
    <row r="1278" ht="22.5" customHeight="1">
      <c r="A1278" s="11" t="str">
        <f t="array" ref="A1278">IFERROR(
  INDEX('Starlink Launches'!$A:$A, MATCH($E1278, 'Starlink Launches'!$B:$B, 0)),
  ""
)
</f>
        <v>6-60</v>
      </c>
      <c r="B1278" s="3" t="s">
        <v>25</v>
      </c>
      <c r="C1278" s="12" t="s">
        <v>1290</v>
      </c>
      <c r="D1278" s="13">
        <v>59889.0</v>
      </c>
      <c r="E1278" s="4">
        <v>45440.0</v>
      </c>
      <c r="F1278" s="4" t="str">
        <f>IF(D1278="","", IFNA(VLOOKUP(D1278, SATCAT_DECAY!A:B, 2, FALSE), ""))
</f>
        <v/>
      </c>
      <c r="G1278" s="3" t="str">
        <f t="shared" si="1"/>
        <v>ACTIVE</v>
      </c>
    </row>
    <row r="1279" ht="22.5" customHeight="1">
      <c r="A1279" s="11" t="str">
        <f t="array" ref="A1279">IFERROR(
  INDEX('Starlink Launches'!$A:$A, MATCH($E1279, 'Starlink Launches'!$B:$B, 0)),
  ""
)
</f>
        <v>6-60</v>
      </c>
      <c r="B1279" s="3" t="s">
        <v>25</v>
      </c>
      <c r="C1279" s="12" t="s">
        <v>1291</v>
      </c>
      <c r="D1279" s="13">
        <v>59890.0</v>
      </c>
      <c r="E1279" s="4">
        <v>45440.0</v>
      </c>
      <c r="F1279" s="4" t="str">
        <f>IF(D1279="","", IFNA(VLOOKUP(D1279, SATCAT_DECAY!A:B, 2, FALSE), ""))
</f>
        <v/>
      </c>
      <c r="G1279" s="3" t="str">
        <f t="shared" si="1"/>
        <v>ACTIVE</v>
      </c>
    </row>
    <row r="1280" ht="22.5" customHeight="1">
      <c r="A1280" s="11" t="str">
        <f t="array" ref="A1280">IFERROR(
  INDEX('Starlink Launches'!$A:$A, MATCH($E1280, 'Starlink Launches'!$B:$B, 0)),
  ""
)
</f>
        <v>6-60</v>
      </c>
      <c r="B1280" s="3" t="s">
        <v>25</v>
      </c>
      <c r="C1280" s="12" t="s">
        <v>1292</v>
      </c>
      <c r="D1280" s="13">
        <v>59891.0</v>
      </c>
      <c r="E1280" s="4">
        <v>45440.0</v>
      </c>
      <c r="F1280" s="4" t="str">
        <f>IF(D1280="","", IFNA(VLOOKUP(D1280, SATCAT_DECAY!A:B, 2, FALSE), ""))
</f>
        <v/>
      </c>
      <c r="G1280" s="3" t="str">
        <f t="shared" si="1"/>
        <v>ACTIVE</v>
      </c>
    </row>
    <row r="1281" ht="22.5" customHeight="1">
      <c r="A1281" s="11" t="str">
        <f t="array" ref="A1281">IFERROR(
  INDEX('Starlink Launches'!$A:$A, MATCH($E1281, 'Starlink Launches'!$B:$B, 0)),
  ""
)
</f>
        <v>6-60</v>
      </c>
      <c r="B1281" s="3" t="s">
        <v>25</v>
      </c>
      <c r="C1281" s="12" t="s">
        <v>1293</v>
      </c>
      <c r="D1281" s="13">
        <v>59892.0</v>
      </c>
      <c r="E1281" s="4">
        <v>45440.0</v>
      </c>
      <c r="F1281" s="4" t="str">
        <f>IF(D1281="","", IFNA(VLOOKUP(D1281, SATCAT_DECAY!A:B, 2, FALSE), ""))
</f>
        <v/>
      </c>
      <c r="G1281" s="3" t="str">
        <f t="shared" si="1"/>
        <v>ACTIVE</v>
      </c>
    </row>
    <row r="1282" ht="22.5" customHeight="1">
      <c r="A1282" s="11" t="str">
        <f t="array" ref="A1282">IFERROR(
  INDEX('Starlink Launches'!$A:$A, MATCH($E1282, 'Starlink Launches'!$B:$B, 0)),
  ""
)
</f>
        <v>6-60</v>
      </c>
      <c r="B1282" s="3" t="s">
        <v>25</v>
      </c>
      <c r="C1282" s="12" t="s">
        <v>1294</v>
      </c>
      <c r="D1282" s="13">
        <v>59893.0</v>
      </c>
      <c r="E1282" s="4">
        <v>45440.0</v>
      </c>
      <c r="F1282" s="4" t="str">
        <f>IF(D1282="","", IFNA(VLOOKUP(D1282, SATCAT_DECAY!A:B, 2, FALSE), ""))
</f>
        <v/>
      </c>
      <c r="G1282" s="3" t="str">
        <f t="shared" si="1"/>
        <v>ACTIVE</v>
      </c>
    </row>
    <row r="1283" ht="22.5" customHeight="1">
      <c r="A1283" s="11" t="str">
        <f t="array" ref="A1283">IFERROR(
  INDEX('Starlink Launches'!$A:$A, MATCH($E1283, 'Starlink Launches'!$B:$B, 0)),
  ""
)
</f>
        <v>6-60</v>
      </c>
      <c r="B1283" s="3" t="s">
        <v>25</v>
      </c>
      <c r="C1283" s="12" t="s">
        <v>1295</v>
      </c>
      <c r="D1283" s="13">
        <v>59894.0</v>
      </c>
      <c r="E1283" s="4">
        <v>45440.0</v>
      </c>
      <c r="F1283" s="4" t="str">
        <f>IF(D1283="","", IFNA(VLOOKUP(D1283, SATCAT_DECAY!A:B, 2, FALSE), ""))
</f>
        <v/>
      </c>
      <c r="G1283" s="3" t="str">
        <f t="shared" si="1"/>
        <v>ACTIVE</v>
      </c>
    </row>
    <row r="1284" ht="22.5" customHeight="1">
      <c r="A1284" s="11" t="str">
        <f t="array" ref="A1284">IFERROR(
  INDEX('Starlink Launches'!$A:$A, MATCH($E1284, 'Starlink Launches'!$B:$B, 0)),
  ""
)
</f>
        <v>6-60</v>
      </c>
      <c r="B1284" s="3" t="s">
        <v>25</v>
      </c>
      <c r="C1284" s="12" t="s">
        <v>1296</v>
      </c>
      <c r="D1284" s="13">
        <v>59895.0</v>
      </c>
      <c r="E1284" s="4">
        <v>45440.0</v>
      </c>
      <c r="F1284" s="4" t="str">
        <f>IF(D1284="","", IFNA(VLOOKUP(D1284, SATCAT_DECAY!A:B, 2, FALSE), ""))
</f>
        <v/>
      </c>
      <c r="G1284" s="3" t="str">
        <f t="shared" si="1"/>
        <v>ACTIVE</v>
      </c>
    </row>
    <row r="1285" ht="22.5" customHeight="1">
      <c r="A1285" s="11" t="str">
        <f t="array" ref="A1285">IFERROR(
  INDEX('Starlink Launches'!$A:$A, MATCH($E1285, 'Starlink Launches'!$B:$B, 0)),
  ""
)
</f>
        <v>6-60</v>
      </c>
      <c r="B1285" s="3" t="s">
        <v>25</v>
      </c>
      <c r="C1285" s="12" t="s">
        <v>1297</v>
      </c>
      <c r="D1285" s="13">
        <v>59896.0</v>
      </c>
      <c r="E1285" s="4">
        <v>45440.0</v>
      </c>
      <c r="F1285" s="4" t="str">
        <f>IF(D1285="","", IFNA(VLOOKUP(D1285, SATCAT_DECAY!A:B, 2, FALSE), ""))
</f>
        <v/>
      </c>
      <c r="G1285" s="3" t="str">
        <f t="shared" si="1"/>
        <v>ACTIVE</v>
      </c>
    </row>
    <row r="1286" ht="22.5" customHeight="1">
      <c r="A1286" s="11" t="str">
        <f t="array" ref="A1286">IFERROR(
  INDEX('Starlink Launches'!$A:$A, MATCH($E1286, 'Starlink Launches'!$B:$B, 0)),
  ""
)
</f>
        <v>6-60</v>
      </c>
      <c r="B1286" s="3" t="s">
        <v>25</v>
      </c>
      <c r="C1286" s="12" t="s">
        <v>1298</v>
      </c>
      <c r="D1286" s="13">
        <v>59897.0</v>
      </c>
      <c r="E1286" s="4">
        <v>45440.0</v>
      </c>
      <c r="F1286" s="4" t="str">
        <f>IF(D1286="","", IFNA(VLOOKUP(D1286, SATCAT_DECAY!A:B, 2, FALSE), ""))
</f>
        <v/>
      </c>
      <c r="G1286" s="3" t="str">
        <f t="shared" si="1"/>
        <v>ACTIVE</v>
      </c>
    </row>
    <row r="1287" ht="22.5" customHeight="1">
      <c r="A1287" s="11" t="str">
        <f t="array" ref="A1287">IFERROR(
  INDEX('Starlink Launches'!$A:$A, MATCH($E1287, 'Starlink Launches'!$B:$B, 0)),
  ""
)
</f>
        <v>6-60</v>
      </c>
      <c r="B1287" s="3" t="s">
        <v>25</v>
      </c>
      <c r="C1287" s="12" t="s">
        <v>1299</v>
      </c>
      <c r="D1287" s="13">
        <v>59898.0</v>
      </c>
      <c r="E1287" s="4">
        <v>45440.0</v>
      </c>
      <c r="F1287" s="4" t="str">
        <f>IF(D1287="","", IFNA(VLOOKUP(D1287, SATCAT_DECAY!A:B, 2, FALSE), ""))
</f>
        <v/>
      </c>
      <c r="G1287" s="3" t="str">
        <f t="shared" si="1"/>
        <v>ACTIVE</v>
      </c>
    </row>
    <row r="1288" ht="22.5" customHeight="1">
      <c r="A1288" s="11" t="str">
        <f t="array" ref="A1288">IFERROR(
  INDEX('Starlink Launches'!$A:$A, MATCH($E1288, 'Starlink Launches'!$B:$B, 0)),
  ""
)
</f>
        <v>6-60</v>
      </c>
      <c r="B1288" s="3" t="s">
        <v>25</v>
      </c>
      <c r="C1288" s="12" t="s">
        <v>1300</v>
      </c>
      <c r="D1288" s="13">
        <v>59899.0</v>
      </c>
      <c r="E1288" s="4">
        <v>45440.0</v>
      </c>
      <c r="F1288" s="4" t="str">
        <f>IF(D1288="","", IFNA(VLOOKUP(D1288, SATCAT_DECAY!A:B, 2, FALSE), ""))
</f>
        <v/>
      </c>
      <c r="G1288" s="3" t="str">
        <f t="shared" si="1"/>
        <v>ACTIVE</v>
      </c>
    </row>
    <row r="1289" ht="22.5" customHeight="1">
      <c r="A1289" s="11" t="str">
        <f t="array" ref="A1289">IFERROR(
  INDEX('Starlink Launches'!$A:$A, MATCH($E1289, 'Starlink Launches'!$B:$B, 0)),
  ""
)
</f>
        <v>6-60</v>
      </c>
      <c r="B1289" s="3" t="s">
        <v>25</v>
      </c>
      <c r="C1289" s="12" t="s">
        <v>1301</v>
      </c>
      <c r="D1289" s="13">
        <v>59900.0</v>
      </c>
      <c r="E1289" s="4">
        <v>45440.0</v>
      </c>
      <c r="F1289" s="4" t="str">
        <f>IF(D1289="","", IFNA(VLOOKUP(D1289, SATCAT_DECAY!A:B, 2, FALSE), ""))
</f>
        <v/>
      </c>
      <c r="G1289" s="3" t="str">
        <f t="shared" si="1"/>
        <v>ACTIVE</v>
      </c>
    </row>
    <row r="1290" ht="22.5" customHeight="1">
      <c r="A1290" s="11" t="str">
        <f t="array" ref="A1290">IFERROR(
  INDEX('Starlink Launches'!$A:$A, MATCH($E1290, 'Starlink Launches'!$B:$B, 0)),
  ""
)
</f>
        <v>6-60</v>
      </c>
      <c r="B1290" s="3" t="s">
        <v>25</v>
      </c>
      <c r="C1290" s="12" t="s">
        <v>1302</v>
      </c>
      <c r="D1290" s="13">
        <v>59901.0</v>
      </c>
      <c r="E1290" s="4">
        <v>45440.0</v>
      </c>
      <c r="F1290" s="4" t="str">
        <f>IF(D1290="","", IFNA(VLOOKUP(D1290, SATCAT_DECAY!A:B, 2, FALSE), ""))
</f>
        <v/>
      </c>
      <c r="G1290" s="3" t="str">
        <f t="shared" si="1"/>
        <v>ACTIVE</v>
      </c>
    </row>
    <row r="1291" ht="22.5" customHeight="1">
      <c r="A1291" s="11" t="str">
        <f t="array" ref="A1291">IFERROR(
  INDEX('Starlink Launches'!$A:$A, MATCH($E1291, 'Starlink Launches'!$B:$B, 0)),
  ""
)
</f>
        <v>6-60</v>
      </c>
      <c r="B1291" s="3" t="s">
        <v>25</v>
      </c>
      <c r="C1291" s="12" t="s">
        <v>1303</v>
      </c>
      <c r="D1291" s="13">
        <v>59902.0</v>
      </c>
      <c r="E1291" s="4">
        <v>45440.0</v>
      </c>
      <c r="F1291" s="4" t="str">
        <f>IF(D1291="","", IFNA(VLOOKUP(D1291, SATCAT_DECAY!A:B, 2, FALSE), ""))
</f>
        <v/>
      </c>
      <c r="G1291" s="3" t="str">
        <f t="shared" si="1"/>
        <v>ACTIVE</v>
      </c>
    </row>
    <row r="1292" ht="22.5" customHeight="1">
      <c r="A1292" s="11" t="str">
        <f t="array" ref="A1292">IFERROR(
  INDEX('Starlink Launches'!$A:$A, MATCH($E1292, 'Starlink Launches'!$B:$B, 0)),
  ""
)
</f>
        <v>6-60</v>
      </c>
      <c r="B1292" s="3" t="s">
        <v>25</v>
      </c>
      <c r="C1292" s="12" t="s">
        <v>1304</v>
      </c>
      <c r="D1292" s="13">
        <v>59903.0</v>
      </c>
      <c r="E1292" s="4">
        <v>45440.0</v>
      </c>
      <c r="F1292" s="4" t="str">
        <f>IF(D1292="","", IFNA(VLOOKUP(D1292, SATCAT_DECAY!A:B, 2, FALSE), ""))
</f>
        <v/>
      </c>
      <c r="G1292" s="3" t="str">
        <f t="shared" si="1"/>
        <v>ACTIVE</v>
      </c>
    </row>
    <row r="1293" ht="22.5" customHeight="1">
      <c r="A1293" s="11" t="str">
        <f t="array" ref="A1293">IFERROR(
  INDEX('Starlink Launches'!$A:$A, MATCH($E1293, 'Starlink Launches'!$B:$B, 0)),
  ""
)
</f>
        <v>6-60</v>
      </c>
      <c r="B1293" s="3" t="s">
        <v>25</v>
      </c>
      <c r="C1293" s="12" t="s">
        <v>1305</v>
      </c>
      <c r="D1293" s="13">
        <v>59904.0</v>
      </c>
      <c r="E1293" s="4">
        <v>45440.0</v>
      </c>
      <c r="F1293" s="4" t="str">
        <f>IF(D1293="","", IFNA(VLOOKUP(D1293, SATCAT_DECAY!A:B, 2, FALSE), ""))
</f>
        <v/>
      </c>
      <c r="G1293" s="3" t="str">
        <f t="shared" si="1"/>
        <v>ACTIVE</v>
      </c>
    </row>
    <row r="1294" ht="22.5" customHeight="1">
      <c r="A1294" s="11" t="str">
        <f t="array" ref="A1294">IFERROR(
  INDEX('Starlink Launches'!$A:$A, MATCH($E1294, 'Starlink Launches'!$B:$B, 0)),
  ""
)
</f>
        <v>6-60</v>
      </c>
      <c r="B1294" s="3" t="s">
        <v>25</v>
      </c>
      <c r="C1294" s="12" t="s">
        <v>1306</v>
      </c>
      <c r="D1294" s="13">
        <v>59905.0</v>
      </c>
      <c r="E1294" s="4">
        <v>45440.0</v>
      </c>
      <c r="F1294" s="4" t="str">
        <f>IF(D1294="","", IFNA(VLOOKUP(D1294, SATCAT_DECAY!A:B, 2, FALSE), ""))
</f>
        <v/>
      </c>
      <c r="G1294" s="3" t="str">
        <f t="shared" si="1"/>
        <v>ACTIVE</v>
      </c>
    </row>
    <row r="1295" ht="22.5" customHeight="1">
      <c r="A1295" s="11" t="str">
        <f t="array" ref="A1295">IFERROR(
  INDEX('Starlink Launches'!$A:$A, MATCH($E1295, 'Starlink Launches'!$B:$B, 0)),
  ""
)
</f>
        <v>6-60</v>
      </c>
      <c r="B1295" s="3" t="s">
        <v>25</v>
      </c>
      <c r="C1295" s="12" t="s">
        <v>1307</v>
      </c>
      <c r="D1295" s="13">
        <v>59906.0</v>
      </c>
      <c r="E1295" s="4">
        <v>45440.0</v>
      </c>
      <c r="F1295" s="4" t="str">
        <f>IF(D1295="","", IFNA(VLOOKUP(D1295, SATCAT_DECAY!A:B, 2, FALSE), ""))
</f>
        <v/>
      </c>
      <c r="G1295" s="3" t="str">
        <f t="shared" si="1"/>
        <v>ACTIVE</v>
      </c>
    </row>
    <row r="1296" ht="22.5" customHeight="1">
      <c r="A1296" s="11" t="str">
        <f t="array" ref="A1296">IFERROR(
  INDEX('Starlink Launches'!$A:$A, MATCH($E1296, 'Starlink Launches'!$B:$B, 0)),
  ""
)
</f>
        <v>6-60</v>
      </c>
      <c r="B1296" s="3" t="s">
        <v>25</v>
      </c>
      <c r="C1296" s="12" t="s">
        <v>1308</v>
      </c>
      <c r="D1296" s="13">
        <v>59907.0</v>
      </c>
      <c r="E1296" s="4">
        <v>45440.0</v>
      </c>
      <c r="F1296" s="4" t="str">
        <f>IF(D1296="","", IFNA(VLOOKUP(D1296, SATCAT_DECAY!A:B, 2, FALSE), ""))
</f>
        <v/>
      </c>
      <c r="G1296" s="3" t="str">
        <f t="shared" si="1"/>
        <v>ACTIVE</v>
      </c>
    </row>
    <row r="1297" ht="22.5" customHeight="1">
      <c r="A1297" s="11" t="str">
        <f t="array" ref="A1297">IFERROR(
  INDEX('Starlink Launches'!$A:$A, MATCH($E1297, 'Starlink Launches'!$B:$B, 0)),
  ""
)
</f>
        <v>6-64</v>
      </c>
      <c r="B1297" s="3" t="s">
        <v>25</v>
      </c>
      <c r="C1297" s="12" t="s">
        <v>1309</v>
      </c>
      <c r="D1297" s="13">
        <v>59922.0</v>
      </c>
      <c r="E1297" s="4">
        <v>45444.0</v>
      </c>
      <c r="F1297" s="4" t="str">
        <f>IF(D1297="","", IFNA(VLOOKUP(D1297, SATCAT_DECAY!A:B, 2, FALSE), ""))
</f>
        <v/>
      </c>
      <c r="G1297" s="3" t="str">
        <f t="shared" si="1"/>
        <v>ACTIVE</v>
      </c>
    </row>
    <row r="1298" ht="22.5" customHeight="1">
      <c r="A1298" s="11" t="str">
        <f t="array" ref="A1298">IFERROR(
  INDEX('Starlink Launches'!$A:$A, MATCH($E1298, 'Starlink Launches'!$B:$B, 0)),
  ""
)
</f>
        <v>6-64</v>
      </c>
      <c r="B1298" s="3" t="s">
        <v>25</v>
      </c>
      <c r="C1298" s="12" t="s">
        <v>1310</v>
      </c>
      <c r="D1298" s="13">
        <v>59923.0</v>
      </c>
      <c r="E1298" s="4">
        <v>45444.0</v>
      </c>
      <c r="F1298" s="4" t="str">
        <f>IF(D1298="","", IFNA(VLOOKUP(D1298, SATCAT_DECAY!A:B, 2, FALSE), ""))
</f>
        <v/>
      </c>
      <c r="G1298" s="3" t="str">
        <f t="shared" si="1"/>
        <v>ACTIVE</v>
      </c>
    </row>
    <row r="1299" ht="22.5" customHeight="1">
      <c r="A1299" s="11" t="str">
        <f t="array" ref="A1299">IFERROR(
  INDEX('Starlink Launches'!$A:$A, MATCH($E1299, 'Starlink Launches'!$B:$B, 0)),
  ""
)
</f>
        <v>6-64</v>
      </c>
      <c r="B1299" s="3" t="s">
        <v>25</v>
      </c>
      <c r="C1299" s="12" t="s">
        <v>1311</v>
      </c>
      <c r="D1299" s="13">
        <v>59924.0</v>
      </c>
      <c r="E1299" s="4">
        <v>45444.0</v>
      </c>
      <c r="F1299" s="4" t="str">
        <f>IF(D1299="","", IFNA(VLOOKUP(D1299, SATCAT_DECAY!A:B, 2, FALSE), ""))
</f>
        <v/>
      </c>
      <c r="G1299" s="3" t="str">
        <f t="shared" si="1"/>
        <v>ACTIVE</v>
      </c>
    </row>
    <row r="1300" ht="22.5" customHeight="1">
      <c r="A1300" s="11" t="str">
        <f t="array" ref="A1300">IFERROR(
  INDEX('Starlink Launches'!$A:$A, MATCH($E1300, 'Starlink Launches'!$B:$B, 0)),
  ""
)
</f>
        <v>6-64</v>
      </c>
      <c r="B1300" s="3" t="s">
        <v>25</v>
      </c>
      <c r="C1300" s="12" t="s">
        <v>1312</v>
      </c>
      <c r="D1300" s="13">
        <v>59925.0</v>
      </c>
      <c r="E1300" s="4">
        <v>45444.0</v>
      </c>
      <c r="F1300" s="4" t="str">
        <f>IF(D1300="","", IFNA(VLOOKUP(D1300, SATCAT_DECAY!A:B, 2, FALSE), ""))
</f>
        <v/>
      </c>
      <c r="G1300" s="3" t="str">
        <f t="shared" si="1"/>
        <v>ACTIVE</v>
      </c>
    </row>
    <row r="1301" ht="22.5" customHeight="1">
      <c r="A1301" s="11" t="str">
        <f t="array" ref="A1301">IFERROR(
  INDEX('Starlink Launches'!$A:$A, MATCH($E1301, 'Starlink Launches'!$B:$B, 0)),
  ""
)
</f>
        <v>6-64</v>
      </c>
      <c r="B1301" s="3" t="s">
        <v>25</v>
      </c>
      <c r="C1301" s="12" t="s">
        <v>1313</v>
      </c>
      <c r="D1301" s="13">
        <v>59926.0</v>
      </c>
      <c r="E1301" s="4">
        <v>45444.0</v>
      </c>
      <c r="F1301" s="4" t="str">
        <f>IF(D1301="","", IFNA(VLOOKUP(D1301, SATCAT_DECAY!A:B, 2, FALSE), ""))
</f>
        <v/>
      </c>
      <c r="G1301" s="3" t="str">
        <f t="shared" si="1"/>
        <v>ACTIVE</v>
      </c>
    </row>
    <row r="1302" ht="22.5" customHeight="1">
      <c r="A1302" s="11" t="str">
        <f t="array" ref="A1302">IFERROR(
  INDEX('Starlink Launches'!$A:$A, MATCH($E1302, 'Starlink Launches'!$B:$B, 0)),
  ""
)
</f>
        <v>6-64</v>
      </c>
      <c r="B1302" s="3" t="s">
        <v>25</v>
      </c>
      <c r="C1302" s="12" t="s">
        <v>1314</v>
      </c>
      <c r="D1302" s="13">
        <v>59927.0</v>
      </c>
      <c r="E1302" s="4">
        <v>45444.0</v>
      </c>
      <c r="F1302" s="4" t="str">
        <f>IF(D1302="","", IFNA(VLOOKUP(D1302, SATCAT_DECAY!A:B, 2, FALSE), ""))
</f>
        <v/>
      </c>
      <c r="G1302" s="3" t="str">
        <f t="shared" si="1"/>
        <v>ACTIVE</v>
      </c>
    </row>
    <row r="1303" ht="22.5" customHeight="1">
      <c r="A1303" s="11" t="str">
        <f t="array" ref="A1303">IFERROR(
  INDEX('Starlink Launches'!$A:$A, MATCH($E1303, 'Starlink Launches'!$B:$B, 0)),
  ""
)
</f>
        <v>6-64</v>
      </c>
      <c r="B1303" s="3" t="s">
        <v>25</v>
      </c>
      <c r="C1303" s="12" t="s">
        <v>1315</v>
      </c>
      <c r="D1303" s="13">
        <v>59928.0</v>
      </c>
      <c r="E1303" s="4">
        <v>45444.0</v>
      </c>
      <c r="F1303" s="4" t="str">
        <f>IF(D1303="","", IFNA(VLOOKUP(D1303, SATCAT_DECAY!A:B, 2, FALSE), ""))
</f>
        <v/>
      </c>
      <c r="G1303" s="3" t="str">
        <f t="shared" si="1"/>
        <v>ACTIVE</v>
      </c>
    </row>
    <row r="1304" ht="22.5" customHeight="1">
      <c r="A1304" s="11" t="str">
        <f t="array" ref="A1304">IFERROR(
  INDEX('Starlink Launches'!$A:$A, MATCH($E1304, 'Starlink Launches'!$B:$B, 0)),
  ""
)
</f>
        <v>6-64</v>
      </c>
      <c r="B1304" s="3" t="s">
        <v>25</v>
      </c>
      <c r="C1304" s="12" t="s">
        <v>1316</v>
      </c>
      <c r="D1304" s="13">
        <v>59929.0</v>
      </c>
      <c r="E1304" s="4">
        <v>45444.0</v>
      </c>
      <c r="F1304" s="4" t="str">
        <f>IF(D1304="","", IFNA(VLOOKUP(D1304, SATCAT_DECAY!A:B, 2, FALSE), ""))
</f>
        <v/>
      </c>
      <c r="G1304" s="3" t="str">
        <f t="shared" si="1"/>
        <v>ACTIVE</v>
      </c>
    </row>
    <row r="1305" ht="22.5" customHeight="1">
      <c r="A1305" s="11" t="str">
        <f t="array" ref="A1305">IFERROR(
  INDEX('Starlink Launches'!$A:$A, MATCH($E1305, 'Starlink Launches'!$B:$B, 0)),
  ""
)
</f>
        <v>6-64</v>
      </c>
      <c r="B1305" s="3" t="s">
        <v>25</v>
      </c>
      <c r="C1305" s="12" t="s">
        <v>1317</v>
      </c>
      <c r="D1305" s="13">
        <v>59930.0</v>
      </c>
      <c r="E1305" s="4">
        <v>45444.0</v>
      </c>
      <c r="F1305" s="4" t="str">
        <f>IF(D1305="","", IFNA(VLOOKUP(D1305, SATCAT_DECAY!A:B, 2, FALSE), ""))
</f>
        <v/>
      </c>
      <c r="G1305" s="3" t="str">
        <f t="shared" si="1"/>
        <v>ACTIVE</v>
      </c>
    </row>
    <row r="1306" ht="22.5" customHeight="1">
      <c r="A1306" s="11" t="str">
        <f t="array" ref="A1306">IFERROR(
  INDEX('Starlink Launches'!$A:$A, MATCH($E1306, 'Starlink Launches'!$B:$B, 0)),
  ""
)
</f>
        <v>6-64</v>
      </c>
      <c r="B1306" s="3" t="s">
        <v>25</v>
      </c>
      <c r="C1306" s="12" t="s">
        <v>1318</v>
      </c>
      <c r="D1306" s="13">
        <v>59931.0</v>
      </c>
      <c r="E1306" s="4">
        <v>45444.0</v>
      </c>
      <c r="F1306" s="4" t="str">
        <f>IF(D1306="","", IFNA(VLOOKUP(D1306, SATCAT_DECAY!A:B, 2, FALSE), ""))
</f>
        <v/>
      </c>
      <c r="G1306" s="3" t="str">
        <f t="shared" si="1"/>
        <v>ACTIVE</v>
      </c>
    </row>
    <row r="1307" ht="22.5" customHeight="1">
      <c r="A1307" s="11" t="str">
        <f t="array" ref="A1307">IFERROR(
  INDEX('Starlink Launches'!$A:$A, MATCH($E1307, 'Starlink Launches'!$B:$B, 0)),
  ""
)
</f>
        <v>6-64</v>
      </c>
      <c r="B1307" s="3" t="s">
        <v>25</v>
      </c>
      <c r="C1307" s="12" t="s">
        <v>1319</v>
      </c>
      <c r="D1307" s="13">
        <v>59932.0</v>
      </c>
      <c r="E1307" s="4">
        <v>45444.0</v>
      </c>
      <c r="F1307" s="4" t="str">
        <f>IF(D1307="","", IFNA(VLOOKUP(D1307, SATCAT_DECAY!A:B, 2, FALSE), ""))
</f>
        <v/>
      </c>
      <c r="G1307" s="3" t="str">
        <f t="shared" si="1"/>
        <v>ACTIVE</v>
      </c>
    </row>
    <row r="1308" ht="22.5" customHeight="1">
      <c r="A1308" s="11" t="str">
        <f t="array" ref="A1308">IFERROR(
  INDEX('Starlink Launches'!$A:$A, MATCH($E1308, 'Starlink Launches'!$B:$B, 0)),
  ""
)
</f>
        <v>6-64</v>
      </c>
      <c r="B1308" s="3" t="s">
        <v>25</v>
      </c>
      <c r="C1308" s="12" t="s">
        <v>1320</v>
      </c>
      <c r="D1308" s="13">
        <v>59933.0</v>
      </c>
      <c r="E1308" s="4">
        <v>45444.0</v>
      </c>
      <c r="F1308" s="4" t="str">
        <f>IF(D1308="","", IFNA(VLOOKUP(D1308, SATCAT_DECAY!A:B, 2, FALSE), ""))
</f>
        <v/>
      </c>
      <c r="G1308" s="3" t="str">
        <f t="shared" si="1"/>
        <v>ACTIVE</v>
      </c>
    </row>
    <row r="1309" ht="22.5" customHeight="1">
      <c r="A1309" s="11" t="str">
        <f t="array" ref="A1309">IFERROR(
  INDEX('Starlink Launches'!$A:$A, MATCH($E1309, 'Starlink Launches'!$B:$B, 0)),
  ""
)
</f>
        <v>6-64</v>
      </c>
      <c r="B1309" s="3" t="s">
        <v>25</v>
      </c>
      <c r="C1309" s="12" t="s">
        <v>1321</v>
      </c>
      <c r="D1309" s="13">
        <v>59934.0</v>
      </c>
      <c r="E1309" s="4">
        <v>45444.0</v>
      </c>
      <c r="F1309" s="4" t="str">
        <f>IF(D1309="","", IFNA(VLOOKUP(D1309, SATCAT_DECAY!A:B, 2, FALSE), ""))
</f>
        <v/>
      </c>
      <c r="G1309" s="3" t="str">
        <f t="shared" si="1"/>
        <v>ACTIVE</v>
      </c>
    </row>
    <row r="1310" ht="22.5" customHeight="1">
      <c r="A1310" s="11" t="str">
        <f t="array" ref="A1310">IFERROR(
  INDEX('Starlink Launches'!$A:$A, MATCH($E1310, 'Starlink Launches'!$B:$B, 0)),
  ""
)
</f>
        <v>6-64</v>
      </c>
      <c r="B1310" s="3" t="s">
        <v>25</v>
      </c>
      <c r="C1310" s="12" t="s">
        <v>1322</v>
      </c>
      <c r="D1310" s="13">
        <v>59936.0</v>
      </c>
      <c r="E1310" s="4">
        <v>45444.0</v>
      </c>
      <c r="F1310" s="4" t="str">
        <f>IF(D1310="","", IFNA(VLOOKUP(D1310, SATCAT_DECAY!A:B, 2, FALSE), ""))
</f>
        <v/>
      </c>
      <c r="G1310" s="3" t="str">
        <f t="shared" si="1"/>
        <v>ACTIVE</v>
      </c>
    </row>
    <row r="1311" ht="22.5" customHeight="1">
      <c r="A1311" s="11" t="str">
        <f t="array" ref="A1311">IFERROR(
  INDEX('Starlink Launches'!$A:$A, MATCH($E1311, 'Starlink Launches'!$B:$B, 0)),
  ""
)
</f>
        <v>6-64</v>
      </c>
      <c r="B1311" s="3" t="s">
        <v>25</v>
      </c>
      <c r="C1311" s="12" t="s">
        <v>1323</v>
      </c>
      <c r="D1311" s="13">
        <v>59937.0</v>
      </c>
      <c r="E1311" s="4">
        <v>45444.0</v>
      </c>
      <c r="F1311" s="4" t="str">
        <f>IF(D1311="","", IFNA(VLOOKUP(D1311, SATCAT_DECAY!A:B, 2, FALSE), ""))
</f>
        <v/>
      </c>
      <c r="G1311" s="3" t="str">
        <f t="shared" si="1"/>
        <v>ACTIVE</v>
      </c>
    </row>
    <row r="1312" ht="22.5" customHeight="1">
      <c r="A1312" s="11" t="str">
        <f t="array" ref="A1312">IFERROR(
  INDEX('Starlink Launches'!$A:$A, MATCH($E1312, 'Starlink Launches'!$B:$B, 0)),
  ""
)
</f>
        <v>6-64</v>
      </c>
      <c r="B1312" s="3" t="s">
        <v>25</v>
      </c>
      <c r="C1312" s="12" t="s">
        <v>1324</v>
      </c>
      <c r="D1312" s="13">
        <v>59938.0</v>
      </c>
      <c r="E1312" s="4">
        <v>45444.0</v>
      </c>
      <c r="F1312" s="4" t="str">
        <f>IF(D1312="","", IFNA(VLOOKUP(D1312, SATCAT_DECAY!A:B, 2, FALSE), ""))
</f>
        <v/>
      </c>
      <c r="G1312" s="3" t="str">
        <f t="shared" si="1"/>
        <v>ACTIVE</v>
      </c>
    </row>
    <row r="1313" ht="22.5" customHeight="1">
      <c r="A1313" s="11" t="str">
        <f t="array" ref="A1313">IFERROR(
  INDEX('Starlink Launches'!$A:$A, MATCH($E1313, 'Starlink Launches'!$B:$B, 0)),
  ""
)
</f>
        <v>6-64</v>
      </c>
      <c r="B1313" s="3" t="s">
        <v>25</v>
      </c>
      <c r="C1313" s="12" t="s">
        <v>1325</v>
      </c>
      <c r="D1313" s="13">
        <v>59939.0</v>
      </c>
      <c r="E1313" s="4">
        <v>45444.0</v>
      </c>
      <c r="F1313" s="4" t="str">
        <f>IF(D1313="","", IFNA(VLOOKUP(D1313, SATCAT_DECAY!A:B, 2, FALSE), ""))
</f>
        <v/>
      </c>
      <c r="G1313" s="3" t="str">
        <f t="shared" si="1"/>
        <v>ACTIVE</v>
      </c>
    </row>
    <row r="1314" ht="22.5" customHeight="1">
      <c r="A1314" s="11" t="str">
        <f t="array" ref="A1314">IFERROR(
  INDEX('Starlink Launches'!$A:$A, MATCH($E1314, 'Starlink Launches'!$B:$B, 0)),
  ""
)
</f>
        <v>6-64</v>
      </c>
      <c r="B1314" s="3" t="s">
        <v>25</v>
      </c>
      <c r="C1314" s="12" t="s">
        <v>1326</v>
      </c>
      <c r="D1314" s="13">
        <v>59940.0</v>
      </c>
      <c r="E1314" s="4">
        <v>45444.0</v>
      </c>
      <c r="F1314" s="4" t="str">
        <f>IF(D1314="","", IFNA(VLOOKUP(D1314, SATCAT_DECAY!A:B, 2, FALSE), ""))
</f>
        <v/>
      </c>
      <c r="G1314" s="3" t="str">
        <f t="shared" si="1"/>
        <v>ACTIVE</v>
      </c>
    </row>
    <row r="1315" ht="22.5" customHeight="1">
      <c r="A1315" s="11" t="str">
        <f t="array" ref="A1315">IFERROR(
  INDEX('Starlink Launches'!$A:$A, MATCH($E1315, 'Starlink Launches'!$B:$B, 0)),
  ""
)
</f>
        <v>6-64</v>
      </c>
      <c r="B1315" s="3" t="s">
        <v>25</v>
      </c>
      <c r="C1315" s="12" t="s">
        <v>1327</v>
      </c>
      <c r="D1315" s="13">
        <v>59941.0</v>
      </c>
      <c r="E1315" s="4">
        <v>45444.0</v>
      </c>
      <c r="F1315" s="4" t="str">
        <f>IF(D1315="","", IFNA(VLOOKUP(D1315, SATCAT_DECAY!A:B, 2, FALSE), ""))
</f>
        <v/>
      </c>
      <c r="G1315" s="3" t="str">
        <f t="shared" si="1"/>
        <v>ACTIVE</v>
      </c>
    </row>
    <row r="1316" ht="22.5" customHeight="1">
      <c r="A1316" s="11" t="str">
        <f t="array" ref="A1316">IFERROR(
  INDEX('Starlink Launches'!$A:$A, MATCH($E1316, 'Starlink Launches'!$B:$B, 0)),
  ""
)
</f>
        <v>6-64</v>
      </c>
      <c r="B1316" s="3" t="s">
        <v>25</v>
      </c>
      <c r="C1316" s="12" t="s">
        <v>1328</v>
      </c>
      <c r="D1316" s="13">
        <v>59942.0</v>
      </c>
      <c r="E1316" s="4">
        <v>45444.0</v>
      </c>
      <c r="F1316" s="4" t="str">
        <f>IF(D1316="","", IFNA(VLOOKUP(D1316, SATCAT_DECAY!A:B, 2, FALSE), ""))
</f>
        <v/>
      </c>
      <c r="G1316" s="3" t="str">
        <f t="shared" si="1"/>
        <v>ACTIVE</v>
      </c>
    </row>
    <row r="1317" ht="22.5" customHeight="1">
      <c r="A1317" s="11" t="str">
        <f t="array" ref="A1317">IFERROR(
  INDEX('Starlink Launches'!$A:$A, MATCH($E1317, 'Starlink Launches'!$B:$B, 0)),
  ""
)
</f>
        <v>6-64</v>
      </c>
      <c r="B1317" s="3" t="s">
        <v>25</v>
      </c>
      <c r="C1317" s="12" t="s">
        <v>1329</v>
      </c>
      <c r="D1317" s="13">
        <v>59943.0</v>
      </c>
      <c r="E1317" s="4">
        <v>45444.0</v>
      </c>
      <c r="F1317" s="4" t="str">
        <f>IF(D1317="","", IFNA(VLOOKUP(D1317, SATCAT_DECAY!A:B, 2, FALSE), ""))
</f>
        <v/>
      </c>
      <c r="G1317" s="3" t="str">
        <f t="shared" si="1"/>
        <v>ACTIVE</v>
      </c>
    </row>
    <row r="1318" ht="22.5" customHeight="1">
      <c r="A1318" s="11" t="str">
        <f t="array" ref="A1318">IFERROR(
  INDEX('Starlink Launches'!$A:$A, MATCH($E1318, 'Starlink Launches'!$B:$B, 0)),
  ""
)
</f>
        <v>6-64</v>
      </c>
      <c r="B1318" s="3" t="s">
        <v>25</v>
      </c>
      <c r="C1318" s="12" t="s">
        <v>1330</v>
      </c>
      <c r="D1318" s="13">
        <v>59944.0</v>
      </c>
      <c r="E1318" s="4">
        <v>45444.0</v>
      </c>
      <c r="F1318" s="4" t="str">
        <f>IF(D1318="","", IFNA(VLOOKUP(D1318, SATCAT_DECAY!A:B, 2, FALSE), ""))
</f>
        <v/>
      </c>
      <c r="G1318" s="3" t="str">
        <f t="shared" si="1"/>
        <v>ACTIVE</v>
      </c>
    </row>
    <row r="1319" ht="22.5" customHeight="1">
      <c r="A1319" s="11" t="str">
        <f t="array" ref="A1319">IFERROR(
  INDEX('Starlink Launches'!$A:$A, MATCH($E1319, 'Starlink Launches'!$B:$B, 0)),
  ""
)
</f>
        <v>6-61</v>
      </c>
      <c r="B1319" s="3" t="s">
        <v>25</v>
      </c>
      <c r="C1319" s="12" t="s">
        <v>1331</v>
      </c>
      <c r="D1319" s="13">
        <v>61621.0</v>
      </c>
      <c r="E1319" s="4">
        <v>45588.0</v>
      </c>
      <c r="F1319" s="4" t="str">
        <f>IF(D1319="","", IFNA(VLOOKUP(D1319, SATCAT_DECAY!A:B, 2, FALSE), ""))
</f>
        <v/>
      </c>
      <c r="G1319" s="3" t="str">
        <f t="shared" si="1"/>
        <v>ACTIVE</v>
      </c>
    </row>
    <row r="1320" ht="22.5" customHeight="1">
      <c r="A1320" s="11" t="str">
        <f t="array" ref="A1320">IFERROR(
  INDEX('Starlink Launches'!$A:$A, MATCH($E1320, 'Starlink Launches'!$B:$B, 0)),
  ""
)
</f>
        <v>6-61</v>
      </c>
      <c r="B1320" s="3" t="s">
        <v>25</v>
      </c>
      <c r="C1320" s="12" t="s">
        <v>1332</v>
      </c>
      <c r="D1320" s="13">
        <v>61622.0</v>
      </c>
      <c r="E1320" s="4">
        <v>45588.0</v>
      </c>
      <c r="F1320" s="4" t="str">
        <f>IF(D1320="","", IFNA(VLOOKUP(D1320, SATCAT_DECAY!A:B, 2, FALSE), ""))
</f>
        <v/>
      </c>
      <c r="G1320" s="3" t="str">
        <f t="shared" si="1"/>
        <v>ACTIVE</v>
      </c>
    </row>
    <row r="1321" ht="22.5" customHeight="1">
      <c r="A1321" s="11" t="str">
        <f t="array" ref="A1321">IFERROR(
  INDEX('Starlink Launches'!$A:$A, MATCH($E1321, 'Starlink Launches'!$B:$B, 0)),
  ""
)
</f>
        <v>6-61</v>
      </c>
      <c r="B1321" s="3" t="s">
        <v>25</v>
      </c>
      <c r="C1321" s="12" t="s">
        <v>1333</v>
      </c>
      <c r="D1321" s="13">
        <v>61623.0</v>
      </c>
      <c r="E1321" s="4">
        <v>45588.0</v>
      </c>
      <c r="F1321" s="4" t="str">
        <f>IF(D1321="","", IFNA(VLOOKUP(D1321, SATCAT_DECAY!A:B, 2, FALSE), ""))
</f>
        <v/>
      </c>
      <c r="G1321" s="3" t="str">
        <f t="shared" si="1"/>
        <v>ACTIVE</v>
      </c>
    </row>
    <row r="1322" ht="22.5" customHeight="1">
      <c r="A1322" s="11" t="str">
        <f t="array" ref="A1322">IFERROR(
  INDEX('Starlink Launches'!$A:$A, MATCH($E1322, 'Starlink Launches'!$B:$B, 0)),
  ""
)
</f>
        <v>6-61</v>
      </c>
      <c r="B1322" s="3" t="s">
        <v>25</v>
      </c>
      <c r="C1322" s="12" t="s">
        <v>1334</v>
      </c>
      <c r="D1322" s="13">
        <v>61624.0</v>
      </c>
      <c r="E1322" s="4">
        <v>45588.0</v>
      </c>
      <c r="F1322" s="4" t="str">
        <f>IF(D1322="","", IFNA(VLOOKUP(D1322, SATCAT_DECAY!A:B, 2, FALSE), ""))
</f>
        <v/>
      </c>
      <c r="G1322" s="3" t="str">
        <f t="shared" si="1"/>
        <v>ACTIVE</v>
      </c>
    </row>
    <row r="1323" ht="22.5" customHeight="1">
      <c r="A1323" s="11" t="str">
        <f t="array" ref="A1323">IFERROR(
  INDEX('Starlink Launches'!$A:$A, MATCH($E1323, 'Starlink Launches'!$B:$B, 0)),
  ""
)
</f>
        <v>6-61</v>
      </c>
      <c r="B1323" s="3" t="s">
        <v>25</v>
      </c>
      <c r="C1323" s="12" t="s">
        <v>1335</v>
      </c>
      <c r="D1323" s="13">
        <v>61625.0</v>
      </c>
      <c r="E1323" s="4">
        <v>45588.0</v>
      </c>
      <c r="F1323" s="4" t="str">
        <f>IF(D1323="","", IFNA(VLOOKUP(D1323, SATCAT_DECAY!A:B, 2, FALSE), ""))
</f>
        <v/>
      </c>
      <c r="G1323" s="3" t="str">
        <f t="shared" si="1"/>
        <v>ACTIVE</v>
      </c>
    </row>
    <row r="1324" ht="22.5" customHeight="1">
      <c r="A1324" s="11" t="str">
        <f t="array" ref="A1324">IFERROR(
  INDEX('Starlink Launches'!$A:$A, MATCH($E1324, 'Starlink Launches'!$B:$B, 0)),
  ""
)
</f>
        <v>6-61</v>
      </c>
      <c r="B1324" s="3" t="s">
        <v>25</v>
      </c>
      <c r="C1324" s="12" t="s">
        <v>1336</v>
      </c>
      <c r="D1324" s="13">
        <v>61626.0</v>
      </c>
      <c r="E1324" s="4">
        <v>45588.0</v>
      </c>
      <c r="F1324" s="4" t="str">
        <f>IF(D1324="","", IFNA(VLOOKUP(D1324, SATCAT_DECAY!A:B, 2, FALSE), ""))
</f>
        <v/>
      </c>
      <c r="G1324" s="3" t="str">
        <f t="shared" si="1"/>
        <v>ACTIVE</v>
      </c>
    </row>
    <row r="1325" ht="22.5" customHeight="1">
      <c r="A1325" s="11" t="str">
        <f t="array" ref="A1325">IFERROR(
  INDEX('Starlink Launches'!$A:$A, MATCH($E1325, 'Starlink Launches'!$B:$B, 0)),
  ""
)
</f>
        <v>6-61</v>
      </c>
      <c r="B1325" s="3" t="s">
        <v>25</v>
      </c>
      <c r="C1325" s="12" t="s">
        <v>1337</v>
      </c>
      <c r="D1325" s="13">
        <v>61627.0</v>
      </c>
      <c r="E1325" s="4">
        <v>45588.0</v>
      </c>
      <c r="F1325" s="4" t="str">
        <f>IF(D1325="","", IFNA(VLOOKUP(D1325, SATCAT_DECAY!A:B, 2, FALSE), ""))
</f>
        <v/>
      </c>
      <c r="G1325" s="3" t="str">
        <f t="shared" si="1"/>
        <v>ACTIVE</v>
      </c>
    </row>
    <row r="1326" ht="22.5" customHeight="1">
      <c r="A1326" s="11" t="str">
        <f t="array" ref="A1326">IFERROR(
  INDEX('Starlink Launches'!$A:$A, MATCH($E1326, 'Starlink Launches'!$B:$B, 0)),
  ""
)
</f>
        <v>6-61</v>
      </c>
      <c r="B1326" s="3" t="s">
        <v>25</v>
      </c>
      <c r="C1326" s="12" t="s">
        <v>1338</v>
      </c>
      <c r="D1326" s="13">
        <v>61628.0</v>
      </c>
      <c r="E1326" s="4">
        <v>45588.0</v>
      </c>
      <c r="F1326" s="4" t="str">
        <f>IF(D1326="","", IFNA(VLOOKUP(D1326, SATCAT_DECAY!A:B, 2, FALSE), ""))
</f>
        <v/>
      </c>
      <c r="G1326" s="3" t="str">
        <f t="shared" si="1"/>
        <v>ACTIVE</v>
      </c>
    </row>
    <row r="1327" ht="22.5" customHeight="1">
      <c r="A1327" s="11" t="str">
        <f t="array" ref="A1327">IFERROR(
  INDEX('Starlink Launches'!$A:$A, MATCH($E1327, 'Starlink Launches'!$B:$B, 0)),
  ""
)
</f>
        <v>6-61</v>
      </c>
      <c r="B1327" s="3" t="s">
        <v>25</v>
      </c>
      <c r="C1327" s="12" t="s">
        <v>1339</v>
      </c>
      <c r="D1327" s="13">
        <v>61629.0</v>
      </c>
      <c r="E1327" s="4">
        <v>45588.0</v>
      </c>
      <c r="F1327" s="4" t="str">
        <f>IF(D1327="","", IFNA(VLOOKUP(D1327, SATCAT_DECAY!A:B, 2, FALSE), ""))
</f>
        <v/>
      </c>
      <c r="G1327" s="3" t="str">
        <f t="shared" si="1"/>
        <v>ACTIVE</v>
      </c>
    </row>
    <row r="1328" ht="22.5" customHeight="1">
      <c r="A1328" s="11" t="str">
        <f t="array" ref="A1328">IFERROR(
  INDEX('Starlink Launches'!$A:$A, MATCH($E1328, 'Starlink Launches'!$B:$B, 0)),
  ""
)
</f>
        <v>6-61</v>
      </c>
      <c r="B1328" s="3" t="s">
        <v>25</v>
      </c>
      <c r="C1328" s="12" t="s">
        <v>1340</v>
      </c>
      <c r="D1328" s="13">
        <v>61630.0</v>
      </c>
      <c r="E1328" s="4">
        <v>45588.0</v>
      </c>
      <c r="F1328" s="4" t="str">
        <f>IF(D1328="","", IFNA(VLOOKUP(D1328, SATCAT_DECAY!A:B, 2, FALSE), ""))
</f>
        <v/>
      </c>
      <c r="G1328" s="3" t="str">
        <f t="shared" si="1"/>
        <v>ACTIVE</v>
      </c>
    </row>
    <row r="1329" ht="22.5" customHeight="1">
      <c r="A1329" s="11" t="str">
        <f t="array" ref="A1329">IFERROR(
  INDEX('Starlink Launches'!$A:$A, MATCH($E1329, 'Starlink Launches'!$B:$B, 0)),
  ""
)
</f>
        <v>6-61</v>
      </c>
      <c r="B1329" s="3" t="s">
        <v>25</v>
      </c>
      <c r="C1329" s="12" t="s">
        <v>1341</v>
      </c>
      <c r="D1329" s="13">
        <v>61631.0</v>
      </c>
      <c r="E1329" s="4">
        <v>45588.0</v>
      </c>
      <c r="F1329" s="4" t="str">
        <f>IF(D1329="","", IFNA(VLOOKUP(D1329, SATCAT_DECAY!A:B, 2, FALSE), ""))
</f>
        <v/>
      </c>
      <c r="G1329" s="3" t="str">
        <f t="shared" si="1"/>
        <v>ACTIVE</v>
      </c>
    </row>
    <row r="1330" ht="22.5" customHeight="1">
      <c r="A1330" s="11" t="str">
        <f t="array" ref="A1330">IFERROR(
  INDEX('Starlink Launches'!$A:$A, MATCH($E1330, 'Starlink Launches'!$B:$B, 0)),
  ""
)
</f>
        <v>6-61</v>
      </c>
      <c r="B1330" s="3" t="s">
        <v>25</v>
      </c>
      <c r="C1330" s="12" t="s">
        <v>1342</v>
      </c>
      <c r="D1330" s="13">
        <v>61632.0</v>
      </c>
      <c r="E1330" s="4">
        <v>45588.0</v>
      </c>
      <c r="F1330" s="4" t="str">
        <f>IF(D1330="","", IFNA(VLOOKUP(D1330, SATCAT_DECAY!A:B, 2, FALSE), ""))
</f>
        <v/>
      </c>
      <c r="G1330" s="3" t="str">
        <f t="shared" si="1"/>
        <v>ACTIVE</v>
      </c>
    </row>
    <row r="1331" ht="22.5" customHeight="1">
      <c r="A1331" s="11" t="str">
        <f t="array" ref="A1331">IFERROR(
  INDEX('Starlink Launches'!$A:$A, MATCH($E1331, 'Starlink Launches'!$B:$B, 0)),
  ""
)
</f>
        <v>6-61</v>
      </c>
      <c r="B1331" s="3" t="s">
        <v>25</v>
      </c>
      <c r="C1331" s="12" t="s">
        <v>1343</v>
      </c>
      <c r="D1331" s="13">
        <v>61633.0</v>
      </c>
      <c r="E1331" s="4">
        <v>45588.0</v>
      </c>
      <c r="F1331" s="4" t="str">
        <f>IF(D1331="","", IFNA(VLOOKUP(D1331, SATCAT_DECAY!A:B, 2, FALSE), ""))
</f>
        <v/>
      </c>
      <c r="G1331" s="3" t="str">
        <f t="shared" si="1"/>
        <v>ACTIVE</v>
      </c>
    </row>
    <row r="1332" ht="22.5" customHeight="1">
      <c r="A1332" s="11" t="str">
        <f t="array" ref="A1332">IFERROR(
  INDEX('Starlink Launches'!$A:$A, MATCH($E1332, 'Starlink Launches'!$B:$B, 0)),
  ""
)
</f>
        <v>6-61</v>
      </c>
      <c r="B1332" s="3" t="s">
        <v>25</v>
      </c>
      <c r="C1332" s="12" t="s">
        <v>1344</v>
      </c>
      <c r="D1332" s="13">
        <v>61634.0</v>
      </c>
      <c r="E1332" s="4">
        <v>45588.0</v>
      </c>
      <c r="F1332" s="4" t="str">
        <f>IF(D1332="","", IFNA(VLOOKUP(D1332, SATCAT_DECAY!A:B, 2, FALSE), ""))
</f>
        <v/>
      </c>
      <c r="G1332" s="3" t="str">
        <f t="shared" si="1"/>
        <v>ACTIVE</v>
      </c>
    </row>
    <row r="1333" ht="22.5" customHeight="1">
      <c r="A1333" s="11" t="str">
        <f t="array" ref="A1333">IFERROR(
  INDEX('Starlink Launches'!$A:$A, MATCH($E1333, 'Starlink Launches'!$B:$B, 0)),
  ""
)
</f>
        <v>6-61</v>
      </c>
      <c r="B1333" s="3" t="s">
        <v>25</v>
      </c>
      <c r="C1333" s="12" t="s">
        <v>1345</v>
      </c>
      <c r="D1333" s="13">
        <v>61635.0</v>
      </c>
      <c r="E1333" s="4">
        <v>45588.0</v>
      </c>
      <c r="F1333" s="4" t="str">
        <f>IF(D1333="","", IFNA(VLOOKUP(D1333, SATCAT_DECAY!A:B, 2, FALSE), ""))
</f>
        <v/>
      </c>
      <c r="G1333" s="3" t="str">
        <f t="shared" si="1"/>
        <v>ACTIVE</v>
      </c>
    </row>
    <row r="1334" ht="22.5" customHeight="1">
      <c r="A1334" s="11" t="str">
        <f t="array" ref="A1334">IFERROR(
  INDEX('Starlink Launches'!$A:$A, MATCH($E1334, 'Starlink Launches'!$B:$B, 0)),
  ""
)
</f>
        <v>6-61</v>
      </c>
      <c r="B1334" s="3" t="s">
        <v>25</v>
      </c>
      <c r="C1334" s="12" t="s">
        <v>1346</v>
      </c>
      <c r="D1334" s="13">
        <v>61636.0</v>
      </c>
      <c r="E1334" s="4">
        <v>45588.0</v>
      </c>
      <c r="F1334" s="4" t="str">
        <f>IF(D1334="","", IFNA(VLOOKUP(D1334, SATCAT_DECAY!A:B, 2, FALSE), ""))
</f>
        <v/>
      </c>
      <c r="G1334" s="3" t="str">
        <f t="shared" si="1"/>
        <v>ACTIVE</v>
      </c>
    </row>
    <row r="1335" ht="22.5" customHeight="1">
      <c r="A1335" s="11" t="str">
        <f t="array" ref="A1335">IFERROR(
  INDEX('Starlink Launches'!$A:$A, MATCH($E1335, 'Starlink Launches'!$B:$B, 0)),
  ""
)
</f>
        <v>6-61</v>
      </c>
      <c r="B1335" s="3" t="s">
        <v>25</v>
      </c>
      <c r="C1335" s="12" t="s">
        <v>1347</v>
      </c>
      <c r="D1335" s="13">
        <v>61637.0</v>
      </c>
      <c r="E1335" s="4">
        <v>45588.0</v>
      </c>
      <c r="F1335" s="4" t="str">
        <f>IF(D1335="","", IFNA(VLOOKUP(D1335, SATCAT_DECAY!A:B, 2, FALSE), ""))
</f>
        <v/>
      </c>
      <c r="G1335" s="3" t="str">
        <f t="shared" si="1"/>
        <v>ACTIVE</v>
      </c>
    </row>
    <row r="1336" ht="22.5" customHeight="1">
      <c r="A1336" s="11" t="str">
        <f t="array" ref="A1336">IFERROR(
  INDEX('Starlink Launches'!$A:$A, MATCH($E1336, 'Starlink Launches'!$B:$B, 0)),
  ""
)
</f>
        <v>6-61</v>
      </c>
      <c r="B1336" s="3" t="s">
        <v>25</v>
      </c>
      <c r="C1336" s="12" t="s">
        <v>1348</v>
      </c>
      <c r="D1336" s="13">
        <v>61638.0</v>
      </c>
      <c r="E1336" s="4">
        <v>45588.0</v>
      </c>
      <c r="F1336" s="4" t="str">
        <f>IF(D1336="","", IFNA(VLOOKUP(D1336, SATCAT_DECAY!A:B, 2, FALSE), ""))
</f>
        <v/>
      </c>
      <c r="G1336" s="3" t="str">
        <f t="shared" si="1"/>
        <v>ACTIVE</v>
      </c>
    </row>
    <row r="1337" ht="22.5" customHeight="1">
      <c r="A1337" s="11" t="str">
        <f t="array" ref="A1337">IFERROR(
  INDEX('Starlink Launches'!$A:$A, MATCH($E1337, 'Starlink Launches'!$B:$B, 0)),
  ""
)
</f>
        <v>6-61</v>
      </c>
      <c r="B1337" s="3" t="s">
        <v>25</v>
      </c>
      <c r="C1337" s="12" t="s">
        <v>1349</v>
      </c>
      <c r="D1337" s="13">
        <v>61639.0</v>
      </c>
      <c r="E1337" s="4">
        <v>45588.0</v>
      </c>
      <c r="F1337" s="4" t="str">
        <f>IF(D1337="","", IFNA(VLOOKUP(D1337, SATCAT_DECAY!A:B, 2, FALSE), ""))
</f>
        <v/>
      </c>
      <c r="G1337" s="3" t="str">
        <f t="shared" si="1"/>
        <v>ACTIVE</v>
      </c>
    </row>
    <row r="1338" ht="22.5" customHeight="1">
      <c r="A1338" s="11" t="str">
        <f t="array" ref="A1338">IFERROR(
  INDEX('Starlink Launches'!$A:$A, MATCH($E1338, 'Starlink Launches'!$B:$B, 0)),
  ""
)
</f>
        <v>6-61</v>
      </c>
      <c r="B1338" s="3" t="s">
        <v>25</v>
      </c>
      <c r="C1338" s="12" t="s">
        <v>1350</v>
      </c>
      <c r="D1338" s="13">
        <v>61640.0</v>
      </c>
      <c r="E1338" s="4">
        <v>45588.0</v>
      </c>
      <c r="F1338" s="4" t="str">
        <f>IF(D1338="","", IFNA(VLOOKUP(D1338, SATCAT_DECAY!A:B, 2, FALSE), ""))
</f>
        <v/>
      </c>
      <c r="G1338" s="3" t="str">
        <f t="shared" si="1"/>
        <v>ACTIVE</v>
      </c>
    </row>
    <row r="1339" ht="22.5" customHeight="1">
      <c r="A1339" s="11" t="str">
        <f t="array" ref="A1339">IFERROR(
  INDEX('Starlink Launches'!$A:$A, MATCH($E1339, 'Starlink Launches'!$B:$B, 0)),
  ""
)
</f>
        <v>6-61</v>
      </c>
      <c r="B1339" s="3" t="s">
        <v>25</v>
      </c>
      <c r="C1339" s="12" t="s">
        <v>1351</v>
      </c>
      <c r="D1339" s="13">
        <v>61641.0</v>
      </c>
      <c r="E1339" s="4">
        <v>45588.0</v>
      </c>
      <c r="F1339" s="4" t="str">
        <f>IF(D1339="","", IFNA(VLOOKUP(D1339, SATCAT_DECAY!A:B, 2, FALSE), ""))
</f>
        <v/>
      </c>
      <c r="G1339" s="3" t="str">
        <f t="shared" si="1"/>
        <v>ACTIVE</v>
      </c>
    </row>
    <row r="1340" ht="22.5" customHeight="1">
      <c r="A1340" s="11" t="str">
        <f t="array" ref="A1340">IFERROR(
  INDEX('Starlink Launches'!$A:$A, MATCH($E1340, 'Starlink Launches'!$B:$B, 0)),
  ""
)
</f>
        <v>6-61</v>
      </c>
      <c r="B1340" s="3" t="s">
        <v>25</v>
      </c>
      <c r="C1340" s="12" t="s">
        <v>1352</v>
      </c>
      <c r="D1340" s="13">
        <v>61642.0</v>
      </c>
      <c r="E1340" s="4">
        <v>45588.0</v>
      </c>
      <c r="F1340" s="4" t="str">
        <f>IF(D1340="","", IFNA(VLOOKUP(D1340, SATCAT_DECAY!A:B, 2, FALSE), ""))
</f>
        <v/>
      </c>
      <c r="G1340" s="3" t="str">
        <f t="shared" si="1"/>
        <v>ACTIVE</v>
      </c>
    </row>
    <row r="1341" ht="22.5" customHeight="1">
      <c r="A1341" s="11" t="str">
        <f t="array" ref="A1341">IFERROR(
  INDEX('Starlink Launches'!$A:$A, MATCH($E1341, 'Starlink Launches'!$B:$B, 0)),
  ""
)
</f>
        <v>6-61</v>
      </c>
      <c r="B1341" s="3" t="s">
        <v>25</v>
      </c>
      <c r="C1341" s="12" t="s">
        <v>1353</v>
      </c>
      <c r="D1341" s="13">
        <v>61643.0</v>
      </c>
      <c r="E1341" s="4">
        <v>45588.0</v>
      </c>
      <c r="F1341" s="4" t="str">
        <f>IF(D1341="","", IFNA(VLOOKUP(D1341, SATCAT_DECAY!A:B, 2, FALSE), ""))
</f>
        <v/>
      </c>
      <c r="G1341" s="3" t="str">
        <f t="shared" si="1"/>
        <v>ACTIVE</v>
      </c>
    </row>
    <row r="1342" ht="22.5" customHeight="1">
      <c r="A1342" s="11" t="str">
        <f t="array" ref="A1342">IFERROR(
  INDEX('Starlink Launches'!$A:$A, MATCH($E1342, 'Starlink Launches'!$B:$B, 0)),
  ""
)
</f>
        <v>6-77</v>
      </c>
      <c r="B1342" s="3" t="s">
        <v>25</v>
      </c>
      <c r="C1342" s="12" t="s">
        <v>1354</v>
      </c>
      <c r="D1342" s="13">
        <v>61845.0</v>
      </c>
      <c r="E1342" s="4">
        <v>45603.0</v>
      </c>
      <c r="F1342" s="4" t="str">
        <f>IF(D1342="","", IFNA(VLOOKUP(D1342, SATCAT_DECAY!A:B, 2, FALSE), ""))
</f>
        <v/>
      </c>
      <c r="G1342" s="3" t="str">
        <f t="shared" si="1"/>
        <v>ACTIVE</v>
      </c>
    </row>
    <row r="1343" ht="22.5" customHeight="1">
      <c r="A1343" s="11" t="str">
        <f t="array" ref="A1343">IFERROR(
  INDEX('Starlink Launches'!$A:$A, MATCH($E1343, 'Starlink Launches'!$B:$B, 0)),
  ""
)
</f>
        <v>6-77</v>
      </c>
      <c r="B1343" s="3" t="s">
        <v>25</v>
      </c>
      <c r="C1343" s="12" t="s">
        <v>1355</v>
      </c>
      <c r="D1343" s="13">
        <v>61846.0</v>
      </c>
      <c r="E1343" s="4">
        <v>45603.0</v>
      </c>
      <c r="F1343" s="4" t="str">
        <f>IF(D1343="","", IFNA(VLOOKUP(D1343, SATCAT_DECAY!A:B, 2, FALSE), ""))
</f>
        <v/>
      </c>
      <c r="G1343" s="3" t="str">
        <f t="shared" si="1"/>
        <v>ACTIVE</v>
      </c>
    </row>
    <row r="1344" ht="22.5" customHeight="1">
      <c r="A1344" s="11" t="str">
        <f t="array" ref="A1344">IFERROR(
  INDEX('Starlink Launches'!$A:$A, MATCH($E1344, 'Starlink Launches'!$B:$B, 0)),
  ""
)
</f>
        <v>6-77</v>
      </c>
      <c r="B1344" s="3" t="s">
        <v>25</v>
      </c>
      <c r="C1344" s="12" t="s">
        <v>1356</v>
      </c>
      <c r="D1344" s="13">
        <v>61847.0</v>
      </c>
      <c r="E1344" s="4">
        <v>45603.0</v>
      </c>
      <c r="F1344" s="4" t="str">
        <f>IF(D1344="","", IFNA(VLOOKUP(D1344, SATCAT_DECAY!A:B, 2, FALSE), ""))
</f>
        <v/>
      </c>
      <c r="G1344" s="3" t="str">
        <f t="shared" si="1"/>
        <v>ACTIVE</v>
      </c>
    </row>
    <row r="1345" ht="22.5" customHeight="1">
      <c r="A1345" s="11" t="str">
        <f t="array" ref="A1345">IFERROR(
  INDEX('Starlink Launches'!$A:$A, MATCH($E1345, 'Starlink Launches'!$B:$B, 0)),
  ""
)
</f>
        <v>6-77</v>
      </c>
      <c r="B1345" s="3" t="s">
        <v>25</v>
      </c>
      <c r="C1345" s="12" t="s">
        <v>1357</v>
      </c>
      <c r="D1345" s="13">
        <v>61848.0</v>
      </c>
      <c r="E1345" s="4">
        <v>45603.0</v>
      </c>
      <c r="F1345" s="4" t="str">
        <f>IF(D1345="","", IFNA(VLOOKUP(D1345, SATCAT_DECAY!A:B, 2, FALSE), ""))
</f>
        <v/>
      </c>
      <c r="G1345" s="3" t="str">
        <f t="shared" si="1"/>
        <v>ACTIVE</v>
      </c>
    </row>
    <row r="1346" ht="22.5" customHeight="1">
      <c r="A1346" s="11" t="str">
        <f t="array" ref="A1346">IFERROR(
  INDEX('Starlink Launches'!$A:$A, MATCH($E1346, 'Starlink Launches'!$B:$B, 0)),
  ""
)
</f>
        <v>6-77</v>
      </c>
      <c r="B1346" s="3" t="s">
        <v>25</v>
      </c>
      <c r="C1346" s="12" t="s">
        <v>1358</v>
      </c>
      <c r="D1346" s="13">
        <v>61849.0</v>
      </c>
      <c r="E1346" s="4">
        <v>45603.0</v>
      </c>
      <c r="F1346" s="4" t="str">
        <f>IF(D1346="","", IFNA(VLOOKUP(D1346, SATCAT_DECAY!A:B, 2, FALSE), ""))
</f>
        <v/>
      </c>
      <c r="G1346" s="3" t="str">
        <f t="shared" si="1"/>
        <v>ACTIVE</v>
      </c>
    </row>
    <row r="1347" ht="22.5" customHeight="1">
      <c r="A1347" s="11" t="str">
        <f t="array" ref="A1347">IFERROR(
  INDEX('Starlink Launches'!$A:$A, MATCH($E1347, 'Starlink Launches'!$B:$B, 0)),
  ""
)
</f>
        <v>6-77</v>
      </c>
      <c r="B1347" s="3" t="s">
        <v>25</v>
      </c>
      <c r="C1347" s="12" t="s">
        <v>1359</v>
      </c>
      <c r="D1347" s="13">
        <v>61850.0</v>
      </c>
      <c r="E1347" s="4">
        <v>45603.0</v>
      </c>
      <c r="F1347" s="4" t="str">
        <f>IF(D1347="","", IFNA(VLOOKUP(D1347, SATCAT_DECAY!A:B, 2, FALSE), ""))
</f>
        <v/>
      </c>
      <c r="G1347" s="3" t="str">
        <f t="shared" si="1"/>
        <v>ACTIVE</v>
      </c>
    </row>
    <row r="1348" ht="22.5" customHeight="1">
      <c r="A1348" s="11" t="str">
        <f t="array" ref="A1348">IFERROR(
  INDEX('Starlink Launches'!$A:$A, MATCH($E1348, 'Starlink Launches'!$B:$B, 0)),
  ""
)
</f>
        <v>6-77</v>
      </c>
      <c r="B1348" s="3" t="s">
        <v>25</v>
      </c>
      <c r="C1348" s="12" t="s">
        <v>1360</v>
      </c>
      <c r="D1348" s="13">
        <v>61851.0</v>
      </c>
      <c r="E1348" s="4">
        <v>45603.0</v>
      </c>
      <c r="F1348" s="4" t="str">
        <f>IF(D1348="","", IFNA(VLOOKUP(D1348, SATCAT_DECAY!A:B, 2, FALSE), ""))
</f>
        <v/>
      </c>
      <c r="G1348" s="3" t="str">
        <f t="shared" si="1"/>
        <v>ACTIVE</v>
      </c>
    </row>
    <row r="1349" ht="22.5" customHeight="1">
      <c r="A1349" s="11" t="str">
        <f t="array" ref="A1349">IFERROR(
  INDEX('Starlink Launches'!$A:$A, MATCH($E1349, 'Starlink Launches'!$B:$B, 0)),
  ""
)
</f>
        <v>6-77</v>
      </c>
      <c r="B1349" s="3" t="s">
        <v>25</v>
      </c>
      <c r="C1349" s="12" t="s">
        <v>1361</v>
      </c>
      <c r="D1349" s="13">
        <v>61852.0</v>
      </c>
      <c r="E1349" s="4">
        <v>45603.0</v>
      </c>
      <c r="F1349" s="4" t="str">
        <f>IF(D1349="","", IFNA(VLOOKUP(D1349, SATCAT_DECAY!A:B, 2, FALSE), ""))
</f>
        <v/>
      </c>
      <c r="G1349" s="3" t="str">
        <f t="shared" si="1"/>
        <v>ACTIVE</v>
      </c>
    </row>
    <row r="1350" ht="22.5" customHeight="1">
      <c r="A1350" s="11" t="str">
        <f t="array" ref="A1350">IFERROR(
  INDEX('Starlink Launches'!$A:$A, MATCH($E1350, 'Starlink Launches'!$B:$B, 0)),
  ""
)
</f>
        <v>6-77</v>
      </c>
      <c r="B1350" s="3" t="s">
        <v>25</v>
      </c>
      <c r="C1350" s="12" t="s">
        <v>1362</v>
      </c>
      <c r="D1350" s="13">
        <v>61853.0</v>
      </c>
      <c r="E1350" s="4">
        <v>45603.0</v>
      </c>
      <c r="F1350" s="4" t="str">
        <f>IF(D1350="","", IFNA(VLOOKUP(D1350, SATCAT_DECAY!A:B, 2, FALSE), ""))
</f>
        <v/>
      </c>
      <c r="G1350" s="3" t="str">
        <f t="shared" si="1"/>
        <v>ACTIVE</v>
      </c>
    </row>
    <row r="1351" ht="22.5" customHeight="1">
      <c r="A1351" s="11" t="str">
        <f t="array" ref="A1351">IFERROR(
  INDEX('Starlink Launches'!$A:$A, MATCH($E1351, 'Starlink Launches'!$B:$B, 0)),
  ""
)
</f>
        <v>6-77</v>
      </c>
      <c r="B1351" s="3" t="s">
        <v>25</v>
      </c>
      <c r="C1351" s="12" t="s">
        <v>1363</v>
      </c>
      <c r="D1351" s="13">
        <v>61854.0</v>
      </c>
      <c r="E1351" s="4">
        <v>45603.0</v>
      </c>
      <c r="F1351" s="4" t="str">
        <f>IF(D1351="","", IFNA(VLOOKUP(D1351, SATCAT_DECAY!A:B, 2, FALSE), ""))
</f>
        <v/>
      </c>
      <c r="G1351" s="3" t="str">
        <f t="shared" si="1"/>
        <v>ACTIVE</v>
      </c>
    </row>
    <row r="1352" ht="22.5" customHeight="1">
      <c r="A1352" s="11" t="str">
        <f t="array" ref="A1352">IFERROR(
  INDEX('Starlink Launches'!$A:$A, MATCH($E1352, 'Starlink Launches'!$B:$B, 0)),
  ""
)
</f>
        <v>6-77</v>
      </c>
      <c r="B1352" s="3" t="s">
        <v>25</v>
      </c>
      <c r="C1352" s="12" t="s">
        <v>1364</v>
      </c>
      <c r="D1352" s="13">
        <v>61855.0</v>
      </c>
      <c r="E1352" s="4">
        <v>45603.0</v>
      </c>
      <c r="F1352" s="4" t="str">
        <f>IF(D1352="","", IFNA(VLOOKUP(D1352, SATCAT_DECAY!A:B, 2, FALSE), ""))
</f>
        <v/>
      </c>
      <c r="G1352" s="3" t="str">
        <f t="shared" si="1"/>
        <v>ACTIVE</v>
      </c>
    </row>
    <row r="1353" ht="22.5" customHeight="1">
      <c r="A1353" s="11" t="str">
        <f t="array" ref="A1353">IFERROR(
  INDEX('Starlink Launches'!$A:$A, MATCH($E1353, 'Starlink Launches'!$B:$B, 0)),
  ""
)
</f>
        <v>6-77</v>
      </c>
      <c r="B1353" s="3" t="s">
        <v>25</v>
      </c>
      <c r="C1353" s="12" t="s">
        <v>1365</v>
      </c>
      <c r="D1353" s="13">
        <v>61856.0</v>
      </c>
      <c r="E1353" s="4">
        <v>45603.0</v>
      </c>
      <c r="F1353" s="4" t="str">
        <f>IF(D1353="","", IFNA(VLOOKUP(D1353, SATCAT_DECAY!A:B, 2, FALSE), ""))
</f>
        <v/>
      </c>
      <c r="G1353" s="3" t="str">
        <f t="shared" si="1"/>
        <v>ACTIVE</v>
      </c>
    </row>
    <row r="1354" ht="22.5" customHeight="1">
      <c r="A1354" s="11" t="str">
        <f t="array" ref="A1354">IFERROR(
  INDEX('Starlink Launches'!$A:$A, MATCH($E1354, 'Starlink Launches'!$B:$B, 0)),
  ""
)
</f>
        <v>6-77</v>
      </c>
      <c r="B1354" s="3" t="s">
        <v>25</v>
      </c>
      <c r="C1354" s="12" t="s">
        <v>1366</v>
      </c>
      <c r="D1354" s="13">
        <v>61857.0</v>
      </c>
      <c r="E1354" s="4">
        <v>45603.0</v>
      </c>
      <c r="F1354" s="4" t="str">
        <f>IF(D1354="","", IFNA(VLOOKUP(D1354, SATCAT_DECAY!A:B, 2, FALSE), ""))
</f>
        <v/>
      </c>
      <c r="G1354" s="3" t="str">
        <f t="shared" si="1"/>
        <v>ACTIVE</v>
      </c>
    </row>
    <row r="1355" ht="22.5" customHeight="1">
      <c r="A1355" s="11" t="str">
        <f t="array" ref="A1355">IFERROR(
  INDEX('Starlink Launches'!$A:$A, MATCH($E1355, 'Starlink Launches'!$B:$B, 0)),
  ""
)
</f>
        <v>6-77</v>
      </c>
      <c r="B1355" s="3" t="s">
        <v>25</v>
      </c>
      <c r="C1355" s="12" t="s">
        <v>1367</v>
      </c>
      <c r="D1355" s="13">
        <v>61858.0</v>
      </c>
      <c r="E1355" s="4">
        <v>45603.0</v>
      </c>
      <c r="F1355" s="4" t="str">
        <f>IF(D1355="","", IFNA(VLOOKUP(D1355, SATCAT_DECAY!A:B, 2, FALSE), ""))
</f>
        <v/>
      </c>
      <c r="G1355" s="3" t="str">
        <f t="shared" si="1"/>
        <v>ACTIVE</v>
      </c>
    </row>
    <row r="1356" ht="22.5" customHeight="1">
      <c r="A1356" s="11" t="str">
        <f t="array" ref="A1356">IFERROR(
  INDEX('Starlink Launches'!$A:$A, MATCH($E1356, 'Starlink Launches'!$B:$B, 0)),
  ""
)
</f>
        <v>6-77</v>
      </c>
      <c r="B1356" s="3" t="s">
        <v>25</v>
      </c>
      <c r="C1356" s="12" t="s">
        <v>1368</v>
      </c>
      <c r="D1356" s="13">
        <v>61859.0</v>
      </c>
      <c r="E1356" s="4">
        <v>45603.0</v>
      </c>
      <c r="F1356" s="4" t="str">
        <f>IF(D1356="","", IFNA(VLOOKUP(D1356, SATCAT_DECAY!A:B, 2, FALSE), ""))
</f>
        <v/>
      </c>
      <c r="G1356" s="3" t="str">
        <f t="shared" si="1"/>
        <v>ACTIVE</v>
      </c>
    </row>
    <row r="1357" ht="22.5" customHeight="1">
      <c r="A1357" s="11" t="str">
        <f t="array" ref="A1357">IFERROR(
  INDEX('Starlink Launches'!$A:$A, MATCH($E1357, 'Starlink Launches'!$B:$B, 0)),
  ""
)
</f>
        <v>6-77</v>
      </c>
      <c r="B1357" s="3" t="s">
        <v>25</v>
      </c>
      <c r="C1357" s="12" t="s">
        <v>1369</v>
      </c>
      <c r="D1357" s="13">
        <v>61860.0</v>
      </c>
      <c r="E1357" s="4">
        <v>45603.0</v>
      </c>
      <c r="F1357" s="4" t="str">
        <f>IF(D1357="","", IFNA(VLOOKUP(D1357, SATCAT_DECAY!A:B, 2, FALSE), ""))
</f>
        <v/>
      </c>
      <c r="G1357" s="3" t="str">
        <f t="shared" si="1"/>
        <v>ACTIVE</v>
      </c>
    </row>
    <row r="1358" ht="22.5" customHeight="1">
      <c r="A1358" s="11" t="str">
        <f t="array" ref="A1358">IFERROR(
  INDEX('Starlink Launches'!$A:$A, MATCH($E1358, 'Starlink Launches'!$B:$B, 0)),
  ""
)
</f>
        <v>6-77</v>
      </c>
      <c r="B1358" s="3" t="s">
        <v>25</v>
      </c>
      <c r="C1358" s="12" t="s">
        <v>1370</v>
      </c>
      <c r="D1358" s="13">
        <v>61861.0</v>
      </c>
      <c r="E1358" s="4">
        <v>45603.0</v>
      </c>
      <c r="F1358" s="4" t="str">
        <f>IF(D1358="","", IFNA(VLOOKUP(D1358, SATCAT_DECAY!A:B, 2, FALSE), ""))
</f>
        <v/>
      </c>
      <c r="G1358" s="3" t="str">
        <f t="shared" si="1"/>
        <v>ACTIVE</v>
      </c>
    </row>
    <row r="1359" ht="22.5" customHeight="1">
      <c r="A1359" s="11" t="str">
        <f t="array" ref="A1359">IFERROR(
  INDEX('Starlink Launches'!$A:$A, MATCH($E1359, 'Starlink Launches'!$B:$B, 0)),
  ""
)
</f>
        <v>6-77</v>
      </c>
      <c r="B1359" s="3" t="s">
        <v>25</v>
      </c>
      <c r="C1359" s="12" t="s">
        <v>1371</v>
      </c>
      <c r="D1359" s="13">
        <v>61862.0</v>
      </c>
      <c r="E1359" s="4">
        <v>45603.0</v>
      </c>
      <c r="F1359" s="4" t="str">
        <f>IF(D1359="","", IFNA(VLOOKUP(D1359, SATCAT_DECAY!A:B, 2, FALSE), ""))
</f>
        <v/>
      </c>
      <c r="G1359" s="3" t="str">
        <f t="shared" si="1"/>
        <v>ACTIVE</v>
      </c>
    </row>
    <row r="1360" ht="22.5" customHeight="1">
      <c r="A1360" s="11" t="str">
        <f t="array" ref="A1360">IFERROR(
  INDEX('Starlink Launches'!$A:$A, MATCH($E1360, 'Starlink Launches'!$B:$B, 0)),
  ""
)
</f>
        <v>6-77</v>
      </c>
      <c r="B1360" s="3" t="s">
        <v>25</v>
      </c>
      <c r="C1360" s="12" t="s">
        <v>1372</v>
      </c>
      <c r="D1360" s="13">
        <v>61863.0</v>
      </c>
      <c r="E1360" s="4">
        <v>45603.0</v>
      </c>
      <c r="F1360" s="4" t="str">
        <f>IF(D1360="","", IFNA(VLOOKUP(D1360, SATCAT_DECAY!A:B, 2, FALSE), ""))
</f>
        <v/>
      </c>
      <c r="G1360" s="3" t="str">
        <f t="shared" si="1"/>
        <v>ACTIVE</v>
      </c>
    </row>
    <row r="1361" ht="22.5" customHeight="1">
      <c r="A1361" s="11" t="str">
        <f t="array" ref="A1361">IFERROR(
  INDEX('Starlink Launches'!$A:$A, MATCH($E1361, 'Starlink Launches'!$B:$B, 0)),
  ""
)
</f>
        <v>6-77</v>
      </c>
      <c r="B1361" s="3" t="s">
        <v>25</v>
      </c>
      <c r="C1361" s="12" t="s">
        <v>1373</v>
      </c>
      <c r="D1361" s="13">
        <v>61864.0</v>
      </c>
      <c r="E1361" s="4">
        <v>45603.0</v>
      </c>
      <c r="F1361" s="4" t="str">
        <f>IF(D1361="","", IFNA(VLOOKUP(D1361, SATCAT_DECAY!A:B, 2, FALSE), ""))
</f>
        <v/>
      </c>
      <c r="G1361" s="3" t="str">
        <f t="shared" si="1"/>
        <v>ACTIVE</v>
      </c>
    </row>
    <row r="1362" ht="22.5" customHeight="1">
      <c r="A1362" s="11" t="str">
        <f t="array" ref="A1362">IFERROR(
  INDEX('Starlink Launches'!$A:$A, MATCH($E1362, 'Starlink Launches'!$B:$B, 0)),
  ""
)
</f>
        <v>6-77</v>
      </c>
      <c r="B1362" s="3" t="s">
        <v>25</v>
      </c>
      <c r="C1362" s="12" t="s">
        <v>1374</v>
      </c>
      <c r="D1362" s="13">
        <v>61865.0</v>
      </c>
      <c r="E1362" s="4">
        <v>45603.0</v>
      </c>
      <c r="F1362" s="4" t="str">
        <f>IF(D1362="","", IFNA(VLOOKUP(D1362, SATCAT_DECAY!A:B, 2, FALSE), ""))
</f>
        <v/>
      </c>
      <c r="G1362" s="3" t="str">
        <f t="shared" si="1"/>
        <v>ACTIVE</v>
      </c>
    </row>
    <row r="1363" ht="22.5" customHeight="1">
      <c r="A1363" s="11" t="str">
        <f t="array" ref="A1363">IFERROR(
  INDEX('Starlink Launches'!$A:$A, MATCH($E1363, 'Starlink Launches'!$B:$B, 0)),
  ""
)
</f>
        <v>6-77</v>
      </c>
      <c r="B1363" s="3" t="s">
        <v>25</v>
      </c>
      <c r="C1363" s="12" t="s">
        <v>1375</v>
      </c>
      <c r="D1363" s="13">
        <v>61866.0</v>
      </c>
      <c r="E1363" s="4">
        <v>45603.0</v>
      </c>
      <c r="F1363" s="4" t="str">
        <f>IF(D1363="","", IFNA(VLOOKUP(D1363, SATCAT_DECAY!A:B, 2, FALSE), ""))
</f>
        <v/>
      </c>
      <c r="G1363" s="3" t="str">
        <f t="shared" si="1"/>
        <v>ACTIVE</v>
      </c>
    </row>
    <row r="1364" ht="22.5" customHeight="1">
      <c r="A1364" s="11" t="str">
        <f t="array" ref="A1364">IFERROR(
  INDEX('Starlink Launches'!$A:$A, MATCH($E1364, 'Starlink Launches'!$B:$B, 0)),
  ""
)
</f>
        <v>6-77</v>
      </c>
      <c r="B1364" s="3" t="s">
        <v>25</v>
      </c>
      <c r="C1364" s="12" t="s">
        <v>1376</v>
      </c>
      <c r="D1364" s="13">
        <v>61867.0</v>
      </c>
      <c r="E1364" s="4">
        <v>45603.0</v>
      </c>
      <c r="F1364" s="4" t="str">
        <f>IF(D1364="","", IFNA(VLOOKUP(D1364, SATCAT_DECAY!A:B, 2, FALSE), ""))
</f>
        <v/>
      </c>
      <c r="G1364" s="3" t="str">
        <f t="shared" si="1"/>
        <v>ACTIVE</v>
      </c>
    </row>
    <row r="1365" ht="22.5" customHeight="1">
      <c r="A1365" s="11" t="str">
        <f t="array" ref="A1365">IFERROR(
  INDEX('Starlink Launches'!$A:$A, MATCH($E1365, 'Starlink Launches'!$B:$B, 0)),
  ""
)
</f>
        <v>6-69</v>
      </c>
      <c r="B1365" s="3" t="s">
        <v>25</v>
      </c>
      <c r="C1365" s="12" t="s">
        <v>1377</v>
      </c>
      <c r="D1365" s="13">
        <v>61912.0</v>
      </c>
      <c r="E1365" s="4">
        <v>45607.0</v>
      </c>
      <c r="F1365" s="4" t="str">
        <f>IF(D1365="","", IFNA(VLOOKUP(D1365, SATCAT_DECAY!A:B, 2, FALSE), ""))
</f>
        <v/>
      </c>
      <c r="G1365" s="3" t="str">
        <f t="shared" si="1"/>
        <v>ACTIVE</v>
      </c>
    </row>
    <row r="1366" ht="22.5" customHeight="1">
      <c r="A1366" s="11" t="str">
        <f t="array" ref="A1366">IFERROR(
  INDEX('Starlink Launches'!$A:$A, MATCH($E1366, 'Starlink Launches'!$B:$B, 0)),
  ""
)
</f>
        <v>6-69</v>
      </c>
      <c r="B1366" s="3" t="s">
        <v>25</v>
      </c>
      <c r="C1366" s="12" t="s">
        <v>1378</v>
      </c>
      <c r="D1366" s="13">
        <v>61913.0</v>
      </c>
      <c r="E1366" s="4">
        <v>45607.0</v>
      </c>
      <c r="F1366" s="4" t="str">
        <f>IF(D1366="","", IFNA(VLOOKUP(D1366, SATCAT_DECAY!A:B, 2, FALSE), ""))
</f>
        <v/>
      </c>
      <c r="G1366" s="3" t="str">
        <f t="shared" si="1"/>
        <v>ACTIVE</v>
      </c>
    </row>
    <row r="1367" ht="22.5" customHeight="1">
      <c r="A1367" s="11" t="str">
        <f t="array" ref="A1367">IFERROR(
  INDEX('Starlink Launches'!$A:$A, MATCH($E1367, 'Starlink Launches'!$B:$B, 0)),
  ""
)
</f>
        <v>6-69</v>
      </c>
      <c r="B1367" s="3" t="s">
        <v>25</v>
      </c>
      <c r="C1367" s="12" t="s">
        <v>1379</v>
      </c>
      <c r="D1367" s="13">
        <v>61914.0</v>
      </c>
      <c r="E1367" s="4">
        <v>45607.0</v>
      </c>
      <c r="F1367" s="4" t="str">
        <f>IF(D1367="","", IFNA(VLOOKUP(D1367, SATCAT_DECAY!A:B, 2, FALSE), ""))
</f>
        <v/>
      </c>
      <c r="G1367" s="3" t="str">
        <f t="shared" si="1"/>
        <v>ACTIVE</v>
      </c>
    </row>
    <row r="1368" ht="22.5" customHeight="1">
      <c r="A1368" s="11" t="str">
        <f t="array" ref="A1368">IFERROR(
  INDEX('Starlink Launches'!$A:$A, MATCH($E1368, 'Starlink Launches'!$B:$B, 0)),
  ""
)
</f>
        <v>6-69</v>
      </c>
      <c r="B1368" s="3" t="s">
        <v>25</v>
      </c>
      <c r="C1368" s="12" t="s">
        <v>1380</v>
      </c>
      <c r="D1368" s="13">
        <v>61915.0</v>
      </c>
      <c r="E1368" s="4">
        <v>45607.0</v>
      </c>
      <c r="F1368" s="4" t="str">
        <f>IF(D1368="","", IFNA(VLOOKUP(D1368, SATCAT_DECAY!A:B, 2, FALSE), ""))
</f>
        <v/>
      </c>
      <c r="G1368" s="3" t="str">
        <f t="shared" si="1"/>
        <v>ACTIVE</v>
      </c>
    </row>
    <row r="1369" ht="22.5" customHeight="1">
      <c r="A1369" s="11" t="str">
        <f t="array" ref="A1369">IFERROR(
  INDEX('Starlink Launches'!$A:$A, MATCH($E1369, 'Starlink Launches'!$B:$B, 0)),
  ""
)
</f>
        <v>6-69</v>
      </c>
      <c r="B1369" s="3" t="s">
        <v>25</v>
      </c>
      <c r="C1369" s="12" t="s">
        <v>1381</v>
      </c>
      <c r="D1369" s="13">
        <v>61916.0</v>
      </c>
      <c r="E1369" s="4">
        <v>45607.0</v>
      </c>
      <c r="F1369" s="4" t="str">
        <f>IF(D1369="","", IFNA(VLOOKUP(D1369, SATCAT_DECAY!A:B, 2, FALSE), ""))
</f>
        <v/>
      </c>
      <c r="G1369" s="3" t="str">
        <f t="shared" si="1"/>
        <v>ACTIVE</v>
      </c>
    </row>
    <row r="1370" ht="22.5" customHeight="1">
      <c r="A1370" s="11" t="str">
        <f t="array" ref="A1370">IFERROR(
  INDEX('Starlink Launches'!$A:$A, MATCH($E1370, 'Starlink Launches'!$B:$B, 0)),
  ""
)
</f>
        <v>6-69</v>
      </c>
      <c r="B1370" s="3" t="s">
        <v>25</v>
      </c>
      <c r="C1370" s="12" t="s">
        <v>1382</v>
      </c>
      <c r="D1370" s="13">
        <v>61917.0</v>
      </c>
      <c r="E1370" s="4">
        <v>45607.0</v>
      </c>
      <c r="F1370" s="4" t="str">
        <f>IF(D1370="","", IFNA(VLOOKUP(D1370, SATCAT_DECAY!A:B, 2, FALSE), ""))
</f>
        <v/>
      </c>
      <c r="G1370" s="3" t="str">
        <f t="shared" si="1"/>
        <v>ACTIVE</v>
      </c>
    </row>
    <row r="1371" ht="22.5" customHeight="1">
      <c r="A1371" s="11" t="str">
        <f t="array" ref="A1371">IFERROR(
  INDEX('Starlink Launches'!$A:$A, MATCH($E1371, 'Starlink Launches'!$B:$B, 0)),
  ""
)
</f>
        <v>6-69</v>
      </c>
      <c r="B1371" s="3" t="s">
        <v>25</v>
      </c>
      <c r="C1371" s="12" t="s">
        <v>1383</v>
      </c>
      <c r="D1371" s="13">
        <v>61918.0</v>
      </c>
      <c r="E1371" s="4">
        <v>45607.0</v>
      </c>
      <c r="F1371" s="4" t="str">
        <f>IF(D1371="","", IFNA(VLOOKUP(D1371, SATCAT_DECAY!A:B, 2, FALSE), ""))
</f>
        <v/>
      </c>
      <c r="G1371" s="3" t="str">
        <f t="shared" si="1"/>
        <v>ACTIVE</v>
      </c>
    </row>
    <row r="1372" ht="22.5" customHeight="1">
      <c r="A1372" s="11" t="str">
        <f t="array" ref="A1372">IFERROR(
  INDEX('Starlink Launches'!$A:$A, MATCH($E1372, 'Starlink Launches'!$B:$B, 0)),
  ""
)
</f>
        <v>6-69</v>
      </c>
      <c r="B1372" s="3" t="s">
        <v>25</v>
      </c>
      <c r="C1372" s="12" t="s">
        <v>1384</v>
      </c>
      <c r="D1372" s="13">
        <v>61919.0</v>
      </c>
      <c r="E1372" s="4">
        <v>45607.0</v>
      </c>
      <c r="F1372" s="4" t="str">
        <f>IF(D1372="","", IFNA(VLOOKUP(D1372, SATCAT_DECAY!A:B, 2, FALSE), ""))
</f>
        <v/>
      </c>
      <c r="G1372" s="3" t="str">
        <f t="shared" si="1"/>
        <v>ACTIVE</v>
      </c>
    </row>
    <row r="1373" ht="22.5" customHeight="1">
      <c r="A1373" s="11" t="str">
        <f t="array" ref="A1373">IFERROR(
  INDEX('Starlink Launches'!$A:$A, MATCH($E1373, 'Starlink Launches'!$B:$B, 0)),
  ""
)
</f>
        <v>6-69</v>
      </c>
      <c r="B1373" s="3" t="s">
        <v>25</v>
      </c>
      <c r="C1373" s="12" t="s">
        <v>1385</v>
      </c>
      <c r="D1373" s="13">
        <v>61920.0</v>
      </c>
      <c r="E1373" s="4">
        <v>45607.0</v>
      </c>
      <c r="F1373" s="4" t="str">
        <f>IF(D1373="","", IFNA(VLOOKUP(D1373, SATCAT_DECAY!A:B, 2, FALSE), ""))
</f>
        <v/>
      </c>
      <c r="G1373" s="3" t="str">
        <f t="shared" si="1"/>
        <v>ACTIVE</v>
      </c>
    </row>
    <row r="1374" ht="22.5" customHeight="1">
      <c r="A1374" s="11" t="str">
        <f t="array" ref="A1374">IFERROR(
  INDEX('Starlink Launches'!$A:$A, MATCH($E1374, 'Starlink Launches'!$B:$B, 0)),
  ""
)
</f>
        <v>6-69</v>
      </c>
      <c r="B1374" s="3" t="s">
        <v>25</v>
      </c>
      <c r="C1374" s="12" t="s">
        <v>1386</v>
      </c>
      <c r="D1374" s="13">
        <v>61921.0</v>
      </c>
      <c r="E1374" s="4">
        <v>45607.0</v>
      </c>
      <c r="F1374" s="4" t="str">
        <f>IF(D1374="","", IFNA(VLOOKUP(D1374, SATCAT_DECAY!A:B, 2, FALSE), ""))
</f>
        <v/>
      </c>
      <c r="G1374" s="3" t="str">
        <f t="shared" si="1"/>
        <v>ACTIVE</v>
      </c>
    </row>
    <row r="1375" ht="22.5" customHeight="1">
      <c r="A1375" s="11" t="str">
        <f t="array" ref="A1375">IFERROR(
  INDEX('Starlink Launches'!$A:$A, MATCH($E1375, 'Starlink Launches'!$B:$B, 0)),
  ""
)
</f>
        <v>6-69</v>
      </c>
      <c r="B1375" s="3" t="s">
        <v>25</v>
      </c>
      <c r="C1375" s="12" t="s">
        <v>1387</v>
      </c>
      <c r="D1375" s="13">
        <v>61922.0</v>
      </c>
      <c r="E1375" s="4">
        <v>45607.0</v>
      </c>
      <c r="F1375" s="4" t="str">
        <f>IF(D1375="","", IFNA(VLOOKUP(D1375, SATCAT_DECAY!A:B, 2, FALSE), ""))
</f>
        <v/>
      </c>
      <c r="G1375" s="3" t="str">
        <f t="shared" si="1"/>
        <v>ACTIVE</v>
      </c>
    </row>
    <row r="1376" ht="22.5" customHeight="1">
      <c r="A1376" s="11" t="str">
        <f t="array" ref="A1376">IFERROR(
  INDEX('Starlink Launches'!$A:$A, MATCH($E1376, 'Starlink Launches'!$B:$B, 0)),
  ""
)
</f>
        <v>6-69</v>
      </c>
      <c r="B1376" s="3" t="s">
        <v>25</v>
      </c>
      <c r="C1376" s="12" t="s">
        <v>1388</v>
      </c>
      <c r="D1376" s="13">
        <v>61923.0</v>
      </c>
      <c r="E1376" s="4">
        <v>45607.0</v>
      </c>
      <c r="F1376" s="4" t="str">
        <f>IF(D1376="","", IFNA(VLOOKUP(D1376, SATCAT_DECAY!A:B, 2, FALSE), ""))
</f>
        <v/>
      </c>
      <c r="G1376" s="3" t="str">
        <f t="shared" si="1"/>
        <v>ACTIVE</v>
      </c>
    </row>
    <row r="1377" ht="22.5" customHeight="1">
      <c r="A1377" s="11" t="str">
        <f t="array" ref="A1377">IFERROR(
  INDEX('Starlink Launches'!$A:$A, MATCH($E1377, 'Starlink Launches'!$B:$B, 0)),
  ""
)
</f>
        <v>6-69</v>
      </c>
      <c r="B1377" s="3" t="s">
        <v>25</v>
      </c>
      <c r="C1377" s="12" t="s">
        <v>1389</v>
      </c>
      <c r="D1377" s="13">
        <v>61924.0</v>
      </c>
      <c r="E1377" s="4">
        <v>45607.0</v>
      </c>
      <c r="F1377" s="4" t="str">
        <f>IF(D1377="","", IFNA(VLOOKUP(D1377, SATCAT_DECAY!A:B, 2, FALSE), ""))
</f>
        <v/>
      </c>
      <c r="G1377" s="3" t="str">
        <f t="shared" si="1"/>
        <v>ACTIVE</v>
      </c>
    </row>
    <row r="1378" ht="22.5" customHeight="1">
      <c r="A1378" s="11" t="str">
        <f t="array" ref="A1378">IFERROR(
  INDEX('Starlink Launches'!$A:$A, MATCH($E1378, 'Starlink Launches'!$B:$B, 0)),
  ""
)
</f>
        <v>6-69</v>
      </c>
      <c r="B1378" s="3" t="s">
        <v>25</v>
      </c>
      <c r="C1378" s="12" t="s">
        <v>1390</v>
      </c>
      <c r="D1378" s="13">
        <v>61925.0</v>
      </c>
      <c r="E1378" s="4">
        <v>45607.0</v>
      </c>
      <c r="F1378" s="4" t="str">
        <f>IF(D1378="","", IFNA(VLOOKUP(D1378, SATCAT_DECAY!A:B, 2, FALSE), ""))
</f>
        <v/>
      </c>
      <c r="G1378" s="3" t="str">
        <f t="shared" si="1"/>
        <v>ACTIVE</v>
      </c>
    </row>
    <row r="1379" ht="22.5" customHeight="1">
      <c r="A1379" s="11" t="str">
        <f t="array" ref="A1379">IFERROR(
  INDEX('Starlink Launches'!$A:$A, MATCH($E1379, 'Starlink Launches'!$B:$B, 0)),
  ""
)
</f>
        <v>6-69</v>
      </c>
      <c r="B1379" s="3" t="s">
        <v>25</v>
      </c>
      <c r="C1379" s="12" t="s">
        <v>1391</v>
      </c>
      <c r="D1379" s="13">
        <v>61926.0</v>
      </c>
      <c r="E1379" s="4">
        <v>45607.0</v>
      </c>
      <c r="F1379" s="4" t="str">
        <f>IF(D1379="","", IFNA(VLOOKUP(D1379, SATCAT_DECAY!A:B, 2, FALSE), ""))
</f>
        <v/>
      </c>
      <c r="G1379" s="3" t="str">
        <f t="shared" si="1"/>
        <v>ACTIVE</v>
      </c>
    </row>
    <row r="1380" ht="22.5" customHeight="1">
      <c r="A1380" s="11" t="str">
        <f t="array" ref="A1380">IFERROR(
  INDEX('Starlink Launches'!$A:$A, MATCH($E1380, 'Starlink Launches'!$B:$B, 0)),
  ""
)
</f>
        <v>6-69</v>
      </c>
      <c r="B1380" s="3" t="s">
        <v>25</v>
      </c>
      <c r="C1380" s="12" t="s">
        <v>1392</v>
      </c>
      <c r="D1380" s="13">
        <v>61927.0</v>
      </c>
      <c r="E1380" s="4">
        <v>45607.0</v>
      </c>
      <c r="F1380" s="4" t="str">
        <f>IF(D1380="","", IFNA(VLOOKUP(D1380, SATCAT_DECAY!A:B, 2, FALSE), ""))
</f>
        <v/>
      </c>
      <c r="G1380" s="3" t="str">
        <f t="shared" si="1"/>
        <v>ACTIVE</v>
      </c>
    </row>
    <row r="1381" ht="22.5" customHeight="1">
      <c r="A1381" s="11" t="str">
        <f t="array" ref="A1381">IFERROR(
  INDEX('Starlink Launches'!$A:$A, MATCH($E1381, 'Starlink Launches'!$B:$B, 0)),
  ""
)
</f>
        <v>6-69</v>
      </c>
      <c r="B1381" s="3" t="s">
        <v>25</v>
      </c>
      <c r="C1381" s="12" t="s">
        <v>1393</v>
      </c>
      <c r="D1381" s="13">
        <v>61928.0</v>
      </c>
      <c r="E1381" s="4">
        <v>45607.0</v>
      </c>
      <c r="F1381" s="4" t="str">
        <f>IF(D1381="","", IFNA(VLOOKUP(D1381, SATCAT_DECAY!A:B, 2, FALSE), ""))
</f>
        <v/>
      </c>
      <c r="G1381" s="3" t="str">
        <f t="shared" si="1"/>
        <v>ACTIVE</v>
      </c>
    </row>
    <row r="1382" ht="22.5" customHeight="1">
      <c r="A1382" s="11" t="str">
        <f t="array" ref="A1382">IFERROR(
  INDEX('Starlink Launches'!$A:$A, MATCH($E1382, 'Starlink Launches'!$B:$B, 0)),
  ""
)
</f>
        <v>6-69</v>
      </c>
      <c r="B1382" s="3" t="s">
        <v>25</v>
      </c>
      <c r="C1382" s="12" t="s">
        <v>1394</v>
      </c>
      <c r="D1382" s="13">
        <v>61929.0</v>
      </c>
      <c r="E1382" s="4">
        <v>45607.0</v>
      </c>
      <c r="F1382" s="4" t="str">
        <f>IF(D1382="","", IFNA(VLOOKUP(D1382, SATCAT_DECAY!A:B, 2, FALSE), ""))
</f>
        <v/>
      </c>
      <c r="G1382" s="3" t="str">
        <f t="shared" si="1"/>
        <v>ACTIVE</v>
      </c>
    </row>
    <row r="1383" ht="22.5" customHeight="1">
      <c r="A1383" s="11" t="str">
        <f t="array" ref="A1383">IFERROR(
  INDEX('Starlink Launches'!$A:$A, MATCH($E1383, 'Starlink Launches'!$B:$B, 0)),
  ""
)
</f>
        <v>6-69</v>
      </c>
      <c r="B1383" s="3" t="s">
        <v>25</v>
      </c>
      <c r="C1383" s="12" t="s">
        <v>1395</v>
      </c>
      <c r="D1383" s="13">
        <v>61930.0</v>
      </c>
      <c r="E1383" s="4">
        <v>45607.0</v>
      </c>
      <c r="F1383" s="4" t="str">
        <f>IF(D1383="","", IFNA(VLOOKUP(D1383, SATCAT_DECAY!A:B, 2, FALSE), ""))
</f>
        <v/>
      </c>
      <c r="G1383" s="3" t="str">
        <f t="shared" si="1"/>
        <v>ACTIVE</v>
      </c>
    </row>
    <row r="1384" ht="22.5" customHeight="1">
      <c r="A1384" s="11" t="str">
        <f t="array" ref="A1384">IFERROR(
  INDEX('Starlink Launches'!$A:$A, MATCH($E1384, 'Starlink Launches'!$B:$B, 0)),
  ""
)
</f>
        <v>6-69</v>
      </c>
      <c r="B1384" s="3" t="s">
        <v>25</v>
      </c>
      <c r="C1384" s="12" t="s">
        <v>1396</v>
      </c>
      <c r="D1384" s="13">
        <v>61931.0</v>
      </c>
      <c r="E1384" s="4">
        <v>45607.0</v>
      </c>
      <c r="F1384" s="4" t="str">
        <f>IF(D1384="","", IFNA(VLOOKUP(D1384, SATCAT_DECAY!A:B, 2, FALSE), ""))
</f>
        <v/>
      </c>
      <c r="G1384" s="3" t="str">
        <f t="shared" si="1"/>
        <v>ACTIVE</v>
      </c>
    </row>
    <row r="1385" ht="22.5" customHeight="1">
      <c r="A1385" s="11" t="str">
        <f t="array" ref="A1385">IFERROR(
  INDEX('Starlink Launches'!$A:$A, MATCH($E1385, 'Starlink Launches'!$B:$B, 0)),
  ""
)
</f>
        <v>6-69</v>
      </c>
      <c r="B1385" s="3" t="s">
        <v>25</v>
      </c>
      <c r="C1385" s="12" t="s">
        <v>1397</v>
      </c>
      <c r="D1385" s="13">
        <v>61932.0</v>
      </c>
      <c r="E1385" s="4">
        <v>45607.0</v>
      </c>
      <c r="F1385" s="4" t="str">
        <f>IF(D1385="","", IFNA(VLOOKUP(D1385, SATCAT_DECAY!A:B, 2, FALSE), ""))
</f>
        <v/>
      </c>
      <c r="G1385" s="3" t="str">
        <f t="shared" si="1"/>
        <v>ACTIVE</v>
      </c>
    </row>
    <row r="1386" ht="22.5" customHeight="1">
      <c r="A1386" s="11" t="str">
        <f t="array" ref="A1386">IFERROR(
  INDEX('Starlink Launches'!$A:$A, MATCH($E1386, 'Starlink Launches'!$B:$B, 0)),
  ""
)
</f>
        <v>6-69</v>
      </c>
      <c r="B1386" s="3" t="s">
        <v>25</v>
      </c>
      <c r="C1386" s="12" t="s">
        <v>1398</v>
      </c>
      <c r="D1386" s="13">
        <v>61933.0</v>
      </c>
      <c r="E1386" s="4">
        <v>45607.0</v>
      </c>
      <c r="F1386" s="4" t="str">
        <f>IF(D1386="","", IFNA(VLOOKUP(D1386, SATCAT_DECAY!A:B, 2, FALSE), ""))
</f>
        <v/>
      </c>
      <c r="G1386" s="3" t="str">
        <f t="shared" si="1"/>
        <v>ACTIVE</v>
      </c>
    </row>
    <row r="1387" ht="22.5" customHeight="1">
      <c r="A1387" s="11" t="str">
        <f t="array" ref="A1387">IFERROR(
  INDEX('Starlink Launches'!$A:$A, MATCH($E1387, 'Starlink Launches'!$B:$B, 0)),
  ""
)
</f>
        <v>6-69</v>
      </c>
      <c r="B1387" s="3" t="s">
        <v>25</v>
      </c>
      <c r="C1387" s="12" t="s">
        <v>1399</v>
      </c>
      <c r="D1387" s="13">
        <v>61935.0</v>
      </c>
      <c r="E1387" s="4">
        <v>45607.0</v>
      </c>
      <c r="F1387" s="4" t="str">
        <f>IF(D1387="","", IFNA(VLOOKUP(D1387, SATCAT_DECAY!A:B, 2, FALSE), ""))
</f>
        <v/>
      </c>
      <c r="G1387" s="3" t="str">
        <f t="shared" si="1"/>
        <v>ACTIVE</v>
      </c>
    </row>
    <row r="1388" ht="22.5" customHeight="1">
      <c r="A1388" s="11" t="str">
        <f t="array" ref="A1388">IFERROR(
  INDEX('Starlink Launches'!$A:$A, MATCH($E1388, 'Starlink Launches'!$B:$B, 0)),
  ""
)
</f>
        <v>6-68</v>
      </c>
      <c r="B1388" s="3" t="s">
        <v>25</v>
      </c>
      <c r="C1388" s="12" t="s">
        <v>1400</v>
      </c>
      <c r="D1388" s="13">
        <v>61959.0</v>
      </c>
      <c r="E1388" s="4">
        <v>45610.0</v>
      </c>
      <c r="F1388" s="4" t="str">
        <f>IF(D1388="","", IFNA(VLOOKUP(D1388, SATCAT_DECAY!A:B, 2, FALSE), ""))
</f>
        <v/>
      </c>
      <c r="G1388" s="3" t="str">
        <f t="shared" si="1"/>
        <v>ACTIVE</v>
      </c>
    </row>
    <row r="1389" ht="22.5" customHeight="1">
      <c r="A1389" s="11" t="str">
        <f t="array" ref="A1389">IFERROR(
  INDEX('Starlink Launches'!$A:$A, MATCH($E1389, 'Starlink Launches'!$B:$B, 0)),
  ""
)
</f>
        <v>6-68</v>
      </c>
      <c r="B1389" s="3" t="s">
        <v>25</v>
      </c>
      <c r="C1389" s="12" t="s">
        <v>1401</v>
      </c>
      <c r="D1389" s="13">
        <v>61960.0</v>
      </c>
      <c r="E1389" s="4">
        <v>45610.0</v>
      </c>
      <c r="F1389" s="4" t="str">
        <f>IF(D1389="","", IFNA(VLOOKUP(D1389, SATCAT_DECAY!A:B, 2, FALSE), ""))
</f>
        <v/>
      </c>
      <c r="G1389" s="3" t="str">
        <f t="shared" si="1"/>
        <v>ACTIVE</v>
      </c>
    </row>
    <row r="1390" ht="22.5" customHeight="1">
      <c r="A1390" s="11" t="str">
        <f t="array" ref="A1390">IFERROR(
  INDEX('Starlink Launches'!$A:$A, MATCH($E1390, 'Starlink Launches'!$B:$B, 0)),
  ""
)
</f>
        <v>6-68</v>
      </c>
      <c r="B1390" s="3" t="s">
        <v>25</v>
      </c>
      <c r="C1390" s="12" t="s">
        <v>1402</v>
      </c>
      <c r="D1390" s="13">
        <v>61961.0</v>
      </c>
      <c r="E1390" s="4">
        <v>45610.0</v>
      </c>
      <c r="F1390" s="4" t="str">
        <f>IF(D1390="","", IFNA(VLOOKUP(D1390, SATCAT_DECAY!A:B, 2, FALSE), ""))
</f>
        <v/>
      </c>
      <c r="G1390" s="3" t="str">
        <f t="shared" si="1"/>
        <v>ACTIVE</v>
      </c>
    </row>
    <row r="1391" ht="22.5" customHeight="1">
      <c r="A1391" s="11" t="str">
        <f t="array" ref="A1391">IFERROR(
  INDEX('Starlink Launches'!$A:$A, MATCH($E1391, 'Starlink Launches'!$B:$B, 0)),
  ""
)
</f>
        <v>6-68</v>
      </c>
      <c r="B1391" s="3" t="s">
        <v>25</v>
      </c>
      <c r="C1391" s="12" t="s">
        <v>1403</v>
      </c>
      <c r="D1391" s="13">
        <v>61962.0</v>
      </c>
      <c r="E1391" s="4">
        <v>45610.0</v>
      </c>
      <c r="F1391" s="4" t="str">
        <f>IF(D1391="","", IFNA(VLOOKUP(D1391, SATCAT_DECAY!A:B, 2, FALSE), ""))
</f>
        <v/>
      </c>
      <c r="G1391" s="3" t="str">
        <f t="shared" si="1"/>
        <v>ACTIVE</v>
      </c>
    </row>
    <row r="1392" ht="22.5" customHeight="1">
      <c r="A1392" s="11" t="str">
        <f t="array" ref="A1392">IFERROR(
  INDEX('Starlink Launches'!$A:$A, MATCH($E1392, 'Starlink Launches'!$B:$B, 0)),
  ""
)
</f>
        <v>6-68</v>
      </c>
      <c r="B1392" s="3" t="s">
        <v>25</v>
      </c>
      <c r="C1392" s="12" t="s">
        <v>1404</v>
      </c>
      <c r="D1392" s="13">
        <v>61963.0</v>
      </c>
      <c r="E1392" s="4">
        <v>45610.0</v>
      </c>
      <c r="F1392" s="4" t="str">
        <f>IF(D1392="","", IFNA(VLOOKUP(D1392, SATCAT_DECAY!A:B, 2, FALSE), ""))
</f>
        <v/>
      </c>
      <c r="G1392" s="3" t="str">
        <f t="shared" si="1"/>
        <v>ACTIVE</v>
      </c>
    </row>
    <row r="1393" ht="22.5" customHeight="1">
      <c r="A1393" s="11" t="str">
        <f t="array" ref="A1393">IFERROR(
  INDEX('Starlink Launches'!$A:$A, MATCH($E1393, 'Starlink Launches'!$B:$B, 0)),
  ""
)
</f>
        <v>6-68</v>
      </c>
      <c r="B1393" s="3" t="s">
        <v>25</v>
      </c>
      <c r="C1393" s="12" t="s">
        <v>1405</v>
      </c>
      <c r="D1393" s="13">
        <v>61964.0</v>
      </c>
      <c r="E1393" s="4">
        <v>45610.0</v>
      </c>
      <c r="F1393" s="4" t="str">
        <f>IF(D1393="","", IFNA(VLOOKUP(D1393, SATCAT_DECAY!A:B, 2, FALSE), ""))
</f>
        <v/>
      </c>
      <c r="G1393" s="3" t="str">
        <f t="shared" si="1"/>
        <v>ACTIVE</v>
      </c>
    </row>
    <row r="1394" ht="22.5" customHeight="1">
      <c r="A1394" s="11" t="str">
        <f t="array" ref="A1394">IFERROR(
  INDEX('Starlink Launches'!$A:$A, MATCH($E1394, 'Starlink Launches'!$B:$B, 0)),
  ""
)
</f>
        <v>6-68</v>
      </c>
      <c r="B1394" s="3" t="s">
        <v>25</v>
      </c>
      <c r="C1394" s="12" t="s">
        <v>1406</v>
      </c>
      <c r="D1394" s="13">
        <v>61965.0</v>
      </c>
      <c r="E1394" s="4">
        <v>45610.0</v>
      </c>
      <c r="F1394" s="4" t="str">
        <f>IF(D1394="","", IFNA(VLOOKUP(D1394, SATCAT_DECAY!A:B, 2, FALSE), ""))
</f>
        <v/>
      </c>
      <c r="G1394" s="3" t="str">
        <f t="shared" si="1"/>
        <v>ACTIVE</v>
      </c>
    </row>
    <row r="1395" ht="22.5" customHeight="1">
      <c r="A1395" s="11" t="str">
        <f t="array" ref="A1395">IFERROR(
  INDEX('Starlink Launches'!$A:$A, MATCH($E1395, 'Starlink Launches'!$B:$B, 0)),
  ""
)
</f>
        <v>6-68</v>
      </c>
      <c r="B1395" s="3" t="s">
        <v>25</v>
      </c>
      <c r="C1395" s="12" t="s">
        <v>1407</v>
      </c>
      <c r="D1395" s="13">
        <v>61966.0</v>
      </c>
      <c r="E1395" s="4">
        <v>45610.0</v>
      </c>
      <c r="F1395" s="4" t="str">
        <f>IF(D1395="","", IFNA(VLOOKUP(D1395, SATCAT_DECAY!A:B, 2, FALSE), ""))
</f>
        <v/>
      </c>
      <c r="G1395" s="3" t="str">
        <f t="shared" si="1"/>
        <v>ACTIVE</v>
      </c>
    </row>
    <row r="1396" ht="22.5" customHeight="1">
      <c r="A1396" s="11" t="str">
        <f t="array" ref="A1396">IFERROR(
  INDEX('Starlink Launches'!$A:$A, MATCH($E1396, 'Starlink Launches'!$B:$B, 0)),
  ""
)
</f>
        <v>6-68</v>
      </c>
      <c r="B1396" s="3" t="s">
        <v>25</v>
      </c>
      <c r="C1396" s="12" t="s">
        <v>1408</v>
      </c>
      <c r="D1396" s="13">
        <v>61967.0</v>
      </c>
      <c r="E1396" s="4">
        <v>45610.0</v>
      </c>
      <c r="F1396" s="4" t="str">
        <f>IF(D1396="","", IFNA(VLOOKUP(D1396, SATCAT_DECAY!A:B, 2, FALSE), ""))
</f>
        <v/>
      </c>
      <c r="G1396" s="3" t="str">
        <f t="shared" si="1"/>
        <v>ACTIVE</v>
      </c>
    </row>
    <row r="1397" ht="22.5" customHeight="1">
      <c r="A1397" s="11" t="str">
        <f t="array" ref="A1397">IFERROR(
  INDEX('Starlink Launches'!$A:$A, MATCH($E1397, 'Starlink Launches'!$B:$B, 0)),
  ""
)
</f>
        <v>6-68</v>
      </c>
      <c r="B1397" s="3" t="s">
        <v>25</v>
      </c>
      <c r="C1397" s="12" t="s">
        <v>1409</v>
      </c>
      <c r="D1397" s="13">
        <v>61968.0</v>
      </c>
      <c r="E1397" s="4">
        <v>45610.0</v>
      </c>
      <c r="F1397" s="4" t="str">
        <f>IF(D1397="","", IFNA(VLOOKUP(D1397, SATCAT_DECAY!A:B, 2, FALSE), ""))
</f>
        <v/>
      </c>
      <c r="G1397" s="3" t="str">
        <f t="shared" si="1"/>
        <v>ACTIVE</v>
      </c>
    </row>
    <row r="1398" ht="22.5" customHeight="1">
      <c r="A1398" s="11" t="str">
        <f t="array" ref="A1398">IFERROR(
  INDEX('Starlink Launches'!$A:$A, MATCH($E1398, 'Starlink Launches'!$B:$B, 0)),
  ""
)
</f>
        <v>6-68</v>
      </c>
      <c r="B1398" s="3" t="s">
        <v>25</v>
      </c>
      <c r="C1398" s="12" t="s">
        <v>1410</v>
      </c>
      <c r="D1398" s="13">
        <v>61969.0</v>
      </c>
      <c r="E1398" s="4">
        <v>45610.0</v>
      </c>
      <c r="F1398" s="4" t="str">
        <f>IF(D1398="","", IFNA(VLOOKUP(D1398, SATCAT_DECAY!A:B, 2, FALSE), ""))
</f>
        <v/>
      </c>
      <c r="G1398" s="3" t="str">
        <f t="shared" si="1"/>
        <v>ACTIVE</v>
      </c>
    </row>
    <row r="1399" ht="22.5" customHeight="1">
      <c r="A1399" s="11" t="str">
        <f t="array" ref="A1399">IFERROR(
  INDEX('Starlink Launches'!$A:$A, MATCH($E1399, 'Starlink Launches'!$B:$B, 0)),
  ""
)
</f>
        <v>6-68</v>
      </c>
      <c r="B1399" s="3" t="s">
        <v>25</v>
      </c>
      <c r="C1399" s="12" t="s">
        <v>1411</v>
      </c>
      <c r="D1399" s="13">
        <v>61970.0</v>
      </c>
      <c r="E1399" s="4">
        <v>45610.0</v>
      </c>
      <c r="F1399" s="4" t="str">
        <f>IF(D1399="","", IFNA(VLOOKUP(D1399, SATCAT_DECAY!A:B, 2, FALSE), ""))
</f>
        <v/>
      </c>
      <c r="G1399" s="3" t="str">
        <f t="shared" si="1"/>
        <v>ACTIVE</v>
      </c>
    </row>
    <row r="1400" ht="22.5" customHeight="1">
      <c r="A1400" s="11" t="str">
        <f t="array" ref="A1400">IFERROR(
  INDEX('Starlink Launches'!$A:$A, MATCH($E1400, 'Starlink Launches'!$B:$B, 0)),
  ""
)
</f>
        <v>6-68</v>
      </c>
      <c r="B1400" s="3" t="s">
        <v>25</v>
      </c>
      <c r="C1400" s="12" t="s">
        <v>1412</v>
      </c>
      <c r="D1400" s="13">
        <v>61971.0</v>
      </c>
      <c r="E1400" s="4">
        <v>45610.0</v>
      </c>
      <c r="F1400" s="4" t="str">
        <f>IF(D1400="","", IFNA(VLOOKUP(D1400, SATCAT_DECAY!A:B, 2, FALSE), ""))
</f>
        <v/>
      </c>
      <c r="G1400" s="3" t="str">
        <f t="shared" si="1"/>
        <v>ACTIVE</v>
      </c>
    </row>
    <row r="1401" ht="22.5" customHeight="1">
      <c r="A1401" s="11" t="str">
        <f t="array" ref="A1401">IFERROR(
  INDEX('Starlink Launches'!$A:$A, MATCH($E1401, 'Starlink Launches'!$B:$B, 0)),
  ""
)
</f>
        <v>6-68</v>
      </c>
      <c r="B1401" s="3" t="s">
        <v>25</v>
      </c>
      <c r="C1401" s="12" t="s">
        <v>1413</v>
      </c>
      <c r="D1401" s="13">
        <v>61972.0</v>
      </c>
      <c r="E1401" s="4">
        <v>45610.0</v>
      </c>
      <c r="F1401" s="4" t="str">
        <f>IF(D1401="","", IFNA(VLOOKUP(D1401, SATCAT_DECAY!A:B, 2, FALSE), ""))
</f>
        <v/>
      </c>
      <c r="G1401" s="3" t="str">
        <f t="shared" si="1"/>
        <v>ACTIVE</v>
      </c>
    </row>
    <row r="1402" ht="22.5" customHeight="1">
      <c r="A1402" s="11" t="str">
        <f t="array" ref="A1402">IFERROR(
  INDEX('Starlink Launches'!$A:$A, MATCH($E1402, 'Starlink Launches'!$B:$B, 0)),
  ""
)
</f>
        <v>6-68</v>
      </c>
      <c r="B1402" s="3" t="s">
        <v>25</v>
      </c>
      <c r="C1402" s="12" t="s">
        <v>1414</v>
      </c>
      <c r="D1402" s="13">
        <v>61973.0</v>
      </c>
      <c r="E1402" s="4">
        <v>45610.0</v>
      </c>
      <c r="F1402" s="4" t="str">
        <f>IF(D1402="","", IFNA(VLOOKUP(D1402, SATCAT_DECAY!A:B, 2, FALSE), ""))
</f>
        <v/>
      </c>
      <c r="G1402" s="3" t="str">
        <f t="shared" si="1"/>
        <v>ACTIVE</v>
      </c>
    </row>
    <row r="1403" ht="22.5" customHeight="1">
      <c r="A1403" s="11" t="str">
        <f t="array" ref="A1403">IFERROR(
  INDEX('Starlink Launches'!$A:$A, MATCH($E1403, 'Starlink Launches'!$B:$B, 0)),
  ""
)
</f>
        <v>6-68</v>
      </c>
      <c r="B1403" s="3" t="s">
        <v>25</v>
      </c>
      <c r="C1403" s="12" t="s">
        <v>1415</v>
      </c>
      <c r="D1403" s="13">
        <v>61974.0</v>
      </c>
      <c r="E1403" s="4">
        <v>45610.0</v>
      </c>
      <c r="F1403" s="4" t="str">
        <f>IF(D1403="","", IFNA(VLOOKUP(D1403, SATCAT_DECAY!A:B, 2, FALSE), ""))
</f>
        <v/>
      </c>
      <c r="G1403" s="3" t="str">
        <f t="shared" si="1"/>
        <v>ACTIVE</v>
      </c>
    </row>
    <row r="1404" ht="22.5" customHeight="1">
      <c r="A1404" s="11" t="str">
        <f t="array" ref="A1404">IFERROR(
  INDEX('Starlink Launches'!$A:$A, MATCH($E1404, 'Starlink Launches'!$B:$B, 0)),
  ""
)
</f>
        <v>6-68</v>
      </c>
      <c r="B1404" s="3" t="s">
        <v>25</v>
      </c>
      <c r="C1404" s="12" t="s">
        <v>1416</v>
      </c>
      <c r="D1404" s="13">
        <v>61975.0</v>
      </c>
      <c r="E1404" s="4">
        <v>45610.0</v>
      </c>
      <c r="F1404" s="4" t="str">
        <f>IF(D1404="","", IFNA(VLOOKUP(D1404, SATCAT_DECAY!A:B, 2, FALSE), ""))
</f>
        <v/>
      </c>
      <c r="G1404" s="3" t="str">
        <f t="shared" si="1"/>
        <v>ACTIVE</v>
      </c>
    </row>
    <row r="1405" ht="22.5" customHeight="1">
      <c r="A1405" s="11" t="str">
        <f t="array" ref="A1405">IFERROR(
  INDEX('Starlink Launches'!$A:$A, MATCH($E1405, 'Starlink Launches'!$B:$B, 0)),
  ""
)
</f>
        <v>6-68</v>
      </c>
      <c r="B1405" s="3" t="s">
        <v>25</v>
      </c>
      <c r="C1405" s="12" t="s">
        <v>1417</v>
      </c>
      <c r="D1405" s="13">
        <v>61976.0</v>
      </c>
      <c r="E1405" s="4">
        <v>45610.0</v>
      </c>
      <c r="F1405" s="4" t="str">
        <f>IF(D1405="","", IFNA(VLOOKUP(D1405, SATCAT_DECAY!A:B, 2, FALSE), ""))
</f>
        <v/>
      </c>
      <c r="G1405" s="3" t="str">
        <f t="shared" si="1"/>
        <v>ACTIVE</v>
      </c>
    </row>
    <row r="1406" ht="22.5" customHeight="1">
      <c r="A1406" s="11" t="str">
        <f t="array" ref="A1406">IFERROR(
  INDEX('Starlink Launches'!$A:$A, MATCH($E1406, 'Starlink Launches'!$B:$B, 0)),
  ""
)
</f>
        <v>6-68</v>
      </c>
      <c r="B1406" s="3" t="s">
        <v>25</v>
      </c>
      <c r="C1406" s="12" t="s">
        <v>1418</v>
      </c>
      <c r="D1406" s="13">
        <v>61977.0</v>
      </c>
      <c r="E1406" s="4">
        <v>45610.0</v>
      </c>
      <c r="F1406" s="4" t="str">
        <f>IF(D1406="","", IFNA(VLOOKUP(D1406, SATCAT_DECAY!A:B, 2, FALSE), ""))
</f>
        <v/>
      </c>
      <c r="G1406" s="3" t="str">
        <f t="shared" si="1"/>
        <v>ACTIVE</v>
      </c>
    </row>
    <row r="1407" ht="22.5" customHeight="1">
      <c r="A1407" s="11" t="str">
        <f t="array" ref="A1407">IFERROR(
  INDEX('Starlink Launches'!$A:$A, MATCH($E1407, 'Starlink Launches'!$B:$B, 0)),
  ""
)
</f>
        <v>6-68</v>
      </c>
      <c r="B1407" s="3" t="s">
        <v>25</v>
      </c>
      <c r="C1407" s="12" t="s">
        <v>1419</v>
      </c>
      <c r="D1407" s="13">
        <v>61978.0</v>
      </c>
      <c r="E1407" s="4">
        <v>45610.0</v>
      </c>
      <c r="F1407" s="4" t="str">
        <f>IF(D1407="","", IFNA(VLOOKUP(D1407, SATCAT_DECAY!A:B, 2, FALSE), ""))
</f>
        <v/>
      </c>
      <c r="G1407" s="3" t="str">
        <f t="shared" si="1"/>
        <v>ACTIVE</v>
      </c>
    </row>
    <row r="1408" ht="22.5" customHeight="1">
      <c r="A1408" s="11" t="str">
        <f t="array" ref="A1408">IFERROR(
  INDEX('Starlink Launches'!$A:$A, MATCH($E1408, 'Starlink Launches'!$B:$B, 0)),
  ""
)
</f>
        <v>6-68</v>
      </c>
      <c r="B1408" s="3" t="s">
        <v>25</v>
      </c>
      <c r="C1408" s="12" t="s">
        <v>1420</v>
      </c>
      <c r="D1408" s="13">
        <v>61979.0</v>
      </c>
      <c r="E1408" s="4">
        <v>45610.0</v>
      </c>
      <c r="F1408" s="4" t="str">
        <f>IF(D1408="","", IFNA(VLOOKUP(D1408, SATCAT_DECAY!A:B, 2, FALSE), ""))
</f>
        <v/>
      </c>
      <c r="G1408" s="3" t="str">
        <f t="shared" si="1"/>
        <v>ACTIVE</v>
      </c>
    </row>
    <row r="1409" ht="22.5" customHeight="1">
      <c r="A1409" s="11" t="str">
        <f t="array" ref="A1409">IFERROR(
  INDEX('Starlink Launches'!$A:$A, MATCH($E1409, 'Starlink Launches'!$B:$B, 0)),
  ""
)
</f>
        <v>6-68</v>
      </c>
      <c r="B1409" s="3" t="s">
        <v>25</v>
      </c>
      <c r="C1409" s="12" t="s">
        <v>1421</v>
      </c>
      <c r="D1409" s="13">
        <v>61980.0</v>
      </c>
      <c r="E1409" s="4">
        <v>45610.0</v>
      </c>
      <c r="F1409" s="4" t="str">
        <f>IF(D1409="","", IFNA(VLOOKUP(D1409, SATCAT_DECAY!A:B, 2, FALSE), ""))
</f>
        <v/>
      </c>
      <c r="G1409" s="3" t="str">
        <f t="shared" si="1"/>
        <v>ACTIVE</v>
      </c>
    </row>
    <row r="1410" ht="22.5" customHeight="1">
      <c r="A1410" s="11" t="str">
        <f t="array" ref="A1410">IFERROR(
  INDEX('Starlink Launches'!$A:$A, MATCH($E1410, 'Starlink Launches'!$B:$B, 0)),
  ""
)
</f>
        <v>6-68</v>
      </c>
      <c r="B1410" s="3" t="s">
        <v>25</v>
      </c>
      <c r="C1410" s="12" t="s">
        <v>1422</v>
      </c>
      <c r="D1410" s="13">
        <v>61981.0</v>
      </c>
      <c r="E1410" s="4">
        <v>45610.0</v>
      </c>
      <c r="F1410" s="4" t="str">
        <f>IF(D1410="","", IFNA(VLOOKUP(D1410, SATCAT_DECAY!A:B, 2, FALSE), ""))
</f>
        <v/>
      </c>
      <c r="G1410" s="3" t="str">
        <f t="shared" si="1"/>
        <v>ACTIVE</v>
      </c>
    </row>
    <row r="1411" ht="22.5" customHeight="1">
      <c r="A1411" s="11" t="str">
        <f t="array" ref="A1411">IFERROR(
  INDEX('Starlink Launches'!$A:$A, MATCH($E1411, 'Starlink Launches'!$B:$B, 0)),
  ""
)
</f>
        <v>6-68</v>
      </c>
      <c r="B1411" s="3" t="s">
        <v>25</v>
      </c>
      <c r="C1411" s="12" t="s">
        <v>1423</v>
      </c>
      <c r="D1411" s="13">
        <v>61982.0</v>
      </c>
      <c r="E1411" s="4">
        <v>45610.0</v>
      </c>
      <c r="F1411" s="4" t="str">
        <f>IF(D1411="","", IFNA(VLOOKUP(D1411, SATCAT_DECAY!A:B, 2, FALSE), ""))
</f>
        <v/>
      </c>
      <c r="G1411" s="3" t="str">
        <f t="shared" si="1"/>
        <v>ACTIVE</v>
      </c>
    </row>
    <row r="1412" ht="22.5" customHeight="1">
      <c r="A1412" s="11" t="str">
        <f t="array" ref="A1412">IFERROR(
  INDEX('Starlink Launches'!$A:$A, MATCH($E1412, 'Starlink Launches'!$B:$B, 0)),
  ""
)
</f>
        <v>6-66</v>
      </c>
      <c r="B1412" s="3" t="s">
        <v>25</v>
      </c>
      <c r="C1412" s="12" t="s">
        <v>1424</v>
      </c>
      <c r="D1412" s="13">
        <v>62032.0</v>
      </c>
      <c r="E1412" s="4">
        <v>45617.0</v>
      </c>
      <c r="F1412" s="4" t="str">
        <f>IF(D1412="","", IFNA(VLOOKUP(D1412, SATCAT_DECAY!A:B, 2, FALSE), ""))
</f>
        <v/>
      </c>
      <c r="G1412" s="3" t="str">
        <f t="shared" si="1"/>
        <v>ACTIVE</v>
      </c>
    </row>
    <row r="1413" ht="22.5" customHeight="1">
      <c r="A1413" s="11" t="str">
        <f t="array" ref="A1413">IFERROR(
  INDEX('Starlink Launches'!$A:$A, MATCH($E1413, 'Starlink Launches'!$B:$B, 0)),
  ""
)
</f>
        <v>6-66</v>
      </c>
      <c r="B1413" s="3" t="s">
        <v>25</v>
      </c>
      <c r="C1413" s="12" t="s">
        <v>1425</v>
      </c>
      <c r="D1413" s="13">
        <v>62033.0</v>
      </c>
      <c r="E1413" s="4">
        <v>45617.0</v>
      </c>
      <c r="F1413" s="4" t="str">
        <f>IF(D1413="","", IFNA(VLOOKUP(D1413, SATCAT_DECAY!A:B, 2, FALSE), ""))
</f>
        <v/>
      </c>
      <c r="G1413" s="3" t="str">
        <f t="shared" si="1"/>
        <v>ACTIVE</v>
      </c>
    </row>
    <row r="1414" ht="22.5" customHeight="1">
      <c r="A1414" s="11" t="str">
        <f t="array" ref="A1414">IFERROR(
  INDEX('Starlink Launches'!$A:$A, MATCH($E1414, 'Starlink Launches'!$B:$B, 0)),
  ""
)
</f>
        <v>6-66</v>
      </c>
      <c r="B1414" s="3" t="s">
        <v>25</v>
      </c>
      <c r="C1414" s="12" t="s">
        <v>1426</v>
      </c>
      <c r="D1414" s="13">
        <v>62034.0</v>
      </c>
      <c r="E1414" s="4">
        <v>45617.0</v>
      </c>
      <c r="F1414" s="4" t="str">
        <f>IF(D1414="","", IFNA(VLOOKUP(D1414, SATCAT_DECAY!A:B, 2, FALSE), ""))
</f>
        <v/>
      </c>
      <c r="G1414" s="3" t="str">
        <f t="shared" si="1"/>
        <v>ACTIVE</v>
      </c>
    </row>
    <row r="1415" ht="22.5" customHeight="1">
      <c r="A1415" s="11" t="str">
        <f t="array" ref="A1415">IFERROR(
  INDEX('Starlink Launches'!$A:$A, MATCH($E1415, 'Starlink Launches'!$B:$B, 0)),
  ""
)
</f>
        <v>6-66</v>
      </c>
      <c r="B1415" s="3" t="s">
        <v>25</v>
      </c>
      <c r="C1415" s="12" t="s">
        <v>1427</v>
      </c>
      <c r="D1415" s="13">
        <v>62035.0</v>
      </c>
      <c r="E1415" s="4">
        <v>45617.0</v>
      </c>
      <c r="F1415" s="4" t="str">
        <f>IF(D1415="","", IFNA(VLOOKUP(D1415, SATCAT_DECAY!A:B, 2, FALSE), ""))
</f>
        <v/>
      </c>
      <c r="G1415" s="3" t="str">
        <f t="shared" si="1"/>
        <v>ACTIVE</v>
      </c>
    </row>
    <row r="1416" ht="22.5" customHeight="1">
      <c r="A1416" s="11" t="str">
        <f t="array" ref="A1416">IFERROR(
  INDEX('Starlink Launches'!$A:$A, MATCH($E1416, 'Starlink Launches'!$B:$B, 0)),
  ""
)
</f>
        <v>6-66</v>
      </c>
      <c r="B1416" s="3" t="s">
        <v>25</v>
      </c>
      <c r="C1416" s="12" t="s">
        <v>1428</v>
      </c>
      <c r="D1416" s="13">
        <v>62036.0</v>
      </c>
      <c r="E1416" s="4">
        <v>45617.0</v>
      </c>
      <c r="F1416" s="4" t="str">
        <f>IF(D1416="","", IFNA(VLOOKUP(D1416, SATCAT_DECAY!A:B, 2, FALSE), ""))
</f>
        <v/>
      </c>
      <c r="G1416" s="3" t="str">
        <f t="shared" si="1"/>
        <v>ACTIVE</v>
      </c>
    </row>
    <row r="1417" ht="22.5" customHeight="1">
      <c r="A1417" s="11" t="str">
        <f t="array" ref="A1417">IFERROR(
  INDEX('Starlink Launches'!$A:$A, MATCH($E1417, 'Starlink Launches'!$B:$B, 0)),
  ""
)
</f>
        <v>6-66</v>
      </c>
      <c r="B1417" s="3" t="s">
        <v>25</v>
      </c>
      <c r="C1417" s="12" t="s">
        <v>1429</v>
      </c>
      <c r="D1417" s="13">
        <v>62037.0</v>
      </c>
      <c r="E1417" s="4">
        <v>45617.0</v>
      </c>
      <c r="F1417" s="4" t="str">
        <f>IF(D1417="","", IFNA(VLOOKUP(D1417, SATCAT_DECAY!A:B, 2, FALSE), ""))
</f>
        <v/>
      </c>
      <c r="G1417" s="3" t="str">
        <f t="shared" si="1"/>
        <v>ACTIVE</v>
      </c>
    </row>
    <row r="1418" ht="22.5" customHeight="1">
      <c r="A1418" s="11" t="str">
        <f t="array" ref="A1418">IFERROR(
  INDEX('Starlink Launches'!$A:$A, MATCH($E1418, 'Starlink Launches'!$B:$B, 0)),
  ""
)
</f>
        <v>6-66</v>
      </c>
      <c r="B1418" s="3" t="s">
        <v>25</v>
      </c>
      <c r="C1418" s="12" t="s">
        <v>1430</v>
      </c>
      <c r="D1418" s="13">
        <v>62038.0</v>
      </c>
      <c r="E1418" s="4">
        <v>45617.0</v>
      </c>
      <c r="F1418" s="4" t="str">
        <f>IF(D1418="","", IFNA(VLOOKUP(D1418, SATCAT_DECAY!A:B, 2, FALSE), ""))
</f>
        <v/>
      </c>
      <c r="G1418" s="3" t="str">
        <f t="shared" si="1"/>
        <v>ACTIVE</v>
      </c>
    </row>
    <row r="1419" ht="22.5" customHeight="1">
      <c r="A1419" s="11" t="str">
        <f t="array" ref="A1419">IFERROR(
  INDEX('Starlink Launches'!$A:$A, MATCH($E1419, 'Starlink Launches'!$B:$B, 0)),
  ""
)
</f>
        <v>6-66</v>
      </c>
      <c r="B1419" s="3" t="s">
        <v>25</v>
      </c>
      <c r="C1419" s="12" t="s">
        <v>1431</v>
      </c>
      <c r="D1419" s="13">
        <v>62039.0</v>
      </c>
      <c r="E1419" s="4">
        <v>45617.0</v>
      </c>
      <c r="F1419" s="4" t="str">
        <f>IF(D1419="","", IFNA(VLOOKUP(D1419, SATCAT_DECAY!A:B, 2, FALSE), ""))
</f>
        <v/>
      </c>
      <c r="G1419" s="3" t="str">
        <f t="shared" si="1"/>
        <v>ACTIVE</v>
      </c>
    </row>
    <row r="1420" ht="22.5" customHeight="1">
      <c r="A1420" s="11" t="str">
        <f t="array" ref="A1420">IFERROR(
  INDEX('Starlink Launches'!$A:$A, MATCH($E1420, 'Starlink Launches'!$B:$B, 0)),
  ""
)
</f>
        <v>6-66</v>
      </c>
      <c r="B1420" s="3" t="s">
        <v>25</v>
      </c>
      <c r="C1420" s="12" t="s">
        <v>1432</v>
      </c>
      <c r="D1420" s="13">
        <v>62040.0</v>
      </c>
      <c r="E1420" s="4">
        <v>45617.0</v>
      </c>
      <c r="F1420" s="4" t="str">
        <f>IF(D1420="","", IFNA(VLOOKUP(D1420, SATCAT_DECAY!A:B, 2, FALSE), ""))
</f>
        <v/>
      </c>
      <c r="G1420" s="3" t="str">
        <f t="shared" si="1"/>
        <v>ACTIVE</v>
      </c>
    </row>
    <row r="1421" ht="22.5" customHeight="1">
      <c r="A1421" s="11" t="str">
        <f t="array" ref="A1421">IFERROR(
  INDEX('Starlink Launches'!$A:$A, MATCH($E1421, 'Starlink Launches'!$B:$B, 0)),
  ""
)
</f>
        <v>6-66</v>
      </c>
      <c r="B1421" s="3" t="s">
        <v>25</v>
      </c>
      <c r="C1421" s="12" t="s">
        <v>1433</v>
      </c>
      <c r="D1421" s="13">
        <v>62041.0</v>
      </c>
      <c r="E1421" s="4">
        <v>45617.0</v>
      </c>
      <c r="F1421" s="4" t="str">
        <f>IF(D1421="","", IFNA(VLOOKUP(D1421, SATCAT_DECAY!A:B, 2, FALSE), ""))
</f>
        <v/>
      </c>
      <c r="G1421" s="3" t="str">
        <f t="shared" si="1"/>
        <v>ACTIVE</v>
      </c>
    </row>
    <row r="1422" ht="22.5" customHeight="1">
      <c r="A1422" s="11" t="str">
        <f t="array" ref="A1422">IFERROR(
  INDEX('Starlink Launches'!$A:$A, MATCH($E1422, 'Starlink Launches'!$B:$B, 0)),
  ""
)
</f>
        <v>6-66</v>
      </c>
      <c r="B1422" s="3" t="s">
        <v>25</v>
      </c>
      <c r="C1422" s="12" t="s">
        <v>1434</v>
      </c>
      <c r="D1422" s="13">
        <v>62042.0</v>
      </c>
      <c r="E1422" s="4">
        <v>45617.0</v>
      </c>
      <c r="F1422" s="4" t="str">
        <f>IF(D1422="","", IFNA(VLOOKUP(D1422, SATCAT_DECAY!A:B, 2, FALSE), ""))
</f>
        <v/>
      </c>
      <c r="G1422" s="3" t="str">
        <f t="shared" si="1"/>
        <v>ACTIVE</v>
      </c>
    </row>
    <row r="1423" ht="22.5" customHeight="1">
      <c r="A1423" s="11" t="str">
        <f t="array" ref="A1423">IFERROR(
  INDEX('Starlink Launches'!$A:$A, MATCH($E1423, 'Starlink Launches'!$B:$B, 0)),
  ""
)
</f>
        <v>6-66</v>
      </c>
      <c r="B1423" s="3" t="s">
        <v>25</v>
      </c>
      <c r="C1423" s="12" t="s">
        <v>1435</v>
      </c>
      <c r="D1423" s="13">
        <v>62043.0</v>
      </c>
      <c r="E1423" s="4">
        <v>45617.0</v>
      </c>
      <c r="F1423" s="4" t="str">
        <f>IF(D1423="","", IFNA(VLOOKUP(D1423, SATCAT_DECAY!A:B, 2, FALSE), ""))
</f>
        <v/>
      </c>
      <c r="G1423" s="3" t="str">
        <f t="shared" si="1"/>
        <v>ACTIVE</v>
      </c>
    </row>
    <row r="1424" ht="22.5" customHeight="1">
      <c r="A1424" s="11" t="str">
        <f t="array" ref="A1424">IFERROR(
  INDEX('Starlink Launches'!$A:$A, MATCH($E1424, 'Starlink Launches'!$B:$B, 0)),
  ""
)
</f>
        <v>6-66</v>
      </c>
      <c r="B1424" s="3" t="s">
        <v>25</v>
      </c>
      <c r="C1424" s="12" t="s">
        <v>1436</v>
      </c>
      <c r="D1424" s="13">
        <v>62044.0</v>
      </c>
      <c r="E1424" s="4">
        <v>45617.0</v>
      </c>
      <c r="F1424" s="4" t="str">
        <f>IF(D1424="","", IFNA(VLOOKUP(D1424, SATCAT_DECAY!A:B, 2, FALSE), ""))
</f>
        <v/>
      </c>
      <c r="G1424" s="3" t="str">
        <f t="shared" si="1"/>
        <v>ACTIVE</v>
      </c>
    </row>
    <row r="1425" ht="22.5" customHeight="1">
      <c r="A1425" s="11" t="str">
        <f t="array" ref="A1425">IFERROR(
  INDEX('Starlink Launches'!$A:$A, MATCH($E1425, 'Starlink Launches'!$B:$B, 0)),
  ""
)
</f>
        <v>6-66</v>
      </c>
      <c r="B1425" s="3" t="s">
        <v>25</v>
      </c>
      <c r="C1425" s="12" t="s">
        <v>1437</v>
      </c>
      <c r="D1425" s="13">
        <v>62045.0</v>
      </c>
      <c r="E1425" s="4">
        <v>45617.0</v>
      </c>
      <c r="F1425" s="4" t="str">
        <f>IF(D1425="","", IFNA(VLOOKUP(D1425, SATCAT_DECAY!A:B, 2, FALSE), ""))
</f>
        <v/>
      </c>
      <c r="G1425" s="3" t="str">
        <f t="shared" si="1"/>
        <v>ACTIVE</v>
      </c>
    </row>
    <row r="1426" ht="22.5" customHeight="1">
      <c r="A1426" s="11" t="str">
        <f t="array" ref="A1426">IFERROR(
  INDEX('Starlink Launches'!$A:$A, MATCH($E1426, 'Starlink Launches'!$B:$B, 0)),
  ""
)
</f>
        <v>6-66</v>
      </c>
      <c r="B1426" s="3" t="s">
        <v>25</v>
      </c>
      <c r="C1426" s="12" t="s">
        <v>1438</v>
      </c>
      <c r="D1426" s="13">
        <v>62046.0</v>
      </c>
      <c r="E1426" s="4">
        <v>45617.0</v>
      </c>
      <c r="F1426" s="4" t="str">
        <f>IF(D1426="","", IFNA(VLOOKUP(D1426, SATCAT_DECAY!A:B, 2, FALSE), ""))
</f>
        <v/>
      </c>
      <c r="G1426" s="3" t="str">
        <f t="shared" si="1"/>
        <v>ACTIVE</v>
      </c>
    </row>
    <row r="1427" ht="22.5" customHeight="1">
      <c r="A1427" s="11" t="str">
        <f t="array" ref="A1427">IFERROR(
  INDEX('Starlink Launches'!$A:$A, MATCH($E1427, 'Starlink Launches'!$B:$B, 0)),
  ""
)
</f>
        <v>6-66</v>
      </c>
      <c r="B1427" s="3" t="s">
        <v>25</v>
      </c>
      <c r="C1427" s="12" t="s">
        <v>1439</v>
      </c>
      <c r="D1427" s="13">
        <v>62047.0</v>
      </c>
      <c r="E1427" s="4">
        <v>45617.0</v>
      </c>
      <c r="F1427" s="4" t="str">
        <f>IF(D1427="","", IFNA(VLOOKUP(D1427, SATCAT_DECAY!A:B, 2, FALSE), ""))
</f>
        <v/>
      </c>
      <c r="G1427" s="3" t="str">
        <f t="shared" si="1"/>
        <v>ACTIVE</v>
      </c>
    </row>
    <row r="1428" ht="22.5" customHeight="1">
      <c r="A1428" s="11" t="str">
        <f t="array" ref="A1428">IFERROR(
  INDEX('Starlink Launches'!$A:$A, MATCH($E1428, 'Starlink Launches'!$B:$B, 0)),
  ""
)
</f>
        <v>6-66</v>
      </c>
      <c r="B1428" s="3" t="s">
        <v>25</v>
      </c>
      <c r="C1428" s="12" t="s">
        <v>1440</v>
      </c>
      <c r="D1428" s="13">
        <v>62048.0</v>
      </c>
      <c r="E1428" s="4">
        <v>45617.0</v>
      </c>
      <c r="F1428" s="4" t="str">
        <f>IF(D1428="","", IFNA(VLOOKUP(D1428, SATCAT_DECAY!A:B, 2, FALSE), ""))
</f>
        <v/>
      </c>
      <c r="G1428" s="3" t="str">
        <f t="shared" si="1"/>
        <v>ACTIVE</v>
      </c>
    </row>
    <row r="1429" ht="22.5" customHeight="1">
      <c r="A1429" s="11" t="str">
        <f t="array" ref="A1429">IFERROR(
  INDEX('Starlink Launches'!$A:$A, MATCH($E1429, 'Starlink Launches'!$B:$B, 0)),
  ""
)
</f>
        <v>6-66</v>
      </c>
      <c r="B1429" s="3" t="s">
        <v>25</v>
      </c>
      <c r="C1429" s="12" t="s">
        <v>1441</v>
      </c>
      <c r="D1429" s="13">
        <v>62049.0</v>
      </c>
      <c r="E1429" s="4">
        <v>45617.0</v>
      </c>
      <c r="F1429" s="4" t="str">
        <f>IF(D1429="","", IFNA(VLOOKUP(D1429, SATCAT_DECAY!A:B, 2, FALSE), ""))
</f>
        <v/>
      </c>
      <c r="G1429" s="3" t="str">
        <f t="shared" si="1"/>
        <v>ACTIVE</v>
      </c>
    </row>
    <row r="1430" ht="22.5" customHeight="1">
      <c r="A1430" s="11" t="str">
        <f t="array" ref="A1430">IFERROR(
  INDEX('Starlink Launches'!$A:$A, MATCH($E1430, 'Starlink Launches'!$B:$B, 0)),
  ""
)
</f>
        <v>6-66</v>
      </c>
      <c r="B1430" s="3" t="s">
        <v>25</v>
      </c>
      <c r="C1430" s="12" t="s">
        <v>1442</v>
      </c>
      <c r="D1430" s="13">
        <v>62050.0</v>
      </c>
      <c r="E1430" s="4">
        <v>45617.0</v>
      </c>
      <c r="F1430" s="4" t="str">
        <f>IF(D1430="","", IFNA(VLOOKUP(D1430, SATCAT_DECAY!A:B, 2, FALSE), ""))
</f>
        <v/>
      </c>
      <c r="G1430" s="3" t="str">
        <f t="shared" si="1"/>
        <v>ACTIVE</v>
      </c>
    </row>
    <row r="1431" ht="22.5" customHeight="1">
      <c r="A1431" s="11" t="str">
        <f t="array" ref="A1431">IFERROR(
  INDEX('Starlink Launches'!$A:$A, MATCH($E1431, 'Starlink Launches'!$B:$B, 0)),
  ""
)
</f>
        <v>6-66</v>
      </c>
      <c r="B1431" s="3" t="s">
        <v>25</v>
      </c>
      <c r="C1431" s="12" t="s">
        <v>1443</v>
      </c>
      <c r="D1431" s="13">
        <v>62051.0</v>
      </c>
      <c r="E1431" s="4">
        <v>45617.0</v>
      </c>
      <c r="F1431" s="4" t="str">
        <f>IF(D1431="","", IFNA(VLOOKUP(D1431, SATCAT_DECAY!A:B, 2, FALSE), ""))
</f>
        <v/>
      </c>
      <c r="G1431" s="3" t="str">
        <f t="shared" si="1"/>
        <v>ACTIVE</v>
      </c>
    </row>
    <row r="1432" ht="22.5" customHeight="1">
      <c r="A1432" s="11" t="str">
        <f t="array" ref="A1432">IFERROR(
  INDEX('Starlink Launches'!$A:$A, MATCH($E1432, 'Starlink Launches'!$B:$B, 0)),
  ""
)
</f>
        <v>6-66</v>
      </c>
      <c r="B1432" s="3" t="s">
        <v>25</v>
      </c>
      <c r="C1432" s="12" t="s">
        <v>1444</v>
      </c>
      <c r="D1432" s="13">
        <v>62052.0</v>
      </c>
      <c r="E1432" s="4">
        <v>45617.0</v>
      </c>
      <c r="F1432" s="4" t="str">
        <f>IF(D1432="","", IFNA(VLOOKUP(D1432, SATCAT_DECAY!A:B, 2, FALSE), ""))
</f>
        <v/>
      </c>
      <c r="G1432" s="3" t="str">
        <f t="shared" si="1"/>
        <v>ACTIVE</v>
      </c>
    </row>
    <row r="1433" ht="22.5" customHeight="1">
      <c r="A1433" s="11" t="str">
        <f t="array" ref="A1433">IFERROR(
  INDEX('Starlink Launches'!$A:$A, MATCH($E1433, 'Starlink Launches'!$B:$B, 0)),
  ""
)
</f>
        <v>6-66</v>
      </c>
      <c r="B1433" s="3" t="s">
        <v>25</v>
      </c>
      <c r="C1433" s="12" t="s">
        <v>1445</v>
      </c>
      <c r="D1433" s="13">
        <v>62053.0</v>
      </c>
      <c r="E1433" s="4">
        <v>45617.0</v>
      </c>
      <c r="F1433" s="4" t="str">
        <f>IF(D1433="","", IFNA(VLOOKUP(D1433, SATCAT_DECAY!A:B, 2, FALSE), ""))
</f>
        <v/>
      </c>
      <c r="G1433" s="3" t="str">
        <f t="shared" si="1"/>
        <v>ACTIVE</v>
      </c>
    </row>
    <row r="1434" ht="22.5" customHeight="1">
      <c r="A1434" s="11" t="str">
        <f t="array" ref="A1434">IFERROR(
  INDEX('Starlink Launches'!$A:$A, MATCH($E1434, 'Starlink Launches'!$B:$B, 0)),
  ""
)
</f>
        <v>6-66</v>
      </c>
      <c r="B1434" s="3" t="s">
        <v>25</v>
      </c>
      <c r="C1434" s="12" t="s">
        <v>1446</v>
      </c>
      <c r="D1434" s="13">
        <v>62054.0</v>
      </c>
      <c r="E1434" s="4">
        <v>45617.0</v>
      </c>
      <c r="F1434" s="4" t="str">
        <f>IF(D1434="","", IFNA(VLOOKUP(D1434, SATCAT_DECAY!A:B, 2, FALSE), ""))
</f>
        <v/>
      </c>
      <c r="G1434" s="3" t="str">
        <f t="shared" si="1"/>
        <v>ACTIVE</v>
      </c>
    </row>
    <row r="1435" ht="22.5" customHeight="1">
      <c r="A1435" s="11" t="str">
        <f t="array" ref="A1435">IFERROR(
  INDEX('Starlink Launches'!$A:$A, MATCH($E1435, 'Starlink Launches'!$B:$B, 0)),
  ""
)
</f>
        <v>6-66</v>
      </c>
      <c r="B1435" s="3" t="s">
        <v>25</v>
      </c>
      <c r="C1435" s="12" t="s">
        <v>1447</v>
      </c>
      <c r="D1435" s="13">
        <v>62055.0</v>
      </c>
      <c r="E1435" s="4">
        <v>45617.0</v>
      </c>
      <c r="F1435" s="4" t="str">
        <f>IF(D1435="","", IFNA(VLOOKUP(D1435, SATCAT_DECAY!A:B, 2, FALSE), ""))
</f>
        <v/>
      </c>
      <c r="G1435" s="3" t="str">
        <f t="shared" si="1"/>
        <v>ACTIVE</v>
      </c>
    </row>
    <row r="1436" ht="22.5" customHeight="1">
      <c r="A1436" s="11" t="str">
        <f t="array" ref="A1436">IFERROR(
  INDEX('Starlink Launches'!$A:$A, MATCH($E1436, 'Starlink Launches'!$B:$B, 0)),
  ""
)
</f>
        <v>6-76</v>
      </c>
      <c r="B1436" s="3" t="s">
        <v>25</v>
      </c>
      <c r="C1436" s="12" t="s">
        <v>1448</v>
      </c>
      <c r="D1436" s="13">
        <v>62114.0</v>
      </c>
      <c r="E1436" s="4">
        <v>45623.0</v>
      </c>
      <c r="F1436" s="4" t="str">
        <f>IF(D1436="","", IFNA(VLOOKUP(D1436, SATCAT_DECAY!A:B, 2, FALSE), ""))
</f>
        <v/>
      </c>
      <c r="G1436" s="3" t="str">
        <f t="shared" si="1"/>
        <v>ACTIVE</v>
      </c>
    </row>
    <row r="1437" ht="22.5" customHeight="1">
      <c r="A1437" s="11" t="str">
        <f t="array" ref="A1437">IFERROR(
  INDEX('Starlink Launches'!$A:$A, MATCH($E1437, 'Starlink Launches'!$B:$B, 0)),
  ""
)
</f>
        <v>6-76</v>
      </c>
      <c r="B1437" s="3" t="s">
        <v>25</v>
      </c>
      <c r="C1437" s="12" t="s">
        <v>1449</v>
      </c>
      <c r="D1437" s="13">
        <v>62115.0</v>
      </c>
      <c r="E1437" s="4">
        <v>45623.0</v>
      </c>
      <c r="F1437" s="4" t="str">
        <f>IF(D1437="","", IFNA(VLOOKUP(D1437, SATCAT_DECAY!A:B, 2, FALSE), ""))
</f>
        <v/>
      </c>
      <c r="G1437" s="3" t="str">
        <f t="shared" si="1"/>
        <v>ACTIVE</v>
      </c>
    </row>
    <row r="1438" ht="22.5" customHeight="1">
      <c r="A1438" s="11" t="str">
        <f t="array" ref="A1438">IFERROR(
  INDEX('Starlink Launches'!$A:$A, MATCH($E1438, 'Starlink Launches'!$B:$B, 0)),
  ""
)
</f>
        <v>6-76</v>
      </c>
      <c r="B1438" s="3" t="s">
        <v>25</v>
      </c>
      <c r="C1438" s="12" t="s">
        <v>1450</v>
      </c>
      <c r="D1438" s="13">
        <v>62116.0</v>
      </c>
      <c r="E1438" s="4">
        <v>45623.0</v>
      </c>
      <c r="F1438" s="4" t="str">
        <f>IF(D1438="","", IFNA(VLOOKUP(D1438, SATCAT_DECAY!A:B, 2, FALSE), ""))
</f>
        <v/>
      </c>
      <c r="G1438" s="3" t="str">
        <f t="shared" si="1"/>
        <v>ACTIVE</v>
      </c>
    </row>
    <row r="1439" ht="22.5" customHeight="1">
      <c r="A1439" s="11" t="str">
        <f t="array" ref="A1439">IFERROR(
  INDEX('Starlink Launches'!$A:$A, MATCH($E1439, 'Starlink Launches'!$B:$B, 0)),
  ""
)
</f>
        <v>6-76</v>
      </c>
      <c r="B1439" s="3" t="s">
        <v>25</v>
      </c>
      <c r="C1439" s="12" t="s">
        <v>1451</v>
      </c>
      <c r="D1439" s="13">
        <v>62117.0</v>
      </c>
      <c r="E1439" s="4">
        <v>45623.0</v>
      </c>
      <c r="F1439" s="4" t="str">
        <f>IF(D1439="","", IFNA(VLOOKUP(D1439, SATCAT_DECAY!A:B, 2, FALSE), ""))
</f>
        <v/>
      </c>
      <c r="G1439" s="3" t="str">
        <f t="shared" si="1"/>
        <v>ACTIVE</v>
      </c>
    </row>
    <row r="1440" ht="22.5" customHeight="1">
      <c r="A1440" s="11" t="str">
        <f t="array" ref="A1440">IFERROR(
  INDEX('Starlink Launches'!$A:$A, MATCH($E1440, 'Starlink Launches'!$B:$B, 0)),
  ""
)
</f>
        <v>6-76</v>
      </c>
      <c r="B1440" s="3" t="s">
        <v>25</v>
      </c>
      <c r="C1440" s="12" t="s">
        <v>1452</v>
      </c>
      <c r="D1440" s="13">
        <v>62118.0</v>
      </c>
      <c r="E1440" s="4">
        <v>45623.0</v>
      </c>
      <c r="F1440" s="4" t="str">
        <f>IF(D1440="","", IFNA(VLOOKUP(D1440, SATCAT_DECAY!A:B, 2, FALSE), ""))
</f>
        <v/>
      </c>
      <c r="G1440" s="3" t="str">
        <f t="shared" si="1"/>
        <v>ACTIVE</v>
      </c>
    </row>
    <row r="1441" ht="22.5" customHeight="1">
      <c r="A1441" s="11" t="str">
        <f t="array" ref="A1441">IFERROR(
  INDEX('Starlink Launches'!$A:$A, MATCH($E1441, 'Starlink Launches'!$B:$B, 0)),
  ""
)
</f>
        <v>6-76</v>
      </c>
      <c r="B1441" s="3" t="s">
        <v>25</v>
      </c>
      <c r="C1441" s="12" t="s">
        <v>1453</v>
      </c>
      <c r="D1441" s="13">
        <v>62119.0</v>
      </c>
      <c r="E1441" s="4">
        <v>45623.0</v>
      </c>
      <c r="F1441" s="4" t="str">
        <f>IF(D1441="","", IFNA(VLOOKUP(D1441, SATCAT_DECAY!A:B, 2, FALSE), ""))
</f>
        <v/>
      </c>
      <c r="G1441" s="3" t="str">
        <f t="shared" si="1"/>
        <v>ACTIVE</v>
      </c>
    </row>
    <row r="1442" ht="22.5" customHeight="1">
      <c r="A1442" s="11" t="str">
        <f t="array" ref="A1442">IFERROR(
  INDEX('Starlink Launches'!$A:$A, MATCH($E1442, 'Starlink Launches'!$B:$B, 0)),
  ""
)
</f>
        <v>6-76</v>
      </c>
      <c r="B1442" s="3" t="s">
        <v>25</v>
      </c>
      <c r="C1442" s="12" t="s">
        <v>1454</v>
      </c>
      <c r="D1442" s="13">
        <v>62120.0</v>
      </c>
      <c r="E1442" s="4">
        <v>45623.0</v>
      </c>
      <c r="F1442" s="4" t="str">
        <f>IF(D1442="","", IFNA(VLOOKUP(D1442, SATCAT_DECAY!A:B, 2, FALSE), ""))
</f>
        <v/>
      </c>
      <c r="G1442" s="3" t="str">
        <f t="shared" si="1"/>
        <v>ACTIVE</v>
      </c>
    </row>
    <row r="1443" ht="22.5" customHeight="1">
      <c r="A1443" s="11" t="str">
        <f t="array" ref="A1443">IFERROR(
  INDEX('Starlink Launches'!$A:$A, MATCH($E1443, 'Starlink Launches'!$B:$B, 0)),
  ""
)
</f>
        <v>6-76</v>
      </c>
      <c r="B1443" s="3" t="s">
        <v>25</v>
      </c>
      <c r="C1443" s="12" t="s">
        <v>1455</v>
      </c>
      <c r="D1443" s="13">
        <v>62121.0</v>
      </c>
      <c r="E1443" s="4">
        <v>45623.0</v>
      </c>
      <c r="F1443" s="4" t="str">
        <f>IF(D1443="","", IFNA(VLOOKUP(D1443, SATCAT_DECAY!A:B, 2, FALSE), ""))
</f>
        <v/>
      </c>
      <c r="G1443" s="3" t="str">
        <f t="shared" si="1"/>
        <v>ACTIVE</v>
      </c>
    </row>
    <row r="1444" ht="22.5" customHeight="1">
      <c r="A1444" s="11" t="str">
        <f t="array" ref="A1444">IFERROR(
  INDEX('Starlink Launches'!$A:$A, MATCH($E1444, 'Starlink Launches'!$B:$B, 0)),
  ""
)
</f>
        <v>6-76</v>
      </c>
      <c r="B1444" s="3" t="s">
        <v>25</v>
      </c>
      <c r="C1444" s="12" t="s">
        <v>1456</v>
      </c>
      <c r="D1444" s="13">
        <v>62122.0</v>
      </c>
      <c r="E1444" s="4">
        <v>45623.0</v>
      </c>
      <c r="F1444" s="4" t="str">
        <f>IF(D1444="","", IFNA(VLOOKUP(D1444, SATCAT_DECAY!A:B, 2, FALSE), ""))
</f>
        <v/>
      </c>
      <c r="G1444" s="3" t="str">
        <f t="shared" si="1"/>
        <v>ACTIVE</v>
      </c>
    </row>
    <row r="1445" ht="22.5" customHeight="1">
      <c r="A1445" s="11" t="str">
        <f t="array" ref="A1445">IFERROR(
  INDEX('Starlink Launches'!$A:$A, MATCH($E1445, 'Starlink Launches'!$B:$B, 0)),
  ""
)
</f>
        <v>6-76</v>
      </c>
      <c r="B1445" s="3" t="s">
        <v>25</v>
      </c>
      <c r="C1445" s="12" t="s">
        <v>1457</v>
      </c>
      <c r="D1445" s="13">
        <v>62123.0</v>
      </c>
      <c r="E1445" s="4">
        <v>45623.0</v>
      </c>
      <c r="F1445" s="4" t="str">
        <f>IF(D1445="","", IFNA(VLOOKUP(D1445, SATCAT_DECAY!A:B, 2, FALSE), ""))
</f>
        <v/>
      </c>
      <c r="G1445" s="3" t="str">
        <f t="shared" si="1"/>
        <v>ACTIVE</v>
      </c>
    </row>
    <row r="1446" ht="22.5" customHeight="1">
      <c r="A1446" s="11" t="str">
        <f t="array" ref="A1446">IFERROR(
  INDEX('Starlink Launches'!$A:$A, MATCH($E1446, 'Starlink Launches'!$B:$B, 0)),
  ""
)
</f>
        <v>6-76</v>
      </c>
      <c r="B1446" s="3" t="s">
        <v>25</v>
      </c>
      <c r="C1446" s="12" t="s">
        <v>1458</v>
      </c>
      <c r="D1446" s="13">
        <v>62124.0</v>
      </c>
      <c r="E1446" s="4">
        <v>45623.0</v>
      </c>
      <c r="F1446" s="4" t="str">
        <f>IF(D1446="","", IFNA(VLOOKUP(D1446, SATCAT_DECAY!A:B, 2, FALSE), ""))
</f>
        <v/>
      </c>
      <c r="G1446" s="3" t="str">
        <f t="shared" si="1"/>
        <v>ACTIVE</v>
      </c>
    </row>
    <row r="1447" ht="22.5" customHeight="1">
      <c r="A1447" s="11" t="str">
        <f t="array" ref="A1447">IFERROR(
  INDEX('Starlink Launches'!$A:$A, MATCH($E1447, 'Starlink Launches'!$B:$B, 0)),
  ""
)
</f>
        <v>6-76</v>
      </c>
      <c r="B1447" s="3" t="s">
        <v>25</v>
      </c>
      <c r="C1447" s="12" t="s">
        <v>1459</v>
      </c>
      <c r="D1447" s="13">
        <v>62125.0</v>
      </c>
      <c r="E1447" s="4">
        <v>45623.0</v>
      </c>
      <c r="F1447" s="4" t="str">
        <f>IF(D1447="","", IFNA(VLOOKUP(D1447, SATCAT_DECAY!A:B, 2, FALSE), ""))
</f>
        <v/>
      </c>
      <c r="G1447" s="3" t="str">
        <f t="shared" si="1"/>
        <v>ACTIVE</v>
      </c>
    </row>
    <row r="1448" ht="22.5" customHeight="1">
      <c r="A1448" s="11" t="str">
        <f t="array" ref="A1448">IFERROR(
  INDEX('Starlink Launches'!$A:$A, MATCH($E1448, 'Starlink Launches'!$B:$B, 0)),
  ""
)
</f>
        <v>6-76</v>
      </c>
      <c r="B1448" s="3" t="s">
        <v>25</v>
      </c>
      <c r="C1448" s="12" t="s">
        <v>1460</v>
      </c>
      <c r="D1448" s="13">
        <v>62126.0</v>
      </c>
      <c r="E1448" s="4">
        <v>45623.0</v>
      </c>
      <c r="F1448" s="4" t="str">
        <f>IF(D1448="","", IFNA(VLOOKUP(D1448, SATCAT_DECAY!A:B, 2, FALSE), ""))
</f>
        <v/>
      </c>
      <c r="G1448" s="3" t="str">
        <f t="shared" si="1"/>
        <v>ACTIVE</v>
      </c>
    </row>
    <row r="1449" ht="22.5" customHeight="1">
      <c r="A1449" s="11" t="str">
        <f t="array" ref="A1449">IFERROR(
  INDEX('Starlink Launches'!$A:$A, MATCH($E1449, 'Starlink Launches'!$B:$B, 0)),
  ""
)
</f>
        <v>6-76</v>
      </c>
      <c r="B1449" s="3" t="s">
        <v>25</v>
      </c>
      <c r="C1449" s="12" t="s">
        <v>1461</v>
      </c>
      <c r="D1449" s="13">
        <v>62127.0</v>
      </c>
      <c r="E1449" s="4">
        <v>45623.0</v>
      </c>
      <c r="F1449" s="4" t="str">
        <f>IF(D1449="","", IFNA(VLOOKUP(D1449, SATCAT_DECAY!A:B, 2, FALSE), ""))
</f>
        <v/>
      </c>
      <c r="G1449" s="3" t="str">
        <f t="shared" si="1"/>
        <v>ACTIVE</v>
      </c>
    </row>
    <row r="1450" ht="22.5" customHeight="1">
      <c r="A1450" s="11" t="str">
        <f t="array" ref="A1450">IFERROR(
  INDEX('Starlink Launches'!$A:$A, MATCH($E1450, 'Starlink Launches'!$B:$B, 0)),
  ""
)
</f>
        <v>6-76</v>
      </c>
      <c r="B1450" s="3" t="s">
        <v>25</v>
      </c>
      <c r="C1450" s="12" t="s">
        <v>1462</v>
      </c>
      <c r="D1450" s="13">
        <v>62128.0</v>
      </c>
      <c r="E1450" s="4">
        <v>45623.0</v>
      </c>
      <c r="F1450" s="4" t="str">
        <f>IF(D1450="","", IFNA(VLOOKUP(D1450, SATCAT_DECAY!A:B, 2, FALSE), ""))
</f>
        <v/>
      </c>
      <c r="G1450" s="3" t="str">
        <f t="shared" si="1"/>
        <v>ACTIVE</v>
      </c>
    </row>
    <row r="1451" ht="22.5" customHeight="1">
      <c r="A1451" s="11" t="str">
        <f t="array" ref="A1451">IFERROR(
  INDEX('Starlink Launches'!$A:$A, MATCH($E1451, 'Starlink Launches'!$B:$B, 0)),
  ""
)
</f>
        <v>6-76</v>
      </c>
      <c r="B1451" s="3" t="s">
        <v>25</v>
      </c>
      <c r="C1451" s="12" t="s">
        <v>1463</v>
      </c>
      <c r="D1451" s="13">
        <v>62129.0</v>
      </c>
      <c r="E1451" s="4">
        <v>45623.0</v>
      </c>
      <c r="F1451" s="4" t="str">
        <f>IF(D1451="","", IFNA(VLOOKUP(D1451, SATCAT_DECAY!A:B, 2, FALSE), ""))
</f>
        <v/>
      </c>
      <c r="G1451" s="3" t="str">
        <f t="shared" si="1"/>
        <v>ACTIVE</v>
      </c>
    </row>
    <row r="1452" ht="22.5" customHeight="1">
      <c r="A1452" s="11" t="str">
        <f t="array" ref="A1452">IFERROR(
  INDEX('Starlink Launches'!$A:$A, MATCH($E1452, 'Starlink Launches'!$B:$B, 0)),
  ""
)
</f>
        <v>6-76</v>
      </c>
      <c r="B1452" s="3" t="s">
        <v>25</v>
      </c>
      <c r="C1452" s="12" t="s">
        <v>1464</v>
      </c>
      <c r="D1452" s="13">
        <v>62130.0</v>
      </c>
      <c r="E1452" s="4">
        <v>45623.0</v>
      </c>
      <c r="F1452" s="4" t="str">
        <f>IF(D1452="","", IFNA(VLOOKUP(D1452, SATCAT_DECAY!A:B, 2, FALSE), ""))
</f>
        <v/>
      </c>
      <c r="G1452" s="3" t="str">
        <f t="shared" si="1"/>
        <v>ACTIVE</v>
      </c>
    </row>
    <row r="1453" ht="22.5" customHeight="1">
      <c r="A1453" s="11" t="str">
        <f t="array" ref="A1453">IFERROR(
  INDEX('Starlink Launches'!$A:$A, MATCH($E1453, 'Starlink Launches'!$B:$B, 0)),
  ""
)
</f>
        <v>6-76</v>
      </c>
      <c r="B1453" s="3" t="s">
        <v>25</v>
      </c>
      <c r="C1453" s="12" t="s">
        <v>1465</v>
      </c>
      <c r="D1453" s="13">
        <v>62131.0</v>
      </c>
      <c r="E1453" s="4">
        <v>45623.0</v>
      </c>
      <c r="F1453" s="4" t="str">
        <f>IF(D1453="","", IFNA(VLOOKUP(D1453, SATCAT_DECAY!A:B, 2, FALSE), ""))
</f>
        <v/>
      </c>
      <c r="G1453" s="3" t="str">
        <f t="shared" si="1"/>
        <v>ACTIVE</v>
      </c>
    </row>
    <row r="1454" ht="22.5" customHeight="1">
      <c r="A1454" s="11" t="str">
        <f t="array" ref="A1454">IFERROR(
  INDEX('Starlink Launches'!$A:$A, MATCH($E1454, 'Starlink Launches'!$B:$B, 0)),
  ""
)
</f>
        <v>6-76</v>
      </c>
      <c r="B1454" s="3" t="s">
        <v>25</v>
      </c>
      <c r="C1454" s="12" t="s">
        <v>1466</v>
      </c>
      <c r="D1454" s="13">
        <v>62132.0</v>
      </c>
      <c r="E1454" s="4">
        <v>45623.0</v>
      </c>
      <c r="F1454" s="4" t="str">
        <f>IF(D1454="","", IFNA(VLOOKUP(D1454, SATCAT_DECAY!A:B, 2, FALSE), ""))
</f>
        <v/>
      </c>
      <c r="G1454" s="3" t="str">
        <f t="shared" si="1"/>
        <v>ACTIVE</v>
      </c>
    </row>
    <row r="1455" ht="22.5" customHeight="1">
      <c r="A1455" s="11" t="str">
        <f t="array" ref="A1455">IFERROR(
  INDEX('Starlink Launches'!$A:$A, MATCH($E1455, 'Starlink Launches'!$B:$B, 0)),
  ""
)
</f>
        <v>6-76</v>
      </c>
      <c r="B1455" s="3" t="s">
        <v>25</v>
      </c>
      <c r="C1455" s="12" t="s">
        <v>1467</v>
      </c>
      <c r="D1455" s="13">
        <v>62133.0</v>
      </c>
      <c r="E1455" s="4">
        <v>45623.0</v>
      </c>
      <c r="F1455" s="4" t="str">
        <f>IF(D1455="","", IFNA(VLOOKUP(D1455, SATCAT_DECAY!A:B, 2, FALSE), ""))
</f>
        <v/>
      </c>
      <c r="G1455" s="3" t="str">
        <f t="shared" si="1"/>
        <v>ACTIVE</v>
      </c>
    </row>
    <row r="1456" ht="22.5" customHeight="1">
      <c r="A1456" s="11" t="str">
        <f t="array" ref="A1456">IFERROR(
  INDEX('Starlink Launches'!$A:$A, MATCH($E1456, 'Starlink Launches'!$B:$B, 0)),
  ""
)
</f>
        <v>6-76</v>
      </c>
      <c r="B1456" s="3" t="s">
        <v>25</v>
      </c>
      <c r="C1456" s="12" t="s">
        <v>1468</v>
      </c>
      <c r="D1456" s="13">
        <v>62134.0</v>
      </c>
      <c r="E1456" s="4">
        <v>45623.0</v>
      </c>
      <c r="F1456" s="4" t="str">
        <f>IF(D1456="","", IFNA(VLOOKUP(D1456, SATCAT_DECAY!A:B, 2, FALSE), ""))
</f>
        <v/>
      </c>
      <c r="G1456" s="3" t="str">
        <f t="shared" si="1"/>
        <v>ACTIVE</v>
      </c>
    </row>
    <row r="1457" ht="22.5" customHeight="1">
      <c r="A1457" s="11" t="str">
        <f t="array" ref="A1457">IFERROR(
  INDEX('Starlink Launches'!$A:$A, MATCH($E1457, 'Starlink Launches'!$B:$B, 0)),
  ""
)
</f>
        <v>6-76</v>
      </c>
      <c r="B1457" s="3" t="s">
        <v>25</v>
      </c>
      <c r="C1457" s="12" t="s">
        <v>1469</v>
      </c>
      <c r="D1457" s="13">
        <v>62135.0</v>
      </c>
      <c r="E1457" s="4">
        <v>45623.0</v>
      </c>
      <c r="F1457" s="4" t="str">
        <f>IF(D1457="","", IFNA(VLOOKUP(D1457, SATCAT_DECAY!A:B, 2, FALSE), ""))
</f>
        <v/>
      </c>
      <c r="G1457" s="3" t="str">
        <f t="shared" si="1"/>
        <v>ACTIVE</v>
      </c>
    </row>
    <row r="1458" ht="22.5" customHeight="1">
      <c r="A1458" s="11" t="str">
        <f t="array" ref="A1458">IFERROR(
  INDEX('Starlink Launches'!$A:$A, MATCH($E1458, 'Starlink Launches'!$B:$B, 0)),
  ""
)
</f>
        <v>6-76</v>
      </c>
      <c r="B1458" s="3" t="s">
        <v>25</v>
      </c>
      <c r="C1458" s="12" t="s">
        <v>1470</v>
      </c>
      <c r="D1458" s="13">
        <v>62136.0</v>
      </c>
      <c r="E1458" s="4">
        <v>45623.0</v>
      </c>
      <c r="F1458" s="4" t="str">
        <f>IF(D1458="","", IFNA(VLOOKUP(D1458, SATCAT_DECAY!A:B, 2, FALSE), ""))
</f>
        <v/>
      </c>
      <c r="G1458" s="3" t="str">
        <f t="shared" si="1"/>
        <v>ACTIVE</v>
      </c>
    </row>
    <row r="1459" ht="22.5" customHeight="1">
      <c r="A1459" s="11" t="str">
        <f t="array" ref="A1459">IFERROR(
  INDEX('Starlink Launches'!$A:$A, MATCH($E1459, 'Starlink Launches'!$B:$B, 0)),
  ""
)
</f>
        <v>6-76</v>
      </c>
      <c r="B1459" s="3" t="s">
        <v>25</v>
      </c>
      <c r="C1459" s="12" t="s">
        <v>1471</v>
      </c>
      <c r="D1459" s="13">
        <v>62137.0</v>
      </c>
      <c r="E1459" s="4">
        <v>45623.0</v>
      </c>
      <c r="F1459" s="4" t="str">
        <f>IF(D1459="","", IFNA(VLOOKUP(D1459, SATCAT_DECAY!A:B, 2, FALSE), ""))
</f>
        <v/>
      </c>
      <c r="G1459" s="3" t="str">
        <f t="shared" si="1"/>
        <v>ACTIVE</v>
      </c>
    </row>
    <row r="1460" ht="22.5" customHeight="1">
      <c r="A1460" s="11" t="str">
        <f t="array" ref="A1460">IFERROR(
  INDEX('Starlink Launches'!$A:$A, MATCH($E1460, 'Starlink Launches'!$B:$B, 0)),
  ""
)
</f>
        <v>6-65</v>
      </c>
      <c r="B1460" s="3" t="s">
        <v>25</v>
      </c>
      <c r="C1460" s="12" t="s">
        <v>1472</v>
      </c>
      <c r="D1460" s="13">
        <v>62139.0</v>
      </c>
      <c r="E1460" s="4">
        <v>45626.0</v>
      </c>
      <c r="F1460" s="4" t="str">
        <f>IF(D1460="","", IFNA(VLOOKUP(D1460, SATCAT_DECAY!A:B, 2, FALSE), ""))
</f>
        <v/>
      </c>
      <c r="G1460" s="3" t="str">
        <f t="shared" si="1"/>
        <v>ACTIVE</v>
      </c>
    </row>
    <row r="1461" ht="22.5" customHeight="1">
      <c r="A1461" s="11" t="str">
        <f t="array" ref="A1461">IFERROR(
  INDEX('Starlink Launches'!$A:$A, MATCH($E1461, 'Starlink Launches'!$B:$B, 0)),
  ""
)
</f>
        <v>6-65</v>
      </c>
      <c r="B1461" s="3" t="s">
        <v>25</v>
      </c>
      <c r="C1461" s="12" t="s">
        <v>1473</v>
      </c>
      <c r="D1461" s="13">
        <v>62140.0</v>
      </c>
      <c r="E1461" s="4">
        <v>45626.0</v>
      </c>
      <c r="F1461" s="4" t="str">
        <f>IF(D1461="","", IFNA(VLOOKUP(D1461, SATCAT_DECAY!A:B, 2, FALSE), ""))
</f>
        <v/>
      </c>
      <c r="G1461" s="3" t="str">
        <f t="shared" si="1"/>
        <v>ACTIVE</v>
      </c>
    </row>
    <row r="1462" ht="22.5" customHeight="1">
      <c r="A1462" s="11" t="str">
        <f t="array" ref="A1462">IFERROR(
  INDEX('Starlink Launches'!$A:$A, MATCH($E1462, 'Starlink Launches'!$B:$B, 0)),
  ""
)
</f>
        <v>6-65</v>
      </c>
      <c r="B1462" s="3" t="s">
        <v>25</v>
      </c>
      <c r="C1462" s="12" t="s">
        <v>1474</v>
      </c>
      <c r="D1462" s="13">
        <v>62141.0</v>
      </c>
      <c r="E1462" s="4">
        <v>45626.0</v>
      </c>
      <c r="F1462" s="4" t="str">
        <f>IF(D1462="","", IFNA(VLOOKUP(D1462, SATCAT_DECAY!A:B, 2, FALSE), ""))
</f>
        <v/>
      </c>
      <c r="G1462" s="3" t="str">
        <f t="shared" si="1"/>
        <v>ACTIVE</v>
      </c>
    </row>
    <row r="1463" ht="22.5" customHeight="1">
      <c r="A1463" s="11" t="str">
        <f t="array" ref="A1463">IFERROR(
  INDEX('Starlink Launches'!$A:$A, MATCH($E1463, 'Starlink Launches'!$B:$B, 0)),
  ""
)
</f>
        <v>6-65</v>
      </c>
      <c r="B1463" s="3" t="s">
        <v>25</v>
      </c>
      <c r="C1463" s="12" t="s">
        <v>1475</v>
      </c>
      <c r="D1463" s="13">
        <v>62142.0</v>
      </c>
      <c r="E1463" s="4">
        <v>45626.0</v>
      </c>
      <c r="F1463" s="4" t="str">
        <f>IF(D1463="","", IFNA(VLOOKUP(D1463, SATCAT_DECAY!A:B, 2, FALSE), ""))
</f>
        <v/>
      </c>
      <c r="G1463" s="3" t="str">
        <f t="shared" si="1"/>
        <v>ACTIVE</v>
      </c>
    </row>
    <row r="1464" ht="22.5" customHeight="1">
      <c r="A1464" s="11" t="str">
        <f t="array" ref="A1464">IFERROR(
  INDEX('Starlink Launches'!$A:$A, MATCH($E1464, 'Starlink Launches'!$B:$B, 0)),
  ""
)
</f>
        <v>6-65</v>
      </c>
      <c r="B1464" s="3" t="s">
        <v>25</v>
      </c>
      <c r="C1464" s="12" t="s">
        <v>1476</v>
      </c>
      <c r="D1464" s="13">
        <v>62143.0</v>
      </c>
      <c r="E1464" s="4">
        <v>45626.0</v>
      </c>
      <c r="F1464" s="4" t="str">
        <f>IF(D1464="","", IFNA(VLOOKUP(D1464, SATCAT_DECAY!A:B, 2, FALSE), ""))
</f>
        <v/>
      </c>
      <c r="G1464" s="3" t="str">
        <f t="shared" si="1"/>
        <v>ACTIVE</v>
      </c>
    </row>
    <row r="1465" ht="22.5" customHeight="1">
      <c r="A1465" s="11" t="str">
        <f t="array" ref="A1465">IFERROR(
  INDEX('Starlink Launches'!$A:$A, MATCH($E1465, 'Starlink Launches'!$B:$B, 0)),
  ""
)
</f>
        <v>6-65</v>
      </c>
      <c r="B1465" s="3" t="s">
        <v>25</v>
      </c>
      <c r="C1465" s="12" t="s">
        <v>1477</v>
      </c>
      <c r="D1465" s="13">
        <v>62144.0</v>
      </c>
      <c r="E1465" s="4">
        <v>45626.0</v>
      </c>
      <c r="F1465" s="4" t="str">
        <f>IF(D1465="","", IFNA(VLOOKUP(D1465, SATCAT_DECAY!A:B, 2, FALSE), ""))
</f>
        <v/>
      </c>
      <c r="G1465" s="3" t="str">
        <f t="shared" si="1"/>
        <v>ACTIVE</v>
      </c>
    </row>
    <row r="1466" ht="22.5" customHeight="1">
      <c r="A1466" s="11" t="str">
        <f t="array" ref="A1466">IFERROR(
  INDEX('Starlink Launches'!$A:$A, MATCH($E1466, 'Starlink Launches'!$B:$B, 0)),
  ""
)
</f>
        <v>6-65</v>
      </c>
      <c r="B1466" s="3" t="s">
        <v>25</v>
      </c>
      <c r="C1466" s="12" t="s">
        <v>1478</v>
      </c>
      <c r="D1466" s="13">
        <v>62145.0</v>
      </c>
      <c r="E1466" s="4">
        <v>45626.0</v>
      </c>
      <c r="F1466" s="4" t="str">
        <f>IF(D1466="","", IFNA(VLOOKUP(D1466, SATCAT_DECAY!A:B, 2, FALSE), ""))
</f>
        <v/>
      </c>
      <c r="G1466" s="3" t="str">
        <f t="shared" si="1"/>
        <v>ACTIVE</v>
      </c>
    </row>
    <row r="1467" ht="22.5" customHeight="1">
      <c r="A1467" s="11" t="str">
        <f t="array" ref="A1467">IFERROR(
  INDEX('Starlink Launches'!$A:$A, MATCH($E1467, 'Starlink Launches'!$B:$B, 0)),
  ""
)
</f>
        <v>6-65</v>
      </c>
      <c r="B1467" s="3" t="s">
        <v>25</v>
      </c>
      <c r="C1467" s="12" t="s">
        <v>1479</v>
      </c>
      <c r="D1467" s="13">
        <v>62146.0</v>
      </c>
      <c r="E1467" s="4">
        <v>45626.0</v>
      </c>
      <c r="F1467" s="4" t="str">
        <f>IF(D1467="","", IFNA(VLOOKUP(D1467, SATCAT_DECAY!A:B, 2, FALSE), ""))
</f>
        <v/>
      </c>
      <c r="G1467" s="3" t="str">
        <f t="shared" si="1"/>
        <v>ACTIVE</v>
      </c>
    </row>
    <row r="1468" ht="22.5" customHeight="1">
      <c r="A1468" s="11" t="str">
        <f t="array" ref="A1468">IFERROR(
  INDEX('Starlink Launches'!$A:$A, MATCH($E1468, 'Starlink Launches'!$B:$B, 0)),
  ""
)
</f>
        <v>6-65</v>
      </c>
      <c r="B1468" s="3" t="s">
        <v>25</v>
      </c>
      <c r="C1468" s="12" t="s">
        <v>1480</v>
      </c>
      <c r="D1468" s="13">
        <v>62147.0</v>
      </c>
      <c r="E1468" s="4">
        <v>45626.0</v>
      </c>
      <c r="F1468" s="4" t="str">
        <f>IF(D1468="","", IFNA(VLOOKUP(D1468, SATCAT_DECAY!A:B, 2, FALSE), ""))
</f>
        <v/>
      </c>
      <c r="G1468" s="3" t="str">
        <f t="shared" si="1"/>
        <v>ACTIVE</v>
      </c>
    </row>
    <row r="1469" ht="22.5" customHeight="1">
      <c r="A1469" s="11" t="str">
        <f t="array" ref="A1469">IFERROR(
  INDEX('Starlink Launches'!$A:$A, MATCH($E1469, 'Starlink Launches'!$B:$B, 0)),
  ""
)
</f>
        <v>6-65</v>
      </c>
      <c r="B1469" s="3" t="s">
        <v>25</v>
      </c>
      <c r="C1469" s="12" t="s">
        <v>1481</v>
      </c>
      <c r="D1469" s="13">
        <v>62148.0</v>
      </c>
      <c r="E1469" s="4">
        <v>45626.0</v>
      </c>
      <c r="F1469" s="4" t="str">
        <f>IF(D1469="","", IFNA(VLOOKUP(D1469, SATCAT_DECAY!A:B, 2, FALSE), ""))
</f>
        <v/>
      </c>
      <c r="G1469" s="3" t="str">
        <f t="shared" si="1"/>
        <v>ACTIVE</v>
      </c>
    </row>
    <row r="1470" ht="22.5" customHeight="1">
      <c r="A1470" s="11" t="str">
        <f t="array" ref="A1470">IFERROR(
  INDEX('Starlink Launches'!$A:$A, MATCH($E1470, 'Starlink Launches'!$B:$B, 0)),
  ""
)
</f>
        <v>6-65</v>
      </c>
      <c r="B1470" s="3" t="s">
        <v>25</v>
      </c>
      <c r="C1470" s="12" t="s">
        <v>1482</v>
      </c>
      <c r="D1470" s="13">
        <v>62149.0</v>
      </c>
      <c r="E1470" s="4">
        <v>45626.0</v>
      </c>
      <c r="F1470" s="4" t="str">
        <f>IF(D1470="","", IFNA(VLOOKUP(D1470, SATCAT_DECAY!A:B, 2, FALSE), ""))
</f>
        <v/>
      </c>
      <c r="G1470" s="3" t="str">
        <f t="shared" si="1"/>
        <v>ACTIVE</v>
      </c>
    </row>
    <row r="1471" ht="22.5" customHeight="1">
      <c r="A1471" s="11" t="str">
        <f t="array" ref="A1471">IFERROR(
  INDEX('Starlink Launches'!$A:$A, MATCH($E1471, 'Starlink Launches'!$B:$B, 0)),
  ""
)
</f>
        <v>6-65</v>
      </c>
      <c r="B1471" s="3" t="s">
        <v>25</v>
      </c>
      <c r="C1471" s="12" t="s">
        <v>1483</v>
      </c>
      <c r="D1471" s="13">
        <v>62150.0</v>
      </c>
      <c r="E1471" s="4">
        <v>45626.0</v>
      </c>
      <c r="F1471" s="4" t="str">
        <f>IF(D1471="","", IFNA(VLOOKUP(D1471, SATCAT_DECAY!A:B, 2, FALSE), ""))
</f>
        <v/>
      </c>
      <c r="G1471" s="3" t="str">
        <f t="shared" si="1"/>
        <v>ACTIVE</v>
      </c>
    </row>
    <row r="1472" ht="22.5" customHeight="1">
      <c r="A1472" s="11" t="str">
        <f t="array" ref="A1472">IFERROR(
  INDEX('Starlink Launches'!$A:$A, MATCH($E1472, 'Starlink Launches'!$B:$B, 0)),
  ""
)
</f>
        <v>6-65</v>
      </c>
      <c r="B1472" s="3" t="s">
        <v>25</v>
      </c>
      <c r="C1472" s="12" t="s">
        <v>1484</v>
      </c>
      <c r="D1472" s="13">
        <v>62151.0</v>
      </c>
      <c r="E1472" s="4">
        <v>45626.0</v>
      </c>
      <c r="F1472" s="4" t="str">
        <f>IF(D1472="","", IFNA(VLOOKUP(D1472, SATCAT_DECAY!A:B, 2, FALSE), ""))
</f>
        <v/>
      </c>
      <c r="G1472" s="3" t="str">
        <f t="shared" si="1"/>
        <v>ACTIVE</v>
      </c>
    </row>
    <row r="1473" ht="22.5" customHeight="1">
      <c r="A1473" s="11" t="str">
        <f t="array" ref="A1473">IFERROR(
  INDEX('Starlink Launches'!$A:$A, MATCH($E1473, 'Starlink Launches'!$B:$B, 0)),
  ""
)
</f>
        <v>6-65</v>
      </c>
      <c r="B1473" s="3" t="s">
        <v>25</v>
      </c>
      <c r="C1473" s="12" t="s">
        <v>1485</v>
      </c>
      <c r="D1473" s="13">
        <v>62152.0</v>
      </c>
      <c r="E1473" s="4">
        <v>45626.0</v>
      </c>
      <c r="F1473" s="4" t="str">
        <f>IF(D1473="","", IFNA(VLOOKUP(D1473, SATCAT_DECAY!A:B, 2, FALSE), ""))
</f>
        <v/>
      </c>
      <c r="G1473" s="3" t="str">
        <f t="shared" si="1"/>
        <v>ACTIVE</v>
      </c>
    </row>
    <row r="1474" ht="22.5" customHeight="1">
      <c r="A1474" s="11" t="str">
        <f t="array" ref="A1474">IFERROR(
  INDEX('Starlink Launches'!$A:$A, MATCH($E1474, 'Starlink Launches'!$B:$B, 0)),
  ""
)
</f>
        <v>6-65</v>
      </c>
      <c r="B1474" s="3" t="s">
        <v>25</v>
      </c>
      <c r="C1474" s="12" t="s">
        <v>1486</v>
      </c>
      <c r="D1474" s="13">
        <v>62153.0</v>
      </c>
      <c r="E1474" s="4">
        <v>45626.0</v>
      </c>
      <c r="F1474" s="4" t="str">
        <f>IF(D1474="","", IFNA(VLOOKUP(D1474, SATCAT_DECAY!A:B, 2, FALSE), ""))
</f>
        <v/>
      </c>
      <c r="G1474" s="3" t="str">
        <f t="shared" si="1"/>
        <v>ACTIVE</v>
      </c>
    </row>
    <row r="1475" ht="22.5" customHeight="1">
      <c r="A1475" s="11" t="str">
        <f t="array" ref="A1475">IFERROR(
  INDEX('Starlink Launches'!$A:$A, MATCH($E1475, 'Starlink Launches'!$B:$B, 0)),
  ""
)
</f>
        <v>6-65</v>
      </c>
      <c r="B1475" s="3" t="s">
        <v>25</v>
      </c>
      <c r="C1475" s="12" t="s">
        <v>1487</v>
      </c>
      <c r="D1475" s="13">
        <v>62154.0</v>
      </c>
      <c r="E1475" s="4">
        <v>45626.0</v>
      </c>
      <c r="F1475" s="4" t="str">
        <f>IF(D1475="","", IFNA(VLOOKUP(D1475, SATCAT_DECAY!A:B, 2, FALSE), ""))
</f>
        <v/>
      </c>
      <c r="G1475" s="3" t="str">
        <f t="shared" si="1"/>
        <v>ACTIVE</v>
      </c>
    </row>
    <row r="1476" ht="22.5" customHeight="1">
      <c r="A1476" s="11" t="str">
        <f t="array" ref="A1476">IFERROR(
  INDEX('Starlink Launches'!$A:$A, MATCH($E1476, 'Starlink Launches'!$B:$B, 0)),
  ""
)
</f>
        <v>6-65</v>
      </c>
      <c r="B1476" s="3" t="s">
        <v>25</v>
      </c>
      <c r="C1476" s="12" t="s">
        <v>1488</v>
      </c>
      <c r="D1476" s="13">
        <v>62155.0</v>
      </c>
      <c r="E1476" s="4">
        <v>45626.0</v>
      </c>
      <c r="F1476" s="4" t="str">
        <f>IF(D1476="","", IFNA(VLOOKUP(D1476, SATCAT_DECAY!A:B, 2, FALSE), ""))
</f>
        <v/>
      </c>
      <c r="G1476" s="3" t="str">
        <f t="shared" si="1"/>
        <v>ACTIVE</v>
      </c>
    </row>
    <row r="1477" ht="22.5" customHeight="1">
      <c r="A1477" s="11" t="str">
        <f t="array" ref="A1477">IFERROR(
  INDEX('Starlink Launches'!$A:$A, MATCH($E1477, 'Starlink Launches'!$B:$B, 0)),
  ""
)
</f>
        <v>6-65</v>
      </c>
      <c r="B1477" s="3" t="s">
        <v>25</v>
      </c>
      <c r="C1477" s="12" t="s">
        <v>1489</v>
      </c>
      <c r="D1477" s="13">
        <v>62156.0</v>
      </c>
      <c r="E1477" s="4">
        <v>45626.0</v>
      </c>
      <c r="F1477" s="4" t="str">
        <f>IF(D1477="","", IFNA(VLOOKUP(D1477, SATCAT_DECAY!A:B, 2, FALSE), ""))
</f>
        <v/>
      </c>
      <c r="G1477" s="3" t="str">
        <f t="shared" si="1"/>
        <v>ACTIVE</v>
      </c>
    </row>
    <row r="1478" ht="22.5" customHeight="1">
      <c r="A1478" s="11" t="str">
        <f t="array" ref="A1478">IFERROR(
  INDEX('Starlink Launches'!$A:$A, MATCH($E1478, 'Starlink Launches'!$B:$B, 0)),
  ""
)
</f>
        <v>6-65</v>
      </c>
      <c r="B1478" s="3" t="s">
        <v>25</v>
      </c>
      <c r="C1478" s="12" t="s">
        <v>1490</v>
      </c>
      <c r="D1478" s="13">
        <v>62157.0</v>
      </c>
      <c r="E1478" s="4">
        <v>45626.0</v>
      </c>
      <c r="F1478" s="4" t="str">
        <f>IF(D1478="","", IFNA(VLOOKUP(D1478, SATCAT_DECAY!A:B, 2, FALSE), ""))
</f>
        <v/>
      </c>
      <c r="G1478" s="3" t="str">
        <f t="shared" si="1"/>
        <v>ACTIVE</v>
      </c>
    </row>
    <row r="1479" ht="22.5" customHeight="1">
      <c r="A1479" s="11" t="str">
        <f t="array" ref="A1479">IFERROR(
  INDEX('Starlink Launches'!$A:$A, MATCH($E1479, 'Starlink Launches'!$B:$B, 0)),
  ""
)
</f>
        <v>6-65</v>
      </c>
      <c r="B1479" s="3" t="s">
        <v>25</v>
      </c>
      <c r="C1479" s="12" t="s">
        <v>1491</v>
      </c>
      <c r="D1479" s="13">
        <v>62158.0</v>
      </c>
      <c r="E1479" s="4">
        <v>45626.0</v>
      </c>
      <c r="F1479" s="4" t="str">
        <f>IF(D1479="","", IFNA(VLOOKUP(D1479, SATCAT_DECAY!A:B, 2, FALSE), ""))
</f>
        <v/>
      </c>
      <c r="G1479" s="3" t="str">
        <f t="shared" si="1"/>
        <v>ACTIVE</v>
      </c>
    </row>
    <row r="1480" ht="22.5" customHeight="1">
      <c r="A1480" s="11" t="str">
        <f t="array" ref="A1480">IFERROR(
  INDEX('Starlink Launches'!$A:$A, MATCH($E1480, 'Starlink Launches'!$B:$B, 0)),
  ""
)
</f>
        <v>6-65</v>
      </c>
      <c r="B1480" s="3" t="s">
        <v>25</v>
      </c>
      <c r="C1480" s="12" t="s">
        <v>1492</v>
      </c>
      <c r="D1480" s="13">
        <v>62159.0</v>
      </c>
      <c r="E1480" s="4">
        <v>45626.0</v>
      </c>
      <c r="F1480" s="4" t="str">
        <f>IF(D1480="","", IFNA(VLOOKUP(D1480, SATCAT_DECAY!A:B, 2, FALSE), ""))
</f>
        <v/>
      </c>
      <c r="G1480" s="3" t="str">
        <f t="shared" si="1"/>
        <v>ACTIVE</v>
      </c>
    </row>
    <row r="1481" ht="22.5" customHeight="1">
      <c r="A1481" s="11" t="str">
        <f t="array" ref="A1481">IFERROR(
  INDEX('Starlink Launches'!$A:$A, MATCH($E1481, 'Starlink Launches'!$B:$B, 0)),
  ""
)
</f>
        <v>6-65</v>
      </c>
      <c r="B1481" s="3" t="s">
        <v>25</v>
      </c>
      <c r="C1481" s="12" t="s">
        <v>1493</v>
      </c>
      <c r="D1481" s="13">
        <v>62160.0</v>
      </c>
      <c r="E1481" s="4">
        <v>45626.0</v>
      </c>
      <c r="F1481" s="4" t="str">
        <f>IF(D1481="","", IFNA(VLOOKUP(D1481, SATCAT_DECAY!A:B, 2, FALSE), ""))
</f>
        <v/>
      </c>
      <c r="G1481" s="3" t="str">
        <f t="shared" si="1"/>
        <v>ACTIVE</v>
      </c>
    </row>
    <row r="1482" ht="22.5" customHeight="1">
      <c r="A1482" s="11" t="str">
        <f t="array" ref="A1482">IFERROR(
  INDEX('Starlink Launches'!$A:$A, MATCH($E1482, 'Starlink Launches'!$B:$B, 0)),
  ""
)
</f>
        <v>6-65</v>
      </c>
      <c r="B1482" s="3" t="s">
        <v>25</v>
      </c>
      <c r="C1482" s="12" t="s">
        <v>1494</v>
      </c>
      <c r="D1482" s="13">
        <v>62161.0</v>
      </c>
      <c r="E1482" s="4">
        <v>45626.0</v>
      </c>
      <c r="F1482" s="4" t="str">
        <f>IF(D1482="","", IFNA(VLOOKUP(D1482, SATCAT_DECAY!A:B, 2, FALSE), ""))
</f>
        <v/>
      </c>
      <c r="G1482" s="3" t="str">
        <f t="shared" si="1"/>
        <v>ACTIVE</v>
      </c>
    </row>
    <row r="1483" ht="22.5" customHeight="1">
      <c r="A1483" s="11" t="str">
        <f t="array" ref="A1483">IFERROR(
  INDEX('Starlink Launches'!$A:$A, MATCH($E1483, 'Starlink Launches'!$B:$B, 0)),
  ""
)
</f>
        <v>6-65</v>
      </c>
      <c r="B1483" s="3" t="s">
        <v>25</v>
      </c>
      <c r="C1483" s="12" t="s">
        <v>1495</v>
      </c>
      <c r="D1483" s="13">
        <v>62162.0</v>
      </c>
      <c r="E1483" s="4">
        <v>45626.0</v>
      </c>
      <c r="F1483" s="4" t="str">
        <f>IF(D1483="","", IFNA(VLOOKUP(D1483, SATCAT_DECAY!A:B, 2, FALSE), ""))
</f>
        <v/>
      </c>
      <c r="G1483" s="3" t="str">
        <f t="shared" si="1"/>
        <v>ACTIVE</v>
      </c>
    </row>
    <row r="1484" ht="22.5" customHeight="1">
      <c r="A1484" s="11" t="str">
        <f t="array" ref="A1484">IFERROR(
  INDEX('Starlink Launches'!$A:$A, MATCH($E1484, 'Starlink Launches'!$B:$B, 0)),
  ""
)
</f>
        <v>6-65</v>
      </c>
      <c r="B1484" s="3" t="s">
        <v>25</v>
      </c>
      <c r="C1484" s="12" t="s">
        <v>1496</v>
      </c>
      <c r="D1484" s="13">
        <v>62165.0</v>
      </c>
      <c r="E1484" s="4">
        <v>45626.0</v>
      </c>
      <c r="F1484" s="4" t="str">
        <f>IF(D1484="","", IFNA(VLOOKUP(D1484, SATCAT_DECAY!A:B, 2, FALSE), ""))
</f>
        <v/>
      </c>
      <c r="G1484" s="3" t="str">
        <f t="shared" si="1"/>
        <v>ACTIVE</v>
      </c>
    </row>
    <row r="1485" ht="22.5" customHeight="1">
      <c r="A1485" s="11" t="str">
        <f t="array" ref="A1485">IFERROR(
  INDEX('Starlink Launches'!$A:$A, MATCH($E1485, 'Starlink Launches'!$B:$B, 0)),
  ""
)
</f>
        <v>6-65</v>
      </c>
      <c r="B1485" s="3" t="s">
        <v>25</v>
      </c>
      <c r="C1485" s="12" t="s">
        <v>1497</v>
      </c>
      <c r="D1485" s="13">
        <v>62166.0</v>
      </c>
      <c r="E1485" s="4">
        <v>45626.0</v>
      </c>
      <c r="F1485" s="4" t="str">
        <f>IF(D1485="","", IFNA(VLOOKUP(D1485, SATCAT_DECAY!A:B, 2, FALSE), ""))
</f>
        <v/>
      </c>
      <c r="G1485" s="3" t="str">
        <f t="shared" si="1"/>
        <v>ACTIVE</v>
      </c>
    </row>
    <row r="1486" ht="22.5" customHeight="1">
      <c r="A1486" s="11" t="str">
        <f t="array" ref="A1486">IFERROR(
  INDEX('Starlink Launches'!$A:$A, MATCH($E1486, 'Starlink Launches'!$B:$B, 0)),
  ""
)
</f>
        <v>6-65</v>
      </c>
      <c r="B1486" s="3" t="s">
        <v>25</v>
      </c>
      <c r="C1486" s="12" t="s">
        <v>1498</v>
      </c>
      <c r="D1486" s="13">
        <v>62167.0</v>
      </c>
      <c r="E1486" s="4">
        <v>45626.0</v>
      </c>
      <c r="F1486" s="4" t="str">
        <f>IF(D1486="","", IFNA(VLOOKUP(D1486, SATCAT_DECAY!A:B, 2, FALSE), ""))
</f>
        <v/>
      </c>
      <c r="G1486" s="3" t="str">
        <f t="shared" si="1"/>
        <v>ACTIVE</v>
      </c>
    </row>
    <row r="1487" ht="22.5" customHeight="1">
      <c r="A1487" s="11" t="str">
        <f t="array" ref="A1487">IFERROR(
  INDEX('Starlink Launches'!$A:$A, MATCH($E1487, 'Starlink Launches'!$B:$B, 0)),
  ""
)
</f>
        <v>6-65</v>
      </c>
      <c r="B1487" s="3" t="s">
        <v>25</v>
      </c>
      <c r="C1487" s="12" t="s">
        <v>1499</v>
      </c>
      <c r="D1487" s="13">
        <v>62168.0</v>
      </c>
      <c r="E1487" s="4">
        <v>45626.0</v>
      </c>
      <c r="F1487" s="4" t="str">
        <f>IF(D1487="","", IFNA(VLOOKUP(D1487, SATCAT_DECAY!A:B, 2, FALSE), ""))
</f>
        <v/>
      </c>
      <c r="G1487" s="3" t="str">
        <f t="shared" si="1"/>
        <v>ACTIVE</v>
      </c>
    </row>
    <row r="1488" ht="22.5" customHeight="1">
      <c r="A1488" s="11" t="str">
        <f t="array" ref="A1488">IFERROR(
  INDEX('Starlink Launches'!$A:$A, MATCH($E1488, 'Starlink Launches'!$B:$B, 0)),
  ""
)
</f>
        <v>6-65</v>
      </c>
      <c r="B1488" s="3" t="s">
        <v>25</v>
      </c>
      <c r="C1488" s="12" t="s">
        <v>1500</v>
      </c>
      <c r="D1488" s="13">
        <v>62169.0</v>
      </c>
      <c r="E1488" s="4">
        <v>45626.0</v>
      </c>
      <c r="F1488" s="4" t="str">
        <f>IF(D1488="","", IFNA(VLOOKUP(D1488, SATCAT_DECAY!A:B, 2, FALSE), ""))
</f>
        <v/>
      </c>
      <c r="G1488" s="3" t="str">
        <f t="shared" si="1"/>
        <v>ACTIVE</v>
      </c>
    </row>
    <row r="1489" ht="22.5" customHeight="1">
      <c r="A1489" s="11" t="str">
        <f t="array" ref="A1489">IFERROR(
  INDEX('Starlink Launches'!$A:$A, MATCH($E1489, 'Starlink Launches'!$B:$B, 0)),
  ""
)
</f>
        <v>6-65</v>
      </c>
      <c r="B1489" s="3" t="s">
        <v>25</v>
      </c>
      <c r="C1489" s="12" t="s">
        <v>1501</v>
      </c>
      <c r="D1489" s="13">
        <v>62170.0</v>
      </c>
      <c r="E1489" s="4">
        <v>45626.0</v>
      </c>
      <c r="F1489" s="4" t="str">
        <f>IF(D1489="","", IFNA(VLOOKUP(D1489, SATCAT_DECAY!A:B, 2, FALSE), ""))
</f>
        <v/>
      </c>
      <c r="G1489" s="3" t="str">
        <f t="shared" si="1"/>
        <v>ACTIVE</v>
      </c>
    </row>
    <row r="1490" ht="22.5" customHeight="1">
      <c r="A1490" s="11" t="str">
        <f t="array" ref="A1490">IFERROR(
  INDEX('Starlink Launches'!$A:$A, MATCH($E1490, 'Starlink Launches'!$B:$B, 0)),
  ""
)
</f>
        <v>6-65</v>
      </c>
      <c r="B1490" s="3" t="s">
        <v>25</v>
      </c>
      <c r="C1490" s="12" t="s">
        <v>1502</v>
      </c>
      <c r="D1490" s="13">
        <v>62171.0</v>
      </c>
      <c r="E1490" s="4">
        <v>45626.0</v>
      </c>
      <c r="F1490" s="4" t="str">
        <f>IF(D1490="","", IFNA(VLOOKUP(D1490, SATCAT_DECAY!A:B, 2, FALSE), ""))
</f>
        <v/>
      </c>
      <c r="G1490" s="3" t="str">
        <f t="shared" si="1"/>
        <v>ACTIVE</v>
      </c>
    </row>
    <row r="1491" ht="22.5" customHeight="1">
      <c r="A1491" s="11" t="str">
        <f t="array" ref="A1491">IFERROR(
  INDEX('Starlink Launches'!$A:$A, MATCH($E1491, 'Starlink Launches'!$B:$B, 0)),
  ""
)
</f>
        <v>6-65</v>
      </c>
      <c r="B1491" s="3" t="s">
        <v>25</v>
      </c>
      <c r="C1491" s="12" t="s">
        <v>1503</v>
      </c>
      <c r="D1491" s="13">
        <v>62172.0</v>
      </c>
      <c r="E1491" s="4">
        <v>45626.0</v>
      </c>
      <c r="F1491" s="4" t="str">
        <f>IF(D1491="","", IFNA(VLOOKUP(D1491, SATCAT_DECAY!A:B, 2, FALSE), ""))
</f>
        <v/>
      </c>
      <c r="G1491" s="3" t="str">
        <f t="shared" si="1"/>
        <v>ACTIVE</v>
      </c>
    </row>
    <row r="1492" ht="22.5" customHeight="1">
      <c r="A1492" s="11" t="str">
        <f t="array" ref="A1492">IFERROR(
  INDEX('Starlink Launches'!$A:$A, MATCH($E1492, 'Starlink Launches'!$B:$B, 0)),
  ""
)
</f>
        <v>6-65</v>
      </c>
      <c r="B1492" s="3" t="s">
        <v>25</v>
      </c>
      <c r="C1492" s="12" t="s">
        <v>1504</v>
      </c>
      <c r="D1492" s="13">
        <v>62173.0</v>
      </c>
      <c r="E1492" s="4">
        <v>45626.0</v>
      </c>
      <c r="F1492" s="4" t="str">
        <f>IF(D1492="","", IFNA(VLOOKUP(D1492, SATCAT_DECAY!A:B, 2, FALSE), ""))
</f>
        <v/>
      </c>
      <c r="G1492" s="3" t="str">
        <f t="shared" si="1"/>
        <v>ACTIVE</v>
      </c>
    </row>
    <row r="1493" ht="22.5" customHeight="1">
      <c r="A1493" s="11" t="str">
        <f t="array" ref="A1493">IFERROR(
  INDEX('Starlink Launches'!$A:$A, MATCH($E1493, 'Starlink Launches'!$B:$B, 0)),
  ""
)
</f>
        <v>6-65</v>
      </c>
      <c r="B1493" s="3" t="s">
        <v>25</v>
      </c>
      <c r="C1493" s="12" t="s">
        <v>1505</v>
      </c>
      <c r="D1493" s="13">
        <v>62174.0</v>
      </c>
      <c r="E1493" s="4">
        <v>45626.0</v>
      </c>
      <c r="F1493" s="4" t="str">
        <f>IF(D1493="","", IFNA(VLOOKUP(D1493, SATCAT_DECAY!A:B, 2, FALSE), ""))
</f>
        <v/>
      </c>
      <c r="G1493" s="3" t="str">
        <f t="shared" si="1"/>
        <v>ACTIVE</v>
      </c>
    </row>
    <row r="1494" ht="22.5" customHeight="1">
      <c r="A1494" s="11" t="str">
        <f t="array" ref="A1494">IFERROR(
  INDEX('Starlink Launches'!$A:$A, MATCH($E1494, 'Starlink Launches'!$B:$B, 0)),
  ""
)
</f>
        <v>6-65</v>
      </c>
      <c r="B1494" s="3" t="s">
        <v>25</v>
      </c>
      <c r="C1494" s="12" t="s">
        <v>1506</v>
      </c>
      <c r="D1494" s="13">
        <v>62175.0</v>
      </c>
      <c r="E1494" s="4">
        <v>45626.0</v>
      </c>
      <c r="F1494" s="4" t="str">
        <f>IF(D1494="","", IFNA(VLOOKUP(D1494, SATCAT_DECAY!A:B, 2, FALSE), ""))
</f>
        <v/>
      </c>
      <c r="G1494" s="3" t="str">
        <f t="shared" si="1"/>
        <v>ACTIVE</v>
      </c>
    </row>
    <row r="1495" ht="22.5" customHeight="1">
      <c r="A1495" s="11" t="str">
        <f t="array" ref="A1495">IFERROR(
  INDEX('Starlink Launches'!$A:$A, MATCH($E1495, 'Starlink Launches'!$B:$B, 0)),
  ""
)
</f>
        <v>6-65</v>
      </c>
      <c r="B1495" s="3" t="s">
        <v>25</v>
      </c>
      <c r="C1495" s="12" t="s">
        <v>1507</v>
      </c>
      <c r="D1495" s="13">
        <v>62176.0</v>
      </c>
      <c r="E1495" s="4">
        <v>45626.0</v>
      </c>
      <c r="F1495" s="4" t="str">
        <f>IF(D1495="","", IFNA(VLOOKUP(D1495, SATCAT_DECAY!A:B, 2, FALSE), ""))
</f>
        <v/>
      </c>
      <c r="G1495" s="3" t="str">
        <f t="shared" si="1"/>
        <v>ACTIVE</v>
      </c>
    </row>
    <row r="1496" ht="22.5" customHeight="1">
      <c r="A1496" s="11" t="str">
        <f t="array" ref="A1496">IFERROR(
  INDEX('Starlink Launches'!$A:$A, MATCH($E1496, 'Starlink Launches'!$B:$B, 0)),
  ""
)
</f>
        <v>6-65</v>
      </c>
      <c r="B1496" s="3" t="s">
        <v>25</v>
      </c>
      <c r="C1496" s="12" t="s">
        <v>1508</v>
      </c>
      <c r="D1496" s="13">
        <v>62177.0</v>
      </c>
      <c r="E1496" s="4">
        <v>45626.0</v>
      </c>
      <c r="F1496" s="4" t="str">
        <f>IF(D1496="","", IFNA(VLOOKUP(D1496, SATCAT_DECAY!A:B, 2, FALSE), ""))
</f>
        <v/>
      </c>
      <c r="G1496" s="3" t="str">
        <f t="shared" si="1"/>
        <v>ACTIVE</v>
      </c>
    </row>
    <row r="1497" ht="22.5" customHeight="1">
      <c r="A1497" s="11" t="str">
        <f t="array" ref="A1497">IFERROR(
  INDEX('Starlink Launches'!$A:$A, MATCH($E1497, 'Starlink Launches'!$B:$B, 0)),
  ""
)
</f>
        <v>6-65</v>
      </c>
      <c r="B1497" s="3" t="s">
        <v>25</v>
      </c>
      <c r="C1497" s="12" t="s">
        <v>1509</v>
      </c>
      <c r="D1497" s="13">
        <v>62178.0</v>
      </c>
      <c r="E1497" s="4">
        <v>45626.0</v>
      </c>
      <c r="F1497" s="4" t="str">
        <f>IF(D1497="","", IFNA(VLOOKUP(D1497, SATCAT_DECAY!A:B, 2, FALSE), ""))
</f>
        <v/>
      </c>
      <c r="G1497" s="3" t="str">
        <f t="shared" si="1"/>
        <v>ACTIVE</v>
      </c>
    </row>
    <row r="1498" ht="22.5" customHeight="1">
      <c r="A1498" s="11" t="str">
        <f t="array" ref="A1498">IFERROR(
  INDEX('Starlink Launches'!$A:$A, MATCH($E1498, 'Starlink Launches'!$B:$B, 0)),
  ""
)
</f>
        <v>6-65</v>
      </c>
      <c r="B1498" s="3" t="s">
        <v>25</v>
      </c>
      <c r="C1498" s="12" t="s">
        <v>1510</v>
      </c>
      <c r="D1498" s="13">
        <v>62179.0</v>
      </c>
      <c r="E1498" s="4">
        <v>45626.0</v>
      </c>
      <c r="F1498" s="4" t="str">
        <f>IF(D1498="","", IFNA(VLOOKUP(D1498, SATCAT_DECAY!A:B, 2, FALSE), ""))
</f>
        <v/>
      </c>
      <c r="G1498" s="3" t="str">
        <f t="shared" si="1"/>
        <v>ACTIVE</v>
      </c>
    </row>
    <row r="1499" ht="22.5" customHeight="1">
      <c r="A1499" s="11" t="str">
        <f t="array" ref="A1499">IFERROR(
  INDEX('Starlink Launches'!$A:$A, MATCH($E1499, 'Starlink Launches'!$B:$B, 0)),
  ""
)
</f>
        <v>6-65</v>
      </c>
      <c r="B1499" s="3" t="s">
        <v>25</v>
      </c>
      <c r="C1499" s="12" t="s">
        <v>1511</v>
      </c>
      <c r="D1499" s="13">
        <v>62180.0</v>
      </c>
      <c r="E1499" s="4">
        <v>45626.0</v>
      </c>
      <c r="F1499" s="4" t="str">
        <f>IF(D1499="","", IFNA(VLOOKUP(D1499, SATCAT_DECAY!A:B, 2, FALSE), ""))
</f>
        <v/>
      </c>
      <c r="G1499" s="3" t="str">
        <f t="shared" si="1"/>
        <v>ACTIVE</v>
      </c>
    </row>
    <row r="1500" ht="22.5" customHeight="1">
      <c r="A1500" s="11" t="str">
        <f t="array" ref="A1500">IFERROR(
  INDEX('Starlink Launches'!$A:$A, MATCH($E1500, 'Starlink Launches'!$B:$B, 0)),
  ""
)
</f>
        <v>6-65</v>
      </c>
      <c r="B1500" s="3" t="s">
        <v>25</v>
      </c>
      <c r="C1500" s="12" t="s">
        <v>1512</v>
      </c>
      <c r="D1500" s="13">
        <v>62181.0</v>
      </c>
      <c r="E1500" s="4">
        <v>45626.0</v>
      </c>
      <c r="F1500" s="4" t="str">
        <f>IF(D1500="","", IFNA(VLOOKUP(D1500, SATCAT_DECAY!A:B, 2, FALSE), ""))
</f>
        <v/>
      </c>
      <c r="G1500" s="3" t="str">
        <f t="shared" si="1"/>
        <v>ACTIVE</v>
      </c>
    </row>
    <row r="1501" ht="22.5" customHeight="1">
      <c r="A1501" s="11" t="str">
        <f t="array" ref="A1501">IFERROR(
  INDEX('Starlink Launches'!$A:$A, MATCH($E1501, 'Starlink Launches'!$B:$B, 0)),
  ""
)
</f>
        <v>6-65</v>
      </c>
      <c r="B1501" s="3" t="s">
        <v>25</v>
      </c>
      <c r="C1501" s="12" t="s">
        <v>1513</v>
      </c>
      <c r="D1501" s="13">
        <v>62182.0</v>
      </c>
      <c r="E1501" s="4">
        <v>45626.0</v>
      </c>
      <c r="F1501" s="4" t="str">
        <f>IF(D1501="","", IFNA(VLOOKUP(D1501, SATCAT_DECAY!A:B, 2, FALSE), ""))
</f>
        <v/>
      </c>
      <c r="G1501" s="3" t="str">
        <f t="shared" si="1"/>
        <v>ACTIVE</v>
      </c>
    </row>
    <row r="1502" ht="22.5" customHeight="1">
      <c r="A1502" s="11" t="str">
        <f t="array" ref="A1502">IFERROR(
  INDEX('Starlink Launches'!$A:$A, MATCH($E1502, 'Starlink Launches'!$B:$B, 0)),
  ""
)
</f>
        <v>6-65</v>
      </c>
      <c r="B1502" s="3" t="s">
        <v>25</v>
      </c>
      <c r="C1502" s="12" t="s">
        <v>1514</v>
      </c>
      <c r="D1502" s="13">
        <v>62183.0</v>
      </c>
      <c r="E1502" s="4">
        <v>45626.0</v>
      </c>
      <c r="F1502" s="4" t="str">
        <f>IF(D1502="","", IFNA(VLOOKUP(D1502, SATCAT_DECAY!A:B, 2, FALSE), ""))
</f>
        <v/>
      </c>
      <c r="G1502" s="3" t="str">
        <f t="shared" si="1"/>
        <v>ACTIVE</v>
      </c>
    </row>
    <row r="1503" ht="22.5" customHeight="1">
      <c r="A1503" s="11" t="str">
        <f t="array" ref="A1503">IFERROR(
  INDEX('Starlink Launches'!$A:$A, MATCH($E1503, 'Starlink Launches'!$B:$B, 0)),
  ""
)
</f>
        <v>6-65</v>
      </c>
      <c r="B1503" s="3" t="s">
        <v>25</v>
      </c>
      <c r="C1503" s="12" t="s">
        <v>1515</v>
      </c>
      <c r="D1503" s="13">
        <v>62184.0</v>
      </c>
      <c r="E1503" s="4">
        <v>45626.0</v>
      </c>
      <c r="F1503" s="4" t="str">
        <f>IF(D1503="","", IFNA(VLOOKUP(D1503, SATCAT_DECAY!A:B, 2, FALSE), ""))
</f>
        <v/>
      </c>
      <c r="G1503" s="3" t="str">
        <f t="shared" si="1"/>
        <v>ACTIVE</v>
      </c>
    </row>
    <row r="1504" ht="22.5" customHeight="1">
      <c r="A1504" s="11" t="str">
        <f t="array" ref="A1504">IFERROR(
  INDEX('Starlink Launches'!$A:$A, MATCH($E1504, 'Starlink Launches'!$B:$B, 0)),
  ""
)
</f>
        <v>6-70</v>
      </c>
      <c r="B1504" s="3" t="s">
        <v>25</v>
      </c>
      <c r="C1504" s="12" t="s">
        <v>1516</v>
      </c>
      <c r="D1504" s="13">
        <v>62192.0</v>
      </c>
      <c r="E1504" s="4">
        <v>45630.0</v>
      </c>
      <c r="F1504" s="4" t="str">
        <f>IF(D1504="","", IFNA(VLOOKUP(D1504, SATCAT_DECAY!A:B, 2, FALSE), ""))
</f>
        <v/>
      </c>
      <c r="G1504" s="3" t="str">
        <f t="shared" si="1"/>
        <v>ACTIVE</v>
      </c>
    </row>
    <row r="1505" ht="22.5" customHeight="1">
      <c r="A1505" s="11" t="str">
        <f t="array" ref="A1505">IFERROR(
  INDEX('Starlink Launches'!$A:$A, MATCH($E1505, 'Starlink Launches'!$B:$B, 0)),
  ""
)
</f>
        <v>6-70</v>
      </c>
      <c r="B1505" s="3" t="s">
        <v>25</v>
      </c>
      <c r="C1505" s="12" t="s">
        <v>1517</v>
      </c>
      <c r="D1505" s="13">
        <v>62193.0</v>
      </c>
      <c r="E1505" s="4">
        <v>45630.0</v>
      </c>
      <c r="F1505" s="4" t="str">
        <f>IF(D1505="","", IFNA(VLOOKUP(D1505, SATCAT_DECAY!A:B, 2, FALSE), ""))
</f>
        <v/>
      </c>
      <c r="G1505" s="3" t="str">
        <f t="shared" si="1"/>
        <v>ACTIVE</v>
      </c>
    </row>
    <row r="1506" ht="22.5" customHeight="1">
      <c r="A1506" s="11" t="str">
        <f t="array" ref="A1506">IFERROR(
  INDEX('Starlink Launches'!$A:$A, MATCH($E1506, 'Starlink Launches'!$B:$B, 0)),
  ""
)
</f>
        <v>6-70</v>
      </c>
      <c r="B1506" s="3" t="s">
        <v>25</v>
      </c>
      <c r="C1506" s="12" t="s">
        <v>1518</v>
      </c>
      <c r="D1506" s="13">
        <v>62194.0</v>
      </c>
      <c r="E1506" s="4">
        <v>45630.0</v>
      </c>
      <c r="F1506" s="4" t="str">
        <f>IF(D1506="","", IFNA(VLOOKUP(D1506, SATCAT_DECAY!A:B, 2, FALSE), ""))
</f>
        <v/>
      </c>
      <c r="G1506" s="3" t="str">
        <f t="shared" si="1"/>
        <v>ACTIVE</v>
      </c>
    </row>
    <row r="1507" ht="22.5" customHeight="1">
      <c r="A1507" s="11" t="str">
        <f t="array" ref="A1507">IFERROR(
  INDEX('Starlink Launches'!$A:$A, MATCH($E1507, 'Starlink Launches'!$B:$B, 0)),
  ""
)
</f>
        <v>6-70</v>
      </c>
      <c r="B1507" s="3" t="s">
        <v>25</v>
      </c>
      <c r="C1507" s="12" t="s">
        <v>1519</v>
      </c>
      <c r="D1507" s="13">
        <v>62195.0</v>
      </c>
      <c r="E1507" s="4">
        <v>45630.0</v>
      </c>
      <c r="F1507" s="4" t="str">
        <f>IF(D1507="","", IFNA(VLOOKUP(D1507, SATCAT_DECAY!A:B, 2, FALSE), ""))
</f>
        <v/>
      </c>
      <c r="G1507" s="3" t="str">
        <f t="shared" si="1"/>
        <v>ACTIVE</v>
      </c>
    </row>
    <row r="1508" ht="22.5" customHeight="1">
      <c r="A1508" s="11" t="str">
        <f t="array" ref="A1508">IFERROR(
  INDEX('Starlink Launches'!$A:$A, MATCH($E1508, 'Starlink Launches'!$B:$B, 0)),
  ""
)
</f>
        <v>6-70</v>
      </c>
      <c r="B1508" s="3" t="s">
        <v>25</v>
      </c>
      <c r="C1508" s="12" t="s">
        <v>1520</v>
      </c>
      <c r="D1508" s="13">
        <v>62196.0</v>
      </c>
      <c r="E1508" s="4">
        <v>45630.0</v>
      </c>
      <c r="F1508" s="4" t="str">
        <f>IF(D1508="","", IFNA(VLOOKUP(D1508, SATCAT_DECAY!A:B, 2, FALSE), ""))
</f>
        <v/>
      </c>
      <c r="G1508" s="3" t="str">
        <f t="shared" si="1"/>
        <v>ACTIVE</v>
      </c>
    </row>
    <row r="1509" ht="22.5" customHeight="1">
      <c r="A1509" s="11" t="str">
        <f t="array" ref="A1509">IFERROR(
  INDEX('Starlink Launches'!$A:$A, MATCH($E1509, 'Starlink Launches'!$B:$B, 0)),
  ""
)
</f>
        <v>6-70</v>
      </c>
      <c r="B1509" s="3" t="s">
        <v>25</v>
      </c>
      <c r="C1509" s="12" t="s">
        <v>1521</v>
      </c>
      <c r="D1509" s="13">
        <v>62197.0</v>
      </c>
      <c r="E1509" s="4">
        <v>45630.0</v>
      </c>
      <c r="F1509" s="4" t="str">
        <f>IF(D1509="","", IFNA(VLOOKUP(D1509, SATCAT_DECAY!A:B, 2, FALSE), ""))
</f>
        <v/>
      </c>
      <c r="G1509" s="3" t="str">
        <f t="shared" si="1"/>
        <v>ACTIVE</v>
      </c>
    </row>
    <row r="1510" ht="22.5" customHeight="1">
      <c r="A1510" s="11" t="str">
        <f t="array" ref="A1510">IFERROR(
  INDEX('Starlink Launches'!$A:$A, MATCH($E1510, 'Starlink Launches'!$B:$B, 0)),
  ""
)
</f>
        <v>6-70</v>
      </c>
      <c r="B1510" s="3" t="s">
        <v>25</v>
      </c>
      <c r="C1510" s="12" t="s">
        <v>1522</v>
      </c>
      <c r="D1510" s="13">
        <v>62198.0</v>
      </c>
      <c r="E1510" s="4">
        <v>45630.0</v>
      </c>
      <c r="F1510" s="4" t="str">
        <f>IF(D1510="","", IFNA(VLOOKUP(D1510, SATCAT_DECAY!A:B, 2, FALSE), ""))
</f>
        <v/>
      </c>
      <c r="G1510" s="3" t="str">
        <f t="shared" si="1"/>
        <v>ACTIVE</v>
      </c>
    </row>
    <row r="1511" ht="22.5" customHeight="1">
      <c r="A1511" s="11" t="str">
        <f t="array" ref="A1511">IFERROR(
  INDEX('Starlink Launches'!$A:$A, MATCH($E1511, 'Starlink Launches'!$B:$B, 0)),
  ""
)
</f>
        <v>6-70</v>
      </c>
      <c r="B1511" s="3" t="s">
        <v>25</v>
      </c>
      <c r="C1511" s="12" t="s">
        <v>1523</v>
      </c>
      <c r="D1511" s="13">
        <v>62199.0</v>
      </c>
      <c r="E1511" s="4">
        <v>45630.0</v>
      </c>
      <c r="F1511" s="4" t="str">
        <f>IF(D1511="","", IFNA(VLOOKUP(D1511, SATCAT_DECAY!A:B, 2, FALSE), ""))
</f>
        <v/>
      </c>
      <c r="G1511" s="3" t="str">
        <f t="shared" si="1"/>
        <v>ACTIVE</v>
      </c>
    </row>
    <row r="1512" ht="22.5" customHeight="1">
      <c r="A1512" s="11" t="str">
        <f t="array" ref="A1512">IFERROR(
  INDEX('Starlink Launches'!$A:$A, MATCH($E1512, 'Starlink Launches'!$B:$B, 0)),
  ""
)
</f>
        <v>6-70</v>
      </c>
      <c r="B1512" s="3" t="s">
        <v>25</v>
      </c>
      <c r="C1512" s="12" t="s">
        <v>1524</v>
      </c>
      <c r="D1512" s="13">
        <v>62200.0</v>
      </c>
      <c r="E1512" s="4">
        <v>45630.0</v>
      </c>
      <c r="F1512" s="4" t="str">
        <f>IF(D1512="","", IFNA(VLOOKUP(D1512, SATCAT_DECAY!A:B, 2, FALSE), ""))
</f>
        <v/>
      </c>
      <c r="G1512" s="3" t="str">
        <f t="shared" si="1"/>
        <v>ACTIVE</v>
      </c>
    </row>
    <row r="1513" ht="22.5" customHeight="1">
      <c r="A1513" s="11" t="str">
        <f t="array" ref="A1513">IFERROR(
  INDEX('Starlink Launches'!$A:$A, MATCH($E1513, 'Starlink Launches'!$B:$B, 0)),
  ""
)
</f>
        <v>6-70</v>
      </c>
      <c r="B1513" s="3" t="s">
        <v>25</v>
      </c>
      <c r="C1513" s="12" t="s">
        <v>1525</v>
      </c>
      <c r="D1513" s="13">
        <v>62201.0</v>
      </c>
      <c r="E1513" s="4">
        <v>45630.0</v>
      </c>
      <c r="F1513" s="4" t="str">
        <f>IF(D1513="","", IFNA(VLOOKUP(D1513, SATCAT_DECAY!A:B, 2, FALSE), ""))
</f>
        <v/>
      </c>
      <c r="G1513" s="3" t="str">
        <f t="shared" si="1"/>
        <v>ACTIVE</v>
      </c>
    </row>
    <row r="1514" ht="22.5" customHeight="1">
      <c r="A1514" s="11" t="str">
        <f t="array" ref="A1514">IFERROR(
  INDEX('Starlink Launches'!$A:$A, MATCH($E1514, 'Starlink Launches'!$B:$B, 0)),
  ""
)
</f>
        <v>6-70</v>
      </c>
      <c r="B1514" s="3" t="s">
        <v>25</v>
      </c>
      <c r="C1514" s="12" t="s">
        <v>1526</v>
      </c>
      <c r="D1514" s="13">
        <v>62202.0</v>
      </c>
      <c r="E1514" s="4">
        <v>45630.0</v>
      </c>
      <c r="F1514" s="4" t="str">
        <f>IF(D1514="","", IFNA(VLOOKUP(D1514, SATCAT_DECAY!A:B, 2, FALSE), ""))
</f>
        <v/>
      </c>
      <c r="G1514" s="3" t="str">
        <f t="shared" si="1"/>
        <v>ACTIVE</v>
      </c>
    </row>
    <row r="1515" ht="22.5" customHeight="1">
      <c r="A1515" s="11" t="str">
        <f t="array" ref="A1515">IFERROR(
  INDEX('Starlink Launches'!$A:$A, MATCH($E1515, 'Starlink Launches'!$B:$B, 0)),
  ""
)
</f>
        <v>6-70</v>
      </c>
      <c r="B1515" s="3" t="s">
        <v>25</v>
      </c>
      <c r="C1515" s="12" t="s">
        <v>1527</v>
      </c>
      <c r="D1515" s="13">
        <v>62203.0</v>
      </c>
      <c r="E1515" s="4">
        <v>45630.0</v>
      </c>
      <c r="F1515" s="4" t="str">
        <f>IF(D1515="","", IFNA(VLOOKUP(D1515, SATCAT_DECAY!A:B, 2, FALSE), ""))
</f>
        <v/>
      </c>
      <c r="G1515" s="3" t="str">
        <f t="shared" si="1"/>
        <v>ACTIVE</v>
      </c>
    </row>
    <row r="1516" ht="22.5" customHeight="1">
      <c r="A1516" s="11" t="str">
        <f t="array" ref="A1516">IFERROR(
  INDEX('Starlink Launches'!$A:$A, MATCH($E1516, 'Starlink Launches'!$B:$B, 0)),
  ""
)
</f>
        <v>6-70</v>
      </c>
      <c r="B1516" s="3" t="s">
        <v>25</v>
      </c>
      <c r="C1516" s="12" t="s">
        <v>1528</v>
      </c>
      <c r="D1516" s="13">
        <v>62204.0</v>
      </c>
      <c r="E1516" s="4">
        <v>45630.0</v>
      </c>
      <c r="F1516" s="4" t="str">
        <f>IF(D1516="","", IFNA(VLOOKUP(D1516, SATCAT_DECAY!A:B, 2, FALSE), ""))
</f>
        <v/>
      </c>
      <c r="G1516" s="3" t="str">
        <f t="shared" si="1"/>
        <v>ACTIVE</v>
      </c>
    </row>
    <row r="1517" ht="22.5" customHeight="1">
      <c r="A1517" s="11" t="str">
        <f t="array" ref="A1517">IFERROR(
  INDEX('Starlink Launches'!$A:$A, MATCH($E1517, 'Starlink Launches'!$B:$B, 0)),
  ""
)
</f>
        <v>6-70</v>
      </c>
      <c r="B1517" s="3" t="s">
        <v>25</v>
      </c>
      <c r="C1517" s="12" t="s">
        <v>1529</v>
      </c>
      <c r="D1517" s="13">
        <v>62205.0</v>
      </c>
      <c r="E1517" s="4">
        <v>45630.0</v>
      </c>
      <c r="F1517" s="4" t="str">
        <f>IF(D1517="","", IFNA(VLOOKUP(D1517, SATCAT_DECAY!A:B, 2, FALSE), ""))
</f>
        <v/>
      </c>
      <c r="G1517" s="3" t="str">
        <f t="shared" si="1"/>
        <v>ACTIVE</v>
      </c>
    </row>
    <row r="1518" ht="22.5" customHeight="1">
      <c r="A1518" s="11" t="str">
        <f t="array" ref="A1518">IFERROR(
  INDEX('Starlink Launches'!$A:$A, MATCH($E1518, 'Starlink Launches'!$B:$B, 0)),
  ""
)
</f>
        <v>6-70</v>
      </c>
      <c r="B1518" s="3" t="s">
        <v>25</v>
      </c>
      <c r="C1518" s="12" t="s">
        <v>1530</v>
      </c>
      <c r="D1518" s="13">
        <v>62206.0</v>
      </c>
      <c r="E1518" s="4">
        <v>45630.0</v>
      </c>
      <c r="F1518" s="4" t="str">
        <f>IF(D1518="","", IFNA(VLOOKUP(D1518, SATCAT_DECAY!A:B, 2, FALSE), ""))
</f>
        <v/>
      </c>
      <c r="G1518" s="3" t="str">
        <f t="shared" si="1"/>
        <v>ACTIVE</v>
      </c>
    </row>
    <row r="1519" ht="22.5" customHeight="1">
      <c r="A1519" s="11" t="str">
        <f t="array" ref="A1519">IFERROR(
  INDEX('Starlink Launches'!$A:$A, MATCH($E1519, 'Starlink Launches'!$B:$B, 0)),
  ""
)
</f>
        <v>6-70</v>
      </c>
      <c r="B1519" s="3" t="s">
        <v>25</v>
      </c>
      <c r="C1519" s="12" t="s">
        <v>1531</v>
      </c>
      <c r="D1519" s="13">
        <v>62207.0</v>
      </c>
      <c r="E1519" s="4">
        <v>45630.0</v>
      </c>
      <c r="F1519" s="4" t="str">
        <f>IF(D1519="","", IFNA(VLOOKUP(D1519, SATCAT_DECAY!A:B, 2, FALSE), ""))
</f>
        <v/>
      </c>
      <c r="G1519" s="3" t="str">
        <f t="shared" si="1"/>
        <v>ACTIVE</v>
      </c>
    </row>
    <row r="1520" ht="22.5" customHeight="1">
      <c r="A1520" s="11" t="str">
        <f t="array" ref="A1520">IFERROR(
  INDEX('Starlink Launches'!$A:$A, MATCH($E1520, 'Starlink Launches'!$B:$B, 0)),
  ""
)
</f>
        <v>6-70</v>
      </c>
      <c r="B1520" s="3" t="s">
        <v>25</v>
      </c>
      <c r="C1520" s="12" t="s">
        <v>1532</v>
      </c>
      <c r="D1520" s="13">
        <v>62208.0</v>
      </c>
      <c r="E1520" s="4">
        <v>45630.0</v>
      </c>
      <c r="F1520" s="4" t="str">
        <f>IF(D1520="","", IFNA(VLOOKUP(D1520, SATCAT_DECAY!A:B, 2, FALSE), ""))
</f>
        <v/>
      </c>
      <c r="G1520" s="3" t="str">
        <f t="shared" si="1"/>
        <v>ACTIVE</v>
      </c>
    </row>
    <row r="1521" ht="22.5" customHeight="1">
      <c r="A1521" s="11" t="str">
        <f t="array" ref="A1521">IFERROR(
  INDEX('Starlink Launches'!$A:$A, MATCH($E1521, 'Starlink Launches'!$B:$B, 0)),
  ""
)
</f>
        <v>6-70</v>
      </c>
      <c r="B1521" s="3" t="s">
        <v>25</v>
      </c>
      <c r="C1521" s="12" t="s">
        <v>1533</v>
      </c>
      <c r="D1521" s="13">
        <v>62209.0</v>
      </c>
      <c r="E1521" s="4">
        <v>45630.0</v>
      </c>
      <c r="F1521" s="4" t="str">
        <f>IF(D1521="","", IFNA(VLOOKUP(D1521, SATCAT_DECAY!A:B, 2, FALSE), ""))
</f>
        <v/>
      </c>
      <c r="G1521" s="3" t="str">
        <f t="shared" si="1"/>
        <v>ACTIVE</v>
      </c>
    </row>
    <row r="1522" ht="22.5" customHeight="1">
      <c r="A1522" s="11" t="str">
        <f t="array" ref="A1522">IFERROR(
  INDEX('Starlink Launches'!$A:$A, MATCH($E1522, 'Starlink Launches'!$B:$B, 0)),
  ""
)
</f>
        <v>6-70</v>
      </c>
      <c r="B1522" s="3" t="s">
        <v>25</v>
      </c>
      <c r="C1522" s="12" t="s">
        <v>1534</v>
      </c>
      <c r="D1522" s="13">
        <v>62210.0</v>
      </c>
      <c r="E1522" s="4">
        <v>45630.0</v>
      </c>
      <c r="F1522" s="4" t="str">
        <f>IF(D1522="","", IFNA(VLOOKUP(D1522, SATCAT_DECAY!A:B, 2, FALSE), ""))
</f>
        <v/>
      </c>
      <c r="G1522" s="3" t="str">
        <f t="shared" si="1"/>
        <v>ACTIVE</v>
      </c>
    </row>
    <row r="1523" ht="22.5" customHeight="1">
      <c r="A1523" s="11" t="str">
        <f t="array" ref="A1523">IFERROR(
  INDEX('Starlink Launches'!$A:$A, MATCH($E1523, 'Starlink Launches'!$B:$B, 0)),
  ""
)
</f>
        <v>6-70</v>
      </c>
      <c r="B1523" s="3" t="s">
        <v>25</v>
      </c>
      <c r="C1523" s="12" t="s">
        <v>1535</v>
      </c>
      <c r="D1523" s="13">
        <v>62211.0</v>
      </c>
      <c r="E1523" s="4">
        <v>45630.0</v>
      </c>
      <c r="F1523" s="4" t="str">
        <f>IF(D1523="","", IFNA(VLOOKUP(D1523, SATCAT_DECAY!A:B, 2, FALSE), ""))
</f>
        <v/>
      </c>
      <c r="G1523" s="3" t="str">
        <f t="shared" si="1"/>
        <v>ACTIVE</v>
      </c>
    </row>
    <row r="1524" ht="22.5" customHeight="1">
      <c r="A1524" s="11" t="str">
        <f t="array" ref="A1524">IFERROR(
  INDEX('Starlink Launches'!$A:$A, MATCH($E1524, 'Starlink Launches'!$B:$B, 0)),
  ""
)
</f>
        <v>6-70</v>
      </c>
      <c r="B1524" s="3" t="s">
        <v>25</v>
      </c>
      <c r="C1524" s="12" t="s">
        <v>1536</v>
      </c>
      <c r="D1524" s="13">
        <v>62212.0</v>
      </c>
      <c r="E1524" s="4">
        <v>45630.0</v>
      </c>
      <c r="F1524" s="4" t="str">
        <f>IF(D1524="","", IFNA(VLOOKUP(D1524, SATCAT_DECAY!A:B, 2, FALSE), ""))
</f>
        <v/>
      </c>
      <c r="G1524" s="3" t="str">
        <f t="shared" si="1"/>
        <v>ACTIVE</v>
      </c>
    </row>
    <row r="1525" ht="22.5" customHeight="1">
      <c r="A1525" s="11" t="str">
        <f t="array" ref="A1525">IFERROR(
  INDEX('Starlink Launches'!$A:$A, MATCH($E1525, 'Starlink Launches'!$B:$B, 0)),
  ""
)
</f>
        <v>6-70</v>
      </c>
      <c r="B1525" s="3" t="s">
        <v>25</v>
      </c>
      <c r="C1525" s="12" t="s">
        <v>1537</v>
      </c>
      <c r="D1525" s="13">
        <v>62213.0</v>
      </c>
      <c r="E1525" s="4">
        <v>45630.0</v>
      </c>
      <c r="F1525" s="4" t="str">
        <f>IF(D1525="","", IFNA(VLOOKUP(D1525, SATCAT_DECAY!A:B, 2, FALSE), ""))
</f>
        <v/>
      </c>
      <c r="G1525" s="3" t="str">
        <f t="shared" si="1"/>
        <v>ACTIVE</v>
      </c>
    </row>
    <row r="1526" ht="22.5" customHeight="1">
      <c r="A1526" s="11" t="str">
        <f t="array" ref="A1526">IFERROR(
  INDEX('Starlink Launches'!$A:$A, MATCH($E1526, 'Starlink Launches'!$B:$B, 0)),
  ""
)
</f>
        <v>6-70</v>
      </c>
      <c r="B1526" s="3" t="s">
        <v>25</v>
      </c>
      <c r="C1526" s="12" t="s">
        <v>1538</v>
      </c>
      <c r="D1526" s="13">
        <v>62214.0</v>
      </c>
      <c r="E1526" s="4">
        <v>45630.0</v>
      </c>
      <c r="F1526" s="4" t="str">
        <f>IF(D1526="","", IFNA(VLOOKUP(D1526, SATCAT_DECAY!A:B, 2, FALSE), ""))
</f>
        <v/>
      </c>
      <c r="G1526" s="3" t="str">
        <f t="shared" si="1"/>
        <v>ACTIVE</v>
      </c>
    </row>
    <row r="1527" ht="22.5" customHeight="1">
      <c r="A1527" s="11" t="str">
        <f t="array" ref="A1527">IFERROR(
  INDEX('Starlink Launches'!$A:$A, MATCH($E1527, 'Starlink Launches'!$B:$B, 0)),
  ""
)
</f>
        <v>6-70</v>
      </c>
      <c r="B1527" s="3" t="s">
        <v>25</v>
      </c>
      <c r="C1527" s="12" t="s">
        <v>1539</v>
      </c>
      <c r="D1527" s="13">
        <v>62215.0</v>
      </c>
      <c r="E1527" s="4">
        <v>45630.0</v>
      </c>
      <c r="F1527" s="4" t="str">
        <f>IF(D1527="","", IFNA(VLOOKUP(D1527, SATCAT_DECAY!A:B, 2, FALSE), ""))
</f>
        <v/>
      </c>
      <c r="G1527" s="3" t="str">
        <f t="shared" si="1"/>
        <v>ACTIVE</v>
      </c>
    </row>
    <row r="1528" ht="22.5" customHeight="1">
      <c r="A1528" s="11" t="str">
        <f t="array" ref="A1528">IFERROR(
  INDEX('Starlink Launches'!$A:$A, MATCH($E1528, 'Starlink Launches'!$B:$B, 0)),
  ""
)
</f>
        <v>6-71</v>
      </c>
      <c r="B1528" s="3" t="s">
        <v>25</v>
      </c>
      <c r="C1528" s="12" t="s">
        <v>1540</v>
      </c>
      <c r="D1528" s="13">
        <v>62487.0</v>
      </c>
      <c r="E1528" s="4">
        <v>45663.0</v>
      </c>
      <c r="F1528" s="4" t="str">
        <f>IF(D1528="","", IFNA(VLOOKUP(D1528, SATCAT_DECAY!A:B, 2, FALSE), ""))
</f>
        <v/>
      </c>
      <c r="G1528" s="3" t="str">
        <f t="shared" si="1"/>
        <v>ACTIVE</v>
      </c>
    </row>
    <row r="1529" ht="22.5" customHeight="1">
      <c r="A1529" s="11" t="str">
        <f t="array" ref="A1529">IFERROR(
  INDEX('Starlink Launches'!$A:$A, MATCH($E1529, 'Starlink Launches'!$B:$B, 0)),
  ""
)
</f>
        <v>6-71</v>
      </c>
      <c r="B1529" s="3" t="s">
        <v>25</v>
      </c>
      <c r="C1529" s="12" t="s">
        <v>1541</v>
      </c>
      <c r="D1529" s="13">
        <v>62488.0</v>
      </c>
      <c r="E1529" s="4">
        <v>45663.0</v>
      </c>
      <c r="F1529" s="4" t="str">
        <f>IF(D1529="","", IFNA(VLOOKUP(D1529, SATCAT_DECAY!A:B, 2, FALSE), ""))
</f>
        <v/>
      </c>
      <c r="G1529" s="3" t="str">
        <f t="shared" si="1"/>
        <v>ACTIVE</v>
      </c>
    </row>
    <row r="1530" ht="22.5" customHeight="1">
      <c r="A1530" s="11" t="str">
        <f t="array" ref="A1530">IFERROR(
  INDEX('Starlink Launches'!$A:$A, MATCH($E1530, 'Starlink Launches'!$B:$B, 0)),
  ""
)
</f>
        <v>6-71</v>
      </c>
      <c r="B1530" s="3" t="s">
        <v>25</v>
      </c>
      <c r="C1530" s="12" t="s">
        <v>1542</v>
      </c>
      <c r="D1530" s="13">
        <v>62489.0</v>
      </c>
      <c r="E1530" s="4">
        <v>45663.0</v>
      </c>
      <c r="F1530" s="4" t="str">
        <f>IF(D1530="","", IFNA(VLOOKUP(D1530, SATCAT_DECAY!A:B, 2, FALSE), ""))
</f>
        <v/>
      </c>
      <c r="G1530" s="3" t="str">
        <f t="shared" si="1"/>
        <v>ACTIVE</v>
      </c>
    </row>
    <row r="1531" ht="22.5" customHeight="1">
      <c r="A1531" s="11" t="str">
        <f t="array" ref="A1531">IFERROR(
  INDEX('Starlink Launches'!$A:$A, MATCH($E1531, 'Starlink Launches'!$B:$B, 0)),
  ""
)
</f>
        <v>6-71</v>
      </c>
      <c r="B1531" s="3" t="s">
        <v>25</v>
      </c>
      <c r="C1531" s="12" t="s">
        <v>1543</v>
      </c>
      <c r="D1531" s="13">
        <v>62490.0</v>
      </c>
      <c r="E1531" s="4">
        <v>45663.0</v>
      </c>
      <c r="F1531" s="4" t="str">
        <f>IF(D1531="","", IFNA(VLOOKUP(D1531, SATCAT_DECAY!A:B, 2, FALSE), ""))
</f>
        <v/>
      </c>
      <c r="G1531" s="3" t="str">
        <f t="shared" si="1"/>
        <v>ACTIVE</v>
      </c>
    </row>
    <row r="1532" ht="22.5" customHeight="1">
      <c r="A1532" s="11" t="str">
        <f t="array" ref="A1532">IFERROR(
  INDEX('Starlink Launches'!$A:$A, MATCH($E1532, 'Starlink Launches'!$B:$B, 0)),
  ""
)
</f>
        <v>6-71</v>
      </c>
      <c r="B1532" s="3" t="s">
        <v>25</v>
      </c>
      <c r="C1532" s="12" t="s">
        <v>1544</v>
      </c>
      <c r="D1532" s="13">
        <v>62491.0</v>
      </c>
      <c r="E1532" s="4">
        <v>45663.0</v>
      </c>
      <c r="F1532" s="4" t="str">
        <f>IF(D1532="","", IFNA(VLOOKUP(D1532, SATCAT_DECAY!A:B, 2, FALSE), ""))
</f>
        <v/>
      </c>
      <c r="G1532" s="3" t="str">
        <f t="shared" si="1"/>
        <v>ACTIVE</v>
      </c>
    </row>
    <row r="1533" ht="22.5" customHeight="1">
      <c r="A1533" s="11" t="str">
        <f t="array" ref="A1533">IFERROR(
  INDEX('Starlink Launches'!$A:$A, MATCH($E1533, 'Starlink Launches'!$B:$B, 0)),
  ""
)
</f>
        <v>6-71</v>
      </c>
      <c r="B1533" s="3" t="s">
        <v>25</v>
      </c>
      <c r="C1533" s="12" t="s">
        <v>1545</v>
      </c>
      <c r="D1533" s="13">
        <v>62492.0</v>
      </c>
      <c r="E1533" s="4">
        <v>45663.0</v>
      </c>
      <c r="F1533" s="4" t="str">
        <f>IF(D1533="","", IFNA(VLOOKUP(D1533, SATCAT_DECAY!A:B, 2, FALSE), ""))
</f>
        <v/>
      </c>
      <c r="G1533" s="3" t="str">
        <f t="shared" si="1"/>
        <v>ACTIVE</v>
      </c>
    </row>
    <row r="1534" ht="22.5" customHeight="1">
      <c r="A1534" s="11" t="str">
        <f t="array" ref="A1534">IFERROR(
  INDEX('Starlink Launches'!$A:$A, MATCH($E1534, 'Starlink Launches'!$B:$B, 0)),
  ""
)
</f>
        <v>6-71</v>
      </c>
      <c r="B1534" s="3" t="s">
        <v>25</v>
      </c>
      <c r="C1534" s="12" t="s">
        <v>1546</v>
      </c>
      <c r="D1534" s="13">
        <v>62493.0</v>
      </c>
      <c r="E1534" s="4">
        <v>45663.0</v>
      </c>
      <c r="F1534" s="4" t="str">
        <f>IF(D1534="","", IFNA(VLOOKUP(D1534, SATCAT_DECAY!A:B, 2, FALSE), ""))
</f>
        <v/>
      </c>
      <c r="G1534" s="3" t="str">
        <f t="shared" si="1"/>
        <v>ACTIVE</v>
      </c>
    </row>
    <row r="1535" ht="22.5" customHeight="1">
      <c r="A1535" s="11" t="str">
        <f t="array" ref="A1535">IFERROR(
  INDEX('Starlink Launches'!$A:$A, MATCH($E1535, 'Starlink Launches'!$B:$B, 0)),
  ""
)
</f>
        <v>6-71</v>
      </c>
      <c r="B1535" s="3" t="s">
        <v>25</v>
      </c>
      <c r="C1535" s="12" t="s">
        <v>1547</v>
      </c>
      <c r="D1535" s="13">
        <v>62494.0</v>
      </c>
      <c r="E1535" s="4">
        <v>45663.0</v>
      </c>
      <c r="F1535" s="4" t="str">
        <f>IF(D1535="","", IFNA(VLOOKUP(D1535, SATCAT_DECAY!A:B, 2, FALSE), ""))
</f>
        <v/>
      </c>
      <c r="G1535" s="3" t="str">
        <f t="shared" si="1"/>
        <v>ACTIVE</v>
      </c>
    </row>
    <row r="1536" ht="22.5" customHeight="1">
      <c r="A1536" s="11" t="str">
        <f t="array" ref="A1536">IFERROR(
  INDEX('Starlink Launches'!$A:$A, MATCH($E1536, 'Starlink Launches'!$B:$B, 0)),
  ""
)
</f>
        <v>6-71</v>
      </c>
      <c r="B1536" s="3" t="s">
        <v>25</v>
      </c>
      <c r="C1536" s="12" t="s">
        <v>1548</v>
      </c>
      <c r="D1536" s="13">
        <v>62495.0</v>
      </c>
      <c r="E1536" s="4">
        <v>45663.0</v>
      </c>
      <c r="F1536" s="4" t="str">
        <f>IF(D1536="","", IFNA(VLOOKUP(D1536, SATCAT_DECAY!A:B, 2, FALSE), ""))
</f>
        <v/>
      </c>
      <c r="G1536" s="3" t="str">
        <f t="shared" si="1"/>
        <v>ACTIVE</v>
      </c>
    </row>
    <row r="1537" ht="22.5" customHeight="1">
      <c r="A1537" s="11" t="str">
        <f t="array" ref="A1537">IFERROR(
  INDEX('Starlink Launches'!$A:$A, MATCH($E1537, 'Starlink Launches'!$B:$B, 0)),
  ""
)
</f>
        <v>6-71</v>
      </c>
      <c r="B1537" s="3" t="s">
        <v>25</v>
      </c>
      <c r="C1537" s="12" t="s">
        <v>1549</v>
      </c>
      <c r="D1537" s="13">
        <v>62496.0</v>
      </c>
      <c r="E1537" s="4">
        <v>45663.0</v>
      </c>
      <c r="F1537" s="4" t="str">
        <f>IF(D1537="","", IFNA(VLOOKUP(D1537, SATCAT_DECAY!A:B, 2, FALSE), ""))
</f>
        <v/>
      </c>
      <c r="G1537" s="3" t="str">
        <f t="shared" si="1"/>
        <v>ACTIVE</v>
      </c>
    </row>
    <row r="1538" ht="22.5" customHeight="1">
      <c r="A1538" s="11" t="str">
        <f t="array" ref="A1538">IFERROR(
  INDEX('Starlink Launches'!$A:$A, MATCH($E1538, 'Starlink Launches'!$B:$B, 0)),
  ""
)
</f>
        <v>6-71</v>
      </c>
      <c r="B1538" s="3" t="s">
        <v>25</v>
      </c>
      <c r="C1538" s="12" t="s">
        <v>1550</v>
      </c>
      <c r="D1538" s="13">
        <v>62497.0</v>
      </c>
      <c r="E1538" s="4">
        <v>45663.0</v>
      </c>
      <c r="F1538" s="4" t="str">
        <f>IF(D1538="","", IFNA(VLOOKUP(D1538, SATCAT_DECAY!A:B, 2, FALSE), ""))
</f>
        <v/>
      </c>
      <c r="G1538" s="3" t="str">
        <f t="shared" si="1"/>
        <v>ACTIVE</v>
      </c>
    </row>
    <row r="1539" ht="22.5" customHeight="1">
      <c r="A1539" s="11" t="str">
        <f t="array" ref="A1539">IFERROR(
  INDEX('Starlink Launches'!$A:$A, MATCH($E1539, 'Starlink Launches'!$B:$B, 0)),
  ""
)
</f>
        <v>6-71</v>
      </c>
      <c r="B1539" s="3" t="s">
        <v>25</v>
      </c>
      <c r="C1539" s="12" t="s">
        <v>1551</v>
      </c>
      <c r="D1539" s="13">
        <v>62498.0</v>
      </c>
      <c r="E1539" s="4">
        <v>45663.0</v>
      </c>
      <c r="F1539" s="4" t="str">
        <f>IF(D1539="","", IFNA(VLOOKUP(D1539, SATCAT_DECAY!A:B, 2, FALSE), ""))
</f>
        <v/>
      </c>
      <c r="G1539" s="3" t="str">
        <f t="shared" si="1"/>
        <v>ACTIVE</v>
      </c>
    </row>
    <row r="1540" ht="22.5" customHeight="1">
      <c r="A1540" s="11" t="str">
        <f t="array" ref="A1540">IFERROR(
  INDEX('Starlink Launches'!$A:$A, MATCH($E1540, 'Starlink Launches'!$B:$B, 0)),
  ""
)
</f>
        <v>6-71</v>
      </c>
      <c r="B1540" s="3" t="s">
        <v>25</v>
      </c>
      <c r="C1540" s="12" t="s">
        <v>1552</v>
      </c>
      <c r="D1540" s="13">
        <v>62499.0</v>
      </c>
      <c r="E1540" s="4">
        <v>45663.0</v>
      </c>
      <c r="F1540" s="4" t="str">
        <f>IF(D1540="","", IFNA(VLOOKUP(D1540, SATCAT_DECAY!A:B, 2, FALSE), ""))
</f>
        <v/>
      </c>
      <c r="G1540" s="3" t="str">
        <f t="shared" si="1"/>
        <v>ACTIVE</v>
      </c>
    </row>
    <row r="1541" ht="22.5" customHeight="1">
      <c r="A1541" s="11" t="str">
        <f t="array" ref="A1541">IFERROR(
  INDEX('Starlink Launches'!$A:$A, MATCH($E1541, 'Starlink Launches'!$B:$B, 0)),
  ""
)
</f>
        <v>6-71</v>
      </c>
      <c r="B1541" s="3" t="s">
        <v>25</v>
      </c>
      <c r="C1541" s="12" t="s">
        <v>1553</v>
      </c>
      <c r="D1541" s="13">
        <v>62500.0</v>
      </c>
      <c r="E1541" s="4">
        <v>45663.0</v>
      </c>
      <c r="F1541" s="4" t="str">
        <f>IF(D1541="","", IFNA(VLOOKUP(D1541, SATCAT_DECAY!A:B, 2, FALSE), ""))
</f>
        <v/>
      </c>
      <c r="G1541" s="3" t="str">
        <f t="shared" si="1"/>
        <v>ACTIVE</v>
      </c>
    </row>
    <row r="1542" ht="22.5" customHeight="1">
      <c r="A1542" s="11" t="str">
        <f t="array" ref="A1542">IFERROR(
  INDEX('Starlink Launches'!$A:$A, MATCH($E1542, 'Starlink Launches'!$B:$B, 0)),
  ""
)
</f>
        <v>6-71</v>
      </c>
      <c r="B1542" s="3" t="s">
        <v>25</v>
      </c>
      <c r="C1542" s="12" t="s">
        <v>1554</v>
      </c>
      <c r="D1542" s="13">
        <v>62501.0</v>
      </c>
      <c r="E1542" s="4">
        <v>45663.0</v>
      </c>
      <c r="F1542" s="4" t="str">
        <f>IF(D1542="","", IFNA(VLOOKUP(D1542, SATCAT_DECAY!A:B, 2, FALSE), ""))
</f>
        <v/>
      </c>
      <c r="G1542" s="3" t="str">
        <f t="shared" si="1"/>
        <v>ACTIVE</v>
      </c>
    </row>
    <row r="1543" ht="22.5" customHeight="1">
      <c r="A1543" s="11" t="str">
        <f t="array" ref="A1543">IFERROR(
  INDEX('Starlink Launches'!$A:$A, MATCH($E1543, 'Starlink Launches'!$B:$B, 0)),
  ""
)
</f>
        <v>6-71</v>
      </c>
      <c r="B1543" s="3" t="s">
        <v>25</v>
      </c>
      <c r="C1543" s="12" t="s">
        <v>1555</v>
      </c>
      <c r="D1543" s="13">
        <v>62502.0</v>
      </c>
      <c r="E1543" s="4">
        <v>45663.0</v>
      </c>
      <c r="F1543" s="4" t="str">
        <f>IF(D1543="","", IFNA(VLOOKUP(D1543, SATCAT_DECAY!A:B, 2, FALSE), ""))
</f>
        <v/>
      </c>
      <c r="G1543" s="3" t="str">
        <f t="shared" si="1"/>
        <v>ACTIVE</v>
      </c>
    </row>
    <row r="1544" ht="22.5" customHeight="1">
      <c r="A1544" s="11" t="str">
        <f t="array" ref="A1544">IFERROR(
  INDEX('Starlink Launches'!$A:$A, MATCH($E1544, 'Starlink Launches'!$B:$B, 0)),
  ""
)
</f>
        <v>6-71</v>
      </c>
      <c r="B1544" s="3" t="s">
        <v>25</v>
      </c>
      <c r="C1544" s="12" t="s">
        <v>1556</v>
      </c>
      <c r="D1544" s="13">
        <v>62503.0</v>
      </c>
      <c r="E1544" s="4">
        <v>45663.0</v>
      </c>
      <c r="F1544" s="4" t="str">
        <f>IF(D1544="","", IFNA(VLOOKUP(D1544, SATCAT_DECAY!A:B, 2, FALSE), ""))
</f>
        <v/>
      </c>
      <c r="G1544" s="3" t="str">
        <f t="shared" si="1"/>
        <v>ACTIVE</v>
      </c>
    </row>
    <row r="1545" ht="22.5" customHeight="1">
      <c r="A1545" s="11" t="str">
        <f t="array" ref="A1545">IFERROR(
  INDEX('Starlink Launches'!$A:$A, MATCH($E1545, 'Starlink Launches'!$B:$B, 0)),
  ""
)
</f>
        <v>6-71</v>
      </c>
      <c r="B1545" s="3" t="s">
        <v>25</v>
      </c>
      <c r="C1545" s="12" t="s">
        <v>1557</v>
      </c>
      <c r="D1545" s="13">
        <v>62504.0</v>
      </c>
      <c r="E1545" s="4">
        <v>45663.0</v>
      </c>
      <c r="F1545" s="4" t="str">
        <f>IF(D1545="","", IFNA(VLOOKUP(D1545, SATCAT_DECAY!A:B, 2, FALSE), ""))
</f>
        <v/>
      </c>
      <c r="G1545" s="3" t="str">
        <f t="shared" si="1"/>
        <v>ACTIVE</v>
      </c>
    </row>
    <row r="1546" ht="22.5" customHeight="1">
      <c r="A1546" s="11" t="str">
        <f t="array" ref="A1546">IFERROR(
  INDEX('Starlink Launches'!$A:$A, MATCH($E1546, 'Starlink Launches'!$B:$B, 0)),
  ""
)
</f>
        <v>6-71</v>
      </c>
      <c r="B1546" s="3" t="s">
        <v>25</v>
      </c>
      <c r="C1546" s="12" t="s">
        <v>1558</v>
      </c>
      <c r="D1546" s="13">
        <v>62505.0</v>
      </c>
      <c r="E1546" s="4">
        <v>45663.0</v>
      </c>
      <c r="F1546" s="4" t="str">
        <f>IF(D1546="","", IFNA(VLOOKUP(D1546, SATCAT_DECAY!A:B, 2, FALSE), ""))
</f>
        <v/>
      </c>
      <c r="G1546" s="3" t="str">
        <f t="shared" si="1"/>
        <v>ACTIVE</v>
      </c>
    </row>
    <row r="1547" ht="22.5" customHeight="1">
      <c r="A1547" s="11" t="str">
        <f t="array" ref="A1547">IFERROR(
  INDEX('Starlink Launches'!$A:$A, MATCH($E1547, 'Starlink Launches'!$B:$B, 0)),
  ""
)
</f>
        <v>6-71</v>
      </c>
      <c r="B1547" s="3" t="s">
        <v>25</v>
      </c>
      <c r="C1547" s="12" t="s">
        <v>1559</v>
      </c>
      <c r="D1547" s="13">
        <v>62506.0</v>
      </c>
      <c r="E1547" s="4">
        <v>45663.0</v>
      </c>
      <c r="F1547" s="4" t="str">
        <f>IF(D1547="","", IFNA(VLOOKUP(D1547, SATCAT_DECAY!A:B, 2, FALSE), ""))
</f>
        <v/>
      </c>
      <c r="G1547" s="3" t="str">
        <f t="shared" si="1"/>
        <v>ACTIVE</v>
      </c>
    </row>
    <row r="1548" ht="22.5" customHeight="1">
      <c r="A1548" s="11" t="str">
        <f t="array" ref="A1548">IFERROR(
  INDEX('Starlink Launches'!$A:$A, MATCH($E1548, 'Starlink Launches'!$B:$B, 0)),
  ""
)
</f>
        <v>6-71</v>
      </c>
      <c r="B1548" s="3" t="s">
        <v>25</v>
      </c>
      <c r="C1548" s="12" t="s">
        <v>1560</v>
      </c>
      <c r="D1548" s="13">
        <v>62507.0</v>
      </c>
      <c r="E1548" s="4">
        <v>45663.0</v>
      </c>
      <c r="F1548" s="4" t="str">
        <f>IF(D1548="","", IFNA(VLOOKUP(D1548, SATCAT_DECAY!A:B, 2, FALSE), ""))
</f>
        <v/>
      </c>
      <c r="G1548" s="3" t="str">
        <f t="shared" si="1"/>
        <v>ACTIVE</v>
      </c>
    </row>
    <row r="1549" ht="22.5" customHeight="1">
      <c r="A1549" s="11" t="str">
        <f t="array" ref="A1549">IFERROR(
  INDEX('Starlink Launches'!$A:$A, MATCH($E1549, 'Starlink Launches'!$B:$B, 0)),
  ""
)
</f>
        <v>6-71</v>
      </c>
      <c r="B1549" s="3" t="s">
        <v>25</v>
      </c>
      <c r="C1549" s="12" t="s">
        <v>1561</v>
      </c>
      <c r="D1549" s="13">
        <v>62508.0</v>
      </c>
      <c r="E1549" s="4">
        <v>45663.0</v>
      </c>
      <c r="F1549" s="4" t="str">
        <f>IF(D1549="","", IFNA(VLOOKUP(D1549, SATCAT_DECAY!A:B, 2, FALSE), ""))
</f>
        <v/>
      </c>
      <c r="G1549" s="3" t="str">
        <f t="shared" si="1"/>
        <v>ACTIVE</v>
      </c>
    </row>
    <row r="1550" ht="22.5" customHeight="1">
      <c r="A1550" s="11" t="str">
        <f t="array" ref="A1550">IFERROR(
  INDEX('Starlink Launches'!$A:$A, MATCH($E1550, 'Starlink Launches'!$B:$B, 0)),
  ""
)
</f>
        <v>6-71</v>
      </c>
      <c r="B1550" s="3" t="s">
        <v>25</v>
      </c>
      <c r="C1550" s="12" t="s">
        <v>1562</v>
      </c>
      <c r="D1550" s="13">
        <v>62509.0</v>
      </c>
      <c r="E1550" s="4">
        <v>45663.0</v>
      </c>
      <c r="F1550" s="4" t="str">
        <f>IF(D1550="","", IFNA(VLOOKUP(D1550, SATCAT_DECAY!A:B, 2, FALSE), ""))
</f>
        <v/>
      </c>
      <c r="G1550" s="3" t="str">
        <f t="shared" si="1"/>
        <v>ACTIVE</v>
      </c>
    </row>
    <row r="1551" ht="22.5" customHeight="1">
      <c r="A1551" s="11" t="str">
        <f t="array" ref="A1551">IFERROR(
  INDEX('Starlink Launches'!$A:$A, MATCH($E1551, 'Starlink Launches'!$B:$B, 0)),
  ""
)
</f>
        <v>6-71</v>
      </c>
      <c r="B1551" s="3" t="s">
        <v>25</v>
      </c>
      <c r="C1551" s="12" t="s">
        <v>1563</v>
      </c>
      <c r="D1551" s="13">
        <v>62510.0</v>
      </c>
      <c r="E1551" s="4">
        <v>45663.0</v>
      </c>
      <c r="F1551" s="4" t="str">
        <f>IF(D1551="","", IFNA(VLOOKUP(D1551, SATCAT_DECAY!A:B, 2, FALSE), ""))
</f>
        <v/>
      </c>
      <c r="G1551" s="3" t="str">
        <f t="shared" si="1"/>
        <v>ACTIVE</v>
      </c>
    </row>
    <row r="1552" ht="22.5" customHeight="1">
      <c r="A1552" s="11" t="str">
        <f t="array" ref="A1552">IFERROR(
  INDEX('Starlink Launches'!$A:$A, MATCH($E1552, 'Starlink Launches'!$B:$B, 0)),
  ""
)
</f>
        <v>6-80</v>
      </c>
      <c r="B1552" s="3" t="s">
        <v>25</v>
      </c>
      <c r="C1552" s="12" t="s">
        <v>1564</v>
      </c>
      <c r="D1552" s="13">
        <v>63399.0</v>
      </c>
      <c r="E1552" s="4">
        <v>45747.0</v>
      </c>
      <c r="F1552" s="4" t="str">
        <f>IF(D1552="","", IFNA(VLOOKUP(D1552, SATCAT_DECAY!A:B, 2, FALSE), ""))
</f>
        <v/>
      </c>
      <c r="G1552" s="3" t="str">
        <f t="shared" si="1"/>
        <v>ACTIVE</v>
      </c>
    </row>
    <row r="1553" ht="22.5" customHeight="1">
      <c r="A1553" s="11" t="str">
        <f t="array" ref="A1553">IFERROR(
  INDEX('Starlink Launches'!$A:$A, MATCH($E1553, 'Starlink Launches'!$B:$B, 0)),
  ""
)
</f>
        <v>6-80</v>
      </c>
      <c r="B1553" s="3" t="s">
        <v>25</v>
      </c>
      <c r="C1553" s="12" t="s">
        <v>1565</v>
      </c>
      <c r="D1553" s="13">
        <v>63400.0</v>
      </c>
      <c r="E1553" s="4">
        <v>45747.0</v>
      </c>
      <c r="F1553" s="4" t="str">
        <f>IF(D1553="","", IFNA(VLOOKUP(D1553, SATCAT_DECAY!A:B, 2, FALSE), ""))
</f>
        <v/>
      </c>
      <c r="G1553" s="3" t="str">
        <f t="shared" si="1"/>
        <v>ACTIVE</v>
      </c>
    </row>
    <row r="1554" ht="22.5" customHeight="1">
      <c r="A1554" s="11" t="str">
        <f t="array" ref="A1554">IFERROR(
  INDEX('Starlink Launches'!$A:$A, MATCH($E1554, 'Starlink Launches'!$B:$B, 0)),
  ""
)
</f>
        <v>6-80</v>
      </c>
      <c r="B1554" s="3" t="s">
        <v>25</v>
      </c>
      <c r="C1554" s="12" t="s">
        <v>1566</v>
      </c>
      <c r="D1554" s="13">
        <v>63401.0</v>
      </c>
      <c r="E1554" s="4">
        <v>45747.0</v>
      </c>
      <c r="F1554" s="4" t="str">
        <f>IF(D1554="","", IFNA(VLOOKUP(D1554, SATCAT_DECAY!A:B, 2, FALSE), ""))
</f>
        <v/>
      </c>
      <c r="G1554" s="3" t="str">
        <f t="shared" si="1"/>
        <v>ACTIVE</v>
      </c>
    </row>
    <row r="1555" ht="22.5" customHeight="1">
      <c r="A1555" s="11" t="str">
        <f t="array" ref="A1555">IFERROR(
  INDEX('Starlink Launches'!$A:$A, MATCH($E1555, 'Starlink Launches'!$B:$B, 0)),
  ""
)
</f>
        <v>6-80</v>
      </c>
      <c r="B1555" s="3" t="s">
        <v>25</v>
      </c>
      <c r="C1555" s="12" t="s">
        <v>1567</v>
      </c>
      <c r="D1555" s="13">
        <v>63402.0</v>
      </c>
      <c r="E1555" s="4">
        <v>45747.0</v>
      </c>
      <c r="F1555" s="4" t="str">
        <f>IF(D1555="","", IFNA(VLOOKUP(D1555, SATCAT_DECAY!A:B, 2, FALSE), ""))
</f>
        <v/>
      </c>
      <c r="G1555" s="3" t="str">
        <f t="shared" si="1"/>
        <v>ACTIVE</v>
      </c>
    </row>
    <row r="1556" ht="22.5" customHeight="1">
      <c r="A1556" s="11" t="str">
        <f t="array" ref="A1556">IFERROR(
  INDEX('Starlink Launches'!$A:$A, MATCH($E1556, 'Starlink Launches'!$B:$B, 0)),
  ""
)
</f>
        <v>6-80</v>
      </c>
      <c r="B1556" s="3" t="s">
        <v>25</v>
      </c>
      <c r="C1556" s="12" t="s">
        <v>1568</v>
      </c>
      <c r="D1556" s="13">
        <v>63403.0</v>
      </c>
      <c r="E1556" s="4">
        <v>45747.0</v>
      </c>
      <c r="F1556" s="4" t="str">
        <f>IF(D1556="","", IFNA(VLOOKUP(D1556, SATCAT_DECAY!A:B, 2, FALSE), ""))
</f>
        <v/>
      </c>
      <c r="G1556" s="3" t="str">
        <f t="shared" si="1"/>
        <v>ACTIVE</v>
      </c>
    </row>
    <row r="1557" ht="22.5" customHeight="1">
      <c r="A1557" s="11" t="str">
        <f t="array" ref="A1557">IFERROR(
  INDEX('Starlink Launches'!$A:$A, MATCH($E1557, 'Starlink Launches'!$B:$B, 0)),
  ""
)
</f>
        <v>6-80</v>
      </c>
      <c r="B1557" s="3" t="s">
        <v>25</v>
      </c>
      <c r="C1557" s="12" t="s">
        <v>1569</v>
      </c>
      <c r="D1557" s="13">
        <v>63404.0</v>
      </c>
      <c r="E1557" s="4">
        <v>45747.0</v>
      </c>
      <c r="F1557" s="4" t="str">
        <f>IF(D1557="","", IFNA(VLOOKUP(D1557, SATCAT_DECAY!A:B, 2, FALSE), ""))
</f>
        <v/>
      </c>
      <c r="G1557" s="3" t="str">
        <f t="shared" si="1"/>
        <v>ACTIVE</v>
      </c>
    </row>
    <row r="1558" ht="22.5" customHeight="1">
      <c r="A1558" s="11" t="str">
        <f t="array" ref="A1558">IFERROR(
  INDEX('Starlink Launches'!$A:$A, MATCH($E1558, 'Starlink Launches'!$B:$B, 0)),
  ""
)
</f>
        <v>6-80</v>
      </c>
      <c r="B1558" s="3" t="s">
        <v>25</v>
      </c>
      <c r="C1558" s="12" t="s">
        <v>1570</v>
      </c>
      <c r="D1558" s="13">
        <v>63405.0</v>
      </c>
      <c r="E1558" s="4">
        <v>45747.0</v>
      </c>
      <c r="F1558" s="4" t="str">
        <f>IF(D1558="","", IFNA(VLOOKUP(D1558, SATCAT_DECAY!A:B, 2, FALSE), ""))
</f>
        <v/>
      </c>
      <c r="G1558" s="3" t="str">
        <f t="shared" si="1"/>
        <v>ACTIVE</v>
      </c>
    </row>
    <row r="1559" ht="22.5" customHeight="1">
      <c r="A1559" s="11" t="str">
        <f t="array" ref="A1559">IFERROR(
  INDEX('Starlink Launches'!$A:$A, MATCH($E1559, 'Starlink Launches'!$B:$B, 0)),
  ""
)
</f>
        <v>6-80</v>
      </c>
      <c r="B1559" s="3" t="s">
        <v>25</v>
      </c>
      <c r="C1559" s="12" t="s">
        <v>1571</v>
      </c>
      <c r="D1559" s="13">
        <v>63406.0</v>
      </c>
      <c r="E1559" s="4">
        <v>45747.0</v>
      </c>
      <c r="F1559" s="4" t="str">
        <f>IF(D1559="","", IFNA(VLOOKUP(D1559, SATCAT_DECAY!A:B, 2, FALSE), ""))
</f>
        <v/>
      </c>
      <c r="G1559" s="3" t="str">
        <f t="shared" si="1"/>
        <v>ACTIVE</v>
      </c>
    </row>
    <row r="1560" ht="22.5" customHeight="1">
      <c r="A1560" s="11" t="str">
        <f t="array" ref="A1560">IFERROR(
  INDEX('Starlink Launches'!$A:$A, MATCH($E1560, 'Starlink Launches'!$B:$B, 0)),
  ""
)
</f>
        <v>6-80</v>
      </c>
      <c r="B1560" s="3" t="s">
        <v>25</v>
      </c>
      <c r="C1560" s="12" t="s">
        <v>1572</v>
      </c>
      <c r="D1560" s="13">
        <v>63407.0</v>
      </c>
      <c r="E1560" s="4">
        <v>45747.0</v>
      </c>
      <c r="F1560" s="4" t="str">
        <f>IF(D1560="","", IFNA(VLOOKUP(D1560, SATCAT_DECAY!A:B, 2, FALSE), ""))
</f>
        <v/>
      </c>
      <c r="G1560" s="3" t="str">
        <f t="shared" si="1"/>
        <v>ACTIVE</v>
      </c>
    </row>
    <row r="1561" ht="22.5" customHeight="1">
      <c r="A1561" s="11" t="str">
        <f t="array" ref="A1561">IFERROR(
  INDEX('Starlink Launches'!$A:$A, MATCH($E1561, 'Starlink Launches'!$B:$B, 0)),
  ""
)
</f>
        <v>6-80</v>
      </c>
      <c r="B1561" s="3" t="s">
        <v>25</v>
      </c>
      <c r="C1561" s="12" t="s">
        <v>1573</v>
      </c>
      <c r="D1561" s="13">
        <v>63408.0</v>
      </c>
      <c r="E1561" s="4">
        <v>45747.0</v>
      </c>
      <c r="F1561" s="4" t="str">
        <f>IF(D1561="","", IFNA(VLOOKUP(D1561, SATCAT_DECAY!A:B, 2, FALSE), ""))
</f>
        <v/>
      </c>
      <c r="G1561" s="3" t="str">
        <f t="shared" si="1"/>
        <v>ACTIVE</v>
      </c>
    </row>
    <row r="1562" ht="22.5" customHeight="1">
      <c r="A1562" s="11" t="str">
        <f t="array" ref="A1562">IFERROR(
  INDEX('Starlink Launches'!$A:$A, MATCH($E1562, 'Starlink Launches'!$B:$B, 0)),
  ""
)
</f>
        <v>6-80</v>
      </c>
      <c r="B1562" s="3" t="s">
        <v>25</v>
      </c>
      <c r="C1562" s="12" t="s">
        <v>1574</v>
      </c>
      <c r="D1562" s="13">
        <v>63409.0</v>
      </c>
      <c r="E1562" s="4">
        <v>45747.0</v>
      </c>
      <c r="F1562" s="4" t="str">
        <f>IF(D1562="","", IFNA(VLOOKUP(D1562, SATCAT_DECAY!A:B, 2, FALSE), ""))
</f>
        <v/>
      </c>
      <c r="G1562" s="3" t="str">
        <f t="shared" si="1"/>
        <v>ACTIVE</v>
      </c>
    </row>
    <row r="1563" ht="22.5" customHeight="1">
      <c r="A1563" s="11" t="str">
        <f t="array" ref="A1563">IFERROR(
  INDEX('Starlink Launches'!$A:$A, MATCH($E1563, 'Starlink Launches'!$B:$B, 0)),
  ""
)
</f>
        <v>6-80</v>
      </c>
      <c r="B1563" s="3" t="s">
        <v>25</v>
      </c>
      <c r="C1563" s="12" t="s">
        <v>1575</v>
      </c>
      <c r="D1563" s="13">
        <v>63410.0</v>
      </c>
      <c r="E1563" s="4">
        <v>45747.0</v>
      </c>
      <c r="F1563" s="4" t="str">
        <f>IF(D1563="","", IFNA(VLOOKUP(D1563, SATCAT_DECAY!A:B, 2, FALSE), ""))
</f>
        <v/>
      </c>
      <c r="G1563" s="3" t="str">
        <f t="shared" si="1"/>
        <v>ACTIVE</v>
      </c>
    </row>
    <row r="1564" ht="22.5" customHeight="1">
      <c r="A1564" s="11" t="str">
        <f t="array" ref="A1564">IFERROR(
  INDEX('Starlink Launches'!$A:$A, MATCH($E1564, 'Starlink Launches'!$B:$B, 0)),
  ""
)
</f>
        <v>6-80</v>
      </c>
      <c r="B1564" s="3" t="s">
        <v>25</v>
      </c>
      <c r="C1564" s="12" t="s">
        <v>1576</v>
      </c>
      <c r="D1564" s="13">
        <v>63411.0</v>
      </c>
      <c r="E1564" s="4">
        <v>45747.0</v>
      </c>
      <c r="F1564" s="4" t="str">
        <f>IF(D1564="","", IFNA(VLOOKUP(D1564, SATCAT_DECAY!A:B, 2, FALSE), ""))
</f>
        <v/>
      </c>
      <c r="G1564" s="3" t="str">
        <f t="shared" si="1"/>
        <v>ACTIVE</v>
      </c>
    </row>
    <row r="1565" ht="22.5" customHeight="1">
      <c r="A1565" s="11" t="str">
        <f t="array" ref="A1565">IFERROR(
  INDEX('Starlink Launches'!$A:$A, MATCH($E1565, 'Starlink Launches'!$B:$B, 0)),
  ""
)
</f>
        <v>6-80</v>
      </c>
      <c r="B1565" s="3" t="s">
        <v>25</v>
      </c>
      <c r="C1565" s="12" t="s">
        <v>1577</v>
      </c>
      <c r="D1565" s="13">
        <v>63412.0</v>
      </c>
      <c r="E1565" s="4">
        <v>45747.0</v>
      </c>
      <c r="F1565" s="4" t="str">
        <f>IF(D1565="","", IFNA(VLOOKUP(D1565, SATCAT_DECAY!A:B, 2, FALSE), ""))
</f>
        <v/>
      </c>
      <c r="G1565" s="3" t="str">
        <f t="shared" si="1"/>
        <v>ACTIVE</v>
      </c>
    </row>
    <row r="1566" ht="22.5" customHeight="1">
      <c r="A1566" s="11" t="str">
        <f t="array" ref="A1566">IFERROR(
  INDEX('Starlink Launches'!$A:$A, MATCH($E1566, 'Starlink Launches'!$B:$B, 0)),
  ""
)
</f>
        <v>6-80</v>
      </c>
      <c r="B1566" s="3" t="s">
        <v>25</v>
      </c>
      <c r="C1566" s="12" t="s">
        <v>1578</v>
      </c>
      <c r="D1566" s="13">
        <v>63413.0</v>
      </c>
      <c r="E1566" s="4">
        <v>45747.0</v>
      </c>
      <c r="F1566" s="4" t="str">
        <f>IF(D1566="","", IFNA(VLOOKUP(D1566, SATCAT_DECAY!A:B, 2, FALSE), ""))
</f>
        <v/>
      </c>
      <c r="G1566" s="3" t="str">
        <f t="shared" si="1"/>
        <v>ACTIVE</v>
      </c>
    </row>
    <row r="1567" ht="22.5" customHeight="1">
      <c r="A1567" s="11" t="str">
        <f t="array" ref="A1567">IFERROR(
  INDEX('Starlink Launches'!$A:$A, MATCH($E1567, 'Starlink Launches'!$B:$B, 0)),
  ""
)
</f>
        <v>6-80</v>
      </c>
      <c r="B1567" s="3" t="s">
        <v>25</v>
      </c>
      <c r="C1567" s="12" t="s">
        <v>1579</v>
      </c>
      <c r="D1567" s="13">
        <v>63414.0</v>
      </c>
      <c r="E1567" s="4">
        <v>45747.0</v>
      </c>
      <c r="F1567" s="4" t="str">
        <f>IF(D1567="","", IFNA(VLOOKUP(D1567, SATCAT_DECAY!A:B, 2, FALSE), ""))
</f>
        <v/>
      </c>
      <c r="G1567" s="3" t="str">
        <f t="shared" si="1"/>
        <v>ACTIVE</v>
      </c>
    </row>
    <row r="1568" ht="22.5" customHeight="1">
      <c r="A1568" s="11" t="str">
        <f t="array" ref="A1568">IFERROR(
  INDEX('Starlink Launches'!$A:$A, MATCH($E1568, 'Starlink Launches'!$B:$B, 0)),
  ""
)
</f>
        <v>6-80</v>
      </c>
      <c r="B1568" s="3" t="s">
        <v>25</v>
      </c>
      <c r="C1568" s="12" t="s">
        <v>1580</v>
      </c>
      <c r="D1568" s="13">
        <v>63415.0</v>
      </c>
      <c r="E1568" s="4">
        <v>45747.0</v>
      </c>
      <c r="F1568" s="4" t="str">
        <f>IF(D1568="","", IFNA(VLOOKUP(D1568, SATCAT_DECAY!A:B, 2, FALSE), ""))
</f>
        <v/>
      </c>
      <c r="G1568" s="3" t="str">
        <f t="shared" si="1"/>
        <v>ACTIVE</v>
      </c>
    </row>
    <row r="1569" ht="22.5" customHeight="1">
      <c r="A1569" s="11" t="str">
        <f t="array" ref="A1569">IFERROR(
  INDEX('Starlink Launches'!$A:$A, MATCH($E1569, 'Starlink Launches'!$B:$B, 0)),
  ""
)
</f>
        <v>6-80</v>
      </c>
      <c r="B1569" s="3" t="s">
        <v>25</v>
      </c>
      <c r="C1569" s="12" t="s">
        <v>1581</v>
      </c>
      <c r="D1569" s="13">
        <v>63416.0</v>
      </c>
      <c r="E1569" s="4">
        <v>45747.0</v>
      </c>
      <c r="F1569" s="4" t="str">
        <f>IF(D1569="","", IFNA(VLOOKUP(D1569, SATCAT_DECAY!A:B, 2, FALSE), ""))
</f>
        <v/>
      </c>
      <c r="G1569" s="3" t="str">
        <f t="shared" si="1"/>
        <v>ACTIVE</v>
      </c>
    </row>
    <row r="1570" ht="22.5" customHeight="1">
      <c r="A1570" s="11" t="str">
        <f t="array" ref="A1570">IFERROR(
  INDEX('Starlink Launches'!$A:$A, MATCH($E1570, 'Starlink Launches'!$B:$B, 0)),
  ""
)
</f>
        <v>6-80</v>
      </c>
      <c r="B1570" s="3" t="s">
        <v>25</v>
      </c>
      <c r="C1570" s="12" t="s">
        <v>1582</v>
      </c>
      <c r="D1570" s="13">
        <v>63417.0</v>
      </c>
      <c r="E1570" s="4">
        <v>45747.0</v>
      </c>
      <c r="F1570" s="4" t="str">
        <f>IF(D1570="","", IFNA(VLOOKUP(D1570, SATCAT_DECAY!A:B, 2, FALSE), ""))
</f>
        <v/>
      </c>
      <c r="G1570" s="3" t="str">
        <f t="shared" si="1"/>
        <v>ACTIVE</v>
      </c>
    </row>
    <row r="1571" ht="22.5" customHeight="1">
      <c r="A1571" s="11" t="str">
        <f t="array" ref="A1571">IFERROR(
  INDEX('Starlink Launches'!$A:$A, MATCH($E1571, 'Starlink Launches'!$B:$B, 0)),
  ""
)
</f>
        <v>6-80</v>
      </c>
      <c r="B1571" s="3" t="s">
        <v>25</v>
      </c>
      <c r="C1571" s="12" t="s">
        <v>1583</v>
      </c>
      <c r="D1571" s="13">
        <v>63418.0</v>
      </c>
      <c r="E1571" s="4">
        <v>45747.0</v>
      </c>
      <c r="F1571" s="4" t="str">
        <f>IF(D1571="","", IFNA(VLOOKUP(D1571, SATCAT_DECAY!A:B, 2, FALSE), ""))
</f>
        <v/>
      </c>
      <c r="G1571" s="3" t="str">
        <f t="shared" si="1"/>
        <v>ACTIVE</v>
      </c>
    </row>
    <row r="1572" ht="22.5" customHeight="1">
      <c r="A1572" s="11" t="str">
        <f t="array" ref="A1572">IFERROR(
  INDEX('Starlink Launches'!$A:$A, MATCH($E1572, 'Starlink Launches'!$B:$B, 0)),
  ""
)
</f>
        <v>6-80</v>
      </c>
      <c r="B1572" s="3" t="s">
        <v>25</v>
      </c>
      <c r="C1572" s="12" t="s">
        <v>1584</v>
      </c>
      <c r="D1572" s="13">
        <v>63419.0</v>
      </c>
      <c r="E1572" s="4">
        <v>45747.0</v>
      </c>
      <c r="F1572" s="4" t="str">
        <f>IF(D1572="","", IFNA(VLOOKUP(D1572, SATCAT_DECAY!A:B, 2, FALSE), ""))
</f>
        <v/>
      </c>
      <c r="G1572" s="3" t="str">
        <f t="shared" si="1"/>
        <v>ACTIVE</v>
      </c>
    </row>
    <row r="1573" ht="22.5" customHeight="1">
      <c r="A1573" s="11" t="str">
        <f t="array" ref="A1573">IFERROR(
  INDEX('Starlink Launches'!$A:$A, MATCH($E1573, 'Starlink Launches'!$B:$B, 0)),
  ""
)
</f>
        <v>6-80</v>
      </c>
      <c r="B1573" s="3" t="s">
        <v>25</v>
      </c>
      <c r="C1573" s="12" t="s">
        <v>1585</v>
      </c>
      <c r="D1573" s="13">
        <v>63420.0</v>
      </c>
      <c r="E1573" s="4">
        <v>45747.0</v>
      </c>
      <c r="F1573" s="4" t="str">
        <f>IF(D1573="","", IFNA(VLOOKUP(D1573, SATCAT_DECAY!A:B, 2, FALSE), ""))
</f>
        <v/>
      </c>
      <c r="G1573" s="3" t="str">
        <f t="shared" si="1"/>
        <v>ACTIVE</v>
      </c>
    </row>
    <row r="1574" ht="22.5" customHeight="1">
      <c r="A1574" s="11" t="str">
        <f t="array" ref="A1574">IFERROR(
  INDEX('Starlink Launches'!$A:$A, MATCH($E1574, 'Starlink Launches'!$B:$B, 0)),
  ""
)
</f>
        <v>6-80</v>
      </c>
      <c r="B1574" s="3" t="s">
        <v>25</v>
      </c>
      <c r="C1574" s="12" t="s">
        <v>1586</v>
      </c>
      <c r="D1574" s="13">
        <v>63421.0</v>
      </c>
      <c r="E1574" s="4">
        <v>45747.0</v>
      </c>
      <c r="F1574" s="4" t="str">
        <f>IF(D1574="","", IFNA(VLOOKUP(D1574, SATCAT_DECAY!A:B, 2, FALSE), ""))
</f>
        <v/>
      </c>
      <c r="G1574" s="3" t="str">
        <f t="shared" si="1"/>
        <v>ACTIVE</v>
      </c>
    </row>
    <row r="1575" ht="22.5" customHeight="1">
      <c r="A1575" s="11" t="str">
        <f t="array" ref="A1575">IFERROR(
  INDEX('Starlink Launches'!$A:$A, MATCH($E1575, 'Starlink Launches'!$B:$B, 0)),
  ""
)
</f>
        <v>6-80</v>
      </c>
      <c r="B1575" s="3" t="s">
        <v>25</v>
      </c>
      <c r="C1575" s="12" t="s">
        <v>1587</v>
      </c>
      <c r="D1575" s="13">
        <v>63422.0</v>
      </c>
      <c r="E1575" s="4">
        <v>45747.0</v>
      </c>
      <c r="F1575" s="4" t="str">
        <f>IF(D1575="","", IFNA(VLOOKUP(D1575, SATCAT_DECAY!A:B, 2, FALSE), ""))
</f>
        <v/>
      </c>
      <c r="G1575" s="3" t="str">
        <f t="shared" si="1"/>
        <v>ACTIVE</v>
      </c>
    </row>
    <row r="1576" ht="22.5" customHeight="1">
      <c r="A1576" s="11" t="str">
        <f t="array" ref="A1576">IFERROR(
  INDEX('Starlink Launches'!$A:$A, MATCH($E1576, 'Starlink Launches'!$B:$B, 0)),
  ""
)
</f>
        <v>6-80</v>
      </c>
      <c r="B1576" s="3" t="s">
        <v>25</v>
      </c>
      <c r="C1576" s="12" t="s">
        <v>1588</v>
      </c>
      <c r="D1576" s="13">
        <v>63423.0</v>
      </c>
      <c r="E1576" s="4">
        <v>45747.0</v>
      </c>
      <c r="F1576" s="4" t="str">
        <f>IF(D1576="","", IFNA(VLOOKUP(D1576, SATCAT_DECAY!A:B, 2, FALSE), ""))
</f>
        <v/>
      </c>
      <c r="G1576" s="3" t="str">
        <f t="shared" si="1"/>
        <v>ACTIVE</v>
      </c>
    </row>
    <row r="1577" ht="22.5" customHeight="1">
      <c r="A1577" s="11" t="str">
        <f t="array" ref="A1577">IFERROR(
  INDEX('Starlink Launches'!$A:$A, MATCH($E1577, 'Starlink Launches'!$B:$B, 0)),
  ""
)
</f>
        <v>6-80</v>
      </c>
      <c r="B1577" s="3" t="s">
        <v>25</v>
      </c>
      <c r="C1577" s="12" t="s">
        <v>1589</v>
      </c>
      <c r="D1577" s="13">
        <v>63424.0</v>
      </c>
      <c r="E1577" s="4">
        <v>45747.0</v>
      </c>
      <c r="F1577" s="4" t="str">
        <f>IF(D1577="","", IFNA(VLOOKUP(D1577, SATCAT_DECAY!A:B, 2, FALSE), ""))
</f>
        <v/>
      </c>
      <c r="G1577" s="3" t="str">
        <f t="shared" si="1"/>
        <v>ACTIVE</v>
      </c>
    </row>
    <row r="1578" ht="22.5" customHeight="1">
      <c r="A1578" s="11" t="str">
        <f t="array" ref="A1578">IFERROR(
  INDEX('Starlink Launches'!$A:$A, MATCH($E1578, 'Starlink Launches'!$B:$B, 0)),
  ""
)
</f>
        <v>6-80</v>
      </c>
      <c r="B1578" s="3" t="s">
        <v>25</v>
      </c>
      <c r="C1578" s="12" t="s">
        <v>1590</v>
      </c>
      <c r="D1578" s="13">
        <v>63425.0</v>
      </c>
      <c r="E1578" s="4">
        <v>45747.0</v>
      </c>
      <c r="F1578" s="4" t="str">
        <f>IF(D1578="","", IFNA(VLOOKUP(D1578, SATCAT_DECAY!A:B, 2, FALSE), ""))
</f>
        <v/>
      </c>
      <c r="G1578" s="3" t="str">
        <f t="shared" si="1"/>
        <v>ACTIVE</v>
      </c>
    </row>
    <row r="1579" ht="22.5" customHeight="1">
      <c r="A1579" s="11" t="str">
        <f t="array" ref="A1579">IFERROR(
  INDEX('Starlink Launches'!$A:$A, MATCH($E1579, 'Starlink Launches'!$B:$B, 0)),
  ""
)
</f>
        <v>6-80</v>
      </c>
      <c r="B1579" s="3" t="s">
        <v>25</v>
      </c>
      <c r="C1579" s="12" t="s">
        <v>1591</v>
      </c>
      <c r="D1579" s="13">
        <v>63426.0</v>
      </c>
      <c r="E1579" s="4">
        <v>45747.0</v>
      </c>
      <c r="F1579" s="4" t="str">
        <f>IF(D1579="","", IFNA(VLOOKUP(D1579, SATCAT_DECAY!A:B, 2, FALSE), ""))
</f>
        <v/>
      </c>
      <c r="G1579" s="3" t="str">
        <f t="shared" si="1"/>
        <v>ACTIVE</v>
      </c>
    </row>
    <row r="1580" ht="22.5" customHeight="1">
      <c r="A1580" s="11" t="str">
        <f t="array" ref="A1580">IFERROR(
  INDEX('Starlink Launches'!$A:$A, MATCH($E1580, 'Starlink Launches'!$B:$B, 0)),
  ""
)
</f>
        <v>6-72</v>
      </c>
      <c r="B1580" s="3" t="s">
        <v>25</v>
      </c>
      <c r="C1580" s="12" t="s">
        <v>1592</v>
      </c>
      <c r="D1580" s="13">
        <v>63460.0</v>
      </c>
      <c r="E1580" s="4">
        <v>45753.0</v>
      </c>
      <c r="F1580" s="4" t="str">
        <f>IF(D1580="","", IFNA(VLOOKUP(D1580, SATCAT_DECAY!A:B, 2, FALSE), ""))
</f>
        <v/>
      </c>
      <c r="G1580" s="3" t="str">
        <f t="shared" si="1"/>
        <v>ACTIVE</v>
      </c>
    </row>
    <row r="1581" ht="22.5" customHeight="1">
      <c r="A1581" s="11" t="str">
        <f t="array" ref="A1581">IFERROR(
  INDEX('Starlink Launches'!$A:$A, MATCH($E1581, 'Starlink Launches'!$B:$B, 0)),
  ""
)
</f>
        <v>6-72</v>
      </c>
      <c r="B1581" s="3" t="s">
        <v>25</v>
      </c>
      <c r="C1581" s="12" t="s">
        <v>1593</v>
      </c>
      <c r="D1581" s="13">
        <v>63461.0</v>
      </c>
      <c r="E1581" s="4">
        <v>45753.0</v>
      </c>
      <c r="F1581" s="4" t="str">
        <f>IF(D1581="","", IFNA(VLOOKUP(D1581, SATCAT_DECAY!A:B, 2, FALSE), ""))
</f>
        <v/>
      </c>
      <c r="G1581" s="3" t="str">
        <f t="shared" si="1"/>
        <v>ACTIVE</v>
      </c>
    </row>
    <row r="1582" ht="22.5" customHeight="1">
      <c r="A1582" s="11" t="str">
        <f t="array" ref="A1582">IFERROR(
  INDEX('Starlink Launches'!$A:$A, MATCH($E1582, 'Starlink Launches'!$B:$B, 0)),
  ""
)
</f>
        <v>6-72</v>
      </c>
      <c r="B1582" s="3" t="s">
        <v>25</v>
      </c>
      <c r="C1582" s="12" t="s">
        <v>1594</v>
      </c>
      <c r="D1582" s="13">
        <v>63462.0</v>
      </c>
      <c r="E1582" s="4">
        <v>45753.0</v>
      </c>
      <c r="F1582" s="4" t="str">
        <f>IF(D1582="","", IFNA(VLOOKUP(D1582, SATCAT_DECAY!A:B, 2, FALSE), ""))
</f>
        <v/>
      </c>
      <c r="G1582" s="3" t="str">
        <f t="shared" si="1"/>
        <v>ACTIVE</v>
      </c>
    </row>
    <row r="1583" ht="22.5" customHeight="1">
      <c r="A1583" s="11" t="str">
        <f t="array" ref="A1583">IFERROR(
  INDEX('Starlink Launches'!$A:$A, MATCH($E1583, 'Starlink Launches'!$B:$B, 0)),
  ""
)
</f>
        <v>6-72</v>
      </c>
      <c r="B1583" s="3" t="s">
        <v>25</v>
      </c>
      <c r="C1583" s="12" t="s">
        <v>1595</v>
      </c>
      <c r="D1583" s="13">
        <v>63463.0</v>
      </c>
      <c r="E1583" s="4">
        <v>45753.0</v>
      </c>
      <c r="F1583" s="4" t="str">
        <f>IF(D1583="","", IFNA(VLOOKUP(D1583, SATCAT_DECAY!A:B, 2, FALSE), ""))
</f>
        <v/>
      </c>
      <c r="G1583" s="3" t="str">
        <f t="shared" si="1"/>
        <v>ACTIVE</v>
      </c>
    </row>
    <row r="1584" ht="22.5" customHeight="1">
      <c r="A1584" s="11" t="str">
        <f t="array" ref="A1584">IFERROR(
  INDEX('Starlink Launches'!$A:$A, MATCH($E1584, 'Starlink Launches'!$B:$B, 0)),
  ""
)
</f>
        <v>6-72</v>
      </c>
      <c r="B1584" s="3" t="s">
        <v>25</v>
      </c>
      <c r="C1584" s="12" t="s">
        <v>1596</v>
      </c>
      <c r="D1584" s="13">
        <v>63464.0</v>
      </c>
      <c r="E1584" s="4">
        <v>45753.0</v>
      </c>
      <c r="F1584" s="4" t="str">
        <f>IF(D1584="","", IFNA(VLOOKUP(D1584, SATCAT_DECAY!A:B, 2, FALSE), ""))
</f>
        <v/>
      </c>
      <c r="G1584" s="3" t="str">
        <f t="shared" si="1"/>
        <v>ACTIVE</v>
      </c>
    </row>
    <row r="1585" ht="22.5" customHeight="1">
      <c r="A1585" s="11" t="str">
        <f t="array" ref="A1585">IFERROR(
  INDEX('Starlink Launches'!$A:$A, MATCH($E1585, 'Starlink Launches'!$B:$B, 0)),
  ""
)
</f>
        <v>6-72</v>
      </c>
      <c r="B1585" s="3" t="s">
        <v>25</v>
      </c>
      <c r="C1585" s="12" t="s">
        <v>1597</v>
      </c>
      <c r="D1585" s="13">
        <v>63465.0</v>
      </c>
      <c r="E1585" s="4">
        <v>45753.0</v>
      </c>
      <c r="F1585" s="4" t="str">
        <f>IF(D1585="","", IFNA(VLOOKUP(D1585, SATCAT_DECAY!A:B, 2, FALSE), ""))
</f>
        <v/>
      </c>
      <c r="G1585" s="3" t="str">
        <f t="shared" si="1"/>
        <v>ACTIVE</v>
      </c>
    </row>
    <row r="1586" ht="22.5" customHeight="1">
      <c r="A1586" s="11" t="str">
        <f t="array" ref="A1586">IFERROR(
  INDEX('Starlink Launches'!$A:$A, MATCH($E1586, 'Starlink Launches'!$B:$B, 0)),
  ""
)
</f>
        <v>6-72</v>
      </c>
      <c r="B1586" s="3" t="s">
        <v>25</v>
      </c>
      <c r="C1586" s="12" t="s">
        <v>1598</v>
      </c>
      <c r="D1586" s="13">
        <v>63466.0</v>
      </c>
      <c r="E1586" s="4">
        <v>45753.0</v>
      </c>
      <c r="F1586" s="4" t="str">
        <f>IF(D1586="","", IFNA(VLOOKUP(D1586, SATCAT_DECAY!A:B, 2, FALSE), ""))
</f>
        <v/>
      </c>
      <c r="G1586" s="3" t="str">
        <f t="shared" si="1"/>
        <v>ACTIVE</v>
      </c>
    </row>
    <row r="1587" ht="22.5" customHeight="1">
      <c r="A1587" s="11" t="str">
        <f t="array" ref="A1587">IFERROR(
  INDEX('Starlink Launches'!$A:$A, MATCH($E1587, 'Starlink Launches'!$B:$B, 0)),
  ""
)
</f>
        <v>6-72</v>
      </c>
      <c r="B1587" s="3" t="s">
        <v>25</v>
      </c>
      <c r="C1587" s="12" t="s">
        <v>1599</v>
      </c>
      <c r="D1587" s="13">
        <v>63467.0</v>
      </c>
      <c r="E1587" s="4">
        <v>45753.0</v>
      </c>
      <c r="F1587" s="4" t="str">
        <f>IF(D1587="","", IFNA(VLOOKUP(D1587, SATCAT_DECAY!A:B, 2, FALSE), ""))
</f>
        <v/>
      </c>
      <c r="G1587" s="3" t="str">
        <f t="shared" si="1"/>
        <v>ACTIVE</v>
      </c>
    </row>
    <row r="1588" ht="22.5" customHeight="1">
      <c r="A1588" s="11" t="str">
        <f t="array" ref="A1588">IFERROR(
  INDEX('Starlink Launches'!$A:$A, MATCH($E1588, 'Starlink Launches'!$B:$B, 0)),
  ""
)
</f>
        <v>6-72</v>
      </c>
      <c r="B1588" s="3" t="s">
        <v>25</v>
      </c>
      <c r="C1588" s="12" t="s">
        <v>1600</v>
      </c>
      <c r="D1588" s="13">
        <v>63468.0</v>
      </c>
      <c r="E1588" s="4">
        <v>45753.0</v>
      </c>
      <c r="F1588" s="4" t="str">
        <f>IF(D1588="","", IFNA(VLOOKUP(D1588, SATCAT_DECAY!A:B, 2, FALSE), ""))
</f>
        <v/>
      </c>
      <c r="G1588" s="3" t="str">
        <f t="shared" si="1"/>
        <v>ACTIVE</v>
      </c>
    </row>
    <row r="1589" ht="22.5" customHeight="1">
      <c r="A1589" s="11" t="str">
        <f t="array" ref="A1589">IFERROR(
  INDEX('Starlink Launches'!$A:$A, MATCH($E1589, 'Starlink Launches'!$B:$B, 0)),
  ""
)
</f>
        <v>6-72</v>
      </c>
      <c r="B1589" s="3" t="s">
        <v>25</v>
      </c>
      <c r="C1589" s="12" t="s">
        <v>1601</v>
      </c>
      <c r="D1589" s="13">
        <v>63469.0</v>
      </c>
      <c r="E1589" s="4">
        <v>45753.0</v>
      </c>
      <c r="F1589" s="4" t="str">
        <f>IF(D1589="","", IFNA(VLOOKUP(D1589, SATCAT_DECAY!A:B, 2, FALSE), ""))
</f>
        <v/>
      </c>
      <c r="G1589" s="3" t="str">
        <f t="shared" si="1"/>
        <v>ACTIVE</v>
      </c>
    </row>
    <row r="1590" ht="22.5" customHeight="1">
      <c r="A1590" s="11" t="str">
        <f t="array" ref="A1590">IFERROR(
  INDEX('Starlink Launches'!$A:$A, MATCH($E1590, 'Starlink Launches'!$B:$B, 0)),
  ""
)
</f>
        <v>6-72</v>
      </c>
      <c r="B1590" s="3" t="s">
        <v>25</v>
      </c>
      <c r="C1590" s="12" t="s">
        <v>1602</v>
      </c>
      <c r="D1590" s="13">
        <v>63470.0</v>
      </c>
      <c r="E1590" s="4">
        <v>45753.0</v>
      </c>
      <c r="F1590" s="4" t="str">
        <f>IF(D1590="","", IFNA(VLOOKUP(D1590, SATCAT_DECAY!A:B, 2, FALSE), ""))
</f>
        <v/>
      </c>
      <c r="G1590" s="3" t="str">
        <f t="shared" si="1"/>
        <v>ACTIVE</v>
      </c>
    </row>
    <row r="1591" ht="22.5" customHeight="1">
      <c r="A1591" s="11" t="str">
        <f t="array" ref="A1591">IFERROR(
  INDEX('Starlink Launches'!$A:$A, MATCH($E1591, 'Starlink Launches'!$B:$B, 0)),
  ""
)
</f>
        <v>6-72</v>
      </c>
      <c r="B1591" s="3" t="s">
        <v>25</v>
      </c>
      <c r="C1591" s="12" t="s">
        <v>1603</v>
      </c>
      <c r="D1591" s="13">
        <v>63471.0</v>
      </c>
      <c r="E1591" s="4">
        <v>45753.0</v>
      </c>
      <c r="F1591" s="4" t="str">
        <f>IF(D1591="","", IFNA(VLOOKUP(D1591, SATCAT_DECAY!A:B, 2, FALSE), ""))
</f>
        <v/>
      </c>
      <c r="G1591" s="3" t="str">
        <f t="shared" si="1"/>
        <v>ACTIVE</v>
      </c>
    </row>
    <row r="1592" ht="22.5" customHeight="1">
      <c r="A1592" s="11" t="str">
        <f t="array" ref="A1592">IFERROR(
  INDEX('Starlink Launches'!$A:$A, MATCH($E1592, 'Starlink Launches'!$B:$B, 0)),
  ""
)
</f>
        <v>6-72</v>
      </c>
      <c r="B1592" s="3" t="s">
        <v>25</v>
      </c>
      <c r="C1592" s="12" t="s">
        <v>1604</v>
      </c>
      <c r="D1592" s="13">
        <v>63472.0</v>
      </c>
      <c r="E1592" s="4">
        <v>45753.0</v>
      </c>
      <c r="F1592" s="4" t="str">
        <f>IF(D1592="","", IFNA(VLOOKUP(D1592, SATCAT_DECAY!A:B, 2, FALSE), ""))
</f>
        <v/>
      </c>
      <c r="G1592" s="3" t="str">
        <f t="shared" si="1"/>
        <v>ACTIVE</v>
      </c>
    </row>
    <row r="1593" ht="22.5" customHeight="1">
      <c r="A1593" s="11" t="str">
        <f t="array" ref="A1593">IFERROR(
  INDEX('Starlink Launches'!$A:$A, MATCH($E1593, 'Starlink Launches'!$B:$B, 0)),
  ""
)
</f>
        <v>6-72</v>
      </c>
      <c r="B1593" s="3" t="s">
        <v>25</v>
      </c>
      <c r="C1593" s="12" t="s">
        <v>1605</v>
      </c>
      <c r="D1593" s="13">
        <v>63473.0</v>
      </c>
      <c r="E1593" s="4">
        <v>45753.0</v>
      </c>
      <c r="F1593" s="4" t="str">
        <f>IF(D1593="","", IFNA(VLOOKUP(D1593, SATCAT_DECAY!A:B, 2, FALSE), ""))
</f>
        <v/>
      </c>
      <c r="G1593" s="3" t="str">
        <f t="shared" si="1"/>
        <v>ACTIVE</v>
      </c>
    </row>
    <row r="1594" ht="22.5" customHeight="1">
      <c r="A1594" s="11" t="str">
        <f t="array" ref="A1594">IFERROR(
  INDEX('Starlink Launches'!$A:$A, MATCH($E1594, 'Starlink Launches'!$B:$B, 0)),
  ""
)
</f>
        <v>6-72</v>
      </c>
      <c r="B1594" s="3" t="s">
        <v>25</v>
      </c>
      <c r="C1594" s="12" t="s">
        <v>1606</v>
      </c>
      <c r="D1594" s="13">
        <v>63474.0</v>
      </c>
      <c r="E1594" s="4">
        <v>45753.0</v>
      </c>
      <c r="F1594" s="4" t="str">
        <f>IF(D1594="","", IFNA(VLOOKUP(D1594, SATCAT_DECAY!A:B, 2, FALSE), ""))
</f>
        <v/>
      </c>
      <c r="G1594" s="3" t="str">
        <f t="shared" si="1"/>
        <v>ACTIVE</v>
      </c>
    </row>
    <row r="1595" ht="22.5" customHeight="1">
      <c r="A1595" s="11" t="str">
        <f t="array" ref="A1595">IFERROR(
  INDEX('Starlink Launches'!$A:$A, MATCH($E1595, 'Starlink Launches'!$B:$B, 0)),
  ""
)
</f>
        <v>6-72</v>
      </c>
      <c r="B1595" s="3" t="s">
        <v>25</v>
      </c>
      <c r="C1595" s="12" t="s">
        <v>1607</v>
      </c>
      <c r="D1595" s="13">
        <v>63475.0</v>
      </c>
      <c r="E1595" s="4">
        <v>45753.0</v>
      </c>
      <c r="F1595" s="4" t="str">
        <f>IF(D1595="","", IFNA(VLOOKUP(D1595, SATCAT_DECAY!A:B, 2, FALSE), ""))
</f>
        <v/>
      </c>
      <c r="G1595" s="3" t="str">
        <f t="shared" si="1"/>
        <v>ACTIVE</v>
      </c>
    </row>
    <row r="1596" ht="22.5" customHeight="1">
      <c r="A1596" s="11" t="str">
        <f t="array" ref="A1596">IFERROR(
  INDEX('Starlink Launches'!$A:$A, MATCH($E1596, 'Starlink Launches'!$B:$B, 0)),
  ""
)
</f>
        <v>6-72</v>
      </c>
      <c r="B1596" s="3" t="s">
        <v>25</v>
      </c>
      <c r="C1596" s="12" t="s">
        <v>1608</v>
      </c>
      <c r="D1596" s="13">
        <v>63476.0</v>
      </c>
      <c r="E1596" s="4">
        <v>45753.0</v>
      </c>
      <c r="F1596" s="4" t="str">
        <f>IF(D1596="","", IFNA(VLOOKUP(D1596, SATCAT_DECAY!A:B, 2, FALSE), ""))
</f>
        <v/>
      </c>
      <c r="G1596" s="3" t="str">
        <f t="shared" si="1"/>
        <v>ACTIVE</v>
      </c>
    </row>
    <row r="1597" ht="22.5" customHeight="1">
      <c r="A1597" s="11" t="str">
        <f t="array" ref="A1597">IFERROR(
  INDEX('Starlink Launches'!$A:$A, MATCH($E1597, 'Starlink Launches'!$B:$B, 0)),
  ""
)
</f>
        <v>6-72</v>
      </c>
      <c r="B1597" s="3" t="s">
        <v>25</v>
      </c>
      <c r="C1597" s="12" t="s">
        <v>1609</v>
      </c>
      <c r="D1597" s="13">
        <v>63477.0</v>
      </c>
      <c r="E1597" s="4">
        <v>45753.0</v>
      </c>
      <c r="F1597" s="4" t="str">
        <f>IF(D1597="","", IFNA(VLOOKUP(D1597, SATCAT_DECAY!A:B, 2, FALSE), ""))
</f>
        <v/>
      </c>
      <c r="G1597" s="3" t="str">
        <f t="shared" si="1"/>
        <v>ACTIVE</v>
      </c>
    </row>
    <row r="1598" ht="22.5" customHeight="1">
      <c r="A1598" s="11" t="str">
        <f t="array" ref="A1598">IFERROR(
  INDEX('Starlink Launches'!$A:$A, MATCH($E1598, 'Starlink Launches'!$B:$B, 0)),
  ""
)
</f>
        <v>6-72</v>
      </c>
      <c r="B1598" s="3" t="s">
        <v>25</v>
      </c>
      <c r="C1598" s="12" t="s">
        <v>1610</v>
      </c>
      <c r="D1598" s="13">
        <v>63478.0</v>
      </c>
      <c r="E1598" s="4">
        <v>45753.0</v>
      </c>
      <c r="F1598" s="4" t="str">
        <f>IF(D1598="","", IFNA(VLOOKUP(D1598, SATCAT_DECAY!A:B, 2, FALSE), ""))
</f>
        <v/>
      </c>
      <c r="G1598" s="3" t="str">
        <f t="shared" si="1"/>
        <v>ACTIVE</v>
      </c>
    </row>
    <row r="1599" ht="22.5" customHeight="1">
      <c r="A1599" s="11" t="str">
        <f t="array" ref="A1599">IFERROR(
  INDEX('Starlink Launches'!$A:$A, MATCH($E1599, 'Starlink Launches'!$B:$B, 0)),
  ""
)
</f>
        <v>6-72</v>
      </c>
      <c r="B1599" s="3" t="s">
        <v>25</v>
      </c>
      <c r="C1599" s="12" t="s">
        <v>1611</v>
      </c>
      <c r="D1599" s="13">
        <v>63479.0</v>
      </c>
      <c r="E1599" s="4">
        <v>45753.0</v>
      </c>
      <c r="F1599" s="4" t="str">
        <f>IF(D1599="","", IFNA(VLOOKUP(D1599, SATCAT_DECAY!A:B, 2, FALSE), ""))
</f>
        <v/>
      </c>
      <c r="G1599" s="3" t="str">
        <f t="shared" si="1"/>
        <v>ACTIVE</v>
      </c>
    </row>
    <row r="1600" ht="22.5" customHeight="1">
      <c r="A1600" s="11" t="str">
        <f t="array" ref="A1600">IFERROR(
  INDEX('Starlink Launches'!$A:$A, MATCH($E1600, 'Starlink Launches'!$B:$B, 0)),
  ""
)
</f>
        <v>6-72</v>
      </c>
      <c r="B1600" s="3" t="s">
        <v>25</v>
      </c>
      <c r="C1600" s="12" t="s">
        <v>1612</v>
      </c>
      <c r="D1600" s="13">
        <v>63480.0</v>
      </c>
      <c r="E1600" s="4">
        <v>45753.0</v>
      </c>
      <c r="F1600" s="4" t="str">
        <f>IF(D1600="","", IFNA(VLOOKUP(D1600, SATCAT_DECAY!A:B, 2, FALSE), ""))
</f>
        <v/>
      </c>
      <c r="G1600" s="3" t="str">
        <f t="shared" si="1"/>
        <v>ACTIVE</v>
      </c>
    </row>
    <row r="1601" ht="22.5" customHeight="1">
      <c r="A1601" s="11" t="str">
        <f t="array" ref="A1601">IFERROR(
  INDEX('Starlink Launches'!$A:$A, MATCH($E1601, 'Starlink Launches'!$B:$B, 0)),
  ""
)
</f>
        <v>6-72</v>
      </c>
      <c r="B1601" s="3" t="s">
        <v>25</v>
      </c>
      <c r="C1601" s="12" t="s">
        <v>1613</v>
      </c>
      <c r="D1601" s="13">
        <v>63481.0</v>
      </c>
      <c r="E1601" s="4">
        <v>45753.0</v>
      </c>
      <c r="F1601" s="4" t="str">
        <f>IF(D1601="","", IFNA(VLOOKUP(D1601, SATCAT_DECAY!A:B, 2, FALSE), ""))
</f>
        <v/>
      </c>
      <c r="G1601" s="3" t="str">
        <f t="shared" si="1"/>
        <v>ACTIVE</v>
      </c>
    </row>
    <row r="1602" ht="22.5" customHeight="1">
      <c r="A1602" s="11" t="str">
        <f t="array" ref="A1602">IFERROR(
  INDEX('Starlink Launches'!$A:$A, MATCH($E1602, 'Starlink Launches'!$B:$B, 0)),
  ""
)
</f>
        <v>6-72</v>
      </c>
      <c r="B1602" s="3" t="s">
        <v>25</v>
      </c>
      <c r="C1602" s="12" t="s">
        <v>1614</v>
      </c>
      <c r="D1602" s="13">
        <v>63483.0</v>
      </c>
      <c r="E1602" s="4">
        <v>45753.0</v>
      </c>
      <c r="F1602" s="4" t="str">
        <f>IF(D1602="","", IFNA(VLOOKUP(D1602, SATCAT_DECAY!A:B, 2, FALSE), ""))
</f>
        <v/>
      </c>
      <c r="G1602" s="3" t="str">
        <f t="shared" si="1"/>
        <v>ACTIVE</v>
      </c>
    </row>
    <row r="1603" ht="22.5" customHeight="1">
      <c r="A1603" s="11" t="str">
        <f t="array" ref="A1603">IFERROR(
  INDEX('Starlink Launches'!$A:$A, MATCH($E1603, 'Starlink Launches'!$B:$B, 0)),
  ""
)
</f>
        <v>6-72</v>
      </c>
      <c r="B1603" s="3" t="s">
        <v>25</v>
      </c>
      <c r="C1603" s="12" t="s">
        <v>1615</v>
      </c>
      <c r="D1603" s="13">
        <v>63484.0</v>
      </c>
      <c r="E1603" s="4">
        <v>45753.0</v>
      </c>
      <c r="F1603" s="4" t="str">
        <f>IF(D1603="","", IFNA(VLOOKUP(D1603, SATCAT_DECAY!A:B, 2, FALSE), ""))
</f>
        <v/>
      </c>
      <c r="G1603" s="3" t="str">
        <f t="shared" si="1"/>
        <v>ACTIVE</v>
      </c>
    </row>
    <row r="1604" ht="22.5" customHeight="1">
      <c r="A1604" s="11" t="str">
        <f t="array" ref="A1604">IFERROR(
  INDEX('Starlink Launches'!$A:$A, MATCH($E1604, 'Starlink Launches'!$B:$B, 0)),
  ""
)
</f>
        <v>6-72</v>
      </c>
      <c r="B1604" s="3" t="s">
        <v>25</v>
      </c>
      <c r="C1604" s="12" t="s">
        <v>1616</v>
      </c>
      <c r="D1604" s="13">
        <v>63485.0</v>
      </c>
      <c r="E1604" s="4">
        <v>45753.0</v>
      </c>
      <c r="F1604" s="4" t="str">
        <f>IF(D1604="","", IFNA(VLOOKUP(D1604, SATCAT_DECAY!A:B, 2, FALSE), ""))
</f>
        <v/>
      </c>
      <c r="G1604" s="3" t="str">
        <f t="shared" si="1"/>
        <v>ACTIVE</v>
      </c>
    </row>
    <row r="1605" ht="22.5" customHeight="1">
      <c r="A1605" s="11" t="str">
        <f t="array" ref="A1605">IFERROR(
  INDEX('Starlink Launches'!$A:$A, MATCH($E1605, 'Starlink Launches'!$B:$B, 0)),
  ""
)
</f>
        <v>6-72</v>
      </c>
      <c r="B1605" s="3" t="s">
        <v>25</v>
      </c>
      <c r="C1605" s="12" t="s">
        <v>1617</v>
      </c>
      <c r="D1605" s="13">
        <v>63486.0</v>
      </c>
      <c r="E1605" s="4">
        <v>45753.0</v>
      </c>
      <c r="F1605" s="4" t="str">
        <f>IF(D1605="","", IFNA(VLOOKUP(D1605, SATCAT_DECAY!A:B, 2, FALSE), ""))
</f>
        <v/>
      </c>
      <c r="G1605" s="3" t="str">
        <f t="shared" si="1"/>
        <v>ACTIVE</v>
      </c>
    </row>
    <row r="1606" ht="22.5" customHeight="1">
      <c r="A1606" s="11" t="str">
        <f t="array" ref="A1606">IFERROR(
  INDEX('Starlink Launches'!$A:$A, MATCH($E1606, 'Starlink Launches'!$B:$B, 0)),
  ""
)
</f>
        <v>6-72</v>
      </c>
      <c r="B1606" s="3" t="s">
        <v>25</v>
      </c>
      <c r="C1606" s="12" t="s">
        <v>1618</v>
      </c>
      <c r="D1606" s="13">
        <v>63487.0</v>
      </c>
      <c r="E1606" s="4">
        <v>45753.0</v>
      </c>
      <c r="F1606" s="4" t="str">
        <f>IF(D1606="","", IFNA(VLOOKUP(D1606, SATCAT_DECAY!A:B, 2, FALSE), ""))
</f>
        <v/>
      </c>
      <c r="G1606" s="3" t="str">
        <f t="shared" si="1"/>
        <v>ACTIVE</v>
      </c>
    </row>
    <row r="1607" ht="22.5" customHeight="1">
      <c r="A1607" s="11" t="str">
        <f t="array" ref="A1607">IFERROR(
  INDEX('Starlink Launches'!$A:$A, MATCH($E1607, 'Starlink Launches'!$B:$B, 0)),
  ""
)
</f>
        <v>6-73</v>
      </c>
      <c r="B1607" s="3" t="s">
        <v>25</v>
      </c>
      <c r="C1607" s="12" t="s">
        <v>1619</v>
      </c>
      <c r="D1607" s="13">
        <v>63569.0</v>
      </c>
      <c r="E1607" s="4">
        <v>45761.0</v>
      </c>
      <c r="F1607" s="4" t="str">
        <f>IF(D1607="","", IFNA(VLOOKUP(D1607, SATCAT_DECAY!A:B, 2, FALSE), ""))
</f>
        <v/>
      </c>
      <c r="G1607" s="3" t="str">
        <f t="shared" si="1"/>
        <v>ACTIVE</v>
      </c>
    </row>
    <row r="1608" ht="22.5" customHeight="1">
      <c r="A1608" s="11" t="str">
        <f t="array" ref="A1608">IFERROR(
  INDEX('Starlink Launches'!$A:$A, MATCH($E1608, 'Starlink Launches'!$B:$B, 0)),
  ""
)
</f>
        <v>6-73</v>
      </c>
      <c r="B1608" s="3" t="s">
        <v>25</v>
      </c>
      <c r="C1608" s="12" t="s">
        <v>1620</v>
      </c>
      <c r="D1608" s="13">
        <v>63570.0</v>
      </c>
      <c r="E1608" s="4">
        <v>45761.0</v>
      </c>
      <c r="F1608" s="4" t="str">
        <f>IF(D1608="","", IFNA(VLOOKUP(D1608, SATCAT_DECAY!A:B, 2, FALSE), ""))
</f>
        <v/>
      </c>
      <c r="G1608" s="3" t="str">
        <f t="shared" si="1"/>
        <v>ACTIVE</v>
      </c>
    </row>
    <row r="1609" ht="22.5" customHeight="1">
      <c r="A1609" s="11" t="str">
        <f t="array" ref="A1609">IFERROR(
  INDEX('Starlink Launches'!$A:$A, MATCH($E1609, 'Starlink Launches'!$B:$B, 0)),
  ""
)
</f>
        <v>6-73</v>
      </c>
      <c r="B1609" s="3" t="s">
        <v>25</v>
      </c>
      <c r="C1609" s="12" t="s">
        <v>1621</v>
      </c>
      <c r="D1609" s="13">
        <v>63571.0</v>
      </c>
      <c r="E1609" s="4">
        <v>45761.0</v>
      </c>
      <c r="F1609" s="4" t="str">
        <f>IF(D1609="","", IFNA(VLOOKUP(D1609, SATCAT_DECAY!A:B, 2, FALSE), ""))
</f>
        <v/>
      </c>
      <c r="G1609" s="3" t="str">
        <f t="shared" si="1"/>
        <v>ACTIVE</v>
      </c>
    </row>
    <row r="1610" ht="22.5" customHeight="1">
      <c r="A1610" s="11" t="str">
        <f t="array" ref="A1610">IFERROR(
  INDEX('Starlink Launches'!$A:$A, MATCH($E1610, 'Starlink Launches'!$B:$B, 0)),
  ""
)
</f>
        <v>6-73</v>
      </c>
      <c r="B1610" s="3" t="s">
        <v>25</v>
      </c>
      <c r="C1610" s="12" t="s">
        <v>1622</v>
      </c>
      <c r="D1610" s="13">
        <v>63572.0</v>
      </c>
      <c r="E1610" s="4">
        <v>45761.0</v>
      </c>
      <c r="F1610" s="4" t="str">
        <f>IF(D1610="","", IFNA(VLOOKUP(D1610, SATCAT_DECAY!A:B, 2, FALSE), ""))
</f>
        <v/>
      </c>
      <c r="G1610" s="3" t="str">
        <f t="shared" si="1"/>
        <v>ACTIVE</v>
      </c>
    </row>
    <row r="1611" ht="22.5" customHeight="1">
      <c r="A1611" s="11" t="str">
        <f t="array" ref="A1611">IFERROR(
  INDEX('Starlink Launches'!$A:$A, MATCH($E1611, 'Starlink Launches'!$B:$B, 0)),
  ""
)
</f>
        <v>6-73</v>
      </c>
      <c r="B1611" s="3" t="s">
        <v>25</v>
      </c>
      <c r="C1611" s="12" t="s">
        <v>1623</v>
      </c>
      <c r="D1611" s="13">
        <v>63573.0</v>
      </c>
      <c r="E1611" s="4">
        <v>45761.0</v>
      </c>
      <c r="F1611" s="4" t="str">
        <f>IF(D1611="","", IFNA(VLOOKUP(D1611, SATCAT_DECAY!A:B, 2, FALSE), ""))
</f>
        <v/>
      </c>
      <c r="G1611" s="3" t="str">
        <f t="shared" si="1"/>
        <v>ACTIVE</v>
      </c>
    </row>
    <row r="1612" ht="22.5" customHeight="1">
      <c r="A1612" s="11" t="str">
        <f t="array" ref="A1612">IFERROR(
  INDEX('Starlink Launches'!$A:$A, MATCH($E1612, 'Starlink Launches'!$B:$B, 0)),
  ""
)
</f>
        <v>6-73</v>
      </c>
      <c r="B1612" s="3" t="s">
        <v>25</v>
      </c>
      <c r="C1612" s="12" t="s">
        <v>1624</v>
      </c>
      <c r="D1612" s="13">
        <v>63575.0</v>
      </c>
      <c r="E1612" s="4">
        <v>45761.0</v>
      </c>
      <c r="F1612" s="4" t="str">
        <f>IF(D1612="","", IFNA(VLOOKUP(D1612, SATCAT_DECAY!A:B, 2, FALSE), ""))
</f>
        <v/>
      </c>
      <c r="G1612" s="3" t="str">
        <f t="shared" si="1"/>
        <v>ACTIVE</v>
      </c>
    </row>
    <row r="1613" ht="22.5" customHeight="1">
      <c r="A1613" s="11" t="str">
        <f t="array" ref="A1613">IFERROR(
  INDEX('Starlink Launches'!$A:$A, MATCH($E1613, 'Starlink Launches'!$B:$B, 0)),
  ""
)
</f>
        <v>6-73</v>
      </c>
      <c r="B1613" s="3" t="s">
        <v>25</v>
      </c>
      <c r="C1613" s="12" t="s">
        <v>1625</v>
      </c>
      <c r="D1613" s="13">
        <v>63576.0</v>
      </c>
      <c r="E1613" s="4">
        <v>45761.0</v>
      </c>
      <c r="F1613" s="4" t="str">
        <f>IF(D1613="","", IFNA(VLOOKUP(D1613, SATCAT_DECAY!A:B, 2, FALSE), ""))
</f>
        <v/>
      </c>
      <c r="G1613" s="3" t="str">
        <f t="shared" si="1"/>
        <v>ACTIVE</v>
      </c>
    </row>
    <row r="1614" ht="22.5" customHeight="1">
      <c r="A1614" s="11" t="str">
        <f t="array" ref="A1614">IFERROR(
  INDEX('Starlink Launches'!$A:$A, MATCH($E1614, 'Starlink Launches'!$B:$B, 0)),
  ""
)
</f>
        <v>6-73</v>
      </c>
      <c r="B1614" s="3" t="s">
        <v>25</v>
      </c>
      <c r="C1614" s="12" t="s">
        <v>1626</v>
      </c>
      <c r="D1614" s="13">
        <v>63577.0</v>
      </c>
      <c r="E1614" s="4">
        <v>45761.0</v>
      </c>
      <c r="F1614" s="4" t="str">
        <f>IF(D1614="","", IFNA(VLOOKUP(D1614, SATCAT_DECAY!A:B, 2, FALSE), ""))
</f>
        <v/>
      </c>
      <c r="G1614" s="3" t="str">
        <f t="shared" si="1"/>
        <v>ACTIVE</v>
      </c>
    </row>
    <row r="1615" ht="22.5" customHeight="1">
      <c r="A1615" s="11" t="str">
        <f t="array" ref="A1615">IFERROR(
  INDEX('Starlink Launches'!$A:$A, MATCH($E1615, 'Starlink Launches'!$B:$B, 0)),
  ""
)
</f>
        <v>6-73</v>
      </c>
      <c r="B1615" s="3" t="s">
        <v>25</v>
      </c>
      <c r="C1615" s="12" t="s">
        <v>1627</v>
      </c>
      <c r="D1615" s="13">
        <v>63578.0</v>
      </c>
      <c r="E1615" s="4">
        <v>45761.0</v>
      </c>
      <c r="F1615" s="4" t="str">
        <f>IF(D1615="","", IFNA(VLOOKUP(D1615, SATCAT_DECAY!A:B, 2, FALSE), ""))
</f>
        <v/>
      </c>
      <c r="G1615" s="3" t="str">
        <f t="shared" si="1"/>
        <v>ACTIVE</v>
      </c>
    </row>
    <row r="1616" ht="22.5" customHeight="1">
      <c r="A1616" s="11" t="str">
        <f t="array" ref="A1616">IFERROR(
  INDEX('Starlink Launches'!$A:$A, MATCH($E1616, 'Starlink Launches'!$B:$B, 0)),
  ""
)
</f>
        <v>6-73</v>
      </c>
      <c r="B1616" s="3" t="s">
        <v>25</v>
      </c>
      <c r="C1616" s="12" t="s">
        <v>1628</v>
      </c>
      <c r="D1616" s="13">
        <v>63579.0</v>
      </c>
      <c r="E1616" s="4">
        <v>45761.0</v>
      </c>
      <c r="F1616" s="4" t="str">
        <f>IF(D1616="","", IFNA(VLOOKUP(D1616, SATCAT_DECAY!A:B, 2, FALSE), ""))
</f>
        <v/>
      </c>
      <c r="G1616" s="3" t="str">
        <f t="shared" si="1"/>
        <v>ACTIVE</v>
      </c>
    </row>
    <row r="1617" ht="22.5" customHeight="1">
      <c r="A1617" s="11" t="str">
        <f t="array" ref="A1617">IFERROR(
  INDEX('Starlink Launches'!$A:$A, MATCH($E1617, 'Starlink Launches'!$B:$B, 0)),
  ""
)
</f>
        <v>6-73</v>
      </c>
      <c r="B1617" s="3" t="s">
        <v>25</v>
      </c>
      <c r="C1617" s="12" t="s">
        <v>1629</v>
      </c>
      <c r="D1617" s="13">
        <v>63580.0</v>
      </c>
      <c r="E1617" s="4">
        <v>45761.0</v>
      </c>
      <c r="F1617" s="4" t="str">
        <f>IF(D1617="","", IFNA(VLOOKUP(D1617, SATCAT_DECAY!A:B, 2, FALSE), ""))
</f>
        <v/>
      </c>
      <c r="G1617" s="3" t="str">
        <f t="shared" si="1"/>
        <v>ACTIVE</v>
      </c>
    </row>
    <row r="1618" ht="22.5" customHeight="1">
      <c r="A1618" s="11" t="str">
        <f t="array" ref="A1618">IFERROR(
  INDEX('Starlink Launches'!$A:$A, MATCH($E1618, 'Starlink Launches'!$B:$B, 0)),
  ""
)
</f>
        <v>6-73</v>
      </c>
      <c r="B1618" s="3" t="s">
        <v>25</v>
      </c>
      <c r="C1618" s="12" t="s">
        <v>1630</v>
      </c>
      <c r="D1618" s="13">
        <v>63581.0</v>
      </c>
      <c r="E1618" s="4">
        <v>45761.0</v>
      </c>
      <c r="F1618" s="4" t="str">
        <f>IF(D1618="","", IFNA(VLOOKUP(D1618, SATCAT_DECAY!A:B, 2, FALSE), ""))
</f>
        <v/>
      </c>
      <c r="G1618" s="3" t="str">
        <f t="shared" si="1"/>
        <v>ACTIVE</v>
      </c>
    </row>
    <row r="1619" ht="22.5" customHeight="1">
      <c r="A1619" s="11" t="str">
        <f t="array" ref="A1619">IFERROR(
  INDEX('Starlink Launches'!$A:$A, MATCH($E1619, 'Starlink Launches'!$B:$B, 0)),
  ""
)
</f>
        <v>6-73</v>
      </c>
      <c r="B1619" s="3" t="s">
        <v>25</v>
      </c>
      <c r="C1619" s="12" t="s">
        <v>1631</v>
      </c>
      <c r="D1619" s="13">
        <v>63582.0</v>
      </c>
      <c r="E1619" s="4">
        <v>45761.0</v>
      </c>
      <c r="F1619" s="4" t="str">
        <f>IF(D1619="","", IFNA(VLOOKUP(D1619, SATCAT_DECAY!A:B, 2, FALSE), ""))
</f>
        <v/>
      </c>
      <c r="G1619" s="3" t="str">
        <f t="shared" si="1"/>
        <v>ACTIVE</v>
      </c>
    </row>
    <row r="1620" ht="22.5" customHeight="1">
      <c r="A1620" s="11" t="str">
        <f t="array" ref="A1620">IFERROR(
  INDEX('Starlink Launches'!$A:$A, MATCH($E1620, 'Starlink Launches'!$B:$B, 0)),
  ""
)
</f>
        <v>6-73</v>
      </c>
      <c r="B1620" s="3" t="s">
        <v>25</v>
      </c>
      <c r="C1620" s="12" t="s">
        <v>1632</v>
      </c>
      <c r="D1620" s="13">
        <v>63583.0</v>
      </c>
      <c r="E1620" s="4">
        <v>45761.0</v>
      </c>
      <c r="F1620" s="4" t="str">
        <f>IF(D1620="","", IFNA(VLOOKUP(D1620, SATCAT_DECAY!A:B, 2, FALSE), ""))
</f>
        <v/>
      </c>
      <c r="G1620" s="3" t="str">
        <f t="shared" si="1"/>
        <v>ACTIVE</v>
      </c>
    </row>
    <row r="1621" ht="22.5" customHeight="1">
      <c r="A1621" s="11" t="str">
        <f t="array" ref="A1621">IFERROR(
  INDEX('Starlink Launches'!$A:$A, MATCH($E1621, 'Starlink Launches'!$B:$B, 0)),
  ""
)
</f>
        <v>6-73</v>
      </c>
      <c r="B1621" s="3" t="s">
        <v>25</v>
      </c>
      <c r="C1621" s="12" t="s">
        <v>1633</v>
      </c>
      <c r="D1621" s="13">
        <v>63584.0</v>
      </c>
      <c r="E1621" s="4">
        <v>45761.0</v>
      </c>
      <c r="F1621" s="4" t="str">
        <f>IF(D1621="","", IFNA(VLOOKUP(D1621, SATCAT_DECAY!A:B, 2, FALSE), ""))
</f>
        <v/>
      </c>
      <c r="G1621" s="3" t="str">
        <f t="shared" si="1"/>
        <v>ACTIVE</v>
      </c>
    </row>
    <row r="1622" ht="22.5" customHeight="1">
      <c r="A1622" s="11" t="str">
        <f t="array" ref="A1622">IFERROR(
  INDEX('Starlink Launches'!$A:$A, MATCH($E1622, 'Starlink Launches'!$B:$B, 0)),
  ""
)
</f>
        <v>6-73</v>
      </c>
      <c r="B1622" s="3" t="s">
        <v>25</v>
      </c>
      <c r="C1622" s="12" t="s">
        <v>1634</v>
      </c>
      <c r="D1622" s="13">
        <v>63585.0</v>
      </c>
      <c r="E1622" s="4">
        <v>45761.0</v>
      </c>
      <c r="F1622" s="4" t="str">
        <f>IF(D1622="","", IFNA(VLOOKUP(D1622, SATCAT_DECAY!A:B, 2, FALSE), ""))
</f>
        <v/>
      </c>
      <c r="G1622" s="3" t="str">
        <f t="shared" si="1"/>
        <v>ACTIVE</v>
      </c>
    </row>
    <row r="1623" ht="22.5" customHeight="1">
      <c r="A1623" s="11" t="str">
        <f t="array" ref="A1623">IFERROR(
  INDEX('Starlink Launches'!$A:$A, MATCH($E1623, 'Starlink Launches'!$B:$B, 0)),
  ""
)
</f>
        <v>6-73</v>
      </c>
      <c r="B1623" s="3" t="s">
        <v>25</v>
      </c>
      <c r="C1623" s="12" t="s">
        <v>1635</v>
      </c>
      <c r="D1623" s="13">
        <v>63586.0</v>
      </c>
      <c r="E1623" s="4">
        <v>45761.0</v>
      </c>
      <c r="F1623" s="4" t="str">
        <f>IF(D1623="","", IFNA(VLOOKUP(D1623, SATCAT_DECAY!A:B, 2, FALSE), ""))
</f>
        <v/>
      </c>
      <c r="G1623" s="3" t="str">
        <f t="shared" si="1"/>
        <v>ACTIVE</v>
      </c>
    </row>
    <row r="1624" ht="22.5" customHeight="1">
      <c r="A1624" s="11" t="str">
        <f t="array" ref="A1624">IFERROR(
  INDEX('Starlink Launches'!$A:$A, MATCH($E1624, 'Starlink Launches'!$B:$B, 0)),
  ""
)
</f>
        <v>6-73</v>
      </c>
      <c r="B1624" s="3" t="s">
        <v>25</v>
      </c>
      <c r="C1624" s="12" t="s">
        <v>1636</v>
      </c>
      <c r="D1624" s="13">
        <v>63587.0</v>
      </c>
      <c r="E1624" s="4">
        <v>45761.0</v>
      </c>
      <c r="F1624" s="4" t="str">
        <f>IF(D1624="","", IFNA(VLOOKUP(D1624, SATCAT_DECAY!A:B, 2, FALSE), ""))
</f>
        <v/>
      </c>
      <c r="G1624" s="3" t="str">
        <f t="shared" si="1"/>
        <v>ACTIVE</v>
      </c>
    </row>
    <row r="1625" ht="22.5" customHeight="1">
      <c r="A1625" s="11" t="str">
        <f t="array" ref="A1625">IFERROR(
  INDEX('Starlink Launches'!$A:$A, MATCH($E1625, 'Starlink Launches'!$B:$B, 0)),
  ""
)
</f>
        <v>6-73</v>
      </c>
      <c r="B1625" s="3" t="s">
        <v>25</v>
      </c>
      <c r="C1625" s="12" t="s">
        <v>1637</v>
      </c>
      <c r="D1625" s="13">
        <v>63588.0</v>
      </c>
      <c r="E1625" s="4">
        <v>45761.0</v>
      </c>
      <c r="F1625" s="4" t="str">
        <f>IF(D1625="","", IFNA(VLOOKUP(D1625, SATCAT_DECAY!A:B, 2, FALSE), ""))
</f>
        <v/>
      </c>
      <c r="G1625" s="3" t="str">
        <f t="shared" si="1"/>
        <v>ACTIVE</v>
      </c>
    </row>
    <row r="1626" ht="22.5" customHeight="1">
      <c r="A1626" s="11" t="str">
        <f t="array" ref="A1626">IFERROR(
  INDEX('Starlink Launches'!$A:$A, MATCH($E1626, 'Starlink Launches'!$B:$B, 0)),
  ""
)
</f>
        <v>6-73</v>
      </c>
      <c r="B1626" s="3" t="s">
        <v>25</v>
      </c>
      <c r="C1626" s="12" t="s">
        <v>1638</v>
      </c>
      <c r="D1626" s="13">
        <v>63589.0</v>
      </c>
      <c r="E1626" s="4">
        <v>45761.0</v>
      </c>
      <c r="F1626" s="4" t="str">
        <f>IF(D1626="","", IFNA(VLOOKUP(D1626, SATCAT_DECAY!A:B, 2, FALSE), ""))
</f>
        <v/>
      </c>
      <c r="G1626" s="3" t="str">
        <f t="shared" si="1"/>
        <v>ACTIVE</v>
      </c>
    </row>
    <row r="1627" ht="22.5" customHeight="1">
      <c r="A1627" s="11" t="str">
        <f t="array" ref="A1627">IFERROR(
  INDEX('Starlink Launches'!$A:$A, MATCH($E1627, 'Starlink Launches'!$B:$B, 0)),
  ""
)
</f>
        <v>6-73</v>
      </c>
      <c r="B1627" s="3" t="s">
        <v>25</v>
      </c>
      <c r="C1627" s="12" t="s">
        <v>1639</v>
      </c>
      <c r="D1627" s="13">
        <v>63590.0</v>
      </c>
      <c r="E1627" s="4">
        <v>45761.0</v>
      </c>
      <c r="F1627" s="4" t="str">
        <f>IF(D1627="","", IFNA(VLOOKUP(D1627, SATCAT_DECAY!A:B, 2, FALSE), ""))
</f>
        <v/>
      </c>
      <c r="G1627" s="3" t="str">
        <f t="shared" si="1"/>
        <v>ACTIVE</v>
      </c>
    </row>
    <row r="1628" ht="22.5" customHeight="1">
      <c r="A1628" s="11" t="str">
        <f t="array" ref="A1628">IFERROR(
  INDEX('Starlink Launches'!$A:$A, MATCH($E1628, 'Starlink Launches'!$B:$B, 0)),
  ""
)
</f>
        <v>6-73</v>
      </c>
      <c r="B1628" s="3" t="s">
        <v>25</v>
      </c>
      <c r="C1628" s="12" t="s">
        <v>1640</v>
      </c>
      <c r="D1628" s="13">
        <v>63591.0</v>
      </c>
      <c r="E1628" s="4">
        <v>45761.0</v>
      </c>
      <c r="F1628" s="4" t="str">
        <f>IF(D1628="","", IFNA(VLOOKUP(D1628, SATCAT_DECAY!A:B, 2, FALSE), ""))
</f>
        <v/>
      </c>
      <c r="G1628" s="3" t="str">
        <f t="shared" si="1"/>
        <v>ACTIVE</v>
      </c>
    </row>
    <row r="1629" ht="22.5" customHeight="1">
      <c r="A1629" s="11" t="str">
        <f t="array" ref="A1629">IFERROR(
  INDEX('Starlink Launches'!$A:$A, MATCH($E1629, 'Starlink Launches'!$B:$B, 0)),
  ""
)
</f>
        <v>6-73</v>
      </c>
      <c r="B1629" s="3" t="s">
        <v>25</v>
      </c>
      <c r="C1629" s="12" t="s">
        <v>1641</v>
      </c>
      <c r="D1629" s="13">
        <v>63592.0</v>
      </c>
      <c r="E1629" s="4">
        <v>45761.0</v>
      </c>
      <c r="F1629" s="4" t="str">
        <f>IF(D1629="","", IFNA(VLOOKUP(D1629, SATCAT_DECAY!A:B, 2, FALSE), ""))
</f>
        <v/>
      </c>
      <c r="G1629" s="3" t="str">
        <f t="shared" si="1"/>
        <v>ACTIVE</v>
      </c>
    </row>
    <row r="1630" ht="22.5" customHeight="1">
      <c r="A1630" s="11" t="str">
        <f t="array" ref="A1630">IFERROR(
  INDEX('Starlink Launches'!$A:$A, MATCH($E1630, 'Starlink Launches'!$B:$B, 0)),
  ""
)
</f>
        <v>6-73</v>
      </c>
      <c r="B1630" s="3" t="s">
        <v>25</v>
      </c>
      <c r="C1630" s="12" t="s">
        <v>1642</v>
      </c>
      <c r="D1630" s="13">
        <v>63593.0</v>
      </c>
      <c r="E1630" s="4">
        <v>45761.0</v>
      </c>
      <c r="F1630" s="4" t="str">
        <f>IF(D1630="","", IFNA(VLOOKUP(D1630, SATCAT_DECAY!A:B, 2, FALSE), ""))
</f>
        <v/>
      </c>
      <c r="G1630" s="3" t="str">
        <f t="shared" si="1"/>
        <v>ACTIVE</v>
      </c>
    </row>
    <row r="1631" ht="22.5" customHeight="1">
      <c r="A1631" s="11" t="str">
        <f t="array" ref="A1631">IFERROR(
  INDEX('Starlink Launches'!$A:$A, MATCH($E1631, 'Starlink Launches'!$B:$B, 0)),
  ""
)
</f>
        <v>6-73</v>
      </c>
      <c r="B1631" s="3" t="s">
        <v>25</v>
      </c>
      <c r="C1631" s="12" t="s">
        <v>1643</v>
      </c>
      <c r="D1631" s="13">
        <v>63594.0</v>
      </c>
      <c r="E1631" s="4">
        <v>45761.0</v>
      </c>
      <c r="F1631" s="4" t="str">
        <f>IF(D1631="","", IFNA(VLOOKUP(D1631, SATCAT_DECAY!A:B, 2, FALSE), ""))
</f>
        <v/>
      </c>
      <c r="G1631" s="3" t="str">
        <f t="shared" si="1"/>
        <v>ACTIVE</v>
      </c>
    </row>
    <row r="1632" ht="22.5" customHeight="1">
      <c r="A1632" s="11" t="str">
        <f t="array" ref="A1632">IFERROR(
  INDEX('Starlink Launches'!$A:$A, MATCH($E1632, 'Starlink Launches'!$B:$B, 0)),
  ""
)
</f>
        <v>6-73</v>
      </c>
      <c r="B1632" s="3" t="s">
        <v>25</v>
      </c>
      <c r="C1632" s="12" t="s">
        <v>1644</v>
      </c>
      <c r="D1632" s="13">
        <v>63595.0</v>
      </c>
      <c r="E1632" s="4">
        <v>45761.0</v>
      </c>
      <c r="F1632" s="4" t="str">
        <f>IF(D1632="","", IFNA(VLOOKUP(D1632, SATCAT_DECAY!A:B, 2, FALSE), ""))
</f>
        <v/>
      </c>
      <c r="G1632" s="3" t="str">
        <f t="shared" si="1"/>
        <v>ACTIVE</v>
      </c>
    </row>
    <row r="1633" ht="22.5" customHeight="1">
      <c r="A1633" s="11" t="str">
        <f t="array" ref="A1633">IFERROR(
  INDEX('Starlink Launches'!$A:$A, MATCH($E1633, 'Starlink Launches'!$B:$B, 0)),
  ""
)
</f>
        <v>6-74</v>
      </c>
      <c r="B1633" s="3" t="s">
        <v>25</v>
      </c>
      <c r="C1633" s="12" t="s">
        <v>1645</v>
      </c>
      <c r="D1633" s="13">
        <v>63634.0</v>
      </c>
      <c r="E1633" s="4">
        <v>45772.0</v>
      </c>
      <c r="F1633" s="4" t="str">
        <f>IF(D1633="","", IFNA(VLOOKUP(D1633, SATCAT_DECAY!A:B, 2, FALSE), ""))
</f>
        <v/>
      </c>
      <c r="G1633" s="3" t="str">
        <f t="shared" si="1"/>
        <v>ACTIVE</v>
      </c>
    </row>
    <row r="1634" ht="22.5" customHeight="1">
      <c r="A1634" s="11" t="str">
        <f t="array" ref="A1634">IFERROR(
  INDEX('Starlink Launches'!$A:$A, MATCH($E1634, 'Starlink Launches'!$B:$B, 0)),
  ""
)
</f>
        <v>6-74</v>
      </c>
      <c r="B1634" s="3" t="s">
        <v>25</v>
      </c>
      <c r="C1634" s="12" t="s">
        <v>1646</v>
      </c>
      <c r="D1634" s="13">
        <v>63635.0</v>
      </c>
      <c r="E1634" s="4">
        <v>45772.0</v>
      </c>
      <c r="F1634" s="4" t="str">
        <f>IF(D1634="","", IFNA(VLOOKUP(D1634, SATCAT_DECAY!A:B, 2, FALSE), ""))
</f>
        <v/>
      </c>
      <c r="G1634" s="3" t="str">
        <f t="shared" si="1"/>
        <v>ACTIVE</v>
      </c>
    </row>
    <row r="1635" ht="22.5" customHeight="1">
      <c r="A1635" s="11" t="str">
        <f t="array" ref="A1635">IFERROR(
  INDEX('Starlink Launches'!$A:$A, MATCH($E1635, 'Starlink Launches'!$B:$B, 0)),
  ""
)
</f>
        <v>6-74</v>
      </c>
      <c r="B1635" s="3" t="s">
        <v>25</v>
      </c>
      <c r="C1635" s="12" t="s">
        <v>1647</v>
      </c>
      <c r="D1635" s="13">
        <v>63636.0</v>
      </c>
      <c r="E1635" s="4">
        <v>45772.0</v>
      </c>
      <c r="F1635" s="4" t="str">
        <f>IF(D1635="","", IFNA(VLOOKUP(D1635, SATCAT_DECAY!A:B, 2, FALSE), ""))
</f>
        <v/>
      </c>
      <c r="G1635" s="3" t="str">
        <f t="shared" si="1"/>
        <v>ACTIVE</v>
      </c>
    </row>
    <row r="1636" ht="22.5" customHeight="1">
      <c r="A1636" s="11" t="str">
        <f t="array" ref="A1636">IFERROR(
  INDEX('Starlink Launches'!$A:$A, MATCH($E1636, 'Starlink Launches'!$B:$B, 0)),
  ""
)
</f>
        <v>6-74</v>
      </c>
      <c r="B1636" s="3" t="s">
        <v>25</v>
      </c>
      <c r="C1636" s="12" t="s">
        <v>1648</v>
      </c>
      <c r="D1636" s="13">
        <v>63637.0</v>
      </c>
      <c r="E1636" s="4">
        <v>45772.0</v>
      </c>
      <c r="F1636" s="4" t="str">
        <f>IF(D1636="","", IFNA(VLOOKUP(D1636, SATCAT_DECAY!A:B, 2, FALSE), ""))
</f>
        <v/>
      </c>
      <c r="G1636" s="3" t="str">
        <f t="shared" si="1"/>
        <v>ACTIVE</v>
      </c>
    </row>
    <row r="1637" ht="22.5" customHeight="1">
      <c r="A1637" s="11" t="str">
        <f t="array" ref="A1637">IFERROR(
  INDEX('Starlink Launches'!$A:$A, MATCH($E1637, 'Starlink Launches'!$B:$B, 0)),
  ""
)
</f>
        <v>6-74</v>
      </c>
      <c r="B1637" s="3" t="s">
        <v>25</v>
      </c>
      <c r="C1637" s="12" t="s">
        <v>1649</v>
      </c>
      <c r="D1637" s="13">
        <v>63638.0</v>
      </c>
      <c r="E1637" s="4">
        <v>45772.0</v>
      </c>
      <c r="F1637" s="4" t="str">
        <f>IF(D1637="","", IFNA(VLOOKUP(D1637, SATCAT_DECAY!A:B, 2, FALSE), ""))
</f>
        <v/>
      </c>
      <c r="G1637" s="3" t="str">
        <f t="shared" si="1"/>
        <v>ACTIVE</v>
      </c>
    </row>
    <row r="1638" ht="22.5" customHeight="1">
      <c r="A1638" s="11" t="str">
        <f t="array" ref="A1638">IFERROR(
  INDEX('Starlink Launches'!$A:$A, MATCH($E1638, 'Starlink Launches'!$B:$B, 0)),
  ""
)
</f>
        <v>6-74</v>
      </c>
      <c r="B1638" s="3" t="s">
        <v>25</v>
      </c>
      <c r="C1638" s="12" t="s">
        <v>1650</v>
      </c>
      <c r="D1638" s="13">
        <v>63639.0</v>
      </c>
      <c r="E1638" s="4">
        <v>45772.0</v>
      </c>
      <c r="F1638" s="4" t="str">
        <f>IF(D1638="","", IFNA(VLOOKUP(D1638, SATCAT_DECAY!A:B, 2, FALSE), ""))
</f>
        <v/>
      </c>
      <c r="G1638" s="3" t="str">
        <f t="shared" si="1"/>
        <v>ACTIVE</v>
      </c>
    </row>
    <row r="1639" ht="22.5" customHeight="1">
      <c r="A1639" s="11" t="str">
        <f t="array" ref="A1639">IFERROR(
  INDEX('Starlink Launches'!$A:$A, MATCH($E1639, 'Starlink Launches'!$B:$B, 0)),
  ""
)
</f>
        <v>6-74</v>
      </c>
      <c r="B1639" s="3" t="s">
        <v>25</v>
      </c>
      <c r="C1639" s="12" t="s">
        <v>1651</v>
      </c>
      <c r="D1639" s="13">
        <v>63640.0</v>
      </c>
      <c r="E1639" s="4">
        <v>45772.0</v>
      </c>
      <c r="F1639" s="4" t="str">
        <f>IF(D1639="","", IFNA(VLOOKUP(D1639, SATCAT_DECAY!A:B, 2, FALSE), ""))
</f>
        <v/>
      </c>
      <c r="G1639" s="3" t="str">
        <f t="shared" si="1"/>
        <v>ACTIVE</v>
      </c>
    </row>
    <row r="1640" ht="22.5" customHeight="1">
      <c r="A1640" s="11" t="str">
        <f t="array" ref="A1640">IFERROR(
  INDEX('Starlink Launches'!$A:$A, MATCH($E1640, 'Starlink Launches'!$B:$B, 0)),
  ""
)
</f>
        <v>6-74</v>
      </c>
      <c r="B1640" s="3" t="s">
        <v>25</v>
      </c>
      <c r="C1640" s="12" t="s">
        <v>1652</v>
      </c>
      <c r="D1640" s="13">
        <v>63641.0</v>
      </c>
      <c r="E1640" s="4">
        <v>45772.0</v>
      </c>
      <c r="F1640" s="4" t="str">
        <f>IF(D1640="","", IFNA(VLOOKUP(D1640, SATCAT_DECAY!A:B, 2, FALSE), ""))
</f>
        <v/>
      </c>
      <c r="G1640" s="3" t="str">
        <f t="shared" si="1"/>
        <v>ACTIVE</v>
      </c>
    </row>
    <row r="1641" ht="22.5" customHeight="1">
      <c r="A1641" s="11" t="str">
        <f t="array" ref="A1641">IFERROR(
  INDEX('Starlink Launches'!$A:$A, MATCH($E1641, 'Starlink Launches'!$B:$B, 0)),
  ""
)
</f>
        <v>6-74</v>
      </c>
      <c r="B1641" s="3" t="s">
        <v>25</v>
      </c>
      <c r="C1641" s="12" t="s">
        <v>1653</v>
      </c>
      <c r="D1641" s="13">
        <v>63642.0</v>
      </c>
      <c r="E1641" s="4">
        <v>45772.0</v>
      </c>
      <c r="F1641" s="4" t="str">
        <f>IF(D1641="","", IFNA(VLOOKUP(D1641, SATCAT_DECAY!A:B, 2, FALSE), ""))
</f>
        <v/>
      </c>
      <c r="G1641" s="3" t="str">
        <f t="shared" si="1"/>
        <v>ACTIVE</v>
      </c>
    </row>
    <row r="1642" ht="22.5" customHeight="1">
      <c r="A1642" s="11" t="str">
        <f t="array" ref="A1642">IFERROR(
  INDEX('Starlink Launches'!$A:$A, MATCH($E1642, 'Starlink Launches'!$B:$B, 0)),
  ""
)
</f>
        <v>6-74</v>
      </c>
      <c r="B1642" s="3" t="s">
        <v>25</v>
      </c>
      <c r="C1642" s="12" t="s">
        <v>1654</v>
      </c>
      <c r="D1642" s="13">
        <v>63643.0</v>
      </c>
      <c r="E1642" s="4">
        <v>45772.0</v>
      </c>
      <c r="F1642" s="4" t="str">
        <f>IF(D1642="","", IFNA(VLOOKUP(D1642, SATCAT_DECAY!A:B, 2, FALSE), ""))
</f>
        <v/>
      </c>
      <c r="G1642" s="3" t="str">
        <f t="shared" si="1"/>
        <v>ACTIVE</v>
      </c>
    </row>
    <row r="1643" ht="22.5" customHeight="1">
      <c r="A1643" s="11" t="str">
        <f t="array" ref="A1643">IFERROR(
  INDEX('Starlink Launches'!$A:$A, MATCH($E1643, 'Starlink Launches'!$B:$B, 0)),
  ""
)
</f>
        <v>6-74</v>
      </c>
      <c r="B1643" s="3" t="s">
        <v>25</v>
      </c>
      <c r="C1643" s="12" t="s">
        <v>1655</v>
      </c>
      <c r="D1643" s="13">
        <v>63644.0</v>
      </c>
      <c r="E1643" s="4">
        <v>45772.0</v>
      </c>
      <c r="F1643" s="4" t="str">
        <f>IF(D1643="","", IFNA(VLOOKUP(D1643, SATCAT_DECAY!A:B, 2, FALSE), ""))
</f>
        <v/>
      </c>
      <c r="G1643" s="3" t="str">
        <f t="shared" si="1"/>
        <v>ACTIVE</v>
      </c>
    </row>
    <row r="1644" ht="22.5" customHeight="1">
      <c r="A1644" s="11" t="str">
        <f t="array" ref="A1644">IFERROR(
  INDEX('Starlink Launches'!$A:$A, MATCH($E1644, 'Starlink Launches'!$B:$B, 0)),
  ""
)
</f>
        <v>6-74</v>
      </c>
      <c r="B1644" s="3" t="s">
        <v>25</v>
      </c>
      <c r="C1644" s="12" t="s">
        <v>1656</v>
      </c>
      <c r="D1644" s="13">
        <v>63645.0</v>
      </c>
      <c r="E1644" s="4">
        <v>45772.0</v>
      </c>
      <c r="F1644" s="4" t="str">
        <f>IF(D1644="","", IFNA(VLOOKUP(D1644, SATCAT_DECAY!A:B, 2, FALSE), ""))
</f>
        <v/>
      </c>
      <c r="G1644" s="3" t="str">
        <f t="shared" si="1"/>
        <v>ACTIVE</v>
      </c>
    </row>
    <row r="1645" ht="22.5" customHeight="1">
      <c r="A1645" s="11" t="str">
        <f t="array" ref="A1645">IFERROR(
  INDEX('Starlink Launches'!$A:$A, MATCH($E1645, 'Starlink Launches'!$B:$B, 0)),
  ""
)
</f>
        <v>6-74</v>
      </c>
      <c r="B1645" s="3" t="s">
        <v>25</v>
      </c>
      <c r="C1645" s="12" t="s">
        <v>1657</v>
      </c>
      <c r="D1645" s="13">
        <v>63646.0</v>
      </c>
      <c r="E1645" s="4">
        <v>45772.0</v>
      </c>
      <c r="F1645" s="4" t="str">
        <f>IF(D1645="","", IFNA(VLOOKUP(D1645, SATCAT_DECAY!A:B, 2, FALSE), ""))
</f>
        <v/>
      </c>
      <c r="G1645" s="3" t="str">
        <f t="shared" si="1"/>
        <v>ACTIVE</v>
      </c>
    </row>
    <row r="1646" ht="22.5" customHeight="1">
      <c r="A1646" s="11" t="str">
        <f t="array" ref="A1646">IFERROR(
  INDEX('Starlink Launches'!$A:$A, MATCH($E1646, 'Starlink Launches'!$B:$B, 0)),
  ""
)
</f>
        <v>6-74</v>
      </c>
      <c r="B1646" s="3" t="s">
        <v>25</v>
      </c>
      <c r="C1646" s="12" t="s">
        <v>1658</v>
      </c>
      <c r="D1646" s="13">
        <v>63647.0</v>
      </c>
      <c r="E1646" s="4">
        <v>45772.0</v>
      </c>
      <c r="F1646" s="4" t="str">
        <f>IF(D1646="","", IFNA(VLOOKUP(D1646, SATCAT_DECAY!A:B, 2, FALSE), ""))
</f>
        <v/>
      </c>
      <c r="G1646" s="3" t="str">
        <f t="shared" si="1"/>
        <v>ACTIVE</v>
      </c>
    </row>
    <row r="1647" ht="22.5" customHeight="1">
      <c r="A1647" s="11" t="str">
        <f t="array" ref="A1647">IFERROR(
  INDEX('Starlink Launches'!$A:$A, MATCH($E1647, 'Starlink Launches'!$B:$B, 0)),
  ""
)
</f>
        <v>6-74</v>
      </c>
      <c r="B1647" s="3" t="s">
        <v>25</v>
      </c>
      <c r="C1647" s="12" t="s">
        <v>1659</v>
      </c>
      <c r="D1647" s="13">
        <v>63648.0</v>
      </c>
      <c r="E1647" s="4">
        <v>45772.0</v>
      </c>
      <c r="F1647" s="4" t="str">
        <f>IF(D1647="","", IFNA(VLOOKUP(D1647, SATCAT_DECAY!A:B, 2, FALSE), ""))
</f>
        <v/>
      </c>
      <c r="G1647" s="3" t="str">
        <f t="shared" si="1"/>
        <v>ACTIVE</v>
      </c>
    </row>
    <row r="1648" ht="22.5" customHeight="1">
      <c r="A1648" s="11" t="str">
        <f t="array" ref="A1648">IFERROR(
  INDEX('Starlink Launches'!$A:$A, MATCH($E1648, 'Starlink Launches'!$B:$B, 0)),
  ""
)
</f>
        <v>6-74</v>
      </c>
      <c r="B1648" s="3" t="s">
        <v>25</v>
      </c>
      <c r="C1648" s="12" t="s">
        <v>1660</v>
      </c>
      <c r="D1648" s="13">
        <v>63649.0</v>
      </c>
      <c r="E1648" s="4">
        <v>45772.0</v>
      </c>
      <c r="F1648" s="4" t="str">
        <f>IF(D1648="","", IFNA(VLOOKUP(D1648, SATCAT_DECAY!A:B, 2, FALSE), ""))
</f>
        <v/>
      </c>
      <c r="G1648" s="3" t="str">
        <f t="shared" si="1"/>
        <v>ACTIVE</v>
      </c>
    </row>
    <row r="1649" ht="22.5" customHeight="1">
      <c r="A1649" s="11" t="str">
        <f t="array" ref="A1649">IFERROR(
  INDEX('Starlink Launches'!$A:$A, MATCH($E1649, 'Starlink Launches'!$B:$B, 0)),
  ""
)
</f>
        <v>6-74</v>
      </c>
      <c r="B1649" s="3" t="s">
        <v>25</v>
      </c>
      <c r="C1649" s="12" t="s">
        <v>1661</v>
      </c>
      <c r="D1649" s="13">
        <v>63650.0</v>
      </c>
      <c r="E1649" s="4">
        <v>45772.0</v>
      </c>
      <c r="F1649" s="4" t="str">
        <f>IF(D1649="","", IFNA(VLOOKUP(D1649, SATCAT_DECAY!A:B, 2, FALSE), ""))
</f>
        <v/>
      </c>
      <c r="G1649" s="3" t="str">
        <f t="shared" si="1"/>
        <v>ACTIVE</v>
      </c>
    </row>
    <row r="1650" ht="22.5" customHeight="1">
      <c r="A1650" s="11" t="str">
        <f t="array" ref="A1650">IFERROR(
  INDEX('Starlink Launches'!$A:$A, MATCH($E1650, 'Starlink Launches'!$B:$B, 0)),
  ""
)
</f>
        <v>6-74</v>
      </c>
      <c r="B1650" s="3" t="s">
        <v>25</v>
      </c>
      <c r="C1650" s="12" t="s">
        <v>1662</v>
      </c>
      <c r="D1650" s="13">
        <v>63651.0</v>
      </c>
      <c r="E1650" s="4">
        <v>45772.0</v>
      </c>
      <c r="F1650" s="4" t="str">
        <f>IF(D1650="","", IFNA(VLOOKUP(D1650, SATCAT_DECAY!A:B, 2, FALSE), ""))
</f>
        <v/>
      </c>
      <c r="G1650" s="3" t="str">
        <f t="shared" si="1"/>
        <v>ACTIVE</v>
      </c>
    </row>
    <row r="1651" ht="22.5" customHeight="1">
      <c r="A1651" s="11" t="str">
        <f t="array" ref="A1651">IFERROR(
  INDEX('Starlink Launches'!$A:$A, MATCH($E1651, 'Starlink Launches'!$B:$B, 0)),
  ""
)
</f>
        <v>6-74</v>
      </c>
      <c r="B1651" s="3" t="s">
        <v>25</v>
      </c>
      <c r="C1651" s="12" t="s">
        <v>1663</v>
      </c>
      <c r="D1651" s="13">
        <v>63652.0</v>
      </c>
      <c r="E1651" s="4">
        <v>45772.0</v>
      </c>
      <c r="F1651" s="4" t="str">
        <f>IF(D1651="","", IFNA(VLOOKUP(D1651, SATCAT_DECAY!A:B, 2, FALSE), ""))
</f>
        <v/>
      </c>
      <c r="G1651" s="3" t="str">
        <f t="shared" si="1"/>
        <v>ACTIVE</v>
      </c>
    </row>
    <row r="1652" ht="22.5" customHeight="1">
      <c r="A1652" s="11" t="str">
        <f t="array" ref="A1652">IFERROR(
  INDEX('Starlink Launches'!$A:$A, MATCH($E1652, 'Starlink Launches'!$B:$B, 0)),
  ""
)
</f>
        <v>6-74</v>
      </c>
      <c r="B1652" s="3" t="s">
        <v>25</v>
      </c>
      <c r="C1652" s="12" t="s">
        <v>1664</v>
      </c>
      <c r="D1652" s="13">
        <v>63653.0</v>
      </c>
      <c r="E1652" s="4">
        <v>45772.0</v>
      </c>
      <c r="F1652" s="4" t="str">
        <f>IF(D1652="","", IFNA(VLOOKUP(D1652, SATCAT_DECAY!A:B, 2, FALSE), ""))
</f>
        <v/>
      </c>
      <c r="G1652" s="3" t="str">
        <f t="shared" si="1"/>
        <v>ACTIVE</v>
      </c>
    </row>
    <row r="1653" ht="22.5" customHeight="1">
      <c r="A1653" s="11" t="str">
        <f t="array" ref="A1653">IFERROR(
  INDEX('Starlink Launches'!$A:$A, MATCH($E1653, 'Starlink Launches'!$B:$B, 0)),
  ""
)
</f>
        <v>6-74</v>
      </c>
      <c r="B1653" s="3" t="s">
        <v>25</v>
      </c>
      <c r="C1653" s="12" t="s">
        <v>1665</v>
      </c>
      <c r="D1653" s="13">
        <v>63654.0</v>
      </c>
      <c r="E1653" s="4">
        <v>45772.0</v>
      </c>
      <c r="F1653" s="4" t="str">
        <f>IF(D1653="","", IFNA(VLOOKUP(D1653, SATCAT_DECAY!A:B, 2, FALSE), ""))
</f>
        <v/>
      </c>
      <c r="G1653" s="3" t="str">
        <f t="shared" si="1"/>
        <v>ACTIVE</v>
      </c>
    </row>
    <row r="1654" ht="22.5" customHeight="1">
      <c r="A1654" s="11" t="str">
        <f t="array" ref="A1654">IFERROR(
  INDEX('Starlink Launches'!$A:$A, MATCH($E1654, 'Starlink Launches'!$B:$B, 0)),
  ""
)
</f>
        <v>6-74</v>
      </c>
      <c r="B1654" s="3" t="s">
        <v>25</v>
      </c>
      <c r="C1654" s="12" t="s">
        <v>1666</v>
      </c>
      <c r="D1654" s="13">
        <v>63655.0</v>
      </c>
      <c r="E1654" s="4">
        <v>45772.0</v>
      </c>
      <c r="F1654" s="4" t="str">
        <f>IF(D1654="","", IFNA(VLOOKUP(D1654, SATCAT_DECAY!A:B, 2, FALSE), ""))
</f>
        <v/>
      </c>
      <c r="G1654" s="3" t="str">
        <f t="shared" si="1"/>
        <v>ACTIVE</v>
      </c>
    </row>
    <row r="1655" ht="22.5" customHeight="1">
      <c r="A1655" s="11" t="str">
        <f t="array" ref="A1655">IFERROR(
  INDEX('Starlink Launches'!$A:$A, MATCH($E1655, 'Starlink Launches'!$B:$B, 0)),
  ""
)
</f>
        <v>6-74</v>
      </c>
      <c r="B1655" s="3" t="s">
        <v>25</v>
      </c>
      <c r="C1655" s="12" t="s">
        <v>1667</v>
      </c>
      <c r="D1655" s="13">
        <v>63656.0</v>
      </c>
      <c r="E1655" s="4">
        <v>45772.0</v>
      </c>
      <c r="F1655" s="4" t="str">
        <f>IF(D1655="","", IFNA(VLOOKUP(D1655, SATCAT_DECAY!A:B, 2, FALSE), ""))
</f>
        <v/>
      </c>
      <c r="G1655" s="3" t="str">
        <f t="shared" si="1"/>
        <v>ACTIVE</v>
      </c>
    </row>
    <row r="1656" ht="22.5" customHeight="1">
      <c r="A1656" s="11" t="str">
        <f t="array" ref="A1656">IFERROR(
  INDEX('Starlink Launches'!$A:$A, MATCH($E1656, 'Starlink Launches'!$B:$B, 0)),
  ""
)
</f>
        <v>6-74</v>
      </c>
      <c r="B1656" s="3" t="s">
        <v>25</v>
      </c>
      <c r="C1656" s="12" t="s">
        <v>1668</v>
      </c>
      <c r="D1656" s="13">
        <v>63657.0</v>
      </c>
      <c r="E1656" s="4">
        <v>45772.0</v>
      </c>
      <c r="F1656" s="4" t="str">
        <f>IF(D1656="","", IFNA(VLOOKUP(D1656, SATCAT_DECAY!A:B, 2, FALSE), ""))
</f>
        <v/>
      </c>
      <c r="G1656" s="3" t="str">
        <f t="shared" si="1"/>
        <v>ACTIVE</v>
      </c>
    </row>
    <row r="1657" ht="22.5" customHeight="1">
      <c r="A1657" s="11" t="str">
        <f t="array" ref="A1657">IFERROR(
  INDEX('Starlink Launches'!$A:$A, MATCH($E1657, 'Starlink Launches'!$B:$B, 0)),
  ""
)
</f>
        <v>6-74</v>
      </c>
      <c r="B1657" s="3" t="s">
        <v>25</v>
      </c>
      <c r="C1657" s="12" t="s">
        <v>1669</v>
      </c>
      <c r="D1657" s="13">
        <v>63658.0</v>
      </c>
      <c r="E1657" s="4">
        <v>45772.0</v>
      </c>
      <c r="F1657" s="4" t="str">
        <f>IF(D1657="","", IFNA(VLOOKUP(D1657, SATCAT_DECAY!A:B, 2, FALSE), ""))
</f>
        <v/>
      </c>
      <c r="G1657" s="3" t="str">
        <f t="shared" si="1"/>
        <v>ACTIVE</v>
      </c>
    </row>
    <row r="1658" ht="22.5" customHeight="1">
      <c r="A1658" s="11" t="str">
        <f t="array" ref="A1658">IFERROR(
  INDEX('Starlink Launches'!$A:$A, MATCH($E1658, 'Starlink Launches'!$B:$B, 0)),
  ""
)
</f>
        <v>6-74</v>
      </c>
      <c r="B1658" s="3" t="s">
        <v>25</v>
      </c>
      <c r="C1658" s="12" t="s">
        <v>1670</v>
      </c>
      <c r="D1658" s="13">
        <v>63659.0</v>
      </c>
      <c r="E1658" s="4">
        <v>45772.0</v>
      </c>
      <c r="F1658" s="4" t="str">
        <f>IF(D1658="","", IFNA(VLOOKUP(D1658, SATCAT_DECAY!A:B, 2, FALSE), ""))
</f>
        <v/>
      </c>
      <c r="G1658" s="3" t="str">
        <f t="shared" si="1"/>
        <v>ACTIVE</v>
      </c>
    </row>
    <row r="1659" ht="22.5" customHeight="1">
      <c r="A1659" s="11" t="str">
        <f t="array" ref="A1659">IFERROR(
  INDEX('Starlink Launches'!$A:$A, MATCH($E1659, 'Starlink Launches'!$B:$B, 0)),
  ""
)
</f>
        <v>6-74</v>
      </c>
      <c r="B1659" s="3" t="s">
        <v>25</v>
      </c>
      <c r="C1659" s="12" t="s">
        <v>1671</v>
      </c>
      <c r="D1659" s="13">
        <v>63660.0</v>
      </c>
      <c r="E1659" s="4">
        <v>45772.0</v>
      </c>
      <c r="F1659" s="4" t="str">
        <f>IF(D1659="","", IFNA(VLOOKUP(D1659, SATCAT_DECAY!A:B, 2, FALSE), ""))
</f>
        <v/>
      </c>
      <c r="G1659" s="3" t="str">
        <f t="shared" si="1"/>
        <v>ACTIVE</v>
      </c>
    </row>
    <row r="1660" ht="22.5" customHeight="1">
      <c r="A1660" s="11" t="str">
        <f t="array" ref="A1660">IFERROR(
  INDEX('Starlink Launches'!$A:$A, MATCH($E1660, 'Starlink Launches'!$B:$B, 0)),
  ""
)
</f>
        <v>6-74</v>
      </c>
      <c r="B1660" s="3" t="s">
        <v>25</v>
      </c>
      <c r="C1660" s="12" t="s">
        <v>1672</v>
      </c>
      <c r="D1660" s="13">
        <v>63661.0</v>
      </c>
      <c r="E1660" s="4">
        <v>45772.0</v>
      </c>
      <c r="F1660" s="4" t="str">
        <f>IF(D1660="","", IFNA(VLOOKUP(D1660, SATCAT_DECAY!A:B, 2, FALSE), ""))
</f>
        <v/>
      </c>
      <c r="G1660" s="3" t="str">
        <f t="shared" si="1"/>
        <v>ACTIVE</v>
      </c>
    </row>
    <row r="1661" ht="22.5" customHeight="1">
      <c r="A1661" s="11" t="str">
        <f t="array" ref="A1661">IFERROR(
  INDEX('Starlink Launches'!$A:$A, MATCH($E1661, 'Starlink Launches'!$B:$B, 0)),
  ""
)
</f>
        <v>6-75</v>
      </c>
      <c r="B1661" s="3" t="s">
        <v>25</v>
      </c>
      <c r="C1661" s="12" t="s">
        <v>1673</v>
      </c>
      <c r="D1661" s="13">
        <v>63775.0</v>
      </c>
      <c r="E1661" s="4">
        <v>45779.0</v>
      </c>
      <c r="F1661" s="4" t="str">
        <f>IF(D1661="","", IFNA(VLOOKUP(D1661, SATCAT_DECAY!A:B, 2, FALSE), ""))
</f>
        <v/>
      </c>
      <c r="G1661" s="3" t="str">
        <f t="shared" si="1"/>
        <v>ACTIVE</v>
      </c>
    </row>
    <row r="1662" ht="22.5" customHeight="1">
      <c r="A1662" s="11" t="str">
        <f t="array" ref="A1662">IFERROR(
  INDEX('Starlink Launches'!$A:$A, MATCH($E1662, 'Starlink Launches'!$B:$B, 0)),
  ""
)
</f>
        <v>6-75</v>
      </c>
      <c r="B1662" s="3" t="s">
        <v>25</v>
      </c>
      <c r="C1662" s="12" t="s">
        <v>1674</v>
      </c>
      <c r="D1662" s="13">
        <v>63776.0</v>
      </c>
      <c r="E1662" s="4">
        <v>45779.0</v>
      </c>
      <c r="F1662" s="4" t="str">
        <f>IF(D1662="","", IFNA(VLOOKUP(D1662, SATCAT_DECAY!A:B, 2, FALSE), ""))
</f>
        <v/>
      </c>
      <c r="G1662" s="3" t="str">
        <f t="shared" si="1"/>
        <v>ACTIVE</v>
      </c>
    </row>
    <row r="1663" ht="22.5" customHeight="1">
      <c r="A1663" s="11" t="str">
        <f t="array" ref="A1663">IFERROR(
  INDEX('Starlink Launches'!$A:$A, MATCH($E1663, 'Starlink Launches'!$B:$B, 0)),
  ""
)
</f>
        <v>6-75</v>
      </c>
      <c r="B1663" s="3" t="s">
        <v>25</v>
      </c>
      <c r="C1663" s="12" t="s">
        <v>1675</v>
      </c>
      <c r="D1663" s="13">
        <v>63777.0</v>
      </c>
      <c r="E1663" s="4">
        <v>45779.0</v>
      </c>
      <c r="F1663" s="4" t="str">
        <f>IF(D1663="","", IFNA(VLOOKUP(D1663, SATCAT_DECAY!A:B, 2, FALSE), ""))
</f>
        <v/>
      </c>
      <c r="G1663" s="3" t="str">
        <f t="shared" si="1"/>
        <v>ACTIVE</v>
      </c>
    </row>
    <row r="1664" ht="22.5" customHeight="1">
      <c r="A1664" s="11" t="str">
        <f t="array" ref="A1664">IFERROR(
  INDEX('Starlink Launches'!$A:$A, MATCH($E1664, 'Starlink Launches'!$B:$B, 0)),
  ""
)
</f>
        <v>6-75</v>
      </c>
      <c r="B1664" s="3" t="s">
        <v>25</v>
      </c>
      <c r="C1664" s="12" t="s">
        <v>1676</v>
      </c>
      <c r="D1664" s="13">
        <v>63778.0</v>
      </c>
      <c r="E1664" s="4">
        <v>45779.0</v>
      </c>
      <c r="F1664" s="4" t="str">
        <f>IF(D1664="","", IFNA(VLOOKUP(D1664, SATCAT_DECAY!A:B, 2, FALSE), ""))
</f>
        <v/>
      </c>
      <c r="G1664" s="3" t="str">
        <f t="shared" si="1"/>
        <v>ACTIVE</v>
      </c>
    </row>
    <row r="1665" ht="22.5" customHeight="1">
      <c r="A1665" s="11" t="str">
        <f t="array" ref="A1665">IFERROR(
  INDEX('Starlink Launches'!$A:$A, MATCH($E1665, 'Starlink Launches'!$B:$B, 0)),
  ""
)
</f>
        <v>6-75</v>
      </c>
      <c r="B1665" s="3" t="s">
        <v>25</v>
      </c>
      <c r="C1665" s="12" t="s">
        <v>1677</v>
      </c>
      <c r="D1665" s="13">
        <v>63779.0</v>
      </c>
      <c r="E1665" s="4">
        <v>45779.0</v>
      </c>
      <c r="F1665" s="4" t="str">
        <f>IF(D1665="","", IFNA(VLOOKUP(D1665, SATCAT_DECAY!A:B, 2, FALSE), ""))
</f>
        <v/>
      </c>
      <c r="G1665" s="3" t="str">
        <f t="shared" si="1"/>
        <v>ACTIVE</v>
      </c>
    </row>
    <row r="1666" ht="22.5" customHeight="1">
      <c r="A1666" s="11" t="str">
        <f t="array" ref="A1666">IFERROR(
  INDEX('Starlink Launches'!$A:$A, MATCH($E1666, 'Starlink Launches'!$B:$B, 0)),
  ""
)
</f>
        <v>6-75</v>
      </c>
      <c r="B1666" s="3" t="s">
        <v>25</v>
      </c>
      <c r="C1666" s="12" t="s">
        <v>1678</v>
      </c>
      <c r="D1666" s="13">
        <v>63780.0</v>
      </c>
      <c r="E1666" s="4">
        <v>45779.0</v>
      </c>
      <c r="F1666" s="4" t="str">
        <f>IF(D1666="","", IFNA(VLOOKUP(D1666, SATCAT_DECAY!A:B, 2, FALSE), ""))
</f>
        <v/>
      </c>
      <c r="G1666" s="3" t="str">
        <f t="shared" si="1"/>
        <v>ACTIVE</v>
      </c>
    </row>
    <row r="1667" ht="22.5" customHeight="1">
      <c r="A1667" s="11" t="str">
        <f t="array" ref="A1667">IFERROR(
  INDEX('Starlink Launches'!$A:$A, MATCH($E1667, 'Starlink Launches'!$B:$B, 0)),
  ""
)
</f>
        <v>6-75</v>
      </c>
      <c r="B1667" s="3" t="s">
        <v>25</v>
      </c>
      <c r="C1667" s="12" t="s">
        <v>1679</v>
      </c>
      <c r="D1667" s="13">
        <v>63781.0</v>
      </c>
      <c r="E1667" s="4">
        <v>45779.0</v>
      </c>
      <c r="F1667" s="4" t="str">
        <f>IF(D1667="","", IFNA(VLOOKUP(D1667, SATCAT_DECAY!A:B, 2, FALSE), ""))
</f>
        <v/>
      </c>
      <c r="G1667" s="3" t="str">
        <f t="shared" si="1"/>
        <v>ACTIVE</v>
      </c>
    </row>
    <row r="1668" ht="22.5" customHeight="1">
      <c r="A1668" s="11" t="str">
        <f t="array" ref="A1668">IFERROR(
  INDEX('Starlink Launches'!$A:$A, MATCH($E1668, 'Starlink Launches'!$B:$B, 0)),
  ""
)
</f>
        <v>6-75</v>
      </c>
      <c r="B1668" s="3" t="s">
        <v>25</v>
      </c>
      <c r="C1668" s="12" t="s">
        <v>1680</v>
      </c>
      <c r="D1668" s="13">
        <v>63782.0</v>
      </c>
      <c r="E1668" s="4">
        <v>45779.0</v>
      </c>
      <c r="F1668" s="4" t="str">
        <f>IF(D1668="","", IFNA(VLOOKUP(D1668, SATCAT_DECAY!A:B, 2, FALSE), ""))
</f>
        <v/>
      </c>
      <c r="G1668" s="3" t="str">
        <f t="shared" si="1"/>
        <v>ACTIVE</v>
      </c>
    </row>
    <row r="1669" ht="22.5" customHeight="1">
      <c r="A1669" s="11" t="str">
        <f t="array" ref="A1669">IFERROR(
  INDEX('Starlink Launches'!$A:$A, MATCH($E1669, 'Starlink Launches'!$B:$B, 0)),
  ""
)
</f>
        <v>6-75</v>
      </c>
      <c r="B1669" s="3" t="s">
        <v>25</v>
      </c>
      <c r="C1669" s="12" t="s">
        <v>1681</v>
      </c>
      <c r="D1669" s="13">
        <v>63783.0</v>
      </c>
      <c r="E1669" s="4">
        <v>45779.0</v>
      </c>
      <c r="F1669" s="4" t="str">
        <f>IF(D1669="","", IFNA(VLOOKUP(D1669, SATCAT_DECAY!A:B, 2, FALSE), ""))
</f>
        <v/>
      </c>
      <c r="G1669" s="3" t="str">
        <f t="shared" si="1"/>
        <v>ACTIVE</v>
      </c>
    </row>
    <row r="1670" ht="22.5" customHeight="1">
      <c r="A1670" s="11" t="str">
        <f t="array" ref="A1670">IFERROR(
  INDEX('Starlink Launches'!$A:$A, MATCH($E1670, 'Starlink Launches'!$B:$B, 0)),
  ""
)
</f>
        <v>6-75</v>
      </c>
      <c r="B1670" s="3" t="s">
        <v>25</v>
      </c>
      <c r="C1670" s="12" t="s">
        <v>1682</v>
      </c>
      <c r="D1670" s="13">
        <v>63784.0</v>
      </c>
      <c r="E1670" s="4">
        <v>45779.0</v>
      </c>
      <c r="F1670" s="4" t="str">
        <f>IF(D1670="","", IFNA(VLOOKUP(D1670, SATCAT_DECAY!A:B, 2, FALSE), ""))
</f>
        <v/>
      </c>
      <c r="G1670" s="3" t="str">
        <f t="shared" si="1"/>
        <v>ACTIVE</v>
      </c>
    </row>
    <row r="1671" ht="22.5" customHeight="1">
      <c r="A1671" s="11" t="str">
        <f t="array" ref="A1671">IFERROR(
  INDEX('Starlink Launches'!$A:$A, MATCH($E1671, 'Starlink Launches'!$B:$B, 0)),
  ""
)
</f>
        <v>6-75</v>
      </c>
      <c r="B1671" s="3" t="s">
        <v>25</v>
      </c>
      <c r="C1671" s="12" t="s">
        <v>1683</v>
      </c>
      <c r="D1671" s="13">
        <v>63785.0</v>
      </c>
      <c r="E1671" s="4">
        <v>45779.0</v>
      </c>
      <c r="F1671" s="4" t="str">
        <f>IF(D1671="","", IFNA(VLOOKUP(D1671, SATCAT_DECAY!A:B, 2, FALSE), ""))
</f>
        <v/>
      </c>
      <c r="G1671" s="3" t="str">
        <f t="shared" si="1"/>
        <v>ACTIVE</v>
      </c>
    </row>
    <row r="1672" ht="22.5" customHeight="1">
      <c r="A1672" s="11" t="str">
        <f t="array" ref="A1672">IFERROR(
  INDEX('Starlink Launches'!$A:$A, MATCH($E1672, 'Starlink Launches'!$B:$B, 0)),
  ""
)
</f>
        <v>6-75</v>
      </c>
      <c r="B1672" s="3" t="s">
        <v>25</v>
      </c>
      <c r="C1672" s="12" t="s">
        <v>1684</v>
      </c>
      <c r="D1672" s="13">
        <v>63786.0</v>
      </c>
      <c r="E1672" s="4">
        <v>45779.0</v>
      </c>
      <c r="F1672" s="4" t="str">
        <f>IF(D1672="","", IFNA(VLOOKUP(D1672, SATCAT_DECAY!A:B, 2, FALSE), ""))
</f>
        <v/>
      </c>
      <c r="G1672" s="3" t="str">
        <f t="shared" si="1"/>
        <v>ACTIVE</v>
      </c>
    </row>
    <row r="1673" ht="22.5" customHeight="1">
      <c r="A1673" s="11" t="str">
        <f t="array" ref="A1673">IFERROR(
  INDEX('Starlink Launches'!$A:$A, MATCH($E1673, 'Starlink Launches'!$B:$B, 0)),
  ""
)
</f>
        <v>6-75</v>
      </c>
      <c r="B1673" s="3" t="s">
        <v>25</v>
      </c>
      <c r="C1673" s="12" t="s">
        <v>1685</v>
      </c>
      <c r="D1673" s="13">
        <v>63787.0</v>
      </c>
      <c r="E1673" s="4">
        <v>45779.0</v>
      </c>
      <c r="F1673" s="4" t="str">
        <f>IF(D1673="","", IFNA(VLOOKUP(D1673, SATCAT_DECAY!A:B, 2, FALSE), ""))
</f>
        <v/>
      </c>
      <c r="G1673" s="3" t="str">
        <f t="shared" si="1"/>
        <v>ACTIVE</v>
      </c>
    </row>
    <row r="1674" ht="22.5" customHeight="1">
      <c r="A1674" s="11" t="str">
        <f t="array" ref="A1674">IFERROR(
  INDEX('Starlink Launches'!$A:$A, MATCH($E1674, 'Starlink Launches'!$B:$B, 0)),
  ""
)
</f>
        <v>6-75</v>
      </c>
      <c r="B1674" s="3" t="s">
        <v>25</v>
      </c>
      <c r="C1674" s="12" t="s">
        <v>1686</v>
      </c>
      <c r="D1674" s="13">
        <v>63788.0</v>
      </c>
      <c r="E1674" s="4">
        <v>45779.0</v>
      </c>
      <c r="F1674" s="4" t="str">
        <f>IF(D1674="","", IFNA(VLOOKUP(D1674, SATCAT_DECAY!A:B, 2, FALSE), ""))
</f>
        <v/>
      </c>
      <c r="G1674" s="3" t="str">
        <f t="shared" si="1"/>
        <v>ACTIVE</v>
      </c>
    </row>
    <row r="1675" ht="22.5" customHeight="1">
      <c r="A1675" s="11" t="str">
        <f t="array" ref="A1675">IFERROR(
  INDEX('Starlink Launches'!$A:$A, MATCH($E1675, 'Starlink Launches'!$B:$B, 0)),
  ""
)
</f>
        <v>6-75</v>
      </c>
      <c r="B1675" s="3" t="s">
        <v>25</v>
      </c>
      <c r="C1675" s="12" t="s">
        <v>1687</v>
      </c>
      <c r="D1675" s="13">
        <v>63789.0</v>
      </c>
      <c r="E1675" s="4">
        <v>45779.0</v>
      </c>
      <c r="F1675" s="4" t="str">
        <f>IF(D1675="","", IFNA(VLOOKUP(D1675, SATCAT_DECAY!A:B, 2, FALSE), ""))
</f>
        <v/>
      </c>
      <c r="G1675" s="3" t="str">
        <f t="shared" si="1"/>
        <v>ACTIVE</v>
      </c>
    </row>
    <row r="1676" ht="22.5" customHeight="1">
      <c r="A1676" s="11" t="str">
        <f t="array" ref="A1676">IFERROR(
  INDEX('Starlink Launches'!$A:$A, MATCH($E1676, 'Starlink Launches'!$B:$B, 0)),
  ""
)
</f>
        <v>6-75</v>
      </c>
      <c r="B1676" s="3" t="s">
        <v>25</v>
      </c>
      <c r="C1676" s="12" t="s">
        <v>1688</v>
      </c>
      <c r="D1676" s="13">
        <v>63790.0</v>
      </c>
      <c r="E1676" s="4">
        <v>45779.0</v>
      </c>
      <c r="F1676" s="4" t="str">
        <f>IF(D1676="","", IFNA(VLOOKUP(D1676, SATCAT_DECAY!A:B, 2, FALSE), ""))
</f>
        <v/>
      </c>
      <c r="G1676" s="3" t="str">
        <f t="shared" si="1"/>
        <v>ACTIVE</v>
      </c>
    </row>
    <row r="1677" ht="22.5" customHeight="1">
      <c r="A1677" s="11" t="str">
        <f t="array" ref="A1677">IFERROR(
  INDEX('Starlink Launches'!$A:$A, MATCH($E1677, 'Starlink Launches'!$B:$B, 0)),
  ""
)
</f>
        <v>6-75</v>
      </c>
      <c r="B1677" s="3" t="s">
        <v>25</v>
      </c>
      <c r="C1677" s="12" t="s">
        <v>1689</v>
      </c>
      <c r="D1677" s="13">
        <v>63791.0</v>
      </c>
      <c r="E1677" s="4">
        <v>45779.0</v>
      </c>
      <c r="F1677" s="4" t="str">
        <f>IF(D1677="","", IFNA(VLOOKUP(D1677, SATCAT_DECAY!A:B, 2, FALSE), ""))
</f>
        <v/>
      </c>
      <c r="G1677" s="3" t="str">
        <f t="shared" si="1"/>
        <v>ACTIVE</v>
      </c>
    </row>
    <row r="1678" ht="22.5" customHeight="1">
      <c r="A1678" s="11" t="str">
        <f t="array" ref="A1678">IFERROR(
  INDEX('Starlink Launches'!$A:$A, MATCH($E1678, 'Starlink Launches'!$B:$B, 0)),
  ""
)
</f>
        <v>6-75</v>
      </c>
      <c r="B1678" s="3" t="s">
        <v>25</v>
      </c>
      <c r="C1678" s="12" t="s">
        <v>1690</v>
      </c>
      <c r="D1678" s="13">
        <v>63792.0</v>
      </c>
      <c r="E1678" s="4">
        <v>45779.0</v>
      </c>
      <c r="F1678" s="4" t="str">
        <f>IF(D1678="","", IFNA(VLOOKUP(D1678, SATCAT_DECAY!A:B, 2, FALSE), ""))
</f>
        <v/>
      </c>
      <c r="G1678" s="3" t="str">
        <f t="shared" si="1"/>
        <v>ACTIVE</v>
      </c>
    </row>
    <row r="1679" ht="22.5" customHeight="1">
      <c r="A1679" s="11" t="str">
        <f t="array" ref="A1679">IFERROR(
  INDEX('Starlink Launches'!$A:$A, MATCH($E1679, 'Starlink Launches'!$B:$B, 0)),
  ""
)
</f>
        <v>6-75</v>
      </c>
      <c r="B1679" s="3" t="s">
        <v>25</v>
      </c>
      <c r="C1679" s="12" t="s">
        <v>1691</v>
      </c>
      <c r="D1679" s="13">
        <v>63793.0</v>
      </c>
      <c r="E1679" s="4">
        <v>45779.0</v>
      </c>
      <c r="F1679" s="4" t="str">
        <f>IF(D1679="","", IFNA(VLOOKUP(D1679, SATCAT_DECAY!A:B, 2, FALSE), ""))
</f>
        <v/>
      </c>
      <c r="G1679" s="3" t="str">
        <f t="shared" si="1"/>
        <v>ACTIVE</v>
      </c>
    </row>
    <row r="1680" ht="22.5" customHeight="1">
      <c r="A1680" s="11" t="str">
        <f t="array" ref="A1680">IFERROR(
  INDEX('Starlink Launches'!$A:$A, MATCH($E1680, 'Starlink Launches'!$B:$B, 0)),
  ""
)
</f>
        <v>6-75</v>
      </c>
      <c r="B1680" s="3" t="s">
        <v>25</v>
      </c>
      <c r="C1680" s="12" t="s">
        <v>1692</v>
      </c>
      <c r="D1680" s="13">
        <v>63794.0</v>
      </c>
      <c r="E1680" s="4">
        <v>45779.0</v>
      </c>
      <c r="F1680" s="4" t="str">
        <f>IF(D1680="","", IFNA(VLOOKUP(D1680, SATCAT_DECAY!A:B, 2, FALSE), ""))
</f>
        <v/>
      </c>
      <c r="G1680" s="3" t="str">
        <f t="shared" si="1"/>
        <v>ACTIVE</v>
      </c>
    </row>
    <row r="1681" ht="22.5" customHeight="1">
      <c r="A1681" s="11" t="str">
        <f t="array" ref="A1681">IFERROR(
  INDEX('Starlink Launches'!$A:$A, MATCH($E1681, 'Starlink Launches'!$B:$B, 0)),
  ""
)
</f>
        <v>6-75</v>
      </c>
      <c r="B1681" s="3" t="s">
        <v>25</v>
      </c>
      <c r="C1681" s="12" t="s">
        <v>1693</v>
      </c>
      <c r="D1681" s="13">
        <v>63795.0</v>
      </c>
      <c r="E1681" s="4">
        <v>45779.0</v>
      </c>
      <c r="F1681" s="4" t="str">
        <f>IF(D1681="","", IFNA(VLOOKUP(D1681, SATCAT_DECAY!A:B, 2, FALSE), ""))
</f>
        <v/>
      </c>
      <c r="G1681" s="3" t="str">
        <f t="shared" si="1"/>
        <v>ACTIVE</v>
      </c>
    </row>
    <row r="1682" ht="22.5" customHeight="1">
      <c r="A1682" s="11" t="str">
        <f t="array" ref="A1682">IFERROR(
  INDEX('Starlink Launches'!$A:$A, MATCH($E1682, 'Starlink Launches'!$B:$B, 0)),
  ""
)
</f>
        <v>6-75</v>
      </c>
      <c r="B1682" s="3" t="s">
        <v>25</v>
      </c>
      <c r="C1682" s="12" t="s">
        <v>1694</v>
      </c>
      <c r="D1682" s="13">
        <v>63796.0</v>
      </c>
      <c r="E1682" s="4">
        <v>45779.0</v>
      </c>
      <c r="F1682" s="4" t="str">
        <f>IF(D1682="","", IFNA(VLOOKUP(D1682, SATCAT_DECAY!A:B, 2, FALSE), ""))
</f>
        <v/>
      </c>
      <c r="G1682" s="3" t="str">
        <f t="shared" si="1"/>
        <v>ACTIVE</v>
      </c>
    </row>
    <row r="1683" ht="22.5" customHeight="1">
      <c r="A1683" s="11" t="str">
        <f t="array" ref="A1683">IFERROR(
  INDEX('Starlink Launches'!$A:$A, MATCH($E1683, 'Starlink Launches'!$B:$B, 0)),
  ""
)
</f>
        <v>6-75</v>
      </c>
      <c r="B1683" s="3" t="s">
        <v>25</v>
      </c>
      <c r="C1683" s="12" t="s">
        <v>1695</v>
      </c>
      <c r="D1683" s="13">
        <v>63797.0</v>
      </c>
      <c r="E1683" s="4">
        <v>45779.0</v>
      </c>
      <c r="F1683" s="4" t="str">
        <f>IF(D1683="","", IFNA(VLOOKUP(D1683, SATCAT_DECAY!A:B, 2, FALSE), ""))
</f>
        <v/>
      </c>
      <c r="G1683" s="3" t="str">
        <f t="shared" si="1"/>
        <v>ACTIVE</v>
      </c>
    </row>
    <row r="1684" ht="22.5" customHeight="1">
      <c r="A1684" s="11" t="str">
        <f t="array" ref="A1684">IFERROR(
  INDEX('Starlink Launches'!$A:$A, MATCH($E1684, 'Starlink Launches'!$B:$B, 0)),
  ""
)
</f>
        <v>6-75</v>
      </c>
      <c r="B1684" s="3" t="s">
        <v>25</v>
      </c>
      <c r="C1684" s="12" t="s">
        <v>1696</v>
      </c>
      <c r="D1684" s="13">
        <v>63798.0</v>
      </c>
      <c r="E1684" s="4">
        <v>45779.0</v>
      </c>
      <c r="F1684" s="4" t="str">
        <f>IF(D1684="","", IFNA(VLOOKUP(D1684, SATCAT_DECAY!A:B, 2, FALSE), ""))
</f>
        <v/>
      </c>
      <c r="G1684" s="3" t="str">
        <f t="shared" si="1"/>
        <v>ACTIVE</v>
      </c>
    </row>
    <row r="1685" ht="22.5" customHeight="1">
      <c r="A1685" s="11" t="str">
        <f t="array" ref="A1685">IFERROR(
  INDEX('Starlink Launches'!$A:$A, MATCH($E1685, 'Starlink Launches'!$B:$B, 0)),
  ""
)
</f>
        <v>6-75</v>
      </c>
      <c r="B1685" s="3" t="s">
        <v>25</v>
      </c>
      <c r="C1685" s="12" t="s">
        <v>1697</v>
      </c>
      <c r="D1685" s="13">
        <v>63799.0</v>
      </c>
      <c r="E1685" s="4">
        <v>45779.0</v>
      </c>
      <c r="F1685" s="4" t="str">
        <f>IF(D1685="","", IFNA(VLOOKUP(D1685, SATCAT_DECAY!A:B, 2, FALSE), ""))
</f>
        <v/>
      </c>
      <c r="G1685" s="3" t="str">
        <f t="shared" si="1"/>
        <v>ACTIVE</v>
      </c>
    </row>
    <row r="1686" ht="22.5" customHeight="1">
      <c r="A1686" s="11" t="str">
        <f t="array" ref="A1686">IFERROR(
  INDEX('Starlink Launches'!$A:$A, MATCH($E1686, 'Starlink Launches'!$B:$B, 0)),
  ""
)
</f>
        <v>6-75</v>
      </c>
      <c r="B1686" s="3" t="s">
        <v>25</v>
      </c>
      <c r="C1686" s="12" t="s">
        <v>1698</v>
      </c>
      <c r="D1686" s="13">
        <v>63800.0</v>
      </c>
      <c r="E1686" s="4">
        <v>45779.0</v>
      </c>
      <c r="F1686" s="4" t="str">
        <f>IF(D1686="","", IFNA(VLOOKUP(D1686, SATCAT_DECAY!A:B, 2, FALSE), ""))
</f>
        <v/>
      </c>
      <c r="G1686" s="3" t="str">
        <f t="shared" si="1"/>
        <v>ACTIVE</v>
      </c>
    </row>
    <row r="1687" ht="22.5" customHeight="1">
      <c r="A1687" s="11" t="str">
        <f t="array" ref="A1687">IFERROR(
  INDEX('Starlink Launches'!$A:$A, MATCH($E1687, 'Starlink Launches'!$B:$B, 0)),
  ""
)
</f>
        <v>6-75</v>
      </c>
      <c r="B1687" s="3" t="s">
        <v>25</v>
      </c>
      <c r="C1687" s="12" t="s">
        <v>1699</v>
      </c>
      <c r="D1687" s="13">
        <v>63802.0</v>
      </c>
      <c r="E1687" s="4">
        <v>45779.0</v>
      </c>
      <c r="F1687" s="4" t="str">
        <f>IF(D1687="","", IFNA(VLOOKUP(D1687, SATCAT_DECAY!A:B, 2, FALSE), ""))
</f>
        <v/>
      </c>
      <c r="G1687" s="3" t="str">
        <f t="shared" si="1"/>
        <v>ACTIVE</v>
      </c>
    </row>
    <row r="1688" ht="22.5" customHeight="1">
      <c r="A1688" s="11" t="str">
        <f t="array" ref="A1688">IFERROR(
  INDEX('Starlink Launches'!$A:$A, MATCH($E1688, 'Starlink Launches'!$B:$B, 0)),
  ""
)
</f>
        <v>6-75</v>
      </c>
      <c r="B1688" s="3" t="s">
        <v>25</v>
      </c>
      <c r="C1688" s="12" t="s">
        <v>1700</v>
      </c>
      <c r="D1688" s="13">
        <v>63803.0</v>
      </c>
      <c r="E1688" s="4">
        <v>45779.0</v>
      </c>
      <c r="F1688" s="4" t="str">
        <f>IF(D1688="","", IFNA(VLOOKUP(D1688, SATCAT_DECAY!A:B, 2, FALSE), ""))
</f>
        <v/>
      </c>
      <c r="G1688" s="3" t="str">
        <f t="shared" si="1"/>
        <v>ACTIVE</v>
      </c>
    </row>
    <row r="1689" ht="22.5" customHeight="1">
      <c r="A1689" s="11" t="str">
        <f t="array" ref="A1689">IFERROR(
  INDEX('Starlink Launches'!$A:$A, MATCH($E1689, 'Starlink Launches'!$B:$B, 0)),
  ""
)
</f>
        <v>6-84</v>
      </c>
      <c r="B1689" s="3" t="s">
        <v>25</v>
      </c>
      <c r="C1689" s="12" t="s">
        <v>1701</v>
      </c>
      <c r="D1689" s="13">
        <v>63804.0</v>
      </c>
      <c r="E1689" s="4">
        <v>45781.0</v>
      </c>
      <c r="F1689" s="4" t="str">
        <f>IF(D1689="","", IFNA(VLOOKUP(D1689, SATCAT_DECAY!A:B, 2, FALSE), ""))
</f>
        <v/>
      </c>
      <c r="G1689" s="3" t="str">
        <f t="shared" si="1"/>
        <v>ACTIVE</v>
      </c>
    </row>
    <row r="1690" ht="22.5" customHeight="1">
      <c r="A1690" s="11" t="str">
        <f t="array" ref="A1690">IFERROR(
  INDEX('Starlink Launches'!$A:$A, MATCH($E1690, 'Starlink Launches'!$B:$B, 0)),
  ""
)
</f>
        <v>6-84</v>
      </c>
      <c r="B1690" s="3" t="s">
        <v>25</v>
      </c>
      <c r="C1690" s="12" t="s">
        <v>1702</v>
      </c>
      <c r="D1690" s="13">
        <v>63805.0</v>
      </c>
      <c r="E1690" s="4">
        <v>45781.0</v>
      </c>
      <c r="F1690" s="4" t="str">
        <f>IF(D1690="","", IFNA(VLOOKUP(D1690, SATCAT_DECAY!A:B, 2, FALSE), ""))
</f>
        <v/>
      </c>
      <c r="G1690" s="3" t="str">
        <f t="shared" si="1"/>
        <v>ACTIVE</v>
      </c>
    </row>
    <row r="1691" ht="22.5" customHeight="1">
      <c r="A1691" s="11" t="str">
        <f t="array" ref="A1691">IFERROR(
  INDEX('Starlink Launches'!$A:$A, MATCH($E1691, 'Starlink Launches'!$B:$B, 0)),
  ""
)
</f>
        <v>6-84</v>
      </c>
      <c r="B1691" s="3" t="s">
        <v>25</v>
      </c>
      <c r="C1691" s="12" t="s">
        <v>1703</v>
      </c>
      <c r="D1691" s="13">
        <v>63806.0</v>
      </c>
      <c r="E1691" s="4">
        <v>45781.0</v>
      </c>
      <c r="F1691" s="4" t="str">
        <f>IF(D1691="","", IFNA(VLOOKUP(D1691, SATCAT_DECAY!A:B, 2, FALSE), ""))
</f>
        <v/>
      </c>
      <c r="G1691" s="3" t="str">
        <f t="shared" si="1"/>
        <v>ACTIVE</v>
      </c>
    </row>
    <row r="1692" ht="22.5" customHeight="1">
      <c r="A1692" s="11" t="str">
        <f t="array" ref="A1692">IFERROR(
  INDEX('Starlink Launches'!$A:$A, MATCH($E1692, 'Starlink Launches'!$B:$B, 0)),
  ""
)
</f>
        <v>6-84</v>
      </c>
      <c r="B1692" s="3" t="s">
        <v>25</v>
      </c>
      <c r="C1692" s="12" t="s">
        <v>1704</v>
      </c>
      <c r="D1692" s="13">
        <v>63807.0</v>
      </c>
      <c r="E1692" s="4">
        <v>45781.0</v>
      </c>
      <c r="F1692" s="4" t="str">
        <f>IF(D1692="","", IFNA(VLOOKUP(D1692, SATCAT_DECAY!A:B, 2, FALSE), ""))
</f>
        <v/>
      </c>
      <c r="G1692" s="3" t="str">
        <f t="shared" si="1"/>
        <v>ACTIVE</v>
      </c>
    </row>
    <row r="1693" ht="22.5" customHeight="1">
      <c r="A1693" s="11" t="str">
        <f t="array" ref="A1693">IFERROR(
  INDEX('Starlink Launches'!$A:$A, MATCH($E1693, 'Starlink Launches'!$B:$B, 0)),
  ""
)
</f>
        <v>6-84</v>
      </c>
      <c r="B1693" s="3" t="s">
        <v>25</v>
      </c>
      <c r="C1693" s="12" t="s">
        <v>1705</v>
      </c>
      <c r="D1693" s="13">
        <v>63808.0</v>
      </c>
      <c r="E1693" s="4">
        <v>45781.0</v>
      </c>
      <c r="F1693" s="4" t="str">
        <f>IF(D1693="","", IFNA(VLOOKUP(D1693, SATCAT_DECAY!A:B, 2, FALSE), ""))
</f>
        <v/>
      </c>
      <c r="G1693" s="3" t="str">
        <f t="shared" si="1"/>
        <v>ACTIVE</v>
      </c>
    </row>
    <row r="1694" ht="22.5" customHeight="1">
      <c r="A1694" s="11" t="str">
        <f t="array" ref="A1694">IFERROR(
  INDEX('Starlink Launches'!$A:$A, MATCH($E1694, 'Starlink Launches'!$B:$B, 0)),
  ""
)
</f>
        <v>6-84</v>
      </c>
      <c r="B1694" s="3" t="s">
        <v>25</v>
      </c>
      <c r="C1694" s="12" t="s">
        <v>1706</v>
      </c>
      <c r="D1694" s="13">
        <v>63809.0</v>
      </c>
      <c r="E1694" s="4">
        <v>45781.0</v>
      </c>
      <c r="F1694" s="4" t="str">
        <f>IF(D1694="","", IFNA(VLOOKUP(D1694, SATCAT_DECAY!A:B, 2, FALSE), ""))
</f>
        <v/>
      </c>
      <c r="G1694" s="3" t="str">
        <f t="shared" si="1"/>
        <v>ACTIVE</v>
      </c>
    </row>
    <row r="1695" ht="22.5" customHeight="1">
      <c r="A1695" s="11" t="str">
        <f t="array" ref="A1695">IFERROR(
  INDEX('Starlink Launches'!$A:$A, MATCH($E1695, 'Starlink Launches'!$B:$B, 0)),
  ""
)
</f>
        <v>6-84</v>
      </c>
      <c r="B1695" s="3" t="s">
        <v>25</v>
      </c>
      <c r="C1695" s="12" t="s">
        <v>1707</v>
      </c>
      <c r="D1695" s="13">
        <v>63810.0</v>
      </c>
      <c r="E1695" s="4">
        <v>45781.0</v>
      </c>
      <c r="F1695" s="4" t="str">
        <f>IF(D1695="","", IFNA(VLOOKUP(D1695, SATCAT_DECAY!A:B, 2, FALSE), ""))
</f>
        <v/>
      </c>
      <c r="G1695" s="3" t="str">
        <f t="shared" si="1"/>
        <v>ACTIVE</v>
      </c>
    </row>
    <row r="1696" ht="22.5" customHeight="1">
      <c r="A1696" s="11" t="str">
        <f t="array" ref="A1696">IFERROR(
  INDEX('Starlink Launches'!$A:$A, MATCH($E1696, 'Starlink Launches'!$B:$B, 0)),
  ""
)
</f>
        <v>6-84</v>
      </c>
      <c r="B1696" s="3" t="s">
        <v>25</v>
      </c>
      <c r="C1696" s="12" t="s">
        <v>1708</v>
      </c>
      <c r="D1696" s="13">
        <v>63811.0</v>
      </c>
      <c r="E1696" s="4">
        <v>45781.0</v>
      </c>
      <c r="F1696" s="4" t="str">
        <f>IF(D1696="","", IFNA(VLOOKUP(D1696, SATCAT_DECAY!A:B, 2, FALSE), ""))
</f>
        <v/>
      </c>
      <c r="G1696" s="3" t="str">
        <f t="shared" si="1"/>
        <v>ACTIVE</v>
      </c>
    </row>
    <row r="1697" ht="22.5" customHeight="1">
      <c r="A1697" s="11" t="str">
        <f t="array" ref="A1697">IFERROR(
  INDEX('Starlink Launches'!$A:$A, MATCH($E1697, 'Starlink Launches'!$B:$B, 0)),
  ""
)
</f>
        <v>6-84</v>
      </c>
      <c r="B1697" s="3" t="s">
        <v>25</v>
      </c>
      <c r="C1697" s="12" t="s">
        <v>1709</v>
      </c>
      <c r="D1697" s="13">
        <v>63812.0</v>
      </c>
      <c r="E1697" s="4">
        <v>45781.0</v>
      </c>
      <c r="F1697" s="4" t="str">
        <f>IF(D1697="","", IFNA(VLOOKUP(D1697, SATCAT_DECAY!A:B, 2, FALSE), ""))
</f>
        <v/>
      </c>
      <c r="G1697" s="3" t="str">
        <f t="shared" si="1"/>
        <v>ACTIVE</v>
      </c>
    </row>
    <row r="1698" ht="22.5" customHeight="1">
      <c r="A1698" s="11" t="str">
        <f t="array" ref="A1698">IFERROR(
  INDEX('Starlink Launches'!$A:$A, MATCH($E1698, 'Starlink Launches'!$B:$B, 0)),
  ""
)
</f>
        <v>6-84</v>
      </c>
      <c r="B1698" s="3" t="s">
        <v>25</v>
      </c>
      <c r="C1698" s="12" t="s">
        <v>1710</v>
      </c>
      <c r="D1698" s="13">
        <v>63813.0</v>
      </c>
      <c r="E1698" s="4">
        <v>45781.0</v>
      </c>
      <c r="F1698" s="4" t="str">
        <f>IF(D1698="","", IFNA(VLOOKUP(D1698, SATCAT_DECAY!A:B, 2, FALSE), ""))
</f>
        <v/>
      </c>
      <c r="G1698" s="3" t="str">
        <f t="shared" si="1"/>
        <v>ACTIVE</v>
      </c>
    </row>
    <row r="1699" ht="22.5" customHeight="1">
      <c r="A1699" s="11" t="str">
        <f t="array" ref="A1699">IFERROR(
  INDEX('Starlink Launches'!$A:$A, MATCH($E1699, 'Starlink Launches'!$B:$B, 0)),
  ""
)
</f>
        <v>6-84</v>
      </c>
      <c r="B1699" s="3" t="s">
        <v>25</v>
      </c>
      <c r="C1699" s="12" t="s">
        <v>1711</v>
      </c>
      <c r="D1699" s="13">
        <v>63814.0</v>
      </c>
      <c r="E1699" s="4">
        <v>45781.0</v>
      </c>
      <c r="F1699" s="4" t="str">
        <f>IF(D1699="","", IFNA(VLOOKUP(D1699, SATCAT_DECAY!A:B, 2, FALSE), ""))
</f>
        <v/>
      </c>
      <c r="G1699" s="3" t="str">
        <f t="shared" si="1"/>
        <v>ACTIVE</v>
      </c>
    </row>
    <row r="1700" ht="22.5" customHeight="1">
      <c r="A1700" s="11" t="str">
        <f t="array" ref="A1700">IFERROR(
  INDEX('Starlink Launches'!$A:$A, MATCH($E1700, 'Starlink Launches'!$B:$B, 0)),
  ""
)
</f>
        <v>6-84</v>
      </c>
      <c r="B1700" s="3" t="s">
        <v>25</v>
      </c>
      <c r="C1700" s="12" t="s">
        <v>1712</v>
      </c>
      <c r="D1700" s="13">
        <v>63815.0</v>
      </c>
      <c r="E1700" s="4">
        <v>45781.0</v>
      </c>
      <c r="F1700" s="4" t="str">
        <f>IF(D1700="","", IFNA(VLOOKUP(D1700, SATCAT_DECAY!A:B, 2, FALSE), ""))
</f>
        <v/>
      </c>
      <c r="G1700" s="3" t="str">
        <f t="shared" si="1"/>
        <v>ACTIVE</v>
      </c>
    </row>
    <row r="1701" ht="22.5" customHeight="1">
      <c r="A1701" s="11" t="str">
        <f t="array" ref="A1701">IFERROR(
  INDEX('Starlink Launches'!$A:$A, MATCH($E1701, 'Starlink Launches'!$B:$B, 0)),
  ""
)
</f>
        <v>6-84</v>
      </c>
      <c r="B1701" s="3" t="s">
        <v>25</v>
      </c>
      <c r="C1701" s="12" t="s">
        <v>1713</v>
      </c>
      <c r="D1701" s="13">
        <v>63816.0</v>
      </c>
      <c r="E1701" s="4">
        <v>45781.0</v>
      </c>
      <c r="F1701" s="4" t="str">
        <f>IF(D1701="","", IFNA(VLOOKUP(D1701, SATCAT_DECAY!A:B, 2, FALSE), ""))
</f>
        <v/>
      </c>
      <c r="G1701" s="3" t="str">
        <f t="shared" si="1"/>
        <v>ACTIVE</v>
      </c>
    </row>
    <row r="1702" ht="22.5" customHeight="1">
      <c r="A1702" s="11" t="str">
        <f t="array" ref="A1702">IFERROR(
  INDEX('Starlink Launches'!$A:$A, MATCH($E1702, 'Starlink Launches'!$B:$B, 0)),
  ""
)
</f>
        <v>6-84</v>
      </c>
      <c r="B1702" s="3" t="s">
        <v>25</v>
      </c>
      <c r="C1702" s="12" t="s">
        <v>1714</v>
      </c>
      <c r="D1702" s="13">
        <v>63817.0</v>
      </c>
      <c r="E1702" s="4">
        <v>45781.0</v>
      </c>
      <c r="F1702" s="4" t="str">
        <f>IF(D1702="","", IFNA(VLOOKUP(D1702, SATCAT_DECAY!A:B, 2, FALSE), ""))
</f>
        <v/>
      </c>
      <c r="G1702" s="3" t="str">
        <f t="shared" si="1"/>
        <v>ACTIVE</v>
      </c>
    </row>
    <row r="1703" ht="22.5" customHeight="1">
      <c r="A1703" s="11" t="str">
        <f t="array" ref="A1703">IFERROR(
  INDEX('Starlink Launches'!$A:$A, MATCH($E1703, 'Starlink Launches'!$B:$B, 0)),
  ""
)
</f>
        <v>6-84</v>
      </c>
      <c r="B1703" s="3" t="s">
        <v>25</v>
      </c>
      <c r="C1703" s="12" t="s">
        <v>1715</v>
      </c>
      <c r="D1703" s="13">
        <v>63818.0</v>
      </c>
      <c r="E1703" s="4">
        <v>45781.0</v>
      </c>
      <c r="F1703" s="4" t="str">
        <f>IF(D1703="","", IFNA(VLOOKUP(D1703, SATCAT_DECAY!A:B, 2, FALSE), ""))
</f>
        <v/>
      </c>
      <c r="G1703" s="3" t="str">
        <f t="shared" si="1"/>
        <v>ACTIVE</v>
      </c>
    </row>
    <row r="1704" ht="22.5" customHeight="1">
      <c r="A1704" s="11" t="str">
        <f t="array" ref="A1704">IFERROR(
  INDEX('Starlink Launches'!$A:$A, MATCH($E1704, 'Starlink Launches'!$B:$B, 0)),
  ""
)
</f>
        <v>6-84</v>
      </c>
      <c r="B1704" s="3" t="s">
        <v>25</v>
      </c>
      <c r="C1704" s="12" t="s">
        <v>1716</v>
      </c>
      <c r="D1704" s="13">
        <v>63819.0</v>
      </c>
      <c r="E1704" s="4">
        <v>45781.0</v>
      </c>
      <c r="F1704" s="4" t="str">
        <f>IF(D1704="","", IFNA(VLOOKUP(D1704, SATCAT_DECAY!A:B, 2, FALSE), ""))
</f>
        <v/>
      </c>
      <c r="G1704" s="3" t="str">
        <f t="shared" si="1"/>
        <v>ACTIVE</v>
      </c>
    </row>
    <row r="1705" ht="22.5" customHeight="1">
      <c r="A1705" s="11" t="str">
        <f t="array" ref="A1705">IFERROR(
  INDEX('Starlink Launches'!$A:$A, MATCH($E1705, 'Starlink Launches'!$B:$B, 0)),
  ""
)
</f>
        <v>6-84</v>
      </c>
      <c r="B1705" s="3" t="s">
        <v>25</v>
      </c>
      <c r="C1705" s="12" t="s">
        <v>1717</v>
      </c>
      <c r="D1705" s="13">
        <v>63820.0</v>
      </c>
      <c r="E1705" s="4">
        <v>45781.0</v>
      </c>
      <c r="F1705" s="4" t="str">
        <f>IF(D1705="","", IFNA(VLOOKUP(D1705, SATCAT_DECAY!A:B, 2, FALSE), ""))
</f>
        <v/>
      </c>
      <c r="G1705" s="3" t="str">
        <f t="shared" si="1"/>
        <v>ACTIVE</v>
      </c>
    </row>
    <row r="1706" ht="22.5" customHeight="1">
      <c r="A1706" s="11" t="str">
        <f t="array" ref="A1706">IFERROR(
  INDEX('Starlink Launches'!$A:$A, MATCH($E1706, 'Starlink Launches'!$B:$B, 0)),
  ""
)
</f>
        <v>6-84</v>
      </c>
      <c r="B1706" s="3" t="s">
        <v>25</v>
      </c>
      <c r="C1706" s="12" t="s">
        <v>1718</v>
      </c>
      <c r="D1706" s="13">
        <v>63821.0</v>
      </c>
      <c r="E1706" s="4">
        <v>45781.0</v>
      </c>
      <c r="F1706" s="4" t="str">
        <f>IF(D1706="","", IFNA(VLOOKUP(D1706, SATCAT_DECAY!A:B, 2, FALSE), ""))
</f>
        <v/>
      </c>
      <c r="G1706" s="3" t="str">
        <f t="shared" si="1"/>
        <v>ACTIVE</v>
      </c>
    </row>
    <row r="1707" ht="22.5" customHeight="1">
      <c r="A1707" s="11" t="str">
        <f t="array" ref="A1707">IFERROR(
  INDEX('Starlink Launches'!$A:$A, MATCH($E1707, 'Starlink Launches'!$B:$B, 0)),
  ""
)
</f>
        <v>6-84</v>
      </c>
      <c r="B1707" s="3" t="s">
        <v>25</v>
      </c>
      <c r="C1707" s="12" t="s">
        <v>1719</v>
      </c>
      <c r="D1707" s="13">
        <v>63822.0</v>
      </c>
      <c r="E1707" s="4">
        <v>45781.0</v>
      </c>
      <c r="F1707" s="4" t="str">
        <f>IF(D1707="","", IFNA(VLOOKUP(D1707, SATCAT_DECAY!A:B, 2, FALSE), ""))
</f>
        <v/>
      </c>
      <c r="G1707" s="3" t="str">
        <f t="shared" si="1"/>
        <v>ACTIVE</v>
      </c>
    </row>
    <row r="1708" ht="22.5" customHeight="1">
      <c r="A1708" s="11" t="str">
        <f t="array" ref="A1708">IFERROR(
  INDEX('Starlink Launches'!$A:$A, MATCH($E1708, 'Starlink Launches'!$B:$B, 0)),
  ""
)
</f>
        <v>6-84</v>
      </c>
      <c r="B1708" s="3" t="s">
        <v>25</v>
      </c>
      <c r="C1708" s="12" t="s">
        <v>1720</v>
      </c>
      <c r="D1708" s="13">
        <v>63823.0</v>
      </c>
      <c r="E1708" s="4">
        <v>45781.0</v>
      </c>
      <c r="F1708" s="4" t="str">
        <f>IF(D1708="","", IFNA(VLOOKUP(D1708, SATCAT_DECAY!A:B, 2, FALSE), ""))
</f>
        <v/>
      </c>
      <c r="G1708" s="3" t="str">
        <f t="shared" si="1"/>
        <v>ACTIVE</v>
      </c>
    </row>
    <row r="1709" ht="22.5" customHeight="1">
      <c r="A1709" s="11" t="str">
        <f t="array" ref="A1709">IFERROR(
  INDEX('Starlink Launches'!$A:$A, MATCH($E1709, 'Starlink Launches'!$B:$B, 0)),
  ""
)
</f>
        <v>6-84</v>
      </c>
      <c r="B1709" s="3" t="s">
        <v>25</v>
      </c>
      <c r="C1709" s="12" t="s">
        <v>1721</v>
      </c>
      <c r="D1709" s="13">
        <v>63824.0</v>
      </c>
      <c r="E1709" s="4">
        <v>45781.0</v>
      </c>
      <c r="F1709" s="4" t="str">
        <f>IF(D1709="","", IFNA(VLOOKUP(D1709, SATCAT_DECAY!A:B, 2, FALSE), ""))
</f>
        <v/>
      </c>
      <c r="G1709" s="3" t="str">
        <f t="shared" si="1"/>
        <v>ACTIVE</v>
      </c>
    </row>
    <row r="1710" ht="22.5" customHeight="1">
      <c r="A1710" s="11" t="str">
        <f t="array" ref="A1710">IFERROR(
  INDEX('Starlink Launches'!$A:$A, MATCH($E1710, 'Starlink Launches'!$B:$B, 0)),
  ""
)
</f>
        <v>6-84</v>
      </c>
      <c r="B1710" s="3" t="s">
        <v>25</v>
      </c>
      <c r="C1710" s="12" t="s">
        <v>1722</v>
      </c>
      <c r="D1710" s="13">
        <v>63825.0</v>
      </c>
      <c r="E1710" s="4">
        <v>45781.0</v>
      </c>
      <c r="F1710" s="4" t="str">
        <f>IF(D1710="","", IFNA(VLOOKUP(D1710, SATCAT_DECAY!A:B, 2, FALSE), ""))
</f>
        <v/>
      </c>
      <c r="G1710" s="3" t="str">
        <f t="shared" si="1"/>
        <v>ACTIVE</v>
      </c>
    </row>
    <row r="1711" ht="22.5" customHeight="1">
      <c r="A1711" s="11" t="str">
        <f t="array" ref="A1711">IFERROR(
  INDEX('Starlink Launches'!$A:$A, MATCH($E1711, 'Starlink Launches'!$B:$B, 0)),
  ""
)
</f>
        <v>6-84</v>
      </c>
      <c r="B1711" s="3" t="s">
        <v>25</v>
      </c>
      <c r="C1711" s="12" t="s">
        <v>1723</v>
      </c>
      <c r="D1711" s="13">
        <v>63826.0</v>
      </c>
      <c r="E1711" s="4">
        <v>45781.0</v>
      </c>
      <c r="F1711" s="4" t="str">
        <f>IF(D1711="","", IFNA(VLOOKUP(D1711, SATCAT_DECAY!A:B, 2, FALSE), ""))
</f>
        <v/>
      </c>
      <c r="G1711" s="3" t="str">
        <f t="shared" si="1"/>
        <v>ACTIVE</v>
      </c>
    </row>
    <row r="1712" ht="22.5" customHeight="1">
      <c r="A1712" s="11" t="str">
        <f t="array" ref="A1712">IFERROR(
  INDEX('Starlink Launches'!$A:$A, MATCH($E1712, 'Starlink Launches'!$B:$B, 0)),
  ""
)
</f>
        <v>6-84</v>
      </c>
      <c r="B1712" s="3" t="s">
        <v>25</v>
      </c>
      <c r="C1712" s="12" t="s">
        <v>1724</v>
      </c>
      <c r="D1712" s="13">
        <v>63827.0</v>
      </c>
      <c r="E1712" s="4">
        <v>45781.0</v>
      </c>
      <c r="F1712" s="4" t="str">
        <f>IF(D1712="","", IFNA(VLOOKUP(D1712, SATCAT_DECAY!A:B, 2, FALSE), ""))
</f>
        <v/>
      </c>
      <c r="G1712" s="3" t="str">
        <f t="shared" si="1"/>
        <v>ACTIVE</v>
      </c>
    </row>
    <row r="1713" ht="22.5" customHeight="1">
      <c r="A1713" s="11" t="str">
        <f t="array" ref="A1713">IFERROR(
  INDEX('Starlink Launches'!$A:$A, MATCH($E1713, 'Starlink Launches'!$B:$B, 0)),
  ""
)
</f>
        <v>6-84</v>
      </c>
      <c r="B1713" s="3" t="s">
        <v>25</v>
      </c>
      <c r="C1713" s="12" t="s">
        <v>1725</v>
      </c>
      <c r="D1713" s="13">
        <v>63828.0</v>
      </c>
      <c r="E1713" s="4">
        <v>45781.0</v>
      </c>
      <c r="F1713" s="4" t="str">
        <f>IF(D1713="","", IFNA(VLOOKUP(D1713, SATCAT_DECAY!A:B, 2, FALSE), ""))
</f>
        <v/>
      </c>
      <c r="G1713" s="3" t="str">
        <f t="shared" si="1"/>
        <v>ACTIVE</v>
      </c>
    </row>
    <row r="1714" ht="22.5" customHeight="1">
      <c r="A1714" s="11" t="str">
        <f t="array" ref="A1714">IFERROR(
  INDEX('Starlink Launches'!$A:$A, MATCH($E1714, 'Starlink Launches'!$B:$B, 0)),
  ""
)
</f>
        <v>6-84</v>
      </c>
      <c r="B1714" s="3" t="s">
        <v>25</v>
      </c>
      <c r="C1714" s="12" t="s">
        <v>1726</v>
      </c>
      <c r="D1714" s="13">
        <v>63829.0</v>
      </c>
      <c r="E1714" s="4">
        <v>45781.0</v>
      </c>
      <c r="F1714" s="4" t="str">
        <f>IF(D1714="","", IFNA(VLOOKUP(D1714, SATCAT_DECAY!A:B, 2, FALSE), ""))
</f>
        <v/>
      </c>
      <c r="G1714" s="3" t="str">
        <f t="shared" si="1"/>
        <v>ACTIVE</v>
      </c>
    </row>
    <row r="1715" ht="22.5" customHeight="1">
      <c r="A1715" s="11" t="str">
        <f t="array" ref="A1715">IFERROR(
  INDEX('Starlink Launches'!$A:$A, MATCH($E1715, 'Starlink Launches'!$B:$B, 0)),
  ""
)
</f>
        <v>6-84</v>
      </c>
      <c r="B1715" s="3" t="s">
        <v>25</v>
      </c>
      <c r="C1715" s="12" t="s">
        <v>1727</v>
      </c>
      <c r="D1715" s="13">
        <v>63830.0</v>
      </c>
      <c r="E1715" s="4">
        <v>45781.0</v>
      </c>
      <c r="F1715" s="4" t="str">
        <f>IF(D1715="","", IFNA(VLOOKUP(D1715, SATCAT_DECAY!A:B, 2, FALSE), ""))
</f>
        <v/>
      </c>
      <c r="G1715" s="3" t="str">
        <f t="shared" si="1"/>
        <v>ACTIVE</v>
      </c>
    </row>
    <row r="1716" ht="22.5" customHeight="1">
      <c r="A1716" s="11" t="str">
        <f t="array" ref="A1716">IFERROR(
  INDEX('Starlink Launches'!$A:$A, MATCH($E1716, 'Starlink Launches'!$B:$B, 0)),
  ""
)
</f>
        <v>6-84</v>
      </c>
      <c r="B1716" s="3" t="s">
        <v>25</v>
      </c>
      <c r="C1716" s="12" t="s">
        <v>1728</v>
      </c>
      <c r="D1716" s="13">
        <v>63831.0</v>
      </c>
      <c r="E1716" s="4">
        <v>45781.0</v>
      </c>
      <c r="F1716" s="4" t="str">
        <f>IF(D1716="","", IFNA(VLOOKUP(D1716, SATCAT_DECAY!A:B, 2, FALSE), ""))
</f>
        <v/>
      </c>
      <c r="G1716" s="3" t="str">
        <f t="shared" si="1"/>
        <v>ACTIVE</v>
      </c>
    </row>
    <row r="1717" ht="22.5" customHeight="1">
      <c r="A1717" s="11" t="str">
        <f t="array" ref="A1717">IFERROR(
  INDEX('Starlink Launches'!$A:$A, MATCH($E1717, 'Starlink Launches'!$B:$B, 0)),
  ""
)
</f>
        <v>6-84</v>
      </c>
      <c r="B1717" s="3" t="s">
        <v>25</v>
      </c>
      <c r="C1717" s="12" t="s">
        <v>1729</v>
      </c>
      <c r="D1717" s="13">
        <v>63832.0</v>
      </c>
      <c r="E1717" s="4">
        <v>45781.0</v>
      </c>
      <c r="F1717" s="4" t="str">
        <f>IF(D1717="","", IFNA(VLOOKUP(D1717, SATCAT_DECAY!A:B, 2, FALSE), ""))
</f>
        <v/>
      </c>
      <c r="G1717" s="3" t="str">
        <f t="shared" si="1"/>
        <v>ACTIVE</v>
      </c>
    </row>
    <row r="1718" ht="22.5" customHeight="1">
      <c r="A1718" s="11" t="str">
        <f t="array" ref="A1718">IFERROR(
  INDEX('Starlink Launches'!$A:$A, MATCH($E1718, 'Starlink Launches'!$B:$B, 0)),
  ""
)
</f>
        <v>6-93</v>
      </c>
      <c r="B1718" s="3" t="s">
        <v>25</v>
      </c>
      <c r="C1718" s="12" t="s">
        <v>1730</v>
      </c>
      <c r="D1718" s="13">
        <v>63836.0</v>
      </c>
      <c r="E1718" s="4">
        <v>45784.0</v>
      </c>
      <c r="F1718" s="4" t="str">
        <f>IF(D1718="","", IFNA(VLOOKUP(D1718, SATCAT_DECAY!A:B, 2, FALSE), ""))
</f>
        <v/>
      </c>
      <c r="G1718" s="3" t="str">
        <f t="shared" si="1"/>
        <v>ACTIVE</v>
      </c>
    </row>
    <row r="1719" ht="22.5" customHeight="1">
      <c r="A1719" s="11" t="str">
        <f t="array" ref="A1719">IFERROR(
  INDEX('Starlink Launches'!$A:$A, MATCH($E1719, 'Starlink Launches'!$B:$B, 0)),
  ""
)
</f>
        <v>6-93</v>
      </c>
      <c r="B1719" s="3" t="s">
        <v>25</v>
      </c>
      <c r="C1719" s="12" t="s">
        <v>1731</v>
      </c>
      <c r="D1719" s="13">
        <v>63837.0</v>
      </c>
      <c r="E1719" s="4">
        <v>45784.0</v>
      </c>
      <c r="F1719" s="4" t="str">
        <f>IF(D1719="","", IFNA(VLOOKUP(D1719, SATCAT_DECAY!A:B, 2, FALSE), ""))
</f>
        <v/>
      </c>
      <c r="G1719" s="3" t="str">
        <f t="shared" si="1"/>
        <v>ACTIVE</v>
      </c>
    </row>
    <row r="1720" ht="22.5" customHeight="1">
      <c r="A1720" s="11" t="str">
        <f t="array" ref="A1720">IFERROR(
  INDEX('Starlink Launches'!$A:$A, MATCH($E1720, 'Starlink Launches'!$B:$B, 0)),
  ""
)
</f>
        <v>6-93</v>
      </c>
      <c r="B1720" s="3" t="s">
        <v>25</v>
      </c>
      <c r="C1720" s="12" t="s">
        <v>1732</v>
      </c>
      <c r="D1720" s="13">
        <v>63838.0</v>
      </c>
      <c r="E1720" s="4">
        <v>45784.0</v>
      </c>
      <c r="F1720" s="4" t="str">
        <f>IF(D1720="","", IFNA(VLOOKUP(D1720, SATCAT_DECAY!A:B, 2, FALSE), ""))
</f>
        <v/>
      </c>
      <c r="G1720" s="3" t="str">
        <f t="shared" si="1"/>
        <v>ACTIVE</v>
      </c>
    </row>
    <row r="1721" ht="22.5" customHeight="1">
      <c r="A1721" s="11" t="str">
        <f t="array" ref="A1721">IFERROR(
  INDEX('Starlink Launches'!$A:$A, MATCH($E1721, 'Starlink Launches'!$B:$B, 0)),
  ""
)
</f>
        <v>6-93</v>
      </c>
      <c r="B1721" s="3" t="s">
        <v>25</v>
      </c>
      <c r="C1721" s="12" t="s">
        <v>1733</v>
      </c>
      <c r="D1721" s="13">
        <v>63839.0</v>
      </c>
      <c r="E1721" s="4">
        <v>45784.0</v>
      </c>
      <c r="F1721" s="4" t="str">
        <f>IF(D1721="","", IFNA(VLOOKUP(D1721, SATCAT_DECAY!A:B, 2, FALSE), ""))
</f>
        <v/>
      </c>
      <c r="G1721" s="3" t="str">
        <f t="shared" si="1"/>
        <v>ACTIVE</v>
      </c>
    </row>
    <row r="1722" ht="22.5" customHeight="1">
      <c r="A1722" s="11" t="str">
        <f t="array" ref="A1722">IFERROR(
  INDEX('Starlink Launches'!$A:$A, MATCH($E1722, 'Starlink Launches'!$B:$B, 0)),
  ""
)
</f>
        <v>6-93</v>
      </c>
      <c r="B1722" s="3" t="s">
        <v>25</v>
      </c>
      <c r="C1722" s="12" t="s">
        <v>1734</v>
      </c>
      <c r="D1722" s="13">
        <v>63840.0</v>
      </c>
      <c r="E1722" s="4">
        <v>45784.0</v>
      </c>
      <c r="F1722" s="4" t="str">
        <f>IF(D1722="","", IFNA(VLOOKUP(D1722, SATCAT_DECAY!A:B, 2, FALSE), ""))
</f>
        <v/>
      </c>
      <c r="G1722" s="3" t="str">
        <f t="shared" si="1"/>
        <v>ACTIVE</v>
      </c>
    </row>
    <row r="1723" ht="22.5" customHeight="1">
      <c r="A1723" s="11" t="str">
        <f t="array" ref="A1723">IFERROR(
  INDEX('Starlink Launches'!$A:$A, MATCH($E1723, 'Starlink Launches'!$B:$B, 0)),
  ""
)
</f>
        <v>6-93</v>
      </c>
      <c r="B1723" s="3" t="s">
        <v>25</v>
      </c>
      <c r="C1723" s="12" t="s">
        <v>1735</v>
      </c>
      <c r="D1723" s="13">
        <v>63841.0</v>
      </c>
      <c r="E1723" s="4">
        <v>45784.0</v>
      </c>
      <c r="F1723" s="4" t="str">
        <f>IF(D1723="","", IFNA(VLOOKUP(D1723, SATCAT_DECAY!A:B, 2, FALSE), ""))
</f>
        <v/>
      </c>
      <c r="G1723" s="3" t="str">
        <f t="shared" si="1"/>
        <v>ACTIVE</v>
      </c>
    </row>
    <row r="1724" ht="22.5" customHeight="1">
      <c r="A1724" s="11" t="str">
        <f t="array" ref="A1724">IFERROR(
  INDEX('Starlink Launches'!$A:$A, MATCH($E1724, 'Starlink Launches'!$B:$B, 0)),
  ""
)
</f>
        <v>6-93</v>
      </c>
      <c r="B1724" s="3" t="s">
        <v>25</v>
      </c>
      <c r="C1724" s="12" t="s">
        <v>1736</v>
      </c>
      <c r="D1724" s="13">
        <v>63842.0</v>
      </c>
      <c r="E1724" s="4">
        <v>45784.0</v>
      </c>
      <c r="F1724" s="4" t="str">
        <f>IF(D1724="","", IFNA(VLOOKUP(D1724, SATCAT_DECAY!A:B, 2, FALSE), ""))
</f>
        <v/>
      </c>
      <c r="G1724" s="3" t="str">
        <f t="shared" si="1"/>
        <v>ACTIVE</v>
      </c>
    </row>
    <row r="1725" ht="22.5" customHeight="1">
      <c r="A1725" s="11" t="str">
        <f t="array" ref="A1725">IFERROR(
  INDEX('Starlink Launches'!$A:$A, MATCH($E1725, 'Starlink Launches'!$B:$B, 0)),
  ""
)
</f>
        <v>6-93</v>
      </c>
      <c r="B1725" s="3" t="s">
        <v>25</v>
      </c>
      <c r="C1725" s="12" t="s">
        <v>1737</v>
      </c>
      <c r="D1725" s="13">
        <v>63843.0</v>
      </c>
      <c r="E1725" s="4">
        <v>45784.0</v>
      </c>
      <c r="F1725" s="4" t="str">
        <f>IF(D1725="","", IFNA(VLOOKUP(D1725, SATCAT_DECAY!A:B, 2, FALSE), ""))
</f>
        <v/>
      </c>
      <c r="G1725" s="3" t="str">
        <f t="shared" si="1"/>
        <v>ACTIVE</v>
      </c>
    </row>
    <row r="1726" ht="22.5" customHeight="1">
      <c r="A1726" s="11" t="str">
        <f t="array" ref="A1726">IFERROR(
  INDEX('Starlink Launches'!$A:$A, MATCH($E1726, 'Starlink Launches'!$B:$B, 0)),
  ""
)
</f>
        <v>6-93</v>
      </c>
      <c r="B1726" s="3" t="s">
        <v>25</v>
      </c>
      <c r="C1726" s="12" t="s">
        <v>1738</v>
      </c>
      <c r="D1726" s="13">
        <v>63844.0</v>
      </c>
      <c r="E1726" s="4">
        <v>45784.0</v>
      </c>
      <c r="F1726" s="4" t="str">
        <f>IF(D1726="","", IFNA(VLOOKUP(D1726, SATCAT_DECAY!A:B, 2, FALSE), ""))
</f>
        <v/>
      </c>
      <c r="G1726" s="3" t="str">
        <f t="shared" si="1"/>
        <v>ACTIVE</v>
      </c>
    </row>
    <row r="1727" ht="22.5" customHeight="1">
      <c r="A1727" s="11" t="str">
        <f t="array" ref="A1727">IFERROR(
  INDEX('Starlink Launches'!$A:$A, MATCH($E1727, 'Starlink Launches'!$B:$B, 0)),
  ""
)
</f>
        <v>6-93</v>
      </c>
      <c r="B1727" s="3" t="s">
        <v>25</v>
      </c>
      <c r="C1727" s="12" t="s">
        <v>1739</v>
      </c>
      <c r="D1727" s="13">
        <v>63845.0</v>
      </c>
      <c r="E1727" s="4">
        <v>45784.0</v>
      </c>
      <c r="F1727" s="4" t="str">
        <f>IF(D1727="","", IFNA(VLOOKUP(D1727, SATCAT_DECAY!A:B, 2, FALSE), ""))
</f>
        <v/>
      </c>
      <c r="G1727" s="3" t="str">
        <f t="shared" si="1"/>
        <v>ACTIVE</v>
      </c>
    </row>
    <row r="1728" ht="22.5" customHeight="1">
      <c r="A1728" s="11" t="str">
        <f t="array" ref="A1728">IFERROR(
  INDEX('Starlink Launches'!$A:$A, MATCH($E1728, 'Starlink Launches'!$B:$B, 0)),
  ""
)
</f>
        <v>6-93</v>
      </c>
      <c r="B1728" s="3" t="s">
        <v>25</v>
      </c>
      <c r="C1728" s="12" t="s">
        <v>1740</v>
      </c>
      <c r="D1728" s="13">
        <v>63846.0</v>
      </c>
      <c r="E1728" s="4">
        <v>45784.0</v>
      </c>
      <c r="F1728" s="4" t="str">
        <f>IF(D1728="","", IFNA(VLOOKUP(D1728, SATCAT_DECAY!A:B, 2, FALSE), ""))
</f>
        <v/>
      </c>
      <c r="G1728" s="3" t="str">
        <f t="shared" si="1"/>
        <v>ACTIVE</v>
      </c>
    </row>
    <row r="1729" ht="22.5" customHeight="1">
      <c r="A1729" s="11" t="str">
        <f t="array" ref="A1729">IFERROR(
  INDEX('Starlink Launches'!$A:$A, MATCH($E1729, 'Starlink Launches'!$B:$B, 0)),
  ""
)
</f>
        <v>6-93</v>
      </c>
      <c r="B1729" s="3" t="s">
        <v>25</v>
      </c>
      <c r="C1729" s="12" t="s">
        <v>1741</v>
      </c>
      <c r="D1729" s="13">
        <v>63847.0</v>
      </c>
      <c r="E1729" s="4">
        <v>45784.0</v>
      </c>
      <c r="F1729" s="4" t="str">
        <f>IF(D1729="","", IFNA(VLOOKUP(D1729, SATCAT_DECAY!A:B, 2, FALSE), ""))
</f>
        <v/>
      </c>
      <c r="G1729" s="3" t="str">
        <f t="shared" si="1"/>
        <v>ACTIVE</v>
      </c>
    </row>
    <row r="1730" ht="22.5" customHeight="1">
      <c r="A1730" s="11" t="str">
        <f t="array" ref="A1730">IFERROR(
  INDEX('Starlink Launches'!$A:$A, MATCH($E1730, 'Starlink Launches'!$B:$B, 0)),
  ""
)
</f>
        <v>6-93</v>
      </c>
      <c r="B1730" s="3" t="s">
        <v>25</v>
      </c>
      <c r="C1730" s="12" t="s">
        <v>1742</v>
      </c>
      <c r="D1730" s="13">
        <v>63848.0</v>
      </c>
      <c r="E1730" s="4">
        <v>45784.0</v>
      </c>
      <c r="F1730" s="4" t="str">
        <f>IF(D1730="","", IFNA(VLOOKUP(D1730, SATCAT_DECAY!A:B, 2, FALSE), ""))
</f>
        <v/>
      </c>
      <c r="G1730" s="3" t="str">
        <f t="shared" si="1"/>
        <v>ACTIVE</v>
      </c>
    </row>
    <row r="1731" ht="22.5" customHeight="1">
      <c r="A1731" s="11" t="str">
        <f t="array" ref="A1731">IFERROR(
  INDEX('Starlink Launches'!$A:$A, MATCH($E1731, 'Starlink Launches'!$B:$B, 0)),
  ""
)
</f>
        <v>6-93</v>
      </c>
      <c r="B1731" s="3" t="s">
        <v>25</v>
      </c>
      <c r="C1731" s="12" t="s">
        <v>1743</v>
      </c>
      <c r="D1731" s="13">
        <v>63849.0</v>
      </c>
      <c r="E1731" s="4">
        <v>45784.0</v>
      </c>
      <c r="F1731" s="4" t="str">
        <f>IF(D1731="","", IFNA(VLOOKUP(D1731, SATCAT_DECAY!A:B, 2, FALSE), ""))
</f>
        <v/>
      </c>
      <c r="G1731" s="3" t="str">
        <f t="shared" si="1"/>
        <v>ACTIVE</v>
      </c>
    </row>
    <row r="1732" ht="22.5" customHeight="1">
      <c r="A1732" s="11" t="str">
        <f t="array" ref="A1732">IFERROR(
  INDEX('Starlink Launches'!$A:$A, MATCH($E1732, 'Starlink Launches'!$B:$B, 0)),
  ""
)
</f>
        <v>6-93</v>
      </c>
      <c r="B1732" s="3" t="s">
        <v>25</v>
      </c>
      <c r="C1732" s="12" t="s">
        <v>1744</v>
      </c>
      <c r="D1732" s="13">
        <v>63850.0</v>
      </c>
      <c r="E1732" s="4">
        <v>45784.0</v>
      </c>
      <c r="F1732" s="4" t="str">
        <f>IF(D1732="","", IFNA(VLOOKUP(D1732, SATCAT_DECAY!A:B, 2, FALSE), ""))
</f>
        <v/>
      </c>
      <c r="G1732" s="3" t="str">
        <f t="shared" si="1"/>
        <v>ACTIVE</v>
      </c>
    </row>
    <row r="1733" ht="22.5" customHeight="1">
      <c r="A1733" s="11" t="str">
        <f t="array" ref="A1733">IFERROR(
  INDEX('Starlink Launches'!$A:$A, MATCH($E1733, 'Starlink Launches'!$B:$B, 0)),
  ""
)
</f>
        <v>6-93</v>
      </c>
      <c r="B1733" s="3" t="s">
        <v>25</v>
      </c>
      <c r="C1733" s="12" t="s">
        <v>1745</v>
      </c>
      <c r="D1733" s="13">
        <v>63851.0</v>
      </c>
      <c r="E1733" s="4">
        <v>45784.0</v>
      </c>
      <c r="F1733" s="4" t="str">
        <f>IF(D1733="","", IFNA(VLOOKUP(D1733, SATCAT_DECAY!A:B, 2, FALSE), ""))
</f>
        <v/>
      </c>
      <c r="G1733" s="3" t="str">
        <f t="shared" si="1"/>
        <v>ACTIVE</v>
      </c>
    </row>
    <row r="1734" ht="22.5" customHeight="1">
      <c r="A1734" s="11" t="str">
        <f t="array" ref="A1734">IFERROR(
  INDEX('Starlink Launches'!$A:$A, MATCH($E1734, 'Starlink Launches'!$B:$B, 0)),
  ""
)
</f>
        <v>6-93</v>
      </c>
      <c r="B1734" s="3" t="s">
        <v>25</v>
      </c>
      <c r="C1734" s="12" t="s">
        <v>1746</v>
      </c>
      <c r="D1734" s="13">
        <v>63853.0</v>
      </c>
      <c r="E1734" s="4">
        <v>45784.0</v>
      </c>
      <c r="F1734" s="4" t="str">
        <f>IF(D1734="","", IFNA(VLOOKUP(D1734, SATCAT_DECAY!A:B, 2, FALSE), ""))
</f>
        <v/>
      </c>
      <c r="G1734" s="3" t="str">
        <f t="shared" si="1"/>
        <v>ACTIVE</v>
      </c>
    </row>
    <row r="1735" ht="22.5" customHeight="1">
      <c r="A1735" s="11" t="str">
        <f t="array" ref="A1735">IFERROR(
  INDEX('Starlink Launches'!$A:$A, MATCH($E1735, 'Starlink Launches'!$B:$B, 0)),
  ""
)
</f>
        <v>6-93</v>
      </c>
      <c r="B1735" s="3" t="s">
        <v>25</v>
      </c>
      <c r="C1735" s="12" t="s">
        <v>1747</v>
      </c>
      <c r="D1735" s="13">
        <v>63854.0</v>
      </c>
      <c r="E1735" s="4">
        <v>45784.0</v>
      </c>
      <c r="F1735" s="4" t="str">
        <f>IF(D1735="","", IFNA(VLOOKUP(D1735, SATCAT_DECAY!A:B, 2, FALSE), ""))
</f>
        <v/>
      </c>
      <c r="G1735" s="3" t="str">
        <f t="shared" si="1"/>
        <v>ACTIVE</v>
      </c>
    </row>
    <row r="1736" ht="22.5" customHeight="1">
      <c r="A1736" s="11" t="str">
        <f t="array" ref="A1736">IFERROR(
  INDEX('Starlink Launches'!$A:$A, MATCH($E1736, 'Starlink Launches'!$B:$B, 0)),
  ""
)
</f>
        <v>6-93</v>
      </c>
      <c r="B1736" s="3" t="s">
        <v>25</v>
      </c>
      <c r="C1736" s="12" t="s">
        <v>1748</v>
      </c>
      <c r="D1736" s="13">
        <v>63855.0</v>
      </c>
      <c r="E1736" s="4">
        <v>45784.0</v>
      </c>
      <c r="F1736" s="4" t="str">
        <f>IF(D1736="","", IFNA(VLOOKUP(D1736, SATCAT_DECAY!A:B, 2, FALSE), ""))
</f>
        <v/>
      </c>
      <c r="G1736" s="3" t="str">
        <f t="shared" si="1"/>
        <v>ACTIVE</v>
      </c>
    </row>
    <row r="1737" ht="22.5" customHeight="1">
      <c r="A1737" s="11" t="str">
        <f t="array" ref="A1737">IFERROR(
  INDEX('Starlink Launches'!$A:$A, MATCH($E1737, 'Starlink Launches'!$B:$B, 0)),
  ""
)
</f>
        <v>6-93</v>
      </c>
      <c r="B1737" s="3" t="s">
        <v>25</v>
      </c>
      <c r="C1737" s="12" t="s">
        <v>1749</v>
      </c>
      <c r="D1737" s="13">
        <v>63856.0</v>
      </c>
      <c r="E1737" s="4">
        <v>45784.0</v>
      </c>
      <c r="F1737" s="4" t="str">
        <f>IF(D1737="","", IFNA(VLOOKUP(D1737, SATCAT_DECAY!A:B, 2, FALSE), ""))
</f>
        <v/>
      </c>
      <c r="G1737" s="3" t="str">
        <f t="shared" si="1"/>
        <v>ACTIVE</v>
      </c>
    </row>
    <row r="1738" ht="22.5" customHeight="1">
      <c r="A1738" s="11" t="str">
        <f t="array" ref="A1738">IFERROR(
  INDEX('Starlink Launches'!$A:$A, MATCH($E1738, 'Starlink Launches'!$B:$B, 0)),
  ""
)
</f>
        <v>6-93</v>
      </c>
      <c r="B1738" s="3" t="s">
        <v>25</v>
      </c>
      <c r="C1738" s="12" t="s">
        <v>1750</v>
      </c>
      <c r="D1738" s="13">
        <v>63857.0</v>
      </c>
      <c r="E1738" s="4">
        <v>45784.0</v>
      </c>
      <c r="F1738" s="4" t="str">
        <f>IF(D1738="","", IFNA(VLOOKUP(D1738, SATCAT_DECAY!A:B, 2, FALSE), ""))
</f>
        <v/>
      </c>
      <c r="G1738" s="3" t="str">
        <f t="shared" si="1"/>
        <v>ACTIVE</v>
      </c>
    </row>
    <row r="1739" ht="22.5" customHeight="1">
      <c r="A1739" s="11" t="str">
        <f t="array" ref="A1739">IFERROR(
  INDEX('Starlink Launches'!$A:$A, MATCH($E1739, 'Starlink Launches'!$B:$B, 0)),
  ""
)
</f>
        <v>6-93</v>
      </c>
      <c r="B1739" s="3" t="s">
        <v>25</v>
      </c>
      <c r="C1739" s="12" t="s">
        <v>1751</v>
      </c>
      <c r="D1739" s="13">
        <v>63858.0</v>
      </c>
      <c r="E1739" s="4">
        <v>45784.0</v>
      </c>
      <c r="F1739" s="4" t="str">
        <f>IF(D1739="","", IFNA(VLOOKUP(D1739, SATCAT_DECAY!A:B, 2, FALSE), ""))
</f>
        <v/>
      </c>
      <c r="G1739" s="3" t="str">
        <f t="shared" si="1"/>
        <v>ACTIVE</v>
      </c>
    </row>
    <row r="1740" ht="22.5" customHeight="1">
      <c r="A1740" s="11" t="str">
        <f t="array" ref="A1740">IFERROR(
  INDEX('Starlink Launches'!$A:$A, MATCH($E1740, 'Starlink Launches'!$B:$B, 0)),
  ""
)
</f>
        <v>6-93</v>
      </c>
      <c r="B1740" s="3" t="s">
        <v>25</v>
      </c>
      <c r="C1740" s="12" t="s">
        <v>1752</v>
      </c>
      <c r="D1740" s="13">
        <v>63859.0</v>
      </c>
      <c r="E1740" s="4">
        <v>45784.0</v>
      </c>
      <c r="F1740" s="4" t="str">
        <f>IF(D1740="","", IFNA(VLOOKUP(D1740, SATCAT_DECAY!A:B, 2, FALSE), ""))
</f>
        <v/>
      </c>
      <c r="G1740" s="3" t="str">
        <f t="shared" si="1"/>
        <v>ACTIVE</v>
      </c>
    </row>
    <row r="1741" ht="22.5" customHeight="1">
      <c r="A1741" s="11" t="str">
        <f t="array" ref="A1741">IFERROR(
  INDEX('Starlink Launches'!$A:$A, MATCH($E1741, 'Starlink Launches'!$B:$B, 0)),
  ""
)
</f>
        <v>6-93</v>
      </c>
      <c r="B1741" s="3" t="s">
        <v>25</v>
      </c>
      <c r="C1741" s="12" t="s">
        <v>1753</v>
      </c>
      <c r="D1741" s="13">
        <v>63860.0</v>
      </c>
      <c r="E1741" s="4">
        <v>45784.0</v>
      </c>
      <c r="F1741" s="4" t="str">
        <f>IF(D1741="","", IFNA(VLOOKUP(D1741, SATCAT_DECAY!A:B, 2, FALSE), ""))
</f>
        <v/>
      </c>
      <c r="G1741" s="3" t="str">
        <f t="shared" si="1"/>
        <v>ACTIVE</v>
      </c>
    </row>
    <row r="1742" ht="22.5" customHeight="1">
      <c r="A1742" s="11" t="str">
        <f t="array" ref="A1742">IFERROR(
  INDEX('Starlink Launches'!$A:$A, MATCH($E1742, 'Starlink Launches'!$B:$B, 0)),
  ""
)
</f>
        <v>6-93</v>
      </c>
      <c r="B1742" s="3" t="s">
        <v>25</v>
      </c>
      <c r="C1742" s="12" t="s">
        <v>1754</v>
      </c>
      <c r="D1742" s="13">
        <v>63861.0</v>
      </c>
      <c r="E1742" s="4">
        <v>45784.0</v>
      </c>
      <c r="F1742" s="4" t="str">
        <f>IF(D1742="","", IFNA(VLOOKUP(D1742, SATCAT_DECAY!A:B, 2, FALSE), ""))
</f>
        <v/>
      </c>
      <c r="G1742" s="3" t="str">
        <f t="shared" si="1"/>
        <v>ACTIVE</v>
      </c>
    </row>
    <row r="1743" ht="22.5" customHeight="1">
      <c r="A1743" s="11" t="str">
        <f t="array" ref="A1743">IFERROR(
  INDEX('Starlink Launches'!$A:$A, MATCH($E1743, 'Starlink Launches'!$B:$B, 0)),
  ""
)
</f>
        <v>6-93</v>
      </c>
      <c r="B1743" s="3" t="s">
        <v>25</v>
      </c>
      <c r="C1743" s="12" t="s">
        <v>1755</v>
      </c>
      <c r="D1743" s="13">
        <v>63862.0</v>
      </c>
      <c r="E1743" s="4">
        <v>45784.0</v>
      </c>
      <c r="F1743" s="4" t="str">
        <f>IF(D1743="","", IFNA(VLOOKUP(D1743, SATCAT_DECAY!A:B, 2, FALSE), ""))
</f>
        <v/>
      </c>
      <c r="G1743" s="3" t="str">
        <f t="shared" si="1"/>
        <v>ACTIVE</v>
      </c>
    </row>
    <row r="1744" ht="22.5" customHeight="1">
      <c r="A1744" s="11" t="str">
        <f t="array" ref="A1744">IFERROR(
  INDEX('Starlink Launches'!$A:$A, MATCH($E1744, 'Starlink Launches'!$B:$B, 0)),
  ""
)
</f>
        <v>6-93</v>
      </c>
      <c r="B1744" s="3" t="s">
        <v>25</v>
      </c>
      <c r="C1744" s="12" t="s">
        <v>1756</v>
      </c>
      <c r="D1744" s="13">
        <v>63863.0</v>
      </c>
      <c r="E1744" s="4">
        <v>45784.0</v>
      </c>
      <c r="F1744" s="4" t="str">
        <f>IF(D1744="","", IFNA(VLOOKUP(D1744, SATCAT_DECAY!A:B, 2, FALSE), ""))
</f>
        <v/>
      </c>
      <c r="G1744" s="3" t="str">
        <f t="shared" si="1"/>
        <v>ACTIVE</v>
      </c>
    </row>
    <row r="1745" ht="22.5" customHeight="1">
      <c r="A1745" s="11" t="str">
        <f t="array" ref="A1745">IFERROR(
  INDEX('Starlink Launches'!$A:$A, MATCH($E1745, 'Starlink Launches'!$B:$B, 0)),
  ""
)
</f>
        <v>6-91</v>
      </c>
      <c r="B1745" s="3" t="s">
        <v>25</v>
      </c>
      <c r="C1745" s="12" t="s">
        <v>1757</v>
      </c>
      <c r="D1745" s="13">
        <v>63890.0</v>
      </c>
      <c r="E1745" s="4">
        <v>45787.0</v>
      </c>
      <c r="F1745" s="4" t="str">
        <f>IF(D1745="","", IFNA(VLOOKUP(D1745, SATCAT_DECAY!A:B, 2, FALSE), ""))
</f>
        <v/>
      </c>
      <c r="G1745" s="3" t="str">
        <f t="shared" si="1"/>
        <v>ACTIVE</v>
      </c>
    </row>
    <row r="1746" ht="22.5" customHeight="1">
      <c r="A1746" s="11" t="str">
        <f t="array" ref="A1746">IFERROR(
  INDEX('Starlink Launches'!$A:$A, MATCH($E1746, 'Starlink Launches'!$B:$B, 0)),
  ""
)
</f>
        <v>6-91</v>
      </c>
      <c r="B1746" s="3" t="s">
        <v>25</v>
      </c>
      <c r="C1746" s="12" t="s">
        <v>1758</v>
      </c>
      <c r="D1746" s="13">
        <v>63891.0</v>
      </c>
      <c r="E1746" s="4">
        <v>45787.0</v>
      </c>
      <c r="F1746" s="4" t="str">
        <f>IF(D1746="","", IFNA(VLOOKUP(D1746, SATCAT_DECAY!A:B, 2, FALSE), ""))
</f>
        <v/>
      </c>
      <c r="G1746" s="3" t="str">
        <f t="shared" si="1"/>
        <v>ACTIVE</v>
      </c>
    </row>
    <row r="1747" ht="22.5" customHeight="1">
      <c r="A1747" s="11" t="str">
        <f t="array" ref="A1747">IFERROR(
  INDEX('Starlink Launches'!$A:$A, MATCH($E1747, 'Starlink Launches'!$B:$B, 0)),
  ""
)
</f>
        <v>6-91</v>
      </c>
      <c r="B1747" s="3" t="s">
        <v>25</v>
      </c>
      <c r="C1747" s="12" t="s">
        <v>1759</v>
      </c>
      <c r="D1747" s="13">
        <v>63892.0</v>
      </c>
      <c r="E1747" s="4">
        <v>45787.0</v>
      </c>
      <c r="F1747" s="4" t="str">
        <f>IF(D1747="","", IFNA(VLOOKUP(D1747, SATCAT_DECAY!A:B, 2, FALSE), ""))
</f>
        <v/>
      </c>
      <c r="G1747" s="3" t="str">
        <f t="shared" si="1"/>
        <v>ACTIVE</v>
      </c>
    </row>
    <row r="1748" ht="22.5" customHeight="1">
      <c r="A1748" s="11" t="str">
        <f t="array" ref="A1748">IFERROR(
  INDEX('Starlink Launches'!$A:$A, MATCH($E1748, 'Starlink Launches'!$B:$B, 0)),
  ""
)
</f>
        <v>6-91</v>
      </c>
      <c r="B1748" s="3" t="s">
        <v>25</v>
      </c>
      <c r="C1748" s="12" t="s">
        <v>1760</v>
      </c>
      <c r="D1748" s="13">
        <v>63893.0</v>
      </c>
      <c r="E1748" s="4">
        <v>45787.0</v>
      </c>
      <c r="F1748" s="4" t="str">
        <f>IF(D1748="","", IFNA(VLOOKUP(D1748, SATCAT_DECAY!A:B, 2, FALSE), ""))
</f>
        <v/>
      </c>
      <c r="G1748" s="3" t="str">
        <f t="shared" si="1"/>
        <v>ACTIVE</v>
      </c>
    </row>
    <row r="1749" ht="22.5" customHeight="1">
      <c r="A1749" s="11" t="str">
        <f t="array" ref="A1749">IFERROR(
  INDEX('Starlink Launches'!$A:$A, MATCH($E1749, 'Starlink Launches'!$B:$B, 0)),
  ""
)
</f>
        <v>6-91</v>
      </c>
      <c r="B1749" s="3" t="s">
        <v>25</v>
      </c>
      <c r="C1749" s="12" t="s">
        <v>1761</v>
      </c>
      <c r="D1749" s="13">
        <v>63894.0</v>
      </c>
      <c r="E1749" s="4">
        <v>45787.0</v>
      </c>
      <c r="F1749" s="4" t="str">
        <f>IF(D1749="","", IFNA(VLOOKUP(D1749, SATCAT_DECAY!A:B, 2, FALSE), ""))
</f>
        <v/>
      </c>
      <c r="G1749" s="3" t="str">
        <f t="shared" si="1"/>
        <v>ACTIVE</v>
      </c>
    </row>
    <row r="1750" ht="22.5" customHeight="1">
      <c r="A1750" s="11" t="str">
        <f t="array" ref="A1750">IFERROR(
  INDEX('Starlink Launches'!$A:$A, MATCH($E1750, 'Starlink Launches'!$B:$B, 0)),
  ""
)
</f>
        <v>6-91</v>
      </c>
      <c r="B1750" s="3" t="s">
        <v>25</v>
      </c>
      <c r="C1750" s="12" t="s">
        <v>1762</v>
      </c>
      <c r="D1750" s="13">
        <v>63895.0</v>
      </c>
      <c r="E1750" s="4">
        <v>45787.0</v>
      </c>
      <c r="F1750" s="4" t="str">
        <f>IF(D1750="","", IFNA(VLOOKUP(D1750, SATCAT_DECAY!A:B, 2, FALSE), ""))
</f>
        <v/>
      </c>
      <c r="G1750" s="3" t="str">
        <f t="shared" si="1"/>
        <v>ACTIVE</v>
      </c>
    </row>
    <row r="1751" ht="22.5" customHeight="1">
      <c r="A1751" s="11" t="str">
        <f t="array" ref="A1751">IFERROR(
  INDEX('Starlink Launches'!$A:$A, MATCH($E1751, 'Starlink Launches'!$B:$B, 0)),
  ""
)
</f>
        <v>6-91</v>
      </c>
      <c r="B1751" s="3" t="s">
        <v>25</v>
      </c>
      <c r="C1751" s="12" t="s">
        <v>1763</v>
      </c>
      <c r="D1751" s="13">
        <v>63896.0</v>
      </c>
      <c r="E1751" s="4">
        <v>45787.0</v>
      </c>
      <c r="F1751" s="4" t="str">
        <f>IF(D1751="","", IFNA(VLOOKUP(D1751, SATCAT_DECAY!A:B, 2, FALSE), ""))
</f>
        <v/>
      </c>
      <c r="G1751" s="3" t="str">
        <f t="shared" si="1"/>
        <v>ACTIVE</v>
      </c>
    </row>
    <row r="1752" ht="22.5" customHeight="1">
      <c r="A1752" s="11" t="str">
        <f t="array" ref="A1752">IFERROR(
  INDEX('Starlink Launches'!$A:$A, MATCH($E1752, 'Starlink Launches'!$B:$B, 0)),
  ""
)
</f>
        <v>6-91</v>
      </c>
      <c r="B1752" s="3" t="s">
        <v>25</v>
      </c>
      <c r="C1752" s="12" t="s">
        <v>1764</v>
      </c>
      <c r="D1752" s="13">
        <v>63897.0</v>
      </c>
      <c r="E1752" s="4">
        <v>45787.0</v>
      </c>
      <c r="F1752" s="4" t="str">
        <f>IF(D1752="","", IFNA(VLOOKUP(D1752, SATCAT_DECAY!A:B, 2, FALSE), ""))
</f>
        <v/>
      </c>
      <c r="G1752" s="3" t="str">
        <f t="shared" si="1"/>
        <v>ACTIVE</v>
      </c>
    </row>
    <row r="1753" ht="22.5" customHeight="1">
      <c r="A1753" s="11" t="str">
        <f t="array" ref="A1753">IFERROR(
  INDEX('Starlink Launches'!$A:$A, MATCH($E1753, 'Starlink Launches'!$B:$B, 0)),
  ""
)
</f>
        <v>6-91</v>
      </c>
      <c r="B1753" s="3" t="s">
        <v>25</v>
      </c>
      <c r="C1753" s="12" t="s">
        <v>1765</v>
      </c>
      <c r="D1753" s="13">
        <v>63898.0</v>
      </c>
      <c r="E1753" s="4">
        <v>45787.0</v>
      </c>
      <c r="F1753" s="4" t="str">
        <f>IF(D1753="","", IFNA(VLOOKUP(D1753, SATCAT_DECAY!A:B, 2, FALSE), ""))
</f>
        <v/>
      </c>
      <c r="G1753" s="3" t="str">
        <f t="shared" si="1"/>
        <v>ACTIVE</v>
      </c>
    </row>
    <row r="1754" ht="22.5" customHeight="1">
      <c r="A1754" s="11" t="str">
        <f t="array" ref="A1754">IFERROR(
  INDEX('Starlink Launches'!$A:$A, MATCH($E1754, 'Starlink Launches'!$B:$B, 0)),
  ""
)
</f>
        <v>6-91</v>
      </c>
      <c r="B1754" s="3" t="s">
        <v>25</v>
      </c>
      <c r="C1754" s="12" t="s">
        <v>1766</v>
      </c>
      <c r="D1754" s="13">
        <v>63899.0</v>
      </c>
      <c r="E1754" s="4">
        <v>45787.0</v>
      </c>
      <c r="F1754" s="4" t="str">
        <f>IF(D1754="","", IFNA(VLOOKUP(D1754, SATCAT_DECAY!A:B, 2, FALSE), ""))
</f>
        <v/>
      </c>
      <c r="G1754" s="3" t="str">
        <f t="shared" si="1"/>
        <v>ACTIVE</v>
      </c>
    </row>
    <row r="1755" ht="22.5" customHeight="1">
      <c r="A1755" s="11" t="str">
        <f t="array" ref="A1755">IFERROR(
  INDEX('Starlink Launches'!$A:$A, MATCH($E1755, 'Starlink Launches'!$B:$B, 0)),
  ""
)
</f>
        <v>6-91</v>
      </c>
      <c r="B1755" s="3" t="s">
        <v>25</v>
      </c>
      <c r="C1755" s="12" t="s">
        <v>1767</v>
      </c>
      <c r="D1755" s="13">
        <v>63900.0</v>
      </c>
      <c r="E1755" s="4">
        <v>45787.0</v>
      </c>
      <c r="F1755" s="4" t="str">
        <f>IF(D1755="","", IFNA(VLOOKUP(D1755, SATCAT_DECAY!A:B, 2, FALSE), ""))
</f>
        <v/>
      </c>
      <c r="G1755" s="3" t="str">
        <f t="shared" si="1"/>
        <v>ACTIVE</v>
      </c>
    </row>
    <row r="1756" ht="22.5" customHeight="1">
      <c r="A1756" s="11" t="str">
        <f t="array" ref="A1756">IFERROR(
  INDEX('Starlink Launches'!$A:$A, MATCH($E1756, 'Starlink Launches'!$B:$B, 0)),
  ""
)
</f>
        <v>6-91</v>
      </c>
      <c r="B1756" s="3" t="s">
        <v>25</v>
      </c>
      <c r="C1756" s="12" t="s">
        <v>1768</v>
      </c>
      <c r="D1756" s="13">
        <v>63901.0</v>
      </c>
      <c r="E1756" s="4">
        <v>45787.0</v>
      </c>
      <c r="F1756" s="4" t="str">
        <f>IF(D1756="","", IFNA(VLOOKUP(D1756, SATCAT_DECAY!A:B, 2, FALSE), ""))
</f>
        <v/>
      </c>
      <c r="G1756" s="3" t="str">
        <f t="shared" si="1"/>
        <v>ACTIVE</v>
      </c>
    </row>
    <row r="1757" ht="22.5" customHeight="1">
      <c r="A1757" s="11" t="str">
        <f t="array" ref="A1757">IFERROR(
  INDEX('Starlink Launches'!$A:$A, MATCH($E1757, 'Starlink Launches'!$B:$B, 0)),
  ""
)
</f>
        <v>6-91</v>
      </c>
      <c r="B1757" s="3" t="s">
        <v>25</v>
      </c>
      <c r="C1757" s="12" t="s">
        <v>1769</v>
      </c>
      <c r="D1757" s="13">
        <v>63902.0</v>
      </c>
      <c r="E1757" s="4">
        <v>45787.0</v>
      </c>
      <c r="F1757" s="4" t="str">
        <f>IF(D1757="","", IFNA(VLOOKUP(D1757, SATCAT_DECAY!A:B, 2, FALSE), ""))
</f>
        <v/>
      </c>
      <c r="G1757" s="3" t="str">
        <f t="shared" si="1"/>
        <v>ACTIVE</v>
      </c>
    </row>
    <row r="1758" ht="22.5" customHeight="1">
      <c r="A1758" s="11" t="str">
        <f t="array" ref="A1758">IFERROR(
  INDEX('Starlink Launches'!$A:$A, MATCH($E1758, 'Starlink Launches'!$B:$B, 0)),
  ""
)
</f>
        <v>6-91</v>
      </c>
      <c r="B1758" s="3" t="s">
        <v>25</v>
      </c>
      <c r="C1758" s="12" t="s">
        <v>1770</v>
      </c>
      <c r="D1758" s="13">
        <v>63903.0</v>
      </c>
      <c r="E1758" s="4">
        <v>45787.0</v>
      </c>
      <c r="F1758" s="4" t="str">
        <f>IF(D1758="","", IFNA(VLOOKUP(D1758, SATCAT_DECAY!A:B, 2, FALSE), ""))
</f>
        <v/>
      </c>
      <c r="G1758" s="3" t="str">
        <f t="shared" si="1"/>
        <v>ACTIVE</v>
      </c>
    </row>
    <row r="1759" ht="22.5" customHeight="1">
      <c r="A1759" s="11" t="str">
        <f t="array" ref="A1759">IFERROR(
  INDEX('Starlink Launches'!$A:$A, MATCH($E1759, 'Starlink Launches'!$B:$B, 0)),
  ""
)
</f>
        <v>6-91</v>
      </c>
      <c r="B1759" s="3" t="s">
        <v>25</v>
      </c>
      <c r="C1759" s="12" t="s">
        <v>1771</v>
      </c>
      <c r="D1759" s="13">
        <v>63904.0</v>
      </c>
      <c r="E1759" s="4">
        <v>45787.0</v>
      </c>
      <c r="F1759" s="4" t="str">
        <f>IF(D1759="","", IFNA(VLOOKUP(D1759, SATCAT_DECAY!A:B, 2, FALSE), ""))
</f>
        <v/>
      </c>
      <c r="G1759" s="3" t="str">
        <f t="shared" si="1"/>
        <v>ACTIVE</v>
      </c>
    </row>
    <row r="1760" ht="22.5" customHeight="1">
      <c r="A1760" s="11" t="str">
        <f t="array" ref="A1760">IFERROR(
  INDEX('Starlink Launches'!$A:$A, MATCH($E1760, 'Starlink Launches'!$B:$B, 0)),
  ""
)
</f>
        <v>6-91</v>
      </c>
      <c r="B1760" s="3" t="s">
        <v>25</v>
      </c>
      <c r="C1760" s="12" t="s">
        <v>1772</v>
      </c>
      <c r="D1760" s="13">
        <v>63905.0</v>
      </c>
      <c r="E1760" s="4">
        <v>45787.0</v>
      </c>
      <c r="F1760" s="4" t="str">
        <f>IF(D1760="","", IFNA(VLOOKUP(D1760, SATCAT_DECAY!A:B, 2, FALSE), ""))
</f>
        <v/>
      </c>
      <c r="G1760" s="3" t="str">
        <f t="shared" si="1"/>
        <v>ACTIVE</v>
      </c>
    </row>
    <row r="1761" ht="22.5" customHeight="1">
      <c r="A1761" s="11" t="str">
        <f t="array" ref="A1761">IFERROR(
  INDEX('Starlink Launches'!$A:$A, MATCH($E1761, 'Starlink Launches'!$B:$B, 0)),
  ""
)
</f>
        <v>6-91</v>
      </c>
      <c r="B1761" s="3" t="s">
        <v>25</v>
      </c>
      <c r="C1761" s="12" t="s">
        <v>1773</v>
      </c>
      <c r="D1761" s="13">
        <v>63906.0</v>
      </c>
      <c r="E1761" s="4">
        <v>45787.0</v>
      </c>
      <c r="F1761" s="4" t="str">
        <f>IF(D1761="","", IFNA(VLOOKUP(D1761, SATCAT_DECAY!A:B, 2, FALSE), ""))
</f>
        <v/>
      </c>
      <c r="G1761" s="3" t="str">
        <f t="shared" si="1"/>
        <v>ACTIVE</v>
      </c>
    </row>
    <row r="1762" ht="22.5" customHeight="1">
      <c r="A1762" s="11" t="str">
        <f t="array" ref="A1762">IFERROR(
  INDEX('Starlink Launches'!$A:$A, MATCH($E1762, 'Starlink Launches'!$B:$B, 0)),
  ""
)
</f>
        <v>6-91</v>
      </c>
      <c r="B1762" s="3" t="s">
        <v>25</v>
      </c>
      <c r="C1762" s="12" t="s">
        <v>1774</v>
      </c>
      <c r="D1762" s="13">
        <v>63907.0</v>
      </c>
      <c r="E1762" s="4">
        <v>45787.0</v>
      </c>
      <c r="F1762" s="4" t="str">
        <f>IF(D1762="","", IFNA(VLOOKUP(D1762, SATCAT_DECAY!A:B, 2, FALSE), ""))
</f>
        <v/>
      </c>
      <c r="G1762" s="3" t="str">
        <f t="shared" si="1"/>
        <v>ACTIVE</v>
      </c>
    </row>
    <row r="1763" ht="22.5" customHeight="1">
      <c r="A1763" s="11" t="str">
        <f t="array" ref="A1763">IFERROR(
  INDEX('Starlink Launches'!$A:$A, MATCH($E1763, 'Starlink Launches'!$B:$B, 0)),
  ""
)
</f>
        <v>6-91</v>
      </c>
      <c r="B1763" s="3" t="s">
        <v>25</v>
      </c>
      <c r="C1763" s="12" t="s">
        <v>1775</v>
      </c>
      <c r="D1763" s="13">
        <v>63908.0</v>
      </c>
      <c r="E1763" s="4">
        <v>45787.0</v>
      </c>
      <c r="F1763" s="4" t="str">
        <f>IF(D1763="","", IFNA(VLOOKUP(D1763, SATCAT_DECAY!A:B, 2, FALSE), ""))
</f>
        <v/>
      </c>
      <c r="G1763" s="3" t="str">
        <f t="shared" si="1"/>
        <v>ACTIVE</v>
      </c>
    </row>
    <row r="1764" ht="22.5" customHeight="1">
      <c r="A1764" s="11" t="str">
        <f t="array" ref="A1764">IFERROR(
  INDEX('Starlink Launches'!$A:$A, MATCH($E1764, 'Starlink Launches'!$B:$B, 0)),
  ""
)
</f>
        <v>6-91</v>
      </c>
      <c r="B1764" s="3" t="s">
        <v>25</v>
      </c>
      <c r="C1764" s="12" t="s">
        <v>1776</v>
      </c>
      <c r="D1764" s="13">
        <v>63909.0</v>
      </c>
      <c r="E1764" s="4">
        <v>45787.0</v>
      </c>
      <c r="F1764" s="4" t="str">
        <f>IF(D1764="","", IFNA(VLOOKUP(D1764, SATCAT_DECAY!A:B, 2, FALSE), ""))
</f>
        <v/>
      </c>
      <c r="G1764" s="3" t="str">
        <f t="shared" si="1"/>
        <v>ACTIVE</v>
      </c>
    </row>
    <row r="1765" ht="22.5" customHeight="1">
      <c r="A1765" s="11" t="str">
        <f t="array" ref="A1765">IFERROR(
  INDEX('Starlink Launches'!$A:$A, MATCH($E1765, 'Starlink Launches'!$B:$B, 0)),
  ""
)
</f>
        <v>6-91</v>
      </c>
      <c r="B1765" s="3" t="s">
        <v>25</v>
      </c>
      <c r="C1765" s="12" t="s">
        <v>1777</v>
      </c>
      <c r="D1765" s="13">
        <v>63910.0</v>
      </c>
      <c r="E1765" s="4">
        <v>45787.0</v>
      </c>
      <c r="F1765" s="4" t="str">
        <f>IF(D1765="","", IFNA(VLOOKUP(D1765, SATCAT_DECAY!A:B, 2, FALSE), ""))
</f>
        <v/>
      </c>
      <c r="G1765" s="3" t="str">
        <f t="shared" si="1"/>
        <v>ACTIVE</v>
      </c>
    </row>
    <row r="1766" ht="22.5" customHeight="1">
      <c r="A1766" s="11" t="str">
        <f t="array" ref="A1766">IFERROR(
  INDEX('Starlink Launches'!$A:$A, MATCH($E1766, 'Starlink Launches'!$B:$B, 0)),
  ""
)
</f>
        <v>6-91</v>
      </c>
      <c r="B1766" s="3" t="s">
        <v>25</v>
      </c>
      <c r="C1766" s="12" t="s">
        <v>1778</v>
      </c>
      <c r="D1766" s="13">
        <v>63911.0</v>
      </c>
      <c r="E1766" s="4">
        <v>45787.0</v>
      </c>
      <c r="F1766" s="4" t="str">
        <f>IF(D1766="","", IFNA(VLOOKUP(D1766, SATCAT_DECAY!A:B, 2, FALSE), ""))
</f>
        <v/>
      </c>
      <c r="G1766" s="3" t="str">
        <f t="shared" si="1"/>
        <v>ACTIVE</v>
      </c>
    </row>
    <row r="1767" ht="22.5" customHeight="1">
      <c r="A1767" s="11" t="str">
        <f t="array" ref="A1767">IFERROR(
  INDEX('Starlink Launches'!$A:$A, MATCH($E1767, 'Starlink Launches'!$B:$B, 0)),
  ""
)
</f>
        <v>6-91</v>
      </c>
      <c r="B1767" s="3" t="s">
        <v>25</v>
      </c>
      <c r="C1767" s="12" t="s">
        <v>1779</v>
      </c>
      <c r="D1767" s="13">
        <v>63912.0</v>
      </c>
      <c r="E1767" s="4">
        <v>45787.0</v>
      </c>
      <c r="F1767" s="4" t="str">
        <f>IF(D1767="","", IFNA(VLOOKUP(D1767, SATCAT_DECAY!A:B, 2, FALSE), ""))
</f>
        <v/>
      </c>
      <c r="G1767" s="3" t="str">
        <f t="shared" si="1"/>
        <v>ACTIVE</v>
      </c>
    </row>
    <row r="1768" ht="22.5" customHeight="1">
      <c r="A1768" s="11" t="str">
        <f t="array" ref="A1768">IFERROR(
  INDEX('Starlink Launches'!$A:$A, MATCH($E1768, 'Starlink Launches'!$B:$B, 0)),
  ""
)
</f>
        <v>6-91</v>
      </c>
      <c r="B1768" s="3" t="s">
        <v>25</v>
      </c>
      <c r="C1768" s="12" t="s">
        <v>1780</v>
      </c>
      <c r="D1768" s="13">
        <v>63913.0</v>
      </c>
      <c r="E1768" s="4">
        <v>45787.0</v>
      </c>
      <c r="F1768" s="4" t="str">
        <f>IF(D1768="","", IFNA(VLOOKUP(D1768, SATCAT_DECAY!A:B, 2, FALSE), ""))
</f>
        <v/>
      </c>
      <c r="G1768" s="3" t="str">
        <f t="shared" si="1"/>
        <v>ACTIVE</v>
      </c>
    </row>
    <row r="1769" ht="22.5" customHeight="1">
      <c r="A1769" s="11" t="str">
        <f t="array" ref="A1769">IFERROR(
  INDEX('Starlink Launches'!$A:$A, MATCH($E1769, 'Starlink Launches'!$B:$B, 0)),
  ""
)
</f>
        <v>6-91</v>
      </c>
      <c r="B1769" s="3" t="s">
        <v>25</v>
      </c>
      <c r="C1769" s="12" t="s">
        <v>1781</v>
      </c>
      <c r="D1769" s="13">
        <v>63914.0</v>
      </c>
      <c r="E1769" s="4">
        <v>45787.0</v>
      </c>
      <c r="F1769" s="4" t="str">
        <f>IF(D1769="","", IFNA(VLOOKUP(D1769, SATCAT_DECAY!A:B, 2, FALSE), ""))
</f>
        <v/>
      </c>
      <c r="G1769" s="3" t="str">
        <f t="shared" si="1"/>
        <v>ACTIVE</v>
      </c>
    </row>
    <row r="1770" ht="22.5" customHeight="1">
      <c r="A1770" s="11" t="str">
        <f t="array" ref="A1770">IFERROR(
  INDEX('Starlink Launches'!$A:$A, MATCH($E1770, 'Starlink Launches'!$B:$B, 0)),
  ""
)
</f>
        <v>6-91</v>
      </c>
      <c r="B1770" s="3" t="s">
        <v>25</v>
      </c>
      <c r="C1770" s="12" t="s">
        <v>1782</v>
      </c>
      <c r="D1770" s="13">
        <v>63915.0</v>
      </c>
      <c r="E1770" s="4">
        <v>45787.0</v>
      </c>
      <c r="F1770" s="4" t="str">
        <f>IF(D1770="","", IFNA(VLOOKUP(D1770, SATCAT_DECAY!A:B, 2, FALSE), ""))
</f>
        <v/>
      </c>
      <c r="G1770" s="3" t="str">
        <f t="shared" si="1"/>
        <v>ACTIVE</v>
      </c>
    </row>
    <row r="1771" ht="22.5" customHeight="1">
      <c r="A1771" s="11" t="str">
        <f t="array" ref="A1771">IFERROR(
  INDEX('Starlink Launches'!$A:$A, MATCH($E1771, 'Starlink Launches'!$B:$B, 0)),
  ""
)
</f>
        <v>6-91</v>
      </c>
      <c r="B1771" s="3" t="s">
        <v>25</v>
      </c>
      <c r="C1771" s="12" t="s">
        <v>1783</v>
      </c>
      <c r="D1771" s="13">
        <v>63916.0</v>
      </c>
      <c r="E1771" s="4">
        <v>45787.0</v>
      </c>
      <c r="F1771" s="4" t="str">
        <f>IF(D1771="","", IFNA(VLOOKUP(D1771, SATCAT_DECAY!A:B, 2, FALSE), ""))
</f>
        <v/>
      </c>
      <c r="G1771" s="3" t="str">
        <f t="shared" si="1"/>
        <v>ACTIVE</v>
      </c>
    </row>
    <row r="1772" ht="22.5" customHeight="1">
      <c r="A1772" s="11" t="str">
        <f t="array" ref="A1772">IFERROR(
  INDEX('Starlink Launches'!$A:$A, MATCH($E1772, 'Starlink Launches'!$B:$B, 0)),
  ""
)
</f>
        <v>6-91</v>
      </c>
      <c r="B1772" s="3" t="s">
        <v>25</v>
      </c>
      <c r="C1772" s="12" t="s">
        <v>1784</v>
      </c>
      <c r="D1772" s="13">
        <v>63917.0</v>
      </c>
      <c r="E1772" s="4">
        <v>45787.0</v>
      </c>
      <c r="F1772" s="4" t="str">
        <f>IF(D1772="","", IFNA(VLOOKUP(D1772, SATCAT_DECAY!A:B, 2, FALSE), ""))
</f>
        <v/>
      </c>
      <c r="G1772" s="3" t="str">
        <f t="shared" si="1"/>
        <v>ACTIVE</v>
      </c>
    </row>
    <row r="1773" ht="22.5" customHeight="1">
      <c r="A1773" s="11" t="str">
        <f t="array" ref="A1773">IFERROR(
  INDEX('Starlink Launches'!$A:$A, MATCH($E1773, 'Starlink Launches'!$B:$B, 0)),
  ""
)
</f>
        <v>6-83</v>
      </c>
      <c r="B1773" s="3" t="s">
        <v>25</v>
      </c>
      <c r="C1773" s="12" t="s">
        <v>1785</v>
      </c>
      <c r="D1773" s="13">
        <v>63952.0</v>
      </c>
      <c r="E1773" s="4">
        <v>45790.0</v>
      </c>
      <c r="F1773" s="4" t="str">
        <f>IF(D1773="","", IFNA(VLOOKUP(D1773, SATCAT_DECAY!A:B, 2, FALSE), ""))
</f>
        <v/>
      </c>
      <c r="G1773" s="3" t="str">
        <f t="shared" si="1"/>
        <v>ACTIVE</v>
      </c>
    </row>
    <row r="1774" ht="22.5" customHeight="1">
      <c r="A1774" s="11" t="str">
        <f t="array" ref="A1774">IFERROR(
  INDEX('Starlink Launches'!$A:$A, MATCH($E1774, 'Starlink Launches'!$B:$B, 0)),
  ""
)
</f>
        <v>6-83</v>
      </c>
      <c r="B1774" s="3" t="s">
        <v>25</v>
      </c>
      <c r="C1774" s="12" t="s">
        <v>1786</v>
      </c>
      <c r="D1774" s="13">
        <v>63953.0</v>
      </c>
      <c r="E1774" s="4">
        <v>45790.0</v>
      </c>
      <c r="F1774" s="4" t="str">
        <f>IF(D1774="","", IFNA(VLOOKUP(D1774, SATCAT_DECAY!A:B, 2, FALSE), ""))
</f>
        <v/>
      </c>
      <c r="G1774" s="3" t="str">
        <f t="shared" si="1"/>
        <v>ACTIVE</v>
      </c>
    </row>
    <row r="1775" ht="22.5" customHeight="1">
      <c r="A1775" s="11" t="str">
        <f t="array" ref="A1775">IFERROR(
  INDEX('Starlink Launches'!$A:$A, MATCH($E1775, 'Starlink Launches'!$B:$B, 0)),
  ""
)
</f>
        <v>6-83</v>
      </c>
      <c r="B1775" s="3" t="s">
        <v>25</v>
      </c>
      <c r="C1775" s="12" t="s">
        <v>1787</v>
      </c>
      <c r="D1775" s="13">
        <v>63954.0</v>
      </c>
      <c r="E1775" s="4">
        <v>45790.0</v>
      </c>
      <c r="F1775" s="4" t="str">
        <f>IF(D1775="","", IFNA(VLOOKUP(D1775, SATCAT_DECAY!A:B, 2, FALSE), ""))
</f>
        <v/>
      </c>
      <c r="G1775" s="3" t="str">
        <f t="shared" si="1"/>
        <v>ACTIVE</v>
      </c>
    </row>
    <row r="1776" ht="22.5" customHeight="1">
      <c r="A1776" s="11" t="str">
        <f t="array" ref="A1776">IFERROR(
  INDEX('Starlink Launches'!$A:$A, MATCH($E1776, 'Starlink Launches'!$B:$B, 0)),
  ""
)
</f>
        <v>6-83</v>
      </c>
      <c r="B1776" s="3" t="s">
        <v>25</v>
      </c>
      <c r="C1776" s="12" t="s">
        <v>1788</v>
      </c>
      <c r="D1776" s="13">
        <v>63955.0</v>
      </c>
      <c r="E1776" s="4">
        <v>45790.0</v>
      </c>
      <c r="F1776" s="4" t="str">
        <f>IF(D1776="","", IFNA(VLOOKUP(D1776, SATCAT_DECAY!A:B, 2, FALSE), ""))
</f>
        <v/>
      </c>
      <c r="G1776" s="3" t="str">
        <f t="shared" si="1"/>
        <v>ACTIVE</v>
      </c>
    </row>
    <row r="1777" ht="22.5" customHeight="1">
      <c r="A1777" s="11" t="str">
        <f t="array" ref="A1777">IFERROR(
  INDEX('Starlink Launches'!$A:$A, MATCH($E1777, 'Starlink Launches'!$B:$B, 0)),
  ""
)
</f>
        <v>6-83</v>
      </c>
      <c r="B1777" s="3" t="s">
        <v>25</v>
      </c>
      <c r="C1777" s="12" t="s">
        <v>1789</v>
      </c>
      <c r="D1777" s="13">
        <v>63956.0</v>
      </c>
      <c r="E1777" s="4">
        <v>45790.0</v>
      </c>
      <c r="F1777" s="4" t="str">
        <f>IF(D1777="","", IFNA(VLOOKUP(D1777, SATCAT_DECAY!A:B, 2, FALSE), ""))
</f>
        <v/>
      </c>
      <c r="G1777" s="3" t="str">
        <f t="shared" si="1"/>
        <v>ACTIVE</v>
      </c>
    </row>
    <row r="1778" ht="22.5" customHeight="1">
      <c r="A1778" s="11" t="str">
        <f t="array" ref="A1778">IFERROR(
  INDEX('Starlink Launches'!$A:$A, MATCH($E1778, 'Starlink Launches'!$B:$B, 0)),
  ""
)
</f>
        <v>6-83</v>
      </c>
      <c r="B1778" s="3" t="s">
        <v>25</v>
      </c>
      <c r="C1778" s="12" t="s">
        <v>1790</v>
      </c>
      <c r="D1778" s="13">
        <v>63957.0</v>
      </c>
      <c r="E1778" s="4">
        <v>45790.0</v>
      </c>
      <c r="F1778" s="4" t="str">
        <f>IF(D1778="","", IFNA(VLOOKUP(D1778, SATCAT_DECAY!A:B, 2, FALSE), ""))
</f>
        <v/>
      </c>
      <c r="G1778" s="3" t="str">
        <f t="shared" si="1"/>
        <v>ACTIVE</v>
      </c>
    </row>
    <row r="1779" ht="22.5" customHeight="1">
      <c r="A1779" s="11" t="str">
        <f t="array" ref="A1779">IFERROR(
  INDEX('Starlink Launches'!$A:$A, MATCH($E1779, 'Starlink Launches'!$B:$B, 0)),
  ""
)
</f>
        <v>6-83</v>
      </c>
      <c r="B1779" s="3" t="s">
        <v>25</v>
      </c>
      <c r="C1779" s="12" t="s">
        <v>1791</v>
      </c>
      <c r="D1779" s="13">
        <v>63958.0</v>
      </c>
      <c r="E1779" s="4">
        <v>45790.0</v>
      </c>
      <c r="F1779" s="4" t="str">
        <f>IF(D1779="","", IFNA(VLOOKUP(D1779, SATCAT_DECAY!A:B, 2, FALSE), ""))
</f>
        <v/>
      </c>
      <c r="G1779" s="3" t="str">
        <f t="shared" si="1"/>
        <v>ACTIVE</v>
      </c>
    </row>
    <row r="1780" ht="22.5" customHeight="1">
      <c r="A1780" s="11" t="str">
        <f t="array" ref="A1780">IFERROR(
  INDEX('Starlink Launches'!$A:$A, MATCH($E1780, 'Starlink Launches'!$B:$B, 0)),
  ""
)
</f>
        <v>6-83</v>
      </c>
      <c r="B1780" s="3" t="s">
        <v>25</v>
      </c>
      <c r="C1780" s="12" t="s">
        <v>1792</v>
      </c>
      <c r="D1780" s="13">
        <v>63959.0</v>
      </c>
      <c r="E1780" s="4">
        <v>45790.0</v>
      </c>
      <c r="F1780" s="4" t="str">
        <f>IF(D1780="","", IFNA(VLOOKUP(D1780, SATCAT_DECAY!A:B, 2, FALSE), ""))
</f>
        <v/>
      </c>
      <c r="G1780" s="3" t="str">
        <f t="shared" si="1"/>
        <v>ACTIVE</v>
      </c>
    </row>
    <row r="1781" ht="22.5" customHeight="1">
      <c r="A1781" s="11" t="str">
        <f t="array" ref="A1781">IFERROR(
  INDEX('Starlink Launches'!$A:$A, MATCH($E1781, 'Starlink Launches'!$B:$B, 0)),
  ""
)
</f>
        <v>6-83</v>
      </c>
      <c r="B1781" s="3" t="s">
        <v>25</v>
      </c>
      <c r="C1781" s="12" t="s">
        <v>1793</v>
      </c>
      <c r="D1781" s="13">
        <v>63960.0</v>
      </c>
      <c r="E1781" s="4">
        <v>45790.0</v>
      </c>
      <c r="F1781" s="4" t="str">
        <f>IF(D1781="","", IFNA(VLOOKUP(D1781, SATCAT_DECAY!A:B, 2, FALSE), ""))
</f>
        <v/>
      </c>
      <c r="G1781" s="3" t="str">
        <f t="shared" si="1"/>
        <v>ACTIVE</v>
      </c>
    </row>
    <row r="1782" ht="22.5" customHeight="1">
      <c r="A1782" s="11" t="str">
        <f t="array" ref="A1782">IFERROR(
  INDEX('Starlink Launches'!$A:$A, MATCH($E1782, 'Starlink Launches'!$B:$B, 0)),
  ""
)
</f>
        <v>6-83</v>
      </c>
      <c r="B1782" s="3" t="s">
        <v>25</v>
      </c>
      <c r="C1782" s="12" t="s">
        <v>1794</v>
      </c>
      <c r="D1782" s="13">
        <v>63961.0</v>
      </c>
      <c r="E1782" s="4">
        <v>45790.0</v>
      </c>
      <c r="F1782" s="4" t="str">
        <f>IF(D1782="","", IFNA(VLOOKUP(D1782, SATCAT_DECAY!A:B, 2, FALSE), ""))
</f>
        <v/>
      </c>
      <c r="G1782" s="3" t="str">
        <f t="shared" si="1"/>
        <v>ACTIVE</v>
      </c>
    </row>
    <row r="1783" ht="22.5" customHeight="1">
      <c r="A1783" s="11" t="str">
        <f t="array" ref="A1783">IFERROR(
  INDEX('Starlink Launches'!$A:$A, MATCH($E1783, 'Starlink Launches'!$B:$B, 0)),
  ""
)
</f>
        <v>6-83</v>
      </c>
      <c r="B1783" s="3" t="s">
        <v>25</v>
      </c>
      <c r="C1783" s="12" t="s">
        <v>1795</v>
      </c>
      <c r="D1783" s="13">
        <v>63962.0</v>
      </c>
      <c r="E1783" s="4">
        <v>45790.0</v>
      </c>
      <c r="F1783" s="4" t="str">
        <f>IF(D1783="","", IFNA(VLOOKUP(D1783, SATCAT_DECAY!A:B, 2, FALSE), ""))
</f>
        <v/>
      </c>
      <c r="G1783" s="3" t="str">
        <f t="shared" si="1"/>
        <v>ACTIVE</v>
      </c>
    </row>
    <row r="1784" ht="22.5" customHeight="1">
      <c r="A1784" s="11" t="str">
        <f t="array" ref="A1784">IFERROR(
  INDEX('Starlink Launches'!$A:$A, MATCH($E1784, 'Starlink Launches'!$B:$B, 0)),
  ""
)
</f>
        <v>6-83</v>
      </c>
      <c r="B1784" s="3" t="s">
        <v>25</v>
      </c>
      <c r="C1784" s="12" t="s">
        <v>1796</v>
      </c>
      <c r="D1784" s="13">
        <v>63963.0</v>
      </c>
      <c r="E1784" s="4">
        <v>45790.0</v>
      </c>
      <c r="F1784" s="4" t="str">
        <f>IF(D1784="","", IFNA(VLOOKUP(D1784, SATCAT_DECAY!A:B, 2, FALSE), ""))
</f>
        <v/>
      </c>
      <c r="G1784" s="3" t="str">
        <f t="shared" si="1"/>
        <v>ACTIVE</v>
      </c>
    </row>
    <row r="1785" ht="22.5" customHeight="1">
      <c r="A1785" s="11" t="str">
        <f t="array" ref="A1785">IFERROR(
  INDEX('Starlink Launches'!$A:$A, MATCH($E1785, 'Starlink Launches'!$B:$B, 0)),
  ""
)
</f>
        <v>6-83</v>
      </c>
      <c r="B1785" s="3" t="s">
        <v>25</v>
      </c>
      <c r="C1785" s="12" t="s">
        <v>1797</v>
      </c>
      <c r="D1785" s="13">
        <v>63964.0</v>
      </c>
      <c r="E1785" s="4">
        <v>45790.0</v>
      </c>
      <c r="F1785" s="4" t="str">
        <f>IF(D1785="","", IFNA(VLOOKUP(D1785, SATCAT_DECAY!A:B, 2, FALSE), ""))
</f>
        <v/>
      </c>
      <c r="G1785" s="3" t="str">
        <f t="shared" si="1"/>
        <v>ACTIVE</v>
      </c>
    </row>
    <row r="1786" ht="22.5" customHeight="1">
      <c r="A1786" s="11" t="str">
        <f t="array" ref="A1786">IFERROR(
  INDEX('Starlink Launches'!$A:$A, MATCH($E1786, 'Starlink Launches'!$B:$B, 0)),
  ""
)
</f>
        <v>6-83</v>
      </c>
      <c r="B1786" s="3" t="s">
        <v>25</v>
      </c>
      <c r="C1786" s="12" t="s">
        <v>1798</v>
      </c>
      <c r="D1786" s="13">
        <v>63965.0</v>
      </c>
      <c r="E1786" s="4">
        <v>45790.0</v>
      </c>
      <c r="F1786" s="4" t="str">
        <f>IF(D1786="","", IFNA(VLOOKUP(D1786, SATCAT_DECAY!A:B, 2, FALSE), ""))
</f>
        <v/>
      </c>
      <c r="G1786" s="3" t="str">
        <f t="shared" si="1"/>
        <v>ACTIVE</v>
      </c>
    </row>
    <row r="1787" ht="22.5" customHeight="1">
      <c r="A1787" s="11" t="str">
        <f t="array" ref="A1787">IFERROR(
  INDEX('Starlink Launches'!$A:$A, MATCH($E1787, 'Starlink Launches'!$B:$B, 0)),
  ""
)
</f>
        <v>6-83</v>
      </c>
      <c r="B1787" s="3" t="s">
        <v>25</v>
      </c>
      <c r="C1787" s="12" t="s">
        <v>1799</v>
      </c>
      <c r="D1787" s="13">
        <v>63966.0</v>
      </c>
      <c r="E1787" s="4">
        <v>45790.0</v>
      </c>
      <c r="F1787" s="4" t="str">
        <f>IF(D1787="","", IFNA(VLOOKUP(D1787, SATCAT_DECAY!A:B, 2, FALSE), ""))
</f>
        <v/>
      </c>
      <c r="G1787" s="3" t="str">
        <f t="shared" si="1"/>
        <v>ACTIVE</v>
      </c>
    </row>
    <row r="1788" ht="22.5" customHeight="1">
      <c r="A1788" s="11" t="str">
        <f t="array" ref="A1788">IFERROR(
  INDEX('Starlink Launches'!$A:$A, MATCH($E1788, 'Starlink Launches'!$B:$B, 0)),
  ""
)
</f>
        <v>6-83</v>
      </c>
      <c r="B1788" s="3" t="s">
        <v>25</v>
      </c>
      <c r="C1788" s="12" t="s">
        <v>1800</v>
      </c>
      <c r="D1788" s="13">
        <v>63967.0</v>
      </c>
      <c r="E1788" s="4">
        <v>45790.0</v>
      </c>
      <c r="F1788" s="4" t="str">
        <f>IF(D1788="","", IFNA(VLOOKUP(D1788, SATCAT_DECAY!A:B, 2, FALSE), ""))
</f>
        <v/>
      </c>
      <c r="G1788" s="3" t="str">
        <f t="shared" si="1"/>
        <v>ACTIVE</v>
      </c>
    </row>
    <row r="1789" ht="22.5" customHeight="1">
      <c r="A1789" s="11" t="str">
        <f t="array" ref="A1789">IFERROR(
  INDEX('Starlink Launches'!$A:$A, MATCH($E1789, 'Starlink Launches'!$B:$B, 0)),
  ""
)
</f>
        <v>6-83</v>
      </c>
      <c r="B1789" s="3" t="s">
        <v>25</v>
      </c>
      <c r="C1789" s="12" t="s">
        <v>1801</v>
      </c>
      <c r="D1789" s="13">
        <v>63968.0</v>
      </c>
      <c r="E1789" s="4">
        <v>45790.0</v>
      </c>
      <c r="F1789" s="4" t="str">
        <f>IF(D1789="","", IFNA(VLOOKUP(D1789, SATCAT_DECAY!A:B, 2, FALSE), ""))
</f>
        <v/>
      </c>
      <c r="G1789" s="3" t="str">
        <f t="shared" si="1"/>
        <v>ACTIVE</v>
      </c>
    </row>
    <row r="1790" ht="22.5" customHeight="1">
      <c r="A1790" s="11" t="str">
        <f t="array" ref="A1790">IFERROR(
  INDEX('Starlink Launches'!$A:$A, MATCH($E1790, 'Starlink Launches'!$B:$B, 0)),
  ""
)
</f>
        <v>6-83</v>
      </c>
      <c r="B1790" s="3" t="s">
        <v>25</v>
      </c>
      <c r="C1790" s="12" t="s">
        <v>1802</v>
      </c>
      <c r="D1790" s="13">
        <v>63969.0</v>
      </c>
      <c r="E1790" s="4">
        <v>45790.0</v>
      </c>
      <c r="F1790" s="4" t="str">
        <f>IF(D1790="","", IFNA(VLOOKUP(D1790, SATCAT_DECAY!A:B, 2, FALSE), ""))
</f>
        <v/>
      </c>
      <c r="G1790" s="3" t="str">
        <f t="shared" si="1"/>
        <v>ACTIVE</v>
      </c>
    </row>
    <row r="1791" ht="22.5" customHeight="1">
      <c r="A1791" s="11" t="str">
        <f t="array" ref="A1791">IFERROR(
  INDEX('Starlink Launches'!$A:$A, MATCH($E1791, 'Starlink Launches'!$B:$B, 0)),
  ""
)
</f>
        <v>6-83</v>
      </c>
      <c r="B1791" s="3" t="s">
        <v>25</v>
      </c>
      <c r="C1791" s="12" t="s">
        <v>1803</v>
      </c>
      <c r="D1791" s="13">
        <v>63970.0</v>
      </c>
      <c r="E1791" s="4">
        <v>45790.0</v>
      </c>
      <c r="F1791" s="4" t="str">
        <f>IF(D1791="","", IFNA(VLOOKUP(D1791, SATCAT_DECAY!A:B, 2, FALSE), ""))
</f>
        <v/>
      </c>
      <c r="G1791" s="3" t="str">
        <f t="shared" si="1"/>
        <v>ACTIVE</v>
      </c>
    </row>
    <row r="1792" ht="22.5" customHeight="1">
      <c r="A1792" s="11" t="str">
        <f t="array" ref="A1792">IFERROR(
  INDEX('Starlink Launches'!$A:$A, MATCH($E1792, 'Starlink Launches'!$B:$B, 0)),
  ""
)
</f>
        <v>6-83</v>
      </c>
      <c r="B1792" s="3" t="s">
        <v>25</v>
      </c>
      <c r="C1792" s="12" t="s">
        <v>1804</v>
      </c>
      <c r="D1792" s="13">
        <v>63971.0</v>
      </c>
      <c r="E1792" s="4">
        <v>45790.0</v>
      </c>
      <c r="F1792" s="4" t="str">
        <f>IF(D1792="","", IFNA(VLOOKUP(D1792, SATCAT_DECAY!A:B, 2, FALSE), ""))
</f>
        <v/>
      </c>
      <c r="G1792" s="3" t="str">
        <f t="shared" si="1"/>
        <v>ACTIVE</v>
      </c>
    </row>
    <row r="1793" ht="22.5" customHeight="1">
      <c r="A1793" s="11" t="str">
        <f t="array" ref="A1793">IFERROR(
  INDEX('Starlink Launches'!$A:$A, MATCH($E1793, 'Starlink Launches'!$B:$B, 0)),
  ""
)
</f>
        <v>6-83</v>
      </c>
      <c r="B1793" s="3" t="s">
        <v>25</v>
      </c>
      <c r="C1793" s="12" t="s">
        <v>1805</v>
      </c>
      <c r="D1793" s="13">
        <v>63972.0</v>
      </c>
      <c r="E1793" s="4">
        <v>45790.0</v>
      </c>
      <c r="F1793" s="4" t="str">
        <f>IF(D1793="","", IFNA(VLOOKUP(D1793, SATCAT_DECAY!A:B, 2, FALSE), ""))
</f>
        <v/>
      </c>
      <c r="G1793" s="3" t="str">
        <f t="shared" si="1"/>
        <v>ACTIVE</v>
      </c>
    </row>
    <row r="1794" ht="22.5" customHeight="1">
      <c r="A1794" s="11" t="str">
        <f t="array" ref="A1794">IFERROR(
  INDEX('Starlink Launches'!$A:$A, MATCH($E1794, 'Starlink Launches'!$B:$B, 0)),
  ""
)
</f>
        <v>6-83</v>
      </c>
      <c r="B1794" s="3" t="s">
        <v>25</v>
      </c>
      <c r="C1794" s="12" t="s">
        <v>1806</v>
      </c>
      <c r="D1794" s="13">
        <v>63973.0</v>
      </c>
      <c r="E1794" s="4">
        <v>45790.0</v>
      </c>
      <c r="F1794" s="4" t="str">
        <f>IF(D1794="","", IFNA(VLOOKUP(D1794, SATCAT_DECAY!A:B, 2, FALSE), ""))
</f>
        <v/>
      </c>
      <c r="G1794" s="3" t="str">
        <f t="shared" si="1"/>
        <v>ACTIVE</v>
      </c>
    </row>
    <row r="1795" ht="22.5" customHeight="1">
      <c r="A1795" s="11" t="str">
        <f t="array" ref="A1795">IFERROR(
  INDEX('Starlink Launches'!$A:$A, MATCH($E1795, 'Starlink Launches'!$B:$B, 0)),
  ""
)
</f>
        <v>6-83</v>
      </c>
      <c r="B1795" s="3" t="s">
        <v>25</v>
      </c>
      <c r="C1795" s="12" t="s">
        <v>1807</v>
      </c>
      <c r="D1795" s="13">
        <v>63974.0</v>
      </c>
      <c r="E1795" s="4">
        <v>45790.0</v>
      </c>
      <c r="F1795" s="4" t="str">
        <f>IF(D1795="","", IFNA(VLOOKUP(D1795, SATCAT_DECAY!A:B, 2, FALSE), ""))
</f>
        <v/>
      </c>
      <c r="G1795" s="3" t="str">
        <f t="shared" si="1"/>
        <v>ACTIVE</v>
      </c>
    </row>
    <row r="1796" ht="22.5" customHeight="1">
      <c r="A1796" s="11" t="str">
        <f t="array" ref="A1796">IFERROR(
  INDEX('Starlink Launches'!$A:$A, MATCH($E1796, 'Starlink Launches'!$B:$B, 0)),
  ""
)
</f>
        <v>6-83</v>
      </c>
      <c r="B1796" s="3" t="s">
        <v>25</v>
      </c>
      <c r="C1796" s="12" t="s">
        <v>1808</v>
      </c>
      <c r="D1796" s="13">
        <v>63975.0</v>
      </c>
      <c r="E1796" s="4">
        <v>45790.0</v>
      </c>
      <c r="F1796" s="4" t="str">
        <f>IF(D1796="","", IFNA(VLOOKUP(D1796, SATCAT_DECAY!A:B, 2, FALSE), ""))
</f>
        <v/>
      </c>
      <c r="G1796" s="3" t="str">
        <f t="shared" si="1"/>
        <v>ACTIVE</v>
      </c>
    </row>
    <row r="1797" ht="22.5" customHeight="1">
      <c r="A1797" s="11" t="str">
        <f t="array" ref="A1797">IFERROR(
  INDEX('Starlink Launches'!$A:$A, MATCH($E1797, 'Starlink Launches'!$B:$B, 0)),
  ""
)
</f>
        <v>6-83</v>
      </c>
      <c r="B1797" s="3" t="s">
        <v>25</v>
      </c>
      <c r="C1797" s="12" t="s">
        <v>1809</v>
      </c>
      <c r="D1797" s="13">
        <v>63976.0</v>
      </c>
      <c r="E1797" s="4">
        <v>45790.0</v>
      </c>
      <c r="F1797" s="4" t="str">
        <f>IF(D1797="","", IFNA(VLOOKUP(D1797, SATCAT_DECAY!A:B, 2, FALSE), ""))
</f>
        <v/>
      </c>
      <c r="G1797" s="3" t="str">
        <f t="shared" si="1"/>
        <v>ACTIVE</v>
      </c>
    </row>
    <row r="1798" ht="22.5" customHeight="1">
      <c r="A1798" s="11" t="str">
        <f t="array" ref="A1798">IFERROR(
  INDEX('Starlink Launches'!$A:$A, MATCH($E1798, 'Starlink Launches'!$B:$B, 0)),
  ""
)
</f>
        <v>6-83</v>
      </c>
      <c r="B1798" s="3" t="s">
        <v>25</v>
      </c>
      <c r="C1798" s="12" t="s">
        <v>1810</v>
      </c>
      <c r="D1798" s="13">
        <v>63977.0</v>
      </c>
      <c r="E1798" s="4">
        <v>45790.0</v>
      </c>
      <c r="F1798" s="4" t="str">
        <f>IF(D1798="","", IFNA(VLOOKUP(D1798, SATCAT_DECAY!A:B, 2, FALSE), ""))
</f>
        <v/>
      </c>
      <c r="G1798" s="3" t="str">
        <f t="shared" si="1"/>
        <v>ACTIVE</v>
      </c>
    </row>
    <row r="1799" ht="22.5" customHeight="1">
      <c r="A1799" s="11" t="str">
        <f t="array" ref="A1799">IFERROR(
  INDEX('Starlink Launches'!$A:$A, MATCH($E1799, 'Starlink Launches'!$B:$B, 0)),
  ""
)
</f>
        <v>6-83</v>
      </c>
      <c r="B1799" s="3" t="s">
        <v>25</v>
      </c>
      <c r="C1799" s="12" t="s">
        <v>1811</v>
      </c>
      <c r="D1799" s="13">
        <v>63978.0</v>
      </c>
      <c r="E1799" s="4">
        <v>45790.0</v>
      </c>
      <c r="F1799" s="4" t="str">
        <f>IF(D1799="","", IFNA(VLOOKUP(D1799, SATCAT_DECAY!A:B, 2, FALSE), ""))
</f>
        <v/>
      </c>
      <c r="G1799" s="3" t="str">
        <f t="shared" si="1"/>
        <v>ACTIVE</v>
      </c>
    </row>
    <row r="1800" ht="22.5" customHeight="1">
      <c r="A1800" s="11" t="str">
        <f t="array" ref="A1800">IFERROR(
  INDEX('Starlink Launches'!$A:$A, MATCH($E1800, 'Starlink Launches'!$B:$B, 0)),
  ""
)
</f>
        <v>6-83</v>
      </c>
      <c r="B1800" s="3" t="s">
        <v>25</v>
      </c>
      <c r="C1800" s="12" t="s">
        <v>1812</v>
      </c>
      <c r="D1800" s="13">
        <v>63979.0</v>
      </c>
      <c r="E1800" s="4">
        <v>45790.0</v>
      </c>
      <c r="F1800" s="4" t="str">
        <f>IF(D1800="","", IFNA(VLOOKUP(D1800, SATCAT_DECAY!A:B, 2, FALSE), ""))
</f>
        <v/>
      </c>
      <c r="G1800" s="3" t="str">
        <f t="shared" si="1"/>
        <v>ACTIVE</v>
      </c>
    </row>
    <row r="1801" ht="22.5" customHeight="1">
      <c r="A1801" s="11" t="str">
        <f t="array" ref="A1801">IFERROR(
  INDEX('Starlink Launches'!$A:$A, MATCH($E1801, 'Starlink Launches'!$B:$B, 0)),
  ""
)
</f>
        <v>6-67</v>
      </c>
      <c r="B1801" s="3" t="s">
        <v>25</v>
      </c>
      <c r="C1801" s="12" t="s">
        <v>1813</v>
      </c>
      <c r="D1801" s="13">
        <v>63994.0</v>
      </c>
      <c r="E1801" s="4">
        <v>45791.0</v>
      </c>
      <c r="F1801" s="4" t="str">
        <f>IF(D1801="","", IFNA(VLOOKUP(D1801, SATCAT_DECAY!A:B, 2, FALSE), ""))
</f>
        <v/>
      </c>
      <c r="G1801" s="3" t="str">
        <f t="shared" si="1"/>
        <v>ACTIVE</v>
      </c>
    </row>
    <row r="1802" ht="22.5" customHeight="1">
      <c r="A1802" s="11" t="str">
        <f t="array" ref="A1802">IFERROR(
  INDEX('Starlink Launches'!$A:$A, MATCH($E1802, 'Starlink Launches'!$B:$B, 0)),
  ""
)
</f>
        <v>6-67</v>
      </c>
      <c r="B1802" s="3" t="s">
        <v>25</v>
      </c>
      <c r="C1802" s="12" t="s">
        <v>1814</v>
      </c>
      <c r="D1802" s="13">
        <v>63995.0</v>
      </c>
      <c r="E1802" s="4">
        <v>45791.0</v>
      </c>
      <c r="F1802" s="4" t="str">
        <f>IF(D1802="","", IFNA(VLOOKUP(D1802, SATCAT_DECAY!A:B, 2, FALSE), ""))
</f>
        <v/>
      </c>
      <c r="G1802" s="3" t="str">
        <f t="shared" si="1"/>
        <v>ACTIVE</v>
      </c>
    </row>
    <row r="1803" ht="22.5" customHeight="1">
      <c r="A1803" s="11" t="str">
        <f t="array" ref="A1803">IFERROR(
  INDEX('Starlink Launches'!$A:$A, MATCH($E1803, 'Starlink Launches'!$B:$B, 0)),
  ""
)
</f>
        <v>6-67</v>
      </c>
      <c r="B1803" s="3" t="s">
        <v>25</v>
      </c>
      <c r="C1803" s="12" t="s">
        <v>1815</v>
      </c>
      <c r="D1803" s="13">
        <v>63996.0</v>
      </c>
      <c r="E1803" s="4">
        <v>45791.0</v>
      </c>
      <c r="F1803" s="4" t="str">
        <f>IF(D1803="","", IFNA(VLOOKUP(D1803, SATCAT_DECAY!A:B, 2, FALSE), ""))
</f>
        <v/>
      </c>
      <c r="G1803" s="3" t="str">
        <f t="shared" si="1"/>
        <v>ACTIVE</v>
      </c>
    </row>
    <row r="1804" ht="22.5" customHeight="1">
      <c r="A1804" s="11" t="str">
        <f t="array" ref="A1804">IFERROR(
  INDEX('Starlink Launches'!$A:$A, MATCH($E1804, 'Starlink Launches'!$B:$B, 0)),
  ""
)
</f>
        <v>6-67</v>
      </c>
      <c r="B1804" s="3" t="s">
        <v>25</v>
      </c>
      <c r="C1804" s="12" t="s">
        <v>1816</v>
      </c>
      <c r="D1804" s="13">
        <v>63997.0</v>
      </c>
      <c r="E1804" s="4">
        <v>45791.0</v>
      </c>
      <c r="F1804" s="4" t="str">
        <f>IF(D1804="","", IFNA(VLOOKUP(D1804, SATCAT_DECAY!A:B, 2, FALSE), ""))
</f>
        <v/>
      </c>
      <c r="G1804" s="3" t="str">
        <f t="shared" si="1"/>
        <v>ACTIVE</v>
      </c>
    </row>
    <row r="1805" ht="22.5" customHeight="1">
      <c r="A1805" s="11" t="str">
        <f t="array" ref="A1805">IFERROR(
  INDEX('Starlink Launches'!$A:$A, MATCH($E1805, 'Starlink Launches'!$B:$B, 0)),
  ""
)
</f>
        <v>6-67</v>
      </c>
      <c r="B1805" s="3" t="s">
        <v>25</v>
      </c>
      <c r="C1805" s="12" t="s">
        <v>1817</v>
      </c>
      <c r="D1805" s="13">
        <v>63998.0</v>
      </c>
      <c r="E1805" s="4">
        <v>45791.0</v>
      </c>
      <c r="F1805" s="4" t="str">
        <f>IF(D1805="","", IFNA(VLOOKUP(D1805, SATCAT_DECAY!A:B, 2, FALSE), ""))
</f>
        <v/>
      </c>
      <c r="G1805" s="3" t="str">
        <f t="shared" si="1"/>
        <v>ACTIVE</v>
      </c>
    </row>
    <row r="1806" ht="22.5" customHeight="1">
      <c r="A1806" s="11" t="str">
        <f t="array" ref="A1806">IFERROR(
  INDEX('Starlink Launches'!$A:$A, MATCH($E1806, 'Starlink Launches'!$B:$B, 0)),
  ""
)
</f>
        <v>6-67</v>
      </c>
      <c r="B1806" s="3" t="s">
        <v>25</v>
      </c>
      <c r="C1806" s="12" t="s">
        <v>1818</v>
      </c>
      <c r="D1806" s="13">
        <v>63999.0</v>
      </c>
      <c r="E1806" s="4">
        <v>45791.0</v>
      </c>
      <c r="F1806" s="4" t="str">
        <f>IF(D1806="","", IFNA(VLOOKUP(D1806, SATCAT_DECAY!A:B, 2, FALSE), ""))
</f>
        <v/>
      </c>
      <c r="G1806" s="3" t="str">
        <f t="shared" si="1"/>
        <v>ACTIVE</v>
      </c>
    </row>
    <row r="1807" ht="22.5" customHeight="1">
      <c r="A1807" s="11" t="str">
        <f t="array" ref="A1807">IFERROR(
  INDEX('Starlink Launches'!$A:$A, MATCH($E1807, 'Starlink Launches'!$B:$B, 0)),
  ""
)
</f>
        <v>6-67</v>
      </c>
      <c r="B1807" s="3" t="s">
        <v>25</v>
      </c>
      <c r="C1807" s="12" t="s">
        <v>1819</v>
      </c>
      <c r="D1807" s="13">
        <v>64000.0</v>
      </c>
      <c r="E1807" s="4">
        <v>45791.0</v>
      </c>
      <c r="F1807" s="4" t="str">
        <f>IF(D1807="","", IFNA(VLOOKUP(D1807, SATCAT_DECAY!A:B, 2, FALSE), ""))
</f>
        <v/>
      </c>
      <c r="G1807" s="3" t="str">
        <f t="shared" si="1"/>
        <v>ACTIVE</v>
      </c>
    </row>
    <row r="1808" ht="22.5" customHeight="1">
      <c r="A1808" s="11" t="str">
        <f t="array" ref="A1808">IFERROR(
  INDEX('Starlink Launches'!$A:$A, MATCH($E1808, 'Starlink Launches'!$B:$B, 0)),
  ""
)
</f>
        <v>6-67</v>
      </c>
      <c r="B1808" s="3" t="s">
        <v>25</v>
      </c>
      <c r="C1808" s="12" t="s">
        <v>1820</v>
      </c>
      <c r="D1808" s="13">
        <v>64001.0</v>
      </c>
      <c r="E1808" s="4">
        <v>45791.0</v>
      </c>
      <c r="F1808" s="4" t="str">
        <f>IF(D1808="","", IFNA(VLOOKUP(D1808, SATCAT_DECAY!A:B, 2, FALSE), ""))
</f>
        <v/>
      </c>
      <c r="G1808" s="3" t="str">
        <f t="shared" si="1"/>
        <v>ACTIVE</v>
      </c>
    </row>
    <row r="1809" ht="22.5" customHeight="1">
      <c r="A1809" s="11" t="str">
        <f t="array" ref="A1809">IFERROR(
  INDEX('Starlink Launches'!$A:$A, MATCH($E1809, 'Starlink Launches'!$B:$B, 0)),
  ""
)
</f>
        <v>6-67</v>
      </c>
      <c r="B1809" s="3" t="s">
        <v>25</v>
      </c>
      <c r="C1809" s="12" t="s">
        <v>1821</v>
      </c>
      <c r="D1809" s="13">
        <v>64002.0</v>
      </c>
      <c r="E1809" s="4">
        <v>45791.0</v>
      </c>
      <c r="F1809" s="4" t="str">
        <f>IF(D1809="","", IFNA(VLOOKUP(D1809, SATCAT_DECAY!A:B, 2, FALSE), ""))
</f>
        <v/>
      </c>
      <c r="G1809" s="3" t="str">
        <f t="shared" si="1"/>
        <v>ACTIVE</v>
      </c>
    </row>
    <row r="1810" ht="22.5" customHeight="1">
      <c r="A1810" s="11" t="str">
        <f t="array" ref="A1810">IFERROR(
  INDEX('Starlink Launches'!$A:$A, MATCH($E1810, 'Starlink Launches'!$B:$B, 0)),
  ""
)
</f>
        <v>6-67</v>
      </c>
      <c r="B1810" s="3" t="s">
        <v>25</v>
      </c>
      <c r="C1810" s="12" t="s">
        <v>1822</v>
      </c>
      <c r="D1810" s="13">
        <v>64003.0</v>
      </c>
      <c r="E1810" s="4">
        <v>45791.0</v>
      </c>
      <c r="F1810" s="4" t="str">
        <f>IF(D1810="","", IFNA(VLOOKUP(D1810, SATCAT_DECAY!A:B, 2, FALSE), ""))
</f>
        <v/>
      </c>
      <c r="G1810" s="3" t="str">
        <f t="shared" si="1"/>
        <v>ACTIVE</v>
      </c>
    </row>
    <row r="1811" ht="22.5" customHeight="1">
      <c r="A1811" s="11" t="str">
        <f t="array" ref="A1811">IFERROR(
  INDEX('Starlink Launches'!$A:$A, MATCH($E1811, 'Starlink Launches'!$B:$B, 0)),
  ""
)
</f>
        <v>6-67</v>
      </c>
      <c r="B1811" s="3" t="s">
        <v>25</v>
      </c>
      <c r="C1811" s="12" t="s">
        <v>1823</v>
      </c>
      <c r="D1811" s="13">
        <v>64004.0</v>
      </c>
      <c r="E1811" s="4">
        <v>45791.0</v>
      </c>
      <c r="F1811" s="4" t="str">
        <f>IF(D1811="","", IFNA(VLOOKUP(D1811, SATCAT_DECAY!A:B, 2, FALSE), ""))
</f>
        <v/>
      </c>
      <c r="G1811" s="3" t="str">
        <f t="shared" si="1"/>
        <v>ACTIVE</v>
      </c>
    </row>
    <row r="1812" ht="22.5" customHeight="1">
      <c r="A1812" s="11" t="str">
        <f t="array" ref="A1812">IFERROR(
  INDEX('Starlink Launches'!$A:$A, MATCH($E1812, 'Starlink Launches'!$B:$B, 0)),
  ""
)
</f>
        <v>6-67</v>
      </c>
      <c r="B1812" s="3" t="s">
        <v>25</v>
      </c>
      <c r="C1812" s="12" t="s">
        <v>1824</v>
      </c>
      <c r="D1812" s="13">
        <v>64005.0</v>
      </c>
      <c r="E1812" s="4">
        <v>45791.0</v>
      </c>
      <c r="F1812" s="4" t="str">
        <f>IF(D1812="","", IFNA(VLOOKUP(D1812, SATCAT_DECAY!A:B, 2, FALSE), ""))
</f>
        <v/>
      </c>
      <c r="G1812" s="3" t="str">
        <f t="shared" si="1"/>
        <v>ACTIVE</v>
      </c>
    </row>
    <row r="1813" ht="22.5" customHeight="1">
      <c r="A1813" s="11" t="str">
        <f t="array" ref="A1813">IFERROR(
  INDEX('Starlink Launches'!$A:$A, MATCH($E1813, 'Starlink Launches'!$B:$B, 0)),
  ""
)
</f>
        <v>6-67</v>
      </c>
      <c r="B1813" s="3" t="s">
        <v>25</v>
      </c>
      <c r="C1813" s="12" t="s">
        <v>1825</v>
      </c>
      <c r="D1813" s="13">
        <v>64006.0</v>
      </c>
      <c r="E1813" s="4">
        <v>45791.0</v>
      </c>
      <c r="F1813" s="4" t="str">
        <f>IF(D1813="","", IFNA(VLOOKUP(D1813, SATCAT_DECAY!A:B, 2, FALSE), ""))
</f>
        <v/>
      </c>
      <c r="G1813" s="3" t="str">
        <f t="shared" si="1"/>
        <v>ACTIVE</v>
      </c>
    </row>
    <row r="1814" ht="22.5" customHeight="1">
      <c r="A1814" s="11" t="str">
        <f t="array" ref="A1814">IFERROR(
  INDEX('Starlink Launches'!$A:$A, MATCH($E1814, 'Starlink Launches'!$B:$B, 0)),
  ""
)
</f>
        <v>6-67</v>
      </c>
      <c r="B1814" s="3" t="s">
        <v>25</v>
      </c>
      <c r="C1814" s="12" t="s">
        <v>1826</v>
      </c>
      <c r="D1814" s="13">
        <v>64007.0</v>
      </c>
      <c r="E1814" s="4">
        <v>45791.0</v>
      </c>
      <c r="F1814" s="4" t="str">
        <f>IF(D1814="","", IFNA(VLOOKUP(D1814, SATCAT_DECAY!A:B, 2, FALSE), ""))
</f>
        <v/>
      </c>
      <c r="G1814" s="3" t="str">
        <f t="shared" si="1"/>
        <v>ACTIVE</v>
      </c>
    </row>
    <row r="1815" ht="22.5" customHeight="1">
      <c r="A1815" s="11" t="str">
        <f t="array" ref="A1815">IFERROR(
  INDEX('Starlink Launches'!$A:$A, MATCH($E1815, 'Starlink Launches'!$B:$B, 0)),
  ""
)
</f>
        <v>6-67</v>
      </c>
      <c r="B1815" s="3" t="s">
        <v>25</v>
      </c>
      <c r="C1815" s="12" t="s">
        <v>1827</v>
      </c>
      <c r="D1815" s="13">
        <v>64008.0</v>
      </c>
      <c r="E1815" s="4">
        <v>45791.0</v>
      </c>
      <c r="F1815" s="4" t="str">
        <f>IF(D1815="","", IFNA(VLOOKUP(D1815, SATCAT_DECAY!A:B, 2, FALSE), ""))
</f>
        <v/>
      </c>
      <c r="G1815" s="3" t="str">
        <f t="shared" si="1"/>
        <v>ACTIVE</v>
      </c>
    </row>
    <row r="1816" ht="22.5" customHeight="1">
      <c r="A1816" s="11" t="str">
        <f t="array" ref="A1816">IFERROR(
  INDEX('Starlink Launches'!$A:$A, MATCH($E1816, 'Starlink Launches'!$B:$B, 0)),
  ""
)
</f>
        <v>6-67</v>
      </c>
      <c r="B1816" s="3" t="s">
        <v>25</v>
      </c>
      <c r="C1816" s="12" t="s">
        <v>1828</v>
      </c>
      <c r="D1816" s="13">
        <v>64009.0</v>
      </c>
      <c r="E1816" s="4">
        <v>45791.0</v>
      </c>
      <c r="F1816" s="4" t="str">
        <f>IF(D1816="","", IFNA(VLOOKUP(D1816, SATCAT_DECAY!A:B, 2, FALSE), ""))
</f>
        <v/>
      </c>
      <c r="G1816" s="3" t="str">
        <f t="shared" si="1"/>
        <v>ACTIVE</v>
      </c>
    </row>
    <row r="1817" ht="22.5" customHeight="1">
      <c r="A1817" s="11" t="str">
        <f t="array" ref="A1817">IFERROR(
  INDEX('Starlink Launches'!$A:$A, MATCH($E1817, 'Starlink Launches'!$B:$B, 0)),
  ""
)
</f>
        <v>6-67</v>
      </c>
      <c r="B1817" s="3" t="s">
        <v>25</v>
      </c>
      <c r="C1817" s="12" t="s">
        <v>1829</v>
      </c>
      <c r="D1817" s="13">
        <v>64010.0</v>
      </c>
      <c r="E1817" s="4">
        <v>45791.0</v>
      </c>
      <c r="F1817" s="4" t="str">
        <f>IF(D1817="","", IFNA(VLOOKUP(D1817, SATCAT_DECAY!A:B, 2, FALSE), ""))
</f>
        <v/>
      </c>
      <c r="G1817" s="3" t="str">
        <f t="shared" si="1"/>
        <v>ACTIVE</v>
      </c>
    </row>
    <row r="1818" ht="22.5" customHeight="1">
      <c r="A1818" s="11" t="str">
        <f t="array" ref="A1818">IFERROR(
  INDEX('Starlink Launches'!$A:$A, MATCH($E1818, 'Starlink Launches'!$B:$B, 0)),
  ""
)
</f>
        <v>6-67</v>
      </c>
      <c r="B1818" s="3" t="s">
        <v>25</v>
      </c>
      <c r="C1818" s="12" t="s">
        <v>1830</v>
      </c>
      <c r="D1818" s="13">
        <v>64011.0</v>
      </c>
      <c r="E1818" s="4">
        <v>45791.0</v>
      </c>
      <c r="F1818" s="4" t="str">
        <f>IF(D1818="","", IFNA(VLOOKUP(D1818, SATCAT_DECAY!A:B, 2, FALSE), ""))
</f>
        <v/>
      </c>
      <c r="G1818" s="3" t="str">
        <f t="shared" si="1"/>
        <v>ACTIVE</v>
      </c>
    </row>
    <row r="1819" ht="22.5" customHeight="1">
      <c r="A1819" s="11" t="str">
        <f t="array" ref="A1819">IFERROR(
  INDEX('Starlink Launches'!$A:$A, MATCH($E1819, 'Starlink Launches'!$B:$B, 0)),
  ""
)
</f>
        <v>6-67</v>
      </c>
      <c r="B1819" s="3" t="s">
        <v>25</v>
      </c>
      <c r="C1819" s="12" t="s">
        <v>1831</v>
      </c>
      <c r="D1819" s="13">
        <v>64012.0</v>
      </c>
      <c r="E1819" s="4">
        <v>45791.0</v>
      </c>
      <c r="F1819" s="4" t="str">
        <f>IF(D1819="","", IFNA(VLOOKUP(D1819, SATCAT_DECAY!A:B, 2, FALSE), ""))
</f>
        <v/>
      </c>
      <c r="G1819" s="3" t="str">
        <f t="shared" si="1"/>
        <v>ACTIVE</v>
      </c>
    </row>
    <row r="1820" ht="22.5" customHeight="1">
      <c r="A1820" s="11" t="str">
        <f t="array" ref="A1820">IFERROR(
  INDEX('Starlink Launches'!$A:$A, MATCH($E1820, 'Starlink Launches'!$B:$B, 0)),
  ""
)
</f>
        <v>6-67</v>
      </c>
      <c r="B1820" s="3" t="s">
        <v>25</v>
      </c>
      <c r="C1820" s="12" t="s">
        <v>1832</v>
      </c>
      <c r="D1820" s="13">
        <v>64013.0</v>
      </c>
      <c r="E1820" s="4">
        <v>45791.0</v>
      </c>
      <c r="F1820" s="4" t="str">
        <f>IF(D1820="","", IFNA(VLOOKUP(D1820, SATCAT_DECAY!A:B, 2, FALSE), ""))
</f>
        <v/>
      </c>
      <c r="G1820" s="3" t="str">
        <f t="shared" si="1"/>
        <v>ACTIVE</v>
      </c>
    </row>
    <row r="1821" ht="22.5" customHeight="1">
      <c r="A1821" s="11" t="str">
        <f t="array" ref="A1821">IFERROR(
  INDEX('Starlink Launches'!$A:$A, MATCH($E1821, 'Starlink Launches'!$B:$B, 0)),
  ""
)
</f>
        <v>6-67</v>
      </c>
      <c r="B1821" s="3" t="s">
        <v>25</v>
      </c>
      <c r="C1821" s="12" t="s">
        <v>1833</v>
      </c>
      <c r="D1821" s="13">
        <v>64014.0</v>
      </c>
      <c r="E1821" s="4">
        <v>45791.0</v>
      </c>
      <c r="F1821" s="4" t="str">
        <f>IF(D1821="","", IFNA(VLOOKUP(D1821, SATCAT_DECAY!A:B, 2, FALSE), ""))
</f>
        <v/>
      </c>
      <c r="G1821" s="3" t="str">
        <f t="shared" si="1"/>
        <v>ACTIVE</v>
      </c>
    </row>
    <row r="1822" ht="22.5" customHeight="1">
      <c r="A1822" s="11" t="str">
        <f t="array" ref="A1822">IFERROR(
  INDEX('Starlink Launches'!$A:$A, MATCH($E1822, 'Starlink Launches'!$B:$B, 0)),
  ""
)
</f>
        <v>6-67</v>
      </c>
      <c r="B1822" s="3" t="s">
        <v>25</v>
      </c>
      <c r="C1822" s="12" t="s">
        <v>1834</v>
      </c>
      <c r="D1822" s="13">
        <v>64015.0</v>
      </c>
      <c r="E1822" s="4">
        <v>45791.0</v>
      </c>
      <c r="F1822" s="4" t="str">
        <f>IF(D1822="","", IFNA(VLOOKUP(D1822, SATCAT_DECAY!A:B, 2, FALSE), ""))
</f>
        <v/>
      </c>
      <c r="G1822" s="3" t="str">
        <f t="shared" si="1"/>
        <v>ACTIVE</v>
      </c>
    </row>
    <row r="1823" ht="22.5" customHeight="1">
      <c r="A1823" s="11" t="str">
        <f t="array" ref="A1823">IFERROR(
  INDEX('Starlink Launches'!$A:$A, MATCH($E1823, 'Starlink Launches'!$B:$B, 0)),
  ""
)
</f>
        <v>6-67</v>
      </c>
      <c r="B1823" s="3" t="s">
        <v>25</v>
      </c>
      <c r="C1823" s="12" t="s">
        <v>1835</v>
      </c>
      <c r="D1823" s="13">
        <v>64016.0</v>
      </c>
      <c r="E1823" s="4">
        <v>45791.0</v>
      </c>
      <c r="F1823" s="4" t="str">
        <f>IF(D1823="","", IFNA(VLOOKUP(D1823, SATCAT_DECAY!A:B, 2, FALSE), ""))
</f>
        <v/>
      </c>
      <c r="G1823" s="3" t="str">
        <f t="shared" si="1"/>
        <v>ACTIVE</v>
      </c>
    </row>
    <row r="1824" ht="22.5" customHeight="1">
      <c r="A1824" s="11" t="str">
        <f t="array" ref="A1824">IFERROR(
  INDEX('Starlink Launches'!$A:$A, MATCH($E1824, 'Starlink Launches'!$B:$B, 0)),
  ""
)
</f>
        <v>6-67</v>
      </c>
      <c r="B1824" s="3" t="s">
        <v>25</v>
      </c>
      <c r="C1824" s="12" t="s">
        <v>1836</v>
      </c>
      <c r="D1824" s="13">
        <v>64017.0</v>
      </c>
      <c r="E1824" s="4">
        <v>45791.0</v>
      </c>
      <c r="F1824" s="4" t="str">
        <f>IF(D1824="","", IFNA(VLOOKUP(D1824, SATCAT_DECAY!A:B, 2, FALSE), ""))
</f>
        <v/>
      </c>
      <c r="G1824" s="3" t="str">
        <f t="shared" si="1"/>
        <v>ACTIVE</v>
      </c>
    </row>
    <row r="1825" ht="22.5" customHeight="1">
      <c r="A1825" s="11" t="str">
        <f t="array" ref="A1825">IFERROR(
  INDEX('Starlink Launches'!$A:$A, MATCH($E1825, 'Starlink Launches'!$B:$B, 0)),
  ""
)
</f>
        <v>6-67</v>
      </c>
      <c r="B1825" s="3" t="s">
        <v>25</v>
      </c>
      <c r="C1825" s="12" t="s">
        <v>1837</v>
      </c>
      <c r="D1825" s="13">
        <v>64018.0</v>
      </c>
      <c r="E1825" s="4">
        <v>45791.0</v>
      </c>
      <c r="F1825" s="4" t="str">
        <f>IF(D1825="","", IFNA(VLOOKUP(D1825, SATCAT_DECAY!A:B, 2, FALSE), ""))
</f>
        <v/>
      </c>
      <c r="G1825" s="3" t="str">
        <f t="shared" si="1"/>
        <v>ACTIVE</v>
      </c>
    </row>
    <row r="1826" ht="22.5" customHeight="1">
      <c r="A1826" s="11" t="str">
        <f t="array" ref="A1826">IFERROR(
  INDEX('Starlink Launches'!$A:$A, MATCH($E1826, 'Starlink Launches'!$B:$B, 0)),
  ""
)
</f>
        <v>6-67</v>
      </c>
      <c r="B1826" s="3" t="s">
        <v>25</v>
      </c>
      <c r="C1826" s="12" t="s">
        <v>1838</v>
      </c>
      <c r="D1826" s="13">
        <v>64019.0</v>
      </c>
      <c r="E1826" s="4">
        <v>45791.0</v>
      </c>
      <c r="F1826" s="4" t="str">
        <f>IF(D1826="","", IFNA(VLOOKUP(D1826, SATCAT_DECAY!A:B, 2, FALSE), ""))
</f>
        <v/>
      </c>
      <c r="G1826" s="3" t="str">
        <f t="shared" si="1"/>
        <v>ACTIVE</v>
      </c>
    </row>
    <row r="1827" ht="22.5" customHeight="1">
      <c r="A1827" s="11" t="str">
        <f t="array" ref="A1827">IFERROR(
  INDEX('Starlink Launches'!$A:$A, MATCH($E1827, 'Starlink Launches'!$B:$B, 0)),
  ""
)
</f>
        <v>6-67</v>
      </c>
      <c r="B1827" s="3" t="s">
        <v>25</v>
      </c>
      <c r="C1827" s="12" t="s">
        <v>1839</v>
      </c>
      <c r="D1827" s="13">
        <v>64020.0</v>
      </c>
      <c r="E1827" s="4">
        <v>45791.0</v>
      </c>
      <c r="F1827" s="4" t="str">
        <f>IF(D1827="","", IFNA(VLOOKUP(D1827, SATCAT_DECAY!A:B, 2, FALSE), ""))
</f>
        <v/>
      </c>
      <c r="G1827" s="3" t="str">
        <f t="shared" si="1"/>
        <v>ACTIVE</v>
      </c>
    </row>
    <row r="1828" ht="22.5" customHeight="1">
      <c r="A1828" s="11" t="str">
        <f t="array" ref="A1828">IFERROR(
  INDEX('Starlink Launches'!$A:$A, MATCH($E1828, 'Starlink Launches'!$B:$B, 0)),
  ""
)
</f>
        <v>6-67</v>
      </c>
      <c r="B1828" s="3" t="s">
        <v>25</v>
      </c>
      <c r="C1828" s="12" t="s">
        <v>1840</v>
      </c>
      <c r="D1828" s="13">
        <v>64021.0</v>
      </c>
      <c r="E1828" s="4">
        <v>45791.0</v>
      </c>
      <c r="F1828" s="4" t="str">
        <f>IF(D1828="","", IFNA(VLOOKUP(D1828, SATCAT_DECAY!A:B, 2, FALSE), ""))
</f>
        <v/>
      </c>
      <c r="G1828" s="3" t="str">
        <f t="shared" si="1"/>
        <v>ACTIVE</v>
      </c>
    </row>
    <row r="1829" ht="22.5" customHeight="1">
      <c r="A1829" s="11" t="str">
        <f t="array" ref="A1829">IFERROR(
  INDEX('Starlink Launches'!$A:$A, MATCH($E1829, 'Starlink Launches'!$B:$B, 0)),
  ""
)
</f>
        <v>6-81</v>
      </c>
      <c r="B1829" s="3" t="s">
        <v>25</v>
      </c>
      <c r="C1829" s="12" t="s">
        <v>1841</v>
      </c>
      <c r="D1829" s="13">
        <v>66319.0</v>
      </c>
      <c r="E1829" s="4">
        <v>45967.0</v>
      </c>
      <c r="F1829" s="4" t="str">
        <f>IF(D1829="","", IFNA(VLOOKUP(D1829, SATCAT_DECAY!A:B, 2, FALSE), ""))
</f>
        <v/>
      </c>
      <c r="G1829" s="3" t="str">
        <f t="shared" si="1"/>
        <v>ACTIVE</v>
      </c>
    </row>
    <row r="1830" ht="22.5" customHeight="1">
      <c r="A1830" s="11" t="str">
        <f t="array" ref="A1830">IFERROR(
  INDEX('Starlink Launches'!$A:$A, MATCH($E1830, 'Starlink Launches'!$B:$B, 0)),
  ""
)
</f>
        <v>6-81</v>
      </c>
      <c r="B1830" s="3" t="s">
        <v>25</v>
      </c>
      <c r="C1830" s="12" t="s">
        <v>1842</v>
      </c>
      <c r="D1830" s="13">
        <v>66320.0</v>
      </c>
      <c r="E1830" s="4">
        <v>45967.0</v>
      </c>
      <c r="F1830" s="4" t="str">
        <f>IF(D1830="","", IFNA(VLOOKUP(D1830, SATCAT_DECAY!A:B, 2, FALSE), ""))
</f>
        <v/>
      </c>
      <c r="G1830" s="3" t="str">
        <f t="shared" si="1"/>
        <v>ACTIVE</v>
      </c>
    </row>
    <row r="1831" ht="22.5" customHeight="1">
      <c r="A1831" s="11" t="str">
        <f t="array" ref="A1831">IFERROR(
  INDEX('Starlink Launches'!$A:$A, MATCH($E1831, 'Starlink Launches'!$B:$B, 0)),
  ""
)
</f>
        <v>6-81</v>
      </c>
      <c r="B1831" s="3" t="s">
        <v>25</v>
      </c>
      <c r="C1831" s="12" t="s">
        <v>1843</v>
      </c>
      <c r="D1831" s="13">
        <v>66321.0</v>
      </c>
      <c r="E1831" s="4">
        <v>45967.0</v>
      </c>
      <c r="F1831" s="4" t="str">
        <f>IF(D1831="","", IFNA(VLOOKUP(D1831, SATCAT_DECAY!A:B, 2, FALSE), ""))
</f>
        <v/>
      </c>
      <c r="G1831" s="3" t="str">
        <f t="shared" si="1"/>
        <v>ACTIVE</v>
      </c>
    </row>
    <row r="1832" ht="22.5" customHeight="1">
      <c r="A1832" s="11" t="str">
        <f t="array" ref="A1832">IFERROR(
  INDEX('Starlink Launches'!$A:$A, MATCH($E1832, 'Starlink Launches'!$B:$B, 0)),
  ""
)
</f>
        <v>6-81</v>
      </c>
      <c r="B1832" s="3" t="s">
        <v>25</v>
      </c>
      <c r="C1832" s="12" t="s">
        <v>1844</v>
      </c>
      <c r="D1832" s="13">
        <v>66322.0</v>
      </c>
      <c r="E1832" s="4">
        <v>45967.0</v>
      </c>
      <c r="F1832" s="4" t="str">
        <f>IF(D1832="","", IFNA(VLOOKUP(D1832, SATCAT_DECAY!A:B, 2, FALSE), ""))
</f>
        <v/>
      </c>
      <c r="G1832" s="3" t="str">
        <f t="shared" si="1"/>
        <v>ACTIVE</v>
      </c>
    </row>
    <row r="1833" ht="22.5" customHeight="1">
      <c r="A1833" s="11" t="str">
        <f t="array" ref="A1833">IFERROR(
  INDEX('Starlink Launches'!$A:$A, MATCH($E1833, 'Starlink Launches'!$B:$B, 0)),
  ""
)
</f>
        <v>6-81</v>
      </c>
      <c r="B1833" s="3" t="s">
        <v>25</v>
      </c>
      <c r="C1833" s="12" t="s">
        <v>1845</v>
      </c>
      <c r="D1833" s="13">
        <v>66323.0</v>
      </c>
      <c r="E1833" s="4">
        <v>45967.0</v>
      </c>
      <c r="F1833" s="4" t="str">
        <f>IF(D1833="","", IFNA(VLOOKUP(D1833, SATCAT_DECAY!A:B, 2, FALSE), ""))
</f>
        <v/>
      </c>
      <c r="G1833" s="3" t="str">
        <f t="shared" si="1"/>
        <v>ACTIVE</v>
      </c>
    </row>
    <row r="1834" ht="22.5" customHeight="1">
      <c r="A1834" s="11" t="str">
        <f t="array" ref="A1834">IFERROR(
  INDEX('Starlink Launches'!$A:$A, MATCH($E1834, 'Starlink Launches'!$B:$B, 0)),
  ""
)
</f>
        <v>6-81</v>
      </c>
      <c r="B1834" s="3" t="s">
        <v>25</v>
      </c>
      <c r="C1834" s="12" t="s">
        <v>1846</v>
      </c>
      <c r="D1834" s="13">
        <v>66324.0</v>
      </c>
      <c r="E1834" s="4">
        <v>45967.0</v>
      </c>
      <c r="F1834" s="4" t="str">
        <f>IF(D1834="","", IFNA(VLOOKUP(D1834, SATCAT_DECAY!A:B, 2, FALSE), ""))
</f>
        <v/>
      </c>
      <c r="G1834" s="3" t="str">
        <f t="shared" si="1"/>
        <v>ACTIVE</v>
      </c>
    </row>
    <row r="1835" ht="22.5" customHeight="1">
      <c r="A1835" s="11" t="str">
        <f t="array" ref="A1835">IFERROR(
  INDEX('Starlink Launches'!$A:$A, MATCH($E1835, 'Starlink Launches'!$B:$B, 0)),
  ""
)
</f>
        <v>6-81</v>
      </c>
      <c r="B1835" s="3" t="s">
        <v>25</v>
      </c>
      <c r="C1835" s="12" t="s">
        <v>1847</v>
      </c>
      <c r="D1835" s="13">
        <v>66325.0</v>
      </c>
      <c r="E1835" s="4">
        <v>45967.0</v>
      </c>
      <c r="F1835" s="4" t="str">
        <f>IF(D1835="","", IFNA(VLOOKUP(D1835, SATCAT_DECAY!A:B, 2, FALSE), ""))
</f>
        <v/>
      </c>
      <c r="G1835" s="3" t="str">
        <f t="shared" si="1"/>
        <v>ACTIVE</v>
      </c>
    </row>
    <row r="1836" ht="22.5" customHeight="1">
      <c r="A1836" s="11" t="str">
        <f t="array" ref="A1836">IFERROR(
  INDEX('Starlink Launches'!$A:$A, MATCH($E1836, 'Starlink Launches'!$B:$B, 0)),
  ""
)
</f>
        <v>6-81</v>
      </c>
      <c r="B1836" s="3" t="s">
        <v>25</v>
      </c>
      <c r="C1836" s="12" t="s">
        <v>1848</v>
      </c>
      <c r="D1836" s="13">
        <v>66326.0</v>
      </c>
      <c r="E1836" s="4">
        <v>45967.0</v>
      </c>
      <c r="F1836" s="4" t="str">
        <f>IF(D1836="","", IFNA(VLOOKUP(D1836, SATCAT_DECAY!A:B, 2, FALSE), ""))
</f>
        <v/>
      </c>
      <c r="G1836" s="3" t="str">
        <f t="shared" si="1"/>
        <v>ACTIVE</v>
      </c>
    </row>
    <row r="1837" ht="22.5" customHeight="1">
      <c r="A1837" s="11" t="str">
        <f t="array" ref="A1837">IFERROR(
  INDEX('Starlink Launches'!$A:$A, MATCH($E1837, 'Starlink Launches'!$B:$B, 0)),
  ""
)
</f>
        <v>6-81</v>
      </c>
      <c r="B1837" s="3" t="s">
        <v>25</v>
      </c>
      <c r="C1837" s="12" t="s">
        <v>1849</v>
      </c>
      <c r="D1837" s="13">
        <v>66327.0</v>
      </c>
      <c r="E1837" s="4">
        <v>45967.0</v>
      </c>
      <c r="F1837" s="4" t="str">
        <f>IF(D1837="","", IFNA(VLOOKUP(D1837, SATCAT_DECAY!A:B, 2, FALSE), ""))
</f>
        <v/>
      </c>
      <c r="G1837" s="3" t="str">
        <f t="shared" si="1"/>
        <v>ACTIVE</v>
      </c>
    </row>
    <row r="1838" ht="22.5" customHeight="1">
      <c r="A1838" s="11" t="str">
        <f t="array" ref="A1838">IFERROR(
  INDEX('Starlink Launches'!$A:$A, MATCH($E1838, 'Starlink Launches'!$B:$B, 0)),
  ""
)
</f>
        <v>6-81</v>
      </c>
      <c r="B1838" s="3" t="s">
        <v>25</v>
      </c>
      <c r="C1838" s="12" t="s">
        <v>1850</v>
      </c>
      <c r="D1838" s="13">
        <v>66328.0</v>
      </c>
      <c r="E1838" s="4">
        <v>45967.0</v>
      </c>
      <c r="F1838" s="4" t="str">
        <f>IF(D1838="","", IFNA(VLOOKUP(D1838, SATCAT_DECAY!A:B, 2, FALSE), ""))
</f>
        <v/>
      </c>
      <c r="G1838" s="3" t="str">
        <f t="shared" si="1"/>
        <v>ACTIVE</v>
      </c>
    </row>
    <row r="1839" ht="22.5" customHeight="1">
      <c r="A1839" s="11" t="str">
        <f t="array" ref="A1839">IFERROR(
  INDEX('Starlink Launches'!$A:$A, MATCH($E1839, 'Starlink Launches'!$B:$B, 0)),
  ""
)
</f>
        <v>6-81</v>
      </c>
      <c r="B1839" s="3" t="s">
        <v>25</v>
      </c>
      <c r="C1839" s="12" t="s">
        <v>1851</v>
      </c>
      <c r="D1839" s="13">
        <v>66329.0</v>
      </c>
      <c r="E1839" s="4">
        <v>45967.0</v>
      </c>
      <c r="F1839" s="4" t="str">
        <f>IF(D1839="","", IFNA(VLOOKUP(D1839, SATCAT_DECAY!A:B, 2, FALSE), ""))
</f>
        <v/>
      </c>
      <c r="G1839" s="3" t="str">
        <f t="shared" si="1"/>
        <v>ACTIVE</v>
      </c>
    </row>
    <row r="1840" ht="22.5" customHeight="1">
      <c r="A1840" s="11" t="str">
        <f t="array" ref="A1840">IFERROR(
  INDEX('Starlink Launches'!$A:$A, MATCH($E1840, 'Starlink Launches'!$B:$B, 0)),
  ""
)
</f>
        <v>6-81</v>
      </c>
      <c r="B1840" s="3" t="s">
        <v>25</v>
      </c>
      <c r="C1840" s="12" t="s">
        <v>1852</v>
      </c>
      <c r="D1840" s="13">
        <v>66330.0</v>
      </c>
      <c r="E1840" s="4">
        <v>45967.0</v>
      </c>
      <c r="F1840" s="4" t="str">
        <f>IF(D1840="","", IFNA(VLOOKUP(D1840, SATCAT_DECAY!A:B, 2, FALSE), ""))
</f>
        <v/>
      </c>
      <c r="G1840" s="3" t="str">
        <f t="shared" si="1"/>
        <v>ACTIVE</v>
      </c>
    </row>
    <row r="1841" ht="22.5" customHeight="1">
      <c r="A1841" s="11" t="str">
        <f t="array" ref="A1841">IFERROR(
  INDEX('Starlink Launches'!$A:$A, MATCH($E1841, 'Starlink Launches'!$B:$B, 0)),
  ""
)
</f>
        <v>6-81</v>
      </c>
      <c r="B1841" s="3" t="s">
        <v>25</v>
      </c>
      <c r="C1841" s="12" t="s">
        <v>1853</v>
      </c>
      <c r="D1841" s="13">
        <v>66331.0</v>
      </c>
      <c r="E1841" s="4">
        <v>45967.0</v>
      </c>
      <c r="F1841" s="4" t="str">
        <f>IF(D1841="","", IFNA(VLOOKUP(D1841, SATCAT_DECAY!A:B, 2, FALSE), ""))
</f>
        <v/>
      </c>
      <c r="G1841" s="3" t="str">
        <f t="shared" si="1"/>
        <v>ACTIVE</v>
      </c>
    </row>
    <row r="1842" ht="22.5" customHeight="1">
      <c r="A1842" s="11" t="str">
        <f t="array" ref="A1842">IFERROR(
  INDEX('Starlink Launches'!$A:$A, MATCH($E1842, 'Starlink Launches'!$B:$B, 0)),
  ""
)
</f>
        <v>6-81</v>
      </c>
      <c r="B1842" s="3" t="s">
        <v>25</v>
      </c>
      <c r="C1842" s="12" t="s">
        <v>1854</v>
      </c>
      <c r="D1842" s="13">
        <v>66332.0</v>
      </c>
      <c r="E1842" s="4">
        <v>45967.0</v>
      </c>
      <c r="F1842" s="4" t="str">
        <f>IF(D1842="","", IFNA(VLOOKUP(D1842, SATCAT_DECAY!A:B, 2, FALSE), ""))
</f>
        <v/>
      </c>
      <c r="G1842" s="3" t="str">
        <f t="shared" si="1"/>
        <v>ACTIVE</v>
      </c>
    </row>
    <row r="1843" ht="22.5" customHeight="1">
      <c r="A1843" s="11" t="str">
        <f t="array" ref="A1843">IFERROR(
  INDEX('Starlink Launches'!$A:$A, MATCH($E1843, 'Starlink Launches'!$B:$B, 0)),
  ""
)
</f>
        <v>6-81</v>
      </c>
      <c r="B1843" s="3" t="s">
        <v>25</v>
      </c>
      <c r="C1843" s="12" t="s">
        <v>1855</v>
      </c>
      <c r="D1843" s="13">
        <v>66333.0</v>
      </c>
      <c r="E1843" s="4">
        <v>45967.0</v>
      </c>
      <c r="F1843" s="4" t="str">
        <f>IF(D1843="","", IFNA(VLOOKUP(D1843, SATCAT_DECAY!A:B, 2, FALSE), ""))
</f>
        <v/>
      </c>
      <c r="G1843" s="3" t="str">
        <f t="shared" si="1"/>
        <v>ACTIVE</v>
      </c>
    </row>
    <row r="1844" ht="22.5" customHeight="1">
      <c r="A1844" s="11" t="str">
        <f t="array" ref="A1844">IFERROR(
  INDEX('Starlink Launches'!$A:$A, MATCH($E1844, 'Starlink Launches'!$B:$B, 0)),
  ""
)
</f>
        <v>6-81</v>
      </c>
      <c r="B1844" s="3" t="s">
        <v>25</v>
      </c>
      <c r="C1844" s="12" t="s">
        <v>1856</v>
      </c>
      <c r="D1844" s="13">
        <v>66334.0</v>
      </c>
      <c r="E1844" s="4">
        <v>45967.0</v>
      </c>
      <c r="F1844" s="4" t="str">
        <f>IF(D1844="","", IFNA(VLOOKUP(D1844, SATCAT_DECAY!A:B, 2, FALSE), ""))
</f>
        <v/>
      </c>
      <c r="G1844" s="3" t="str">
        <f t="shared" si="1"/>
        <v>ACTIVE</v>
      </c>
    </row>
    <row r="1845" ht="22.5" customHeight="1">
      <c r="A1845" s="11" t="str">
        <f t="array" ref="A1845">IFERROR(
  INDEX('Starlink Launches'!$A:$A, MATCH($E1845, 'Starlink Launches'!$B:$B, 0)),
  ""
)
</f>
        <v>6-81</v>
      </c>
      <c r="B1845" s="3" t="s">
        <v>25</v>
      </c>
      <c r="C1845" s="12" t="s">
        <v>1857</v>
      </c>
      <c r="D1845" s="13">
        <v>66335.0</v>
      </c>
      <c r="E1845" s="4">
        <v>45967.0</v>
      </c>
      <c r="F1845" s="4" t="str">
        <f>IF(D1845="","", IFNA(VLOOKUP(D1845, SATCAT_DECAY!A:B, 2, FALSE), ""))
</f>
        <v/>
      </c>
      <c r="G1845" s="3" t="str">
        <f t="shared" si="1"/>
        <v>ACTIVE</v>
      </c>
    </row>
    <row r="1846" ht="22.5" customHeight="1">
      <c r="A1846" s="11" t="str">
        <f t="array" ref="A1846">IFERROR(
  INDEX('Starlink Launches'!$A:$A, MATCH($E1846, 'Starlink Launches'!$B:$B, 0)),
  ""
)
</f>
        <v>6-81</v>
      </c>
      <c r="B1846" s="3" t="s">
        <v>25</v>
      </c>
      <c r="C1846" s="12" t="s">
        <v>1858</v>
      </c>
      <c r="D1846" s="13">
        <v>66336.0</v>
      </c>
      <c r="E1846" s="4">
        <v>45967.0</v>
      </c>
      <c r="F1846" s="4" t="str">
        <f>IF(D1846="","", IFNA(VLOOKUP(D1846, SATCAT_DECAY!A:B, 2, FALSE), ""))
</f>
        <v/>
      </c>
      <c r="G1846" s="3" t="str">
        <f t="shared" si="1"/>
        <v>ACTIVE</v>
      </c>
    </row>
    <row r="1847" ht="22.5" customHeight="1">
      <c r="A1847" s="11" t="str">
        <f t="array" ref="A1847">IFERROR(
  INDEX('Starlink Launches'!$A:$A, MATCH($E1847, 'Starlink Launches'!$B:$B, 0)),
  ""
)
</f>
        <v>6-81</v>
      </c>
      <c r="B1847" s="3" t="s">
        <v>25</v>
      </c>
      <c r="C1847" s="12" t="s">
        <v>1859</v>
      </c>
      <c r="D1847" s="13">
        <v>66337.0</v>
      </c>
      <c r="E1847" s="4">
        <v>45967.0</v>
      </c>
      <c r="F1847" s="4" t="str">
        <f>IF(D1847="","", IFNA(VLOOKUP(D1847, SATCAT_DECAY!A:B, 2, FALSE), ""))
</f>
        <v/>
      </c>
      <c r="G1847" s="3" t="str">
        <f t="shared" si="1"/>
        <v>ACTIVE</v>
      </c>
    </row>
    <row r="1848" ht="22.5" customHeight="1">
      <c r="A1848" s="11" t="str">
        <f t="array" ref="A1848">IFERROR(
  INDEX('Starlink Launches'!$A:$A, MATCH($E1848, 'Starlink Launches'!$B:$B, 0)),
  ""
)
</f>
        <v>6-81</v>
      </c>
      <c r="B1848" s="3" t="s">
        <v>25</v>
      </c>
      <c r="C1848" s="12" t="s">
        <v>1860</v>
      </c>
      <c r="D1848" s="13">
        <v>66338.0</v>
      </c>
      <c r="E1848" s="4">
        <v>45967.0</v>
      </c>
      <c r="F1848" s="4" t="str">
        <f>IF(D1848="","", IFNA(VLOOKUP(D1848, SATCAT_DECAY!A:B, 2, FALSE), ""))
</f>
        <v/>
      </c>
      <c r="G1848" s="3" t="str">
        <f t="shared" si="1"/>
        <v>ACTIVE</v>
      </c>
    </row>
    <row r="1849" ht="22.5" customHeight="1">
      <c r="A1849" s="11" t="str">
        <f t="array" ref="A1849">IFERROR(
  INDEX('Starlink Launches'!$A:$A, MATCH($E1849, 'Starlink Launches'!$B:$B, 0)),
  ""
)
</f>
        <v>6-81</v>
      </c>
      <c r="B1849" s="3" t="s">
        <v>25</v>
      </c>
      <c r="C1849" s="12" t="s">
        <v>1861</v>
      </c>
      <c r="D1849" s="13">
        <v>66339.0</v>
      </c>
      <c r="E1849" s="4">
        <v>45967.0</v>
      </c>
      <c r="F1849" s="4" t="str">
        <f>IF(D1849="","", IFNA(VLOOKUP(D1849, SATCAT_DECAY!A:B, 2, FALSE), ""))
</f>
        <v/>
      </c>
      <c r="G1849" s="3" t="str">
        <f t="shared" si="1"/>
        <v>ACTIVE</v>
      </c>
    </row>
    <row r="1850" ht="22.5" customHeight="1">
      <c r="A1850" s="11" t="str">
        <f t="array" ref="A1850">IFERROR(
  INDEX('Starlink Launches'!$A:$A, MATCH($E1850, 'Starlink Launches'!$B:$B, 0)),
  ""
)
</f>
        <v>6-81</v>
      </c>
      <c r="B1850" s="3" t="s">
        <v>25</v>
      </c>
      <c r="C1850" s="12" t="s">
        <v>1862</v>
      </c>
      <c r="D1850" s="13">
        <v>66340.0</v>
      </c>
      <c r="E1850" s="4">
        <v>45967.0</v>
      </c>
      <c r="F1850" s="4" t="str">
        <f>IF(D1850="","", IFNA(VLOOKUP(D1850, SATCAT_DECAY!A:B, 2, FALSE), ""))
</f>
        <v/>
      </c>
      <c r="G1850" s="3" t="str">
        <f t="shared" si="1"/>
        <v>ACTIVE</v>
      </c>
    </row>
    <row r="1851" ht="22.5" customHeight="1">
      <c r="A1851" s="11" t="str">
        <f t="array" ref="A1851">IFERROR(
  INDEX('Starlink Launches'!$A:$A, MATCH($E1851, 'Starlink Launches'!$B:$B, 0)),
  ""
)
</f>
        <v>6-81</v>
      </c>
      <c r="B1851" s="3" t="s">
        <v>25</v>
      </c>
      <c r="C1851" s="12" t="s">
        <v>1863</v>
      </c>
      <c r="D1851" s="13">
        <v>66341.0</v>
      </c>
      <c r="E1851" s="4">
        <v>45967.0</v>
      </c>
      <c r="F1851" s="4" t="str">
        <f>IF(D1851="","", IFNA(VLOOKUP(D1851, SATCAT_DECAY!A:B, 2, FALSE), ""))
</f>
        <v/>
      </c>
      <c r="G1851" s="3" t="str">
        <f t="shared" si="1"/>
        <v>ACTIVE</v>
      </c>
    </row>
    <row r="1852" ht="22.5" customHeight="1">
      <c r="A1852" s="11" t="str">
        <f t="array" ref="A1852">IFERROR(
  INDEX('Starlink Launches'!$A:$A, MATCH($E1852, 'Starlink Launches'!$B:$B, 0)),
  ""
)
</f>
        <v>6-81</v>
      </c>
      <c r="B1852" s="3" t="s">
        <v>25</v>
      </c>
      <c r="C1852" s="12" t="s">
        <v>1864</v>
      </c>
      <c r="D1852" s="13">
        <v>66342.0</v>
      </c>
      <c r="E1852" s="4">
        <v>45967.0</v>
      </c>
      <c r="F1852" s="4" t="str">
        <f>IF(D1852="","", IFNA(VLOOKUP(D1852, SATCAT_DECAY!A:B, 2, FALSE), ""))
</f>
        <v/>
      </c>
      <c r="G1852" s="3" t="str">
        <f t="shared" si="1"/>
        <v>ACTIVE</v>
      </c>
    </row>
    <row r="1853" ht="22.5" customHeight="1">
      <c r="A1853" s="11" t="str">
        <f t="array" ref="A1853">IFERROR(
  INDEX('Starlink Launches'!$A:$A, MATCH($E1853, 'Starlink Launches'!$B:$B, 0)),
  ""
)
</f>
        <v>6-81</v>
      </c>
      <c r="B1853" s="3" t="s">
        <v>25</v>
      </c>
      <c r="C1853" s="12" t="s">
        <v>1865</v>
      </c>
      <c r="D1853" s="13">
        <v>66343.0</v>
      </c>
      <c r="E1853" s="4">
        <v>45967.0</v>
      </c>
      <c r="F1853" s="4" t="str">
        <f>IF(D1853="","", IFNA(VLOOKUP(D1853, SATCAT_DECAY!A:B, 2, FALSE), ""))
</f>
        <v/>
      </c>
      <c r="G1853" s="3" t="str">
        <f t="shared" si="1"/>
        <v>ACTIVE</v>
      </c>
    </row>
    <row r="1854" ht="22.5" customHeight="1">
      <c r="A1854" s="11" t="str">
        <f t="array" ref="A1854">IFERROR(
  INDEX('Starlink Launches'!$A:$A, MATCH($E1854, 'Starlink Launches'!$B:$B, 0)),
  ""
)
</f>
        <v>6-81</v>
      </c>
      <c r="B1854" s="3" t="s">
        <v>25</v>
      </c>
      <c r="C1854" s="12" t="s">
        <v>1866</v>
      </c>
      <c r="D1854" s="13">
        <v>66344.0</v>
      </c>
      <c r="E1854" s="4">
        <v>45967.0</v>
      </c>
      <c r="F1854" s="4" t="str">
        <f>IF(D1854="","", IFNA(VLOOKUP(D1854, SATCAT_DECAY!A:B, 2, FALSE), ""))
</f>
        <v/>
      </c>
      <c r="G1854" s="3" t="str">
        <f t="shared" si="1"/>
        <v>ACTIVE</v>
      </c>
    </row>
    <row r="1855" ht="22.5" customHeight="1">
      <c r="A1855" s="11" t="str">
        <f t="array" ref="A1855">IFERROR(
  INDEX('Starlink Launches'!$A:$A, MATCH($E1855, 'Starlink Launches'!$B:$B, 0)),
  ""
)
</f>
        <v>6-81</v>
      </c>
      <c r="B1855" s="3" t="s">
        <v>25</v>
      </c>
      <c r="C1855" s="12" t="s">
        <v>1867</v>
      </c>
      <c r="D1855" s="13">
        <v>66345.0</v>
      </c>
      <c r="E1855" s="4">
        <v>45967.0</v>
      </c>
      <c r="F1855" s="4" t="str">
        <f>IF(D1855="","", IFNA(VLOOKUP(D1855, SATCAT_DECAY!A:B, 2, FALSE), ""))
</f>
        <v/>
      </c>
      <c r="G1855" s="3" t="str">
        <f t="shared" si="1"/>
        <v>ACTIVE</v>
      </c>
    </row>
    <row r="1856" ht="22.5" customHeight="1">
      <c r="A1856" s="11" t="str">
        <f t="array" ref="A1856">IFERROR(
  INDEX('Starlink Launches'!$A:$A, MATCH($E1856, 'Starlink Launches'!$B:$B, 0)),
  ""
)
</f>
        <v>6-81</v>
      </c>
      <c r="B1856" s="3" t="s">
        <v>25</v>
      </c>
      <c r="C1856" s="12" t="s">
        <v>1868</v>
      </c>
      <c r="D1856" s="13">
        <v>66346.0</v>
      </c>
      <c r="E1856" s="4">
        <v>45967.0</v>
      </c>
      <c r="F1856" s="4" t="str">
        <f>IF(D1856="","", IFNA(VLOOKUP(D1856, SATCAT_DECAY!A:B, 2, FALSE), ""))
</f>
        <v/>
      </c>
      <c r="G1856" s="3" t="str">
        <f t="shared" si="1"/>
        <v>ACTIVE</v>
      </c>
    </row>
    <row r="1857" ht="22.5" customHeight="1">
      <c r="A1857" s="11" t="str">
        <f t="array" ref="A1857">IFERROR(
  INDEX('Starlink Launches'!$A:$A, MATCH($E1857, 'Starlink Launches'!$B:$B, 0)),
  ""
)
</f>
        <v>6-81</v>
      </c>
      <c r="B1857" s="3" t="s">
        <v>25</v>
      </c>
      <c r="C1857" s="12" t="s">
        <v>1869</v>
      </c>
      <c r="D1857" s="13">
        <v>66347.0</v>
      </c>
      <c r="E1857" s="4">
        <v>45967.0</v>
      </c>
      <c r="F1857" s="4" t="str">
        <f>IF(D1857="","", IFNA(VLOOKUP(D1857, SATCAT_DECAY!A:B, 2, FALSE), ""))
</f>
        <v/>
      </c>
      <c r="G1857" s="3" t="str">
        <f t="shared" si="1"/>
        <v>ACTIVE</v>
      </c>
    </row>
    <row r="1858" ht="22.5" customHeight="1">
      <c r="A1858" s="11" t="str">
        <f t="array" ref="A1858">IFERROR(
  INDEX('Starlink Launches'!$A:$A, MATCH($E1858, 'Starlink Launches'!$B:$B, 0)),
  ""
)
</f>
        <v>6-87</v>
      </c>
      <c r="B1858" s="3" t="s">
        <v>25</v>
      </c>
      <c r="C1858" s="12" t="s">
        <v>1870</v>
      </c>
      <c r="D1858" s="13">
        <v>66422.0</v>
      </c>
      <c r="E1858" s="4">
        <v>45972.0</v>
      </c>
      <c r="F1858" s="4" t="str">
        <f>IF(D1858="","", IFNA(VLOOKUP(D1858, SATCAT_DECAY!A:B, 2, FALSE), ""))
</f>
        <v/>
      </c>
      <c r="G1858" s="3" t="str">
        <f t="shared" si="1"/>
        <v>ACTIVE</v>
      </c>
    </row>
    <row r="1859" ht="22.5" customHeight="1">
      <c r="A1859" s="11" t="str">
        <f t="array" ref="A1859">IFERROR(
  INDEX('Starlink Launches'!$A:$A, MATCH($E1859, 'Starlink Launches'!$B:$B, 0)),
  ""
)
</f>
        <v>6-87</v>
      </c>
      <c r="B1859" s="3" t="s">
        <v>25</v>
      </c>
      <c r="C1859" s="12" t="s">
        <v>1871</v>
      </c>
      <c r="D1859" s="13">
        <v>66423.0</v>
      </c>
      <c r="E1859" s="4">
        <v>45972.0</v>
      </c>
      <c r="F1859" s="4" t="str">
        <f>IF(D1859="","", IFNA(VLOOKUP(D1859, SATCAT_DECAY!A:B, 2, FALSE), ""))
</f>
        <v/>
      </c>
      <c r="G1859" s="3" t="str">
        <f t="shared" si="1"/>
        <v>ACTIVE</v>
      </c>
    </row>
    <row r="1860" ht="22.5" customHeight="1">
      <c r="A1860" s="11" t="str">
        <f t="array" ref="A1860">IFERROR(
  INDEX('Starlink Launches'!$A:$A, MATCH($E1860, 'Starlink Launches'!$B:$B, 0)),
  ""
)
</f>
        <v>6-87</v>
      </c>
      <c r="B1860" s="3" t="s">
        <v>25</v>
      </c>
      <c r="C1860" s="12" t="s">
        <v>1872</v>
      </c>
      <c r="D1860" s="13">
        <v>66424.0</v>
      </c>
      <c r="E1860" s="4">
        <v>45972.0</v>
      </c>
      <c r="F1860" s="4" t="str">
        <f>IF(D1860="","", IFNA(VLOOKUP(D1860, SATCAT_DECAY!A:B, 2, FALSE), ""))
</f>
        <v/>
      </c>
      <c r="G1860" s="3" t="str">
        <f t="shared" si="1"/>
        <v>ACTIVE</v>
      </c>
    </row>
    <row r="1861" ht="22.5" customHeight="1">
      <c r="A1861" s="11" t="str">
        <f t="array" ref="A1861">IFERROR(
  INDEX('Starlink Launches'!$A:$A, MATCH($E1861, 'Starlink Launches'!$B:$B, 0)),
  ""
)
</f>
        <v>6-87</v>
      </c>
      <c r="B1861" s="3" t="s">
        <v>25</v>
      </c>
      <c r="C1861" s="12" t="s">
        <v>1873</v>
      </c>
      <c r="D1861" s="13">
        <v>66425.0</v>
      </c>
      <c r="E1861" s="4">
        <v>45972.0</v>
      </c>
      <c r="F1861" s="4" t="str">
        <f>IF(D1861="","", IFNA(VLOOKUP(D1861, SATCAT_DECAY!A:B, 2, FALSE), ""))
</f>
        <v/>
      </c>
      <c r="G1861" s="3" t="str">
        <f t="shared" si="1"/>
        <v>ACTIVE</v>
      </c>
    </row>
    <row r="1862" ht="22.5" customHeight="1">
      <c r="A1862" s="11" t="str">
        <f t="array" ref="A1862">IFERROR(
  INDEX('Starlink Launches'!$A:$A, MATCH($E1862, 'Starlink Launches'!$B:$B, 0)),
  ""
)
</f>
        <v>6-87</v>
      </c>
      <c r="B1862" s="3" t="s">
        <v>25</v>
      </c>
      <c r="C1862" s="12" t="s">
        <v>1874</v>
      </c>
      <c r="D1862" s="13">
        <v>66426.0</v>
      </c>
      <c r="E1862" s="4">
        <v>45972.0</v>
      </c>
      <c r="F1862" s="4" t="str">
        <f>IF(D1862="","", IFNA(VLOOKUP(D1862, SATCAT_DECAY!A:B, 2, FALSE), ""))
</f>
        <v/>
      </c>
      <c r="G1862" s="3" t="str">
        <f t="shared" si="1"/>
        <v>ACTIVE</v>
      </c>
    </row>
    <row r="1863" ht="22.5" customHeight="1">
      <c r="A1863" s="11" t="str">
        <f t="array" ref="A1863">IFERROR(
  INDEX('Starlink Launches'!$A:$A, MATCH($E1863, 'Starlink Launches'!$B:$B, 0)),
  ""
)
</f>
        <v>6-87</v>
      </c>
      <c r="B1863" s="3" t="s">
        <v>25</v>
      </c>
      <c r="C1863" s="12" t="s">
        <v>1875</v>
      </c>
      <c r="D1863" s="13">
        <v>66427.0</v>
      </c>
      <c r="E1863" s="4">
        <v>45972.0</v>
      </c>
      <c r="F1863" s="4" t="str">
        <f>IF(D1863="","", IFNA(VLOOKUP(D1863, SATCAT_DECAY!A:B, 2, FALSE), ""))
</f>
        <v/>
      </c>
      <c r="G1863" s="3" t="str">
        <f t="shared" si="1"/>
        <v>ACTIVE</v>
      </c>
    </row>
    <row r="1864" ht="22.5" customHeight="1">
      <c r="A1864" s="11" t="str">
        <f t="array" ref="A1864">IFERROR(
  INDEX('Starlink Launches'!$A:$A, MATCH($E1864, 'Starlink Launches'!$B:$B, 0)),
  ""
)
</f>
        <v>6-87</v>
      </c>
      <c r="B1864" s="3" t="s">
        <v>25</v>
      </c>
      <c r="C1864" s="12" t="s">
        <v>1876</v>
      </c>
      <c r="D1864" s="13">
        <v>66428.0</v>
      </c>
      <c r="E1864" s="4">
        <v>45972.0</v>
      </c>
      <c r="F1864" s="4" t="str">
        <f>IF(D1864="","", IFNA(VLOOKUP(D1864, SATCAT_DECAY!A:B, 2, FALSE), ""))
</f>
        <v/>
      </c>
      <c r="G1864" s="3" t="str">
        <f t="shared" si="1"/>
        <v>ACTIVE</v>
      </c>
    </row>
    <row r="1865" ht="22.5" customHeight="1">
      <c r="A1865" s="11" t="str">
        <f t="array" ref="A1865">IFERROR(
  INDEX('Starlink Launches'!$A:$A, MATCH($E1865, 'Starlink Launches'!$B:$B, 0)),
  ""
)
</f>
        <v>6-87</v>
      </c>
      <c r="B1865" s="3" t="s">
        <v>25</v>
      </c>
      <c r="C1865" s="12" t="s">
        <v>1877</v>
      </c>
      <c r="D1865" s="13">
        <v>66429.0</v>
      </c>
      <c r="E1865" s="4">
        <v>45972.0</v>
      </c>
      <c r="F1865" s="4" t="str">
        <f>IF(D1865="","", IFNA(VLOOKUP(D1865, SATCAT_DECAY!A:B, 2, FALSE), ""))
</f>
        <v/>
      </c>
      <c r="G1865" s="3" t="str">
        <f t="shared" si="1"/>
        <v>ACTIVE</v>
      </c>
    </row>
    <row r="1866" ht="22.5" customHeight="1">
      <c r="A1866" s="11" t="str">
        <f t="array" ref="A1866">IFERROR(
  INDEX('Starlink Launches'!$A:$A, MATCH($E1866, 'Starlink Launches'!$B:$B, 0)),
  ""
)
</f>
        <v>6-87</v>
      </c>
      <c r="B1866" s="3" t="s">
        <v>25</v>
      </c>
      <c r="C1866" s="12" t="s">
        <v>1878</v>
      </c>
      <c r="D1866" s="13">
        <v>66430.0</v>
      </c>
      <c r="E1866" s="4">
        <v>45972.0</v>
      </c>
      <c r="F1866" s="4" t="str">
        <f>IF(D1866="","", IFNA(VLOOKUP(D1866, SATCAT_DECAY!A:B, 2, FALSE), ""))
</f>
        <v/>
      </c>
      <c r="G1866" s="3" t="str">
        <f t="shared" si="1"/>
        <v>ACTIVE</v>
      </c>
    </row>
    <row r="1867" ht="22.5" customHeight="1">
      <c r="A1867" s="11" t="str">
        <f t="array" ref="A1867">IFERROR(
  INDEX('Starlink Launches'!$A:$A, MATCH($E1867, 'Starlink Launches'!$B:$B, 0)),
  ""
)
</f>
        <v>6-87</v>
      </c>
      <c r="B1867" s="3" t="s">
        <v>25</v>
      </c>
      <c r="C1867" s="12" t="s">
        <v>1879</v>
      </c>
      <c r="D1867" s="13">
        <v>66431.0</v>
      </c>
      <c r="E1867" s="4">
        <v>45972.0</v>
      </c>
      <c r="F1867" s="4" t="str">
        <f>IF(D1867="","", IFNA(VLOOKUP(D1867, SATCAT_DECAY!A:B, 2, FALSE), ""))
</f>
        <v/>
      </c>
      <c r="G1867" s="3" t="str">
        <f t="shared" si="1"/>
        <v>ACTIVE</v>
      </c>
    </row>
    <row r="1868" ht="22.5" customHeight="1">
      <c r="A1868" s="11" t="str">
        <f t="array" ref="A1868">IFERROR(
  INDEX('Starlink Launches'!$A:$A, MATCH($E1868, 'Starlink Launches'!$B:$B, 0)),
  ""
)
</f>
        <v>6-87</v>
      </c>
      <c r="B1868" s="3" t="s">
        <v>25</v>
      </c>
      <c r="C1868" s="12" t="s">
        <v>1880</v>
      </c>
      <c r="D1868" s="13">
        <v>66432.0</v>
      </c>
      <c r="E1868" s="4">
        <v>45972.0</v>
      </c>
      <c r="F1868" s="4" t="str">
        <f>IF(D1868="","", IFNA(VLOOKUP(D1868, SATCAT_DECAY!A:B, 2, FALSE), ""))
</f>
        <v/>
      </c>
      <c r="G1868" s="3" t="str">
        <f t="shared" si="1"/>
        <v>ACTIVE</v>
      </c>
    </row>
    <row r="1869" ht="22.5" customHeight="1">
      <c r="A1869" s="11" t="str">
        <f t="array" ref="A1869">IFERROR(
  INDEX('Starlink Launches'!$A:$A, MATCH($E1869, 'Starlink Launches'!$B:$B, 0)),
  ""
)
</f>
        <v>6-87</v>
      </c>
      <c r="B1869" s="3" t="s">
        <v>25</v>
      </c>
      <c r="C1869" s="12" t="s">
        <v>1881</v>
      </c>
      <c r="D1869" s="13">
        <v>66433.0</v>
      </c>
      <c r="E1869" s="4">
        <v>45972.0</v>
      </c>
      <c r="F1869" s="4" t="str">
        <f>IF(D1869="","", IFNA(VLOOKUP(D1869, SATCAT_DECAY!A:B, 2, FALSE), ""))
</f>
        <v/>
      </c>
      <c r="G1869" s="3" t="str">
        <f t="shared" si="1"/>
        <v>ACTIVE</v>
      </c>
    </row>
    <row r="1870" ht="22.5" customHeight="1">
      <c r="A1870" s="11" t="str">
        <f t="array" ref="A1870">IFERROR(
  INDEX('Starlink Launches'!$A:$A, MATCH($E1870, 'Starlink Launches'!$B:$B, 0)),
  ""
)
</f>
        <v>6-87</v>
      </c>
      <c r="B1870" s="3" t="s">
        <v>25</v>
      </c>
      <c r="C1870" s="12" t="s">
        <v>1882</v>
      </c>
      <c r="D1870" s="13">
        <v>66434.0</v>
      </c>
      <c r="E1870" s="4">
        <v>45972.0</v>
      </c>
      <c r="F1870" s="4" t="str">
        <f>IF(D1870="","", IFNA(VLOOKUP(D1870, SATCAT_DECAY!A:B, 2, FALSE), ""))
</f>
        <v/>
      </c>
      <c r="G1870" s="3" t="str">
        <f t="shared" si="1"/>
        <v>ACTIVE</v>
      </c>
    </row>
    <row r="1871" ht="22.5" customHeight="1">
      <c r="A1871" s="11" t="str">
        <f t="array" ref="A1871">IFERROR(
  INDEX('Starlink Launches'!$A:$A, MATCH($E1871, 'Starlink Launches'!$B:$B, 0)),
  ""
)
</f>
        <v>6-87</v>
      </c>
      <c r="B1871" s="3" t="s">
        <v>25</v>
      </c>
      <c r="C1871" s="12" t="s">
        <v>1883</v>
      </c>
      <c r="D1871" s="13">
        <v>66435.0</v>
      </c>
      <c r="E1871" s="4">
        <v>45972.0</v>
      </c>
      <c r="F1871" s="4" t="str">
        <f>IF(D1871="","", IFNA(VLOOKUP(D1871, SATCAT_DECAY!A:B, 2, FALSE), ""))
</f>
        <v/>
      </c>
      <c r="G1871" s="3" t="str">
        <f t="shared" si="1"/>
        <v>ACTIVE</v>
      </c>
    </row>
    <row r="1872" ht="22.5" customHeight="1">
      <c r="A1872" s="11" t="str">
        <f t="array" ref="A1872">IFERROR(
  INDEX('Starlink Launches'!$A:$A, MATCH($E1872, 'Starlink Launches'!$B:$B, 0)),
  ""
)
</f>
        <v>6-87</v>
      </c>
      <c r="B1872" s="3" t="s">
        <v>25</v>
      </c>
      <c r="C1872" s="12" t="s">
        <v>1884</v>
      </c>
      <c r="D1872" s="13">
        <v>66436.0</v>
      </c>
      <c r="E1872" s="4">
        <v>45972.0</v>
      </c>
      <c r="F1872" s="4" t="str">
        <f>IF(D1872="","", IFNA(VLOOKUP(D1872, SATCAT_DECAY!A:B, 2, FALSE), ""))
</f>
        <v/>
      </c>
      <c r="G1872" s="3" t="str">
        <f t="shared" si="1"/>
        <v>ACTIVE</v>
      </c>
    </row>
    <row r="1873" ht="22.5" customHeight="1">
      <c r="A1873" s="11" t="str">
        <f t="array" ref="A1873">IFERROR(
  INDEX('Starlink Launches'!$A:$A, MATCH($E1873, 'Starlink Launches'!$B:$B, 0)),
  ""
)
</f>
        <v>6-87</v>
      </c>
      <c r="B1873" s="3" t="s">
        <v>25</v>
      </c>
      <c r="C1873" s="12" t="s">
        <v>1885</v>
      </c>
      <c r="D1873" s="13">
        <v>66437.0</v>
      </c>
      <c r="E1873" s="4">
        <v>45972.0</v>
      </c>
      <c r="F1873" s="4" t="str">
        <f>IF(D1873="","", IFNA(VLOOKUP(D1873, SATCAT_DECAY!A:B, 2, FALSE), ""))
</f>
        <v/>
      </c>
      <c r="G1873" s="3" t="str">
        <f t="shared" si="1"/>
        <v>ACTIVE</v>
      </c>
    </row>
    <row r="1874" ht="22.5" customHeight="1">
      <c r="A1874" s="11" t="str">
        <f t="array" ref="A1874">IFERROR(
  INDEX('Starlink Launches'!$A:$A, MATCH($E1874, 'Starlink Launches'!$B:$B, 0)),
  ""
)
</f>
        <v>6-87</v>
      </c>
      <c r="B1874" s="3" t="s">
        <v>25</v>
      </c>
      <c r="C1874" s="12" t="s">
        <v>1886</v>
      </c>
      <c r="D1874" s="13">
        <v>66438.0</v>
      </c>
      <c r="E1874" s="4">
        <v>45972.0</v>
      </c>
      <c r="F1874" s="4" t="str">
        <f>IF(D1874="","", IFNA(VLOOKUP(D1874, SATCAT_DECAY!A:B, 2, FALSE), ""))
</f>
        <v/>
      </c>
      <c r="G1874" s="3" t="str">
        <f t="shared" si="1"/>
        <v>ACTIVE</v>
      </c>
    </row>
    <row r="1875" ht="22.5" customHeight="1">
      <c r="A1875" s="11" t="str">
        <f t="array" ref="A1875">IFERROR(
  INDEX('Starlink Launches'!$A:$A, MATCH($E1875, 'Starlink Launches'!$B:$B, 0)),
  ""
)
</f>
        <v>6-87</v>
      </c>
      <c r="B1875" s="3" t="s">
        <v>25</v>
      </c>
      <c r="C1875" s="12" t="s">
        <v>1887</v>
      </c>
      <c r="D1875" s="13">
        <v>66439.0</v>
      </c>
      <c r="E1875" s="4">
        <v>45972.0</v>
      </c>
      <c r="F1875" s="4" t="str">
        <f>IF(D1875="","", IFNA(VLOOKUP(D1875, SATCAT_DECAY!A:B, 2, FALSE), ""))
</f>
        <v/>
      </c>
      <c r="G1875" s="3" t="str">
        <f t="shared" si="1"/>
        <v>ACTIVE</v>
      </c>
    </row>
    <row r="1876" ht="22.5" customHeight="1">
      <c r="A1876" s="11" t="str">
        <f t="array" ref="A1876">IFERROR(
  INDEX('Starlink Launches'!$A:$A, MATCH($E1876, 'Starlink Launches'!$B:$B, 0)),
  ""
)
</f>
        <v>6-87</v>
      </c>
      <c r="B1876" s="3" t="s">
        <v>25</v>
      </c>
      <c r="C1876" s="12" t="s">
        <v>1888</v>
      </c>
      <c r="D1876" s="13">
        <v>66440.0</v>
      </c>
      <c r="E1876" s="4">
        <v>45972.0</v>
      </c>
      <c r="F1876" s="4" t="str">
        <f>IF(D1876="","", IFNA(VLOOKUP(D1876, SATCAT_DECAY!A:B, 2, FALSE), ""))
</f>
        <v/>
      </c>
      <c r="G1876" s="3" t="str">
        <f t="shared" si="1"/>
        <v>ACTIVE</v>
      </c>
    </row>
    <row r="1877" ht="22.5" customHeight="1">
      <c r="A1877" s="11" t="str">
        <f t="array" ref="A1877">IFERROR(
  INDEX('Starlink Launches'!$A:$A, MATCH($E1877, 'Starlink Launches'!$B:$B, 0)),
  ""
)
</f>
        <v>6-87</v>
      </c>
      <c r="B1877" s="3" t="s">
        <v>25</v>
      </c>
      <c r="C1877" s="12" t="s">
        <v>1889</v>
      </c>
      <c r="D1877" s="13">
        <v>66441.0</v>
      </c>
      <c r="E1877" s="4">
        <v>45972.0</v>
      </c>
      <c r="F1877" s="4" t="str">
        <f>IF(D1877="","", IFNA(VLOOKUP(D1877, SATCAT_DECAY!A:B, 2, FALSE), ""))
</f>
        <v/>
      </c>
      <c r="G1877" s="3" t="str">
        <f t="shared" si="1"/>
        <v>ACTIVE</v>
      </c>
    </row>
    <row r="1878" ht="22.5" customHeight="1">
      <c r="A1878" s="11" t="str">
        <f t="array" ref="A1878">IFERROR(
  INDEX('Starlink Launches'!$A:$A, MATCH($E1878, 'Starlink Launches'!$B:$B, 0)),
  ""
)
</f>
        <v>6-87</v>
      </c>
      <c r="B1878" s="3" t="s">
        <v>25</v>
      </c>
      <c r="C1878" s="12" t="s">
        <v>1890</v>
      </c>
      <c r="D1878" s="13">
        <v>66442.0</v>
      </c>
      <c r="E1878" s="4">
        <v>45972.0</v>
      </c>
      <c r="F1878" s="4" t="str">
        <f>IF(D1878="","", IFNA(VLOOKUP(D1878, SATCAT_DECAY!A:B, 2, FALSE), ""))
</f>
        <v/>
      </c>
      <c r="G1878" s="3" t="str">
        <f t="shared" si="1"/>
        <v>ACTIVE</v>
      </c>
    </row>
    <row r="1879" ht="22.5" customHeight="1">
      <c r="A1879" s="11" t="str">
        <f t="array" ref="A1879">IFERROR(
  INDEX('Starlink Launches'!$A:$A, MATCH($E1879, 'Starlink Launches'!$B:$B, 0)),
  ""
)
</f>
        <v>6-87</v>
      </c>
      <c r="B1879" s="3" t="s">
        <v>25</v>
      </c>
      <c r="C1879" s="12" t="s">
        <v>1891</v>
      </c>
      <c r="D1879" s="13">
        <v>66443.0</v>
      </c>
      <c r="E1879" s="4">
        <v>45972.0</v>
      </c>
      <c r="F1879" s="4" t="str">
        <f>IF(D1879="","", IFNA(VLOOKUP(D1879, SATCAT_DECAY!A:B, 2, FALSE), ""))
</f>
        <v/>
      </c>
      <c r="G1879" s="3" t="str">
        <f t="shared" si="1"/>
        <v>ACTIVE</v>
      </c>
    </row>
    <row r="1880" ht="22.5" customHeight="1">
      <c r="A1880" s="11" t="str">
        <f t="array" ref="A1880">IFERROR(
  INDEX('Starlink Launches'!$A:$A, MATCH($E1880, 'Starlink Launches'!$B:$B, 0)),
  ""
)
</f>
        <v>6-87</v>
      </c>
      <c r="B1880" s="3" t="s">
        <v>25</v>
      </c>
      <c r="C1880" s="12" t="s">
        <v>1892</v>
      </c>
      <c r="D1880" s="13">
        <v>66444.0</v>
      </c>
      <c r="E1880" s="4">
        <v>45972.0</v>
      </c>
      <c r="F1880" s="4" t="str">
        <f>IF(D1880="","", IFNA(VLOOKUP(D1880, SATCAT_DECAY!A:B, 2, FALSE), ""))
</f>
        <v/>
      </c>
      <c r="G1880" s="3" t="str">
        <f t="shared" si="1"/>
        <v>ACTIVE</v>
      </c>
    </row>
    <row r="1881" ht="22.5" customHeight="1">
      <c r="A1881" s="11" t="str">
        <f t="array" ref="A1881">IFERROR(
  INDEX('Starlink Launches'!$A:$A, MATCH($E1881, 'Starlink Launches'!$B:$B, 0)),
  ""
)
</f>
        <v>6-87</v>
      </c>
      <c r="B1881" s="3" t="s">
        <v>25</v>
      </c>
      <c r="C1881" s="12" t="s">
        <v>1893</v>
      </c>
      <c r="D1881" s="13">
        <v>66445.0</v>
      </c>
      <c r="E1881" s="4">
        <v>45972.0</v>
      </c>
      <c r="F1881" s="4" t="str">
        <f>IF(D1881="","", IFNA(VLOOKUP(D1881, SATCAT_DECAY!A:B, 2, FALSE), ""))
</f>
        <v/>
      </c>
      <c r="G1881" s="3" t="str">
        <f t="shared" si="1"/>
        <v>ACTIVE</v>
      </c>
    </row>
    <row r="1882" ht="22.5" customHeight="1">
      <c r="A1882" s="11" t="str">
        <f t="array" ref="A1882">IFERROR(
  INDEX('Starlink Launches'!$A:$A, MATCH($E1882, 'Starlink Launches'!$B:$B, 0)),
  ""
)
</f>
        <v>6-87</v>
      </c>
      <c r="B1882" s="3" t="s">
        <v>25</v>
      </c>
      <c r="C1882" s="12" t="s">
        <v>1894</v>
      </c>
      <c r="D1882" s="13">
        <v>66446.0</v>
      </c>
      <c r="E1882" s="4">
        <v>45972.0</v>
      </c>
      <c r="F1882" s="4" t="str">
        <f>IF(D1882="","", IFNA(VLOOKUP(D1882, SATCAT_DECAY!A:B, 2, FALSE), ""))
</f>
        <v/>
      </c>
      <c r="G1882" s="3" t="str">
        <f t="shared" si="1"/>
        <v>ACTIVE</v>
      </c>
    </row>
    <row r="1883" ht="22.5" customHeight="1">
      <c r="A1883" s="11" t="str">
        <f t="array" ref="A1883">IFERROR(
  INDEX('Starlink Launches'!$A:$A, MATCH($E1883, 'Starlink Launches'!$B:$B, 0)),
  ""
)
</f>
        <v>6-87</v>
      </c>
      <c r="B1883" s="3" t="s">
        <v>25</v>
      </c>
      <c r="C1883" s="12" t="s">
        <v>1895</v>
      </c>
      <c r="D1883" s="13">
        <v>66447.0</v>
      </c>
      <c r="E1883" s="4">
        <v>45972.0</v>
      </c>
      <c r="F1883" s="4" t="str">
        <f>IF(D1883="","", IFNA(VLOOKUP(D1883, SATCAT_DECAY!A:B, 2, FALSE), ""))
</f>
        <v/>
      </c>
      <c r="G1883" s="3" t="str">
        <f t="shared" si="1"/>
        <v>ACTIVE</v>
      </c>
    </row>
    <row r="1884" ht="22.5" customHeight="1">
      <c r="A1884" s="11" t="str">
        <f t="array" ref="A1884">IFERROR(
  INDEX('Starlink Launches'!$A:$A, MATCH($E1884, 'Starlink Launches'!$B:$B, 0)),
  ""
)
</f>
        <v>6-87</v>
      </c>
      <c r="B1884" s="3" t="s">
        <v>25</v>
      </c>
      <c r="C1884" s="12" t="s">
        <v>1896</v>
      </c>
      <c r="D1884" s="13">
        <v>66448.0</v>
      </c>
      <c r="E1884" s="4">
        <v>45972.0</v>
      </c>
      <c r="F1884" s="4" t="str">
        <f>IF(D1884="","", IFNA(VLOOKUP(D1884, SATCAT_DECAY!A:B, 2, FALSE), ""))
</f>
        <v/>
      </c>
      <c r="G1884" s="3" t="str">
        <f t="shared" si="1"/>
        <v>ACTIVE</v>
      </c>
    </row>
    <row r="1885" ht="22.5" customHeight="1">
      <c r="A1885" s="11" t="str">
        <f t="array" ref="A1885">IFERROR(
  INDEX('Starlink Launches'!$A:$A, MATCH($E1885, 'Starlink Launches'!$B:$B, 0)),
  ""
)
</f>
        <v>6-87</v>
      </c>
      <c r="B1885" s="3" t="s">
        <v>25</v>
      </c>
      <c r="C1885" s="12" t="s">
        <v>1897</v>
      </c>
      <c r="D1885" s="13">
        <v>66449.0</v>
      </c>
      <c r="E1885" s="4">
        <v>45972.0</v>
      </c>
      <c r="F1885" s="4" t="str">
        <f>IF(D1885="","", IFNA(VLOOKUP(D1885, SATCAT_DECAY!A:B, 2, FALSE), ""))
</f>
        <v/>
      </c>
      <c r="G1885" s="3" t="str">
        <f t="shared" si="1"/>
        <v>ACTIVE</v>
      </c>
    </row>
    <row r="1886" ht="22.5" customHeight="1">
      <c r="A1886" s="11" t="str">
        <f t="array" ref="A1886">IFERROR(
  INDEX('Starlink Launches'!$A:$A, MATCH($E1886, 'Starlink Launches'!$B:$B, 0)),
  ""
)
</f>
        <v>6-87</v>
      </c>
      <c r="B1886" s="3" t="s">
        <v>25</v>
      </c>
      <c r="C1886" s="12" t="s">
        <v>1898</v>
      </c>
      <c r="D1886" s="13">
        <v>66450.0</v>
      </c>
      <c r="E1886" s="4">
        <v>45972.0</v>
      </c>
      <c r="F1886" s="4" t="str">
        <f>IF(D1886="","", IFNA(VLOOKUP(D1886, SATCAT_DECAY!A:B, 2, FALSE), ""))
</f>
        <v/>
      </c>
      <c r="G1886" s="3" t="str">
        <f t="shared" si="1"/>
        <v>ACTIVE</v>
      </c>
    </row>
    <row r="1887" ht="22.5" customHeight="1">
      <c r="A1887" s="11" t="str">
        <f t="array" ref="A1887">IFERROR(
  INDEX('Starlink Launches'!$A:$A, MATCH($E1887, 'Starlink Launches'!$B:$B, 0)),
  ""
)
</f>
        <v>6-85</v>
      </c>
      <c r="B1887" s="3" t="s">
        <v>25</v>
      </c>
      <c r="C1887" s="12" t="s">
        <v>1899</v>
      </c>
      <c r="D1887" s="13">
        <v>66456.0</v>
      </c>
      <c r="E1887" s="4">
        <v>45976.0</v>
      </c>
      <c r="F1887" s="4" t="str">
        <f>IF(D1887="","", IFNA(VLOOKUP(D1887, SATCAT_DECAY!A:B, 2, FALSE), ""))
</f>
        <v/>
      </c>
      <c r="G1887" s="3" t="str">
        <f t="shared" si="1"/>
        <v>ACTIVE</v>
      </c>
    </row>
    <row r="1888" ht="22.5" customHeight="1">
      <c r="A1888" s="11" t="str">
        <f t="array" ref="A1888">IFERROR(
  INDEX('Starlink Launches'!$A:$A, MATCH($E1888, 'Starlink Launches'!$B:$B, 0)),
  ""
)
</f>
        <v>6-85</v>
      </c>
      <c r="B1888" s="3" t="s">
        <v>25</v>
      </c>
      <c r="C1888" s="12" t="s">
        <v>1900</v>
      </c>
      <c r="D1888" s="13">
        <v>66457.0</v>
      </c>
      <c r="E1888" s="4">
        <v>45976.0</v>
      </c>
      <c r="F1888" s="4" t="str">
        <f>IF(D1888="","", IFNA(VLOOKUP(D1888, SATCAT_DECAY!A:B, 2, FALSE), ""))
</f>
        <v/>
      </c>
      <c r="G1888" s="3" t="str">
        <f t="shared" si="1"/>
        <v>ACTIVE</v>
      </c>
    </row>
    <row r="1889" ht="22.5" customHeight="1">
      <c r="A1889" s="11" t="str">
        <f t="array" ref="A1889">IFERROR(
  INDEX('Starlink Launches'!$A:$A, MATCH($E1889, 'Starlink Launches'!$B:$B, 0)),
  ""
)
</f>
        <v>6-85</v>
      </c>
      <c r="B1889" s="3" t="s">
        <v>25</v>
      </c>
      <c r="C1889" s="12" t="s">
        <v>1901</v>
      </c>
      <c r="D1889" s="13">
        <v>66458.0</v>
      </c>
      <c r="E1889" s="4">
        <v>45976.0</v>
      </c>
      <c r="F1889" s="4" t="str">
        <f>IF(D1889="","", IFNA(VLOOKUP(D1889, SATCAT_DECAY!A:B, 2, FALSE), ""))
</f>
        <v/>
      </c>
      <c r="G1889" s="3" t="str">
        <f t="shared" si="1"/>
        <v>ACTIVE</v>
      </c>
    </row>
    <row r="1890" ht="22.5" customHeight="1">
      <c r="A1890" s="11" t="str">
        <f t="array" ref="A1890">IFERROR(
  INDEX('Starlink Launches'!$A:$A, MATCH($E1890, 'Starlink Launches'!$B:$B, 0)),
  ""
)
</f>
        <v>6-85</v>
      </c>
      <c r="B1890" s="3" t="s">
        <v>25</v>
      </c>
      <c r="C1890" s="12" t="s">
        <v>1902</v>
      </c>
      <c r="D1890" s="13">
        <v>66459.0</v>
      </c>
      <c r="E1890" s="4">
        <v>45976.0</v>
      </c>
      <c r="F1890" s="4" t="str">
        <f>IF(D1890="","", IFNA(VLOOKUP(D1890, SATCAT_DECAY!A:B, 2, FALSE), ""))
</f>
        <v/>
      </c>
      <c r="G1890" s="3" t="str">
        <f t="shared" si="1"/>
        <v>ACTIVE</v>
      </c>
    </row>
    <row r="1891" ht="22.5" customHeight="1">
      <c r="A1891" s="11" t="str">
        <f t="array" ref="A1891">IFERROR(
  INDEX('Starlink Launches'!$A:$A, MATCH($E1891, 'Starlink Launches'!$B:$B, 0)),
  ""
)
</f>
        <v>6-85</v>
      </c>
      <c r="B1891" s="3" t="s">
        <v>25</v>
      </c>
      <c r="C1891" s="12" t="s">
        <v>1903</v>
      </c>
      <c r="D1891" s="13">
        <v>66460.0</v>
      </c>
      <c r="E1891" s="4">
        <v>45976.0</v>
      </c>
      <c r="F1891" s="4" t="str">
        <f>IF(D1891="","", IFNA(VLOOKUP(D1891, SATCAT_DECAY!A:B, 2, FALSE), ""))
</f>
        <v/>
      </c>
      <c r="G1891" s="3" t="str">
        <f t="shared" si="1"/>
        <v>ACTIVE</v>
      </c>
    </row>
    <row r="1892" ht="22.5" customHeight="1">
      <c r="A1892" s="11" t="str">
        <f t="array" ref="A1892">IFERROR(
  INDEX('Starlink Launches'!$A:$A, MATCH($E1892, 'Starlink Launches'!$B:$B, 0)),
  ""
)
</f>
        <v>6-85</v>
      </c>
      <c r="B1892" s="3" t="s">
        <v>25</v>
      </c>
      <c r="C1892" s="12" t="s">
        <v>1904</v>
      </c>
      <c r="D1892" s="13">
        <v>66461.0</v>
      </c>
      <c r="E1892" s="4">
        <v>45976.0</v>
      </c>
      <c r="F1892" s="4" t="str">
        <f>IF(D1892="","", IFNA(VLOOKUP(D1892, SATCAT_DECAY!A:B, 2, FALSE), ""))
</f>
        <v/>
      </c>
      <c r="G1892" s="3" t="str">
        <f t="shared" si="1"/>
        <v>ACTIVE</v>
      </c>
    </row>
    <row r="1893" ht="22.5" customHeight="1">
      <c r="A1893" s="11" t="str">
        <f t="array" ref="A1893">IFERROR(
  INDEX('Starlink Launches'!$A:$A, MATCH($E1893, 'Starlink Launches'!$B:$B, 0)),
  ""
)
</f>
        <v>6-85</v>
      </c>
      <c r="B1893" s="3" t="s">
        <v>25</v>
      </c>
      <c r="C1893" s="12" t="s">
        <v>1905</v>
      </c>
      <c r="D1893" s="13">
        <v>66462.0</v>
      </c>
      <c r="E1893" s="4">
        <v>45976.0</v>
      </c>
      <c r="F1893" s="4" t="str">
        <f>IF(D1893="","", IFNA(VLOOKUP(D1893, SATCAT_DECAY!A:B, 2, FALSE), ""))
</f>
        <v/>
      </c>
      <c r="G1893" s="3" t="str">
        <f t="shared" si="1"/>
        <v>ACTIVE</v>
      </c>
    </row>
    <row r="1894" ht="22.5" customHeight="1">
      <c r="A1894" s="11" t="str">
        <f t="array" ref="A1894">IFERROR(
  INDEX('Starlink Launches'!$A:$A, MATCH($E1894, 'Starlink Launches'!$B:$B, 0)),
  ""
)
</f>
        <v>6-85</v>
      </c>
      <c r="B1894" s="3" t="s">
        <v>25</v>
      </c>
      <c r="C1894" s="12" t="s">
        <v>1906</v>
      </c>
      <c r="D1894" s="13">
        <v>66463.0</v>
      </c>
      <c r="E1894" s="4">
        <v>45976.0</v>
      </c>
      <c r="F1894" s="4" t="str">
        <f>IF(D1894="","", IFNA(VLOOKUP(D1894, SATCAT_DECAY!A:B, 2, FALSE), ""))
</f>
        <v/>
      </c>
      <c r="G1894" s="3" t="str">
        <f t="shared" si="1"/>
        <v>ACTIVE</v>
      </c>
    </row>
    <row r="1895" ht="22.5" customHeight="1">
      <c r="A1895" s="11" t="str">
        <f t="array" ref="A1895">IFERROR(
  INDEX('Starlink Launches'!$A:$A, MATCH($E1895, 'Starlink Launches'!$B:$B, 0)),
  ""
)
</f>
        <v>6-85</v>
      </c>
      <c r="B1895" s="3" t="s">
        <v>25</v>
      </c>
      <c r="C1895" s="12" t="s">
        <v>1907</v>
      </c>
      <c r="D1895" s="13">
        <v>66464.0</v>
      </c>
      <c r="E1895" s="4">
        <v>45976.0</v>
      </c>
      <c r="F1895" s="4" t="str">
        <f>IF(D1895="","", IFNA(VLOOKUP(D1895, SATCAT_DECAY!A:B, 2, FALSE), ""))
</f>
        <v/>
      </c>
      <c r="G1895" s="3" t="str">
        <f t="shared" si="1"/>
        <v>ACTIVE</v>
      </c>
    </row>
    <row r="1896" ht="22.5" customHeight="1">
      <c r="A1896" s="11" t="str">
        <f t="array" ref="A1896">IFERROR(
  INDEX('Starlink Launches'!$A:$A, MATCH($E1896, 'Starlink Launches'!$B:$B, 0)),
  ""
)
</f>
        <v>6-85</v>
      </c>
      <c r="B1896" s="3" t="s">
        <v>25</v>
      </c>
      <c r="C1896" s="12" t="s">
        <v>1908</v>
      </c>
      <c r="D1896" s="13">
        <v>66465.0</v>
      </c>
      <c r="E1896" s="4">
        <v>45976.0</v>
      </c>
      <c r="F1896" s="4" t="str">
        <f>IF(D1896="","", IFNA(VLOOKUP(D1896, SATCAT_DECAY!A:B, 2, FALSE), ""))
</f>
        <v/>
      </c>
      <c r="G1896" s="3" t="str">
        <f t="shared" si="1"/>
        <v>ACTIVE</v>
      </c>
    </row>
    <row r="1897" ht="22.5" customHeight="1">
      <c r="A1897" s="11" t="str">
        <f t="array" ref="A1897">IFERROR(
  INDEX('Starlink Launches'!$A:$A, MATCH($E1897, 'Starlink Launches'!$B:$B, 0)),
  ""
)
</f>
        <v>6-85</v>
      </c>
      <c r="B1897" s="3" t="s">
        <v>25</v>
      </c>
      <c r="C1897" s="12" t="s">
        <v>1909</v>
      </c>
      <c r="D1897" s="13">
        <v>66466.0</v>
      </c>
      <c r="E1897" s="4">
        <v>45976.0</v>
      </c>
      <c r="F1897" s="4" t="str">
        <f>IF(D1897="","", IFNA(VLOOKUP(D1897, SATCAT_DECAY!A:B, 2, FALSE), ""))
</f>
        <v/>
      </c>
      <c r="G1897" s="3" t="str">
        <f t="shared" si="1"/>
        <v>ACTIVE</v>
      </c>
    </row>
    <row r="1898" ht="22.5" customHeight="1">
      <c r="A1898" s="11" t="str">
        <f t="array" ref="A1898">IFERROR(
  INDEX('Starlink Launches'!$A:$A, MATCH($E1898, 'Starlink Launches'!$B:$B, 0)),
  ""
)
</f>
        <v>6-85</v>
      </c>
      <c r="B1898" s="3" t="s">
        <v>25</v>
      </c>
      <c r="C1898" s="12" t="s">
        <v>1910</v>
      </c>
      <c r="D1898" s="13">
        <v>66467.0</v>
      </c>
      <c r="E1898" s="4">
        <v>45976.0</v>
      </c>
      <c r="F1898" s="4" t="str">
        <f>IF(D1898="","", IFNA(VLOOKUP(D1898, SATCAT_DECAY!A:B, 2, FALSE), ""))
</f>
        <v/>
      </c>
      <c r="G1898" s="3" t="str">
        <f t="shared" si="1"/>
        <v>ACTIVE</v>
      </c>
    </row>
    <row r="1899" ht="22.5" customHeight="1">
      <c r="A1899" s="11" t="str">
        <f t="array" ref="A1899">IFERROR(
  INDEX('Starlink Launches'!$A:$A, MATCH($E1899, 'Starlink Launches'!$B:$B, 0)),
  ""
)
</f>
        <v>6-85</v>
      </c>
      <c r="B1899" s="3" t="s">
        <v>25</v>
      </c>
      <c r="C1899" s="12" t="s">
        <v>1911</v>
      </c>
      <c r="D1899" s="13">
        <v>66468.0</v>
      </c>
      <c r="E1899" s="4">
        <v>45976.0</v>
      </c>
      <c r="F1899" s="4" t="str">
        <f>IF(D1899="","", IFNA(VLOOKUP(D1899, SATCAT_DECAY!A:B, 2, FALSE), ""))
</f>
        <v/>
      </c>
      <c r="G1899" s="3" t="str">
        <f t="shared" si="1"/>
        <v>ACTIVE</v>
      </c>
    </row>
    <row r="1900" ht="22.5" customHeight="1">
      <c r="A1900" s="11" t="str">
        <f t="array" ref="A1900">IFERROR(
  INDEX('Starlink Launches'!$A:$A, MATCH($E1900, 'Starlink Launches'!$B:$B, 0)),
  ""
)
</f>
        <v>6-85</v>
      </c>
      <c r="B1900" s="3" t="s">
        <v>25</v>
      </c>
      <c r="C1900" s="12" t="s">
        <v>1912</v>
      </c>
      <c r="D1900" s="13">
        <v>66469.0</v>
      </c>
      <c r="E1900" s="4">
        <v>45976.0</v>
      </c>
      <c r="F1900" s="4" t="str">
        <f>IF(D1900="","", IFNA(VLOOKUP(D1900, SATCAT_DECAY!A:B, 2, FALSE), ""))
</f>
        <v/>
      </c>
      <c r="G1900" s="3" t="str">
        <f t="shared" si="1"/>
        <v>ACTIVE</v>
      </c>
    </row>
    <row r="1901" ht="22.5" customHeight="1">
      <c r="A1901" s="11" t="str">
        <f t="array" ref="A1901">IFERROR(
  INDEX('Starlink Launches'!$A:$A, MATCH($E1901, 'Starlink Launches'!$B:$B, 0)),
  ""
)
</f>
        <v>6-85</v>
      </c>
      <c r="B1901" s="3" t="s">
        <v>25</v>
      </c>
      <c r="C1901" s="12" t="s">
        <v>1913</v>
      </c>
      <c r="D1901" s="13">
        <v>66470.0</v>
      </c>
      <c r="E1901" s="4">
        <v>45976.0</v>
      </c>
      <c r="F1901" s="4" t="str">
        <f>IF(D1901="","", IFNA(VLOOKUP(D1901, SATCAT_DECAY!A:B, 2, FALSE), ""))
</f>
        <v/>
      </c>
      <c r="G1901" s="3" t="str">
        <f t="shared" si="1"/>
        <v>ACTIVE</v>
      </c>
    </row>
    <row r="1902" ht="22.5" customHeight="1">
      <c r="A1902" s="11" t="str">
        <f t="array" ref="A1902">IFERROR(
  INDEX('Starlink Launches'!$A:$A, MATCH($E1902, 'Starlink Launches'!$B:$B, 0)),
  ""
)
</f>
        <v>6-85</v>
      </c>
      <c r="B1902" s="3" t="s">
        <v>25</v>
      </c>
      <c r="C1902" s="12" t="s">
        <v>1914</v>
      </c>
      <c r="D1902" s="13">
        <v>66471.0</v>
      </c>
      <c r="E1902" s="4">
        <v>45976.0</v>
      </c>
      <c r="F1902" s="4" t="str">
        <f>IF(D1902="","", IFNA(VLOOKUP(D1902, SATCAT_DECAY!A:B, 2, FALSE), ""))
</f>
        <v/>
      </c>
      <c r="G1902" s="3" t="str">
        <f t="shared" si="1"/>
        <v>ACTIVE</v>
      </c>
    </row>
    <row r="1903" ht="22.5" customHeight="1">
      <c r="A1903" s="11" t="str">
        <f t="array" ref="A1903">IFERROR(
  INDEX('Starlink Launches'!$A:$A, MATCH($E1903, 'Starlink Launches'!$B:$B, 0)),
  ""
)
</f>
        <v>6-85</v>
      </c>
      <c r="B1903" s="3" t="s">
        <v>25</v>
      </c>
      <c r="C1903" s="12" t="s">
        <v>1915</v>
      </c>
      <c r="D1903" s="13">
        <v>66472.0</v>
      </c>
      <c r="E1903" s="4">
        <v>45976.0</v>
      </c>
      <c r="F1903" s="4" t="str">
        <f>IF(D1903="","", IFNA(VLOOKUP(D1903, SATCAT_DECAY!A:B, 2, FALSE), ""))
</f>
        <v/>
      </c>
      <c r="G1903" s="3" t="str">
        <f t="shared" si="1"/>
        <v>ACTIVE</v>
      </c>
    </row>
    <row r="1904" ht="22.5" customHeight="1">
      <c r="A1904" s="11" t="str">
        <f t="array" ref="A1904">IFERROR(
  INDEX('Starlink Launches'!$A:$A, MATCH($E1904, 'Starlink Launches'!$B:$B, 0)),
  ""
)
</f>
        <v>6-85</v>
      </c>
      <c r="B1904" s="3" t="s">
        <v>25</v>
      </c>
      <c r="C1904" s="12" t="s">
        <v>1916</v>
      </c>
      <c r="D1904" s="13">
        <v>66473.0</v>
      </c>
      <c r="E1904" s="4">
        <v>45976.0</v>
      </c>
      <c r="F1904" s="4" t="str">
        <f>IF(D1904="","", IFNA(VLOOKUP(D1904, SATCAT_DECAY!A:B, 2, FALSE), ""))
</f>
        <v/>
      </c>
      <c r="G1904" s="3" t="str">
        <f t="shared" si="1"/>
        <v>ACTIVE</v>
      </c>
    </row>
    <row r="1905" ht="22.5" customHeight="1">
      <c r="A1905" s="11" t="str">
        <f t="array" ref="A1905">IFERROR(
  INDEX('Starlink Launches'!$A:$A, MATCH($E1905, 'Starlink Launches'!$B:$B, 0)),
  ""
)
</f>
        <v>6-85</v>
      </c>
      <c r="B1905" s="3" t="s">
        <v>25</v>
      </c>
      <c r="C1905" s="12" t="s">
        <v>1917</v>
      </c>
      <c r="D1905" s="13">
        <v>66474.0</v>
      </c>
      <c r="E1905" s="4">
        <v>45976.0</v>
      </c>
      <c r="F1905" s="4" t="str">
        <f>IF(D1905="","", IFNA(VLOOKUP(D1905, SATCAT_DECAY!A:B, 2, FALSE), ""))
</f>
        <v/>
      </c>
      <c r="G1905" s="3" t="str">
        <f t="shared" si="1"/>
        <v>ACTIVE</v>
      </c>
    </row>
    <row r="1906" ht="22.5" customHeight="1">
      <c r="A1906" s="11" t="str">
        <f t="array" ref="A1906">IFERROR(
  INDEX('Starlink Launches'!$A:$A, MATCH($E1906, 'Starlink Launches'!$B:$B, 0)),
  ""
)
</f>
        <v>6-85</v>
      </c>
      <c r="B1906" s="3" t="s">
        <v>25</v>
      </c>
      <c r="C1906" s="12" t="s">
        <v>1918</v>
      </c>
      <c r="D1906" s="13">
        <v>66475.0</v>
      </c>
      <c r="E1906" s="4">
        <v>45976.0</v>
      </c>
      <c r="F1906" s="4" t="str">
        <f>IF(D1906="","", IFNA(VLOOKUP(D1906, SATCAT_DECAY!A:B, 2, FALSE), ""))
</f>
        <v/>
      </c>
      <c r="G1906" s="3" t="str">
        <f t="shared" si="1"/>
        <v>ACTIVE</v>
      </c>
    </row>
    <row r="1907" ht="22.5" customHeight="1">
      <c r="A1907" s="11" t="str">
        <f t="array" ref="A1907">IFERROR(
  INDEX('Starlink Launches'!$A:$A, MATCH($E1907, 'Starlink Launches'!$B:$B, 0)),
  ""
)
</f>
        <v>6-85</v>
      </c>
      <c r="B1907" s="3" t="s">
        <v>25</v>
      </c>
      <c r="C1907" s="12" t="s">
        <v>1919</v>
      </c>
      <c r="D1907" s="13">
        <v>66476.0</v>
      </c>
      <c r="E1907" s="4">
        <v>45976.0</v>
      </c>
      <c r="F1907" s="4" t="str">
        <f>IF(D1907="","", IFNA(VLOOKUP(D1907, SATCAT_DECAY!A:B, 2, FALSE), ""))
</f>
        <v/>
      </c>
      <c r="G1907" s="3" t="str">
        <f t="shared" si="1"/>
        <v>ACTIVE</v>
      </c>
    </row>
    <row r="1908" ht="22.5" customHeight="1">
      <c r="A1908" s="11" t="str">
        <f t="array" ref="A1908">IFERROR(
  INDEX('Starlink Launches'!$A:$A, MATCH($E1908, 'Starlink Launches'!$B:$B, 0)),
  ""
)
</f>
        <v>6-85</v>
      </c>
      <c r="B1908" s="3" t="s">
        <v>25</v>
      </c>
      <c r="C1908" s="12" t="s">
        <v>1920</v>
      </c>
      <c r="D1908" s="13">
        <v>66477.0</v>
      </c>
      <c r="E1908" s="4">
        <v>45976.0</v>
      </c>
      <c r="F1908" s="4" t="str">
        <f>IF(D1908="","", IFNA(VLOOKUP(D1908, SATCAT_DECAY!A:B, 2, FALSE), ""))
</f>
        <v/>
      </c>
      <c r="G1908" s="3" t="str">
        <f t="shared" si="1"/>
        <v>ACTIVE</v>
      </c>
    </row>
    <row r="1909" ht="22.5" customHeight="1">
      <c r="A1909" s="11" t="str">
        <f t="array" ref="A1909">IFERROR(
  INDEX('Starlink Launches'!$A:$A, MATCH($E1909, 'Starlink Launches'!$B:$B, 0)),
  ""
)
</f>
        <v>6-85</v>
      </c>
      <c r="B1909" s="3" t="s">
        <v>25</v>
      </c>
      <c r="C1909" s="12" t="s">
        <v>1921</v>
      </c>
      <c r="D1909" s="13">
        <v>66478.0</v>
      </c>
      <c r="E1909" s="4">
        <v>45976.0</v>
      </c>
      <c r="F1909" s="4" t="str">
        <f>IF(D1909="","", IFNA(VLOOKUP(D1909, SATCAT_DECAY!A:B, 2, FALSE), ""))
</f>
        <v/>
      </c>
      <c r="G1909" s="3" t="str">
        <f t="shared" si="1"/>
        <v>ACTIVE</v>
      </c>
    </row>
    <row r="1910" ht="22.5" customHeight="1">
      <c r="A1910" s="11" t="str">
        <f t="array" ref="A1910">IFERROR(
  INDEX('Starlink Launches'!$A:$A, MATCH($E1910, 'Starlink Launches'!$B:$B, 0)),
  ""
)
</f>
        <v>6-85</v>
      </c>
      <c r="B1910" s="3" t="s">
        <v>25</v>
      </c>
      <c r="C1910" s="12" t="s">
        <v>1922</v>
      </c>
      <c r="D1910" s="13">
        <v>66479.0</v>
      </c>
      <c r="E1910" s="4">
        <v>45976.0</v>
      </c>
      <c r="F1910" s="4" t="str">
        <f>IF(D1910="","", IFNA(VLOOKUP(D1910, SATCAT_DECAY!A:B, 2, FALSE), ""))
</f>
        <v/>
      </c>
      <c r="G1910" s="3" t="str">
        <f t="shared" si="1"/>
        <v>ACTIVE</v>
      </c>
    </row>
    <row r="1911" ht="22.5" customHeight="1">
      <c r="A1911" s="11" t="str">
        <f t="array" ref="A1911">IFERROR(
  INDEX('Starlink Launches'!$A:$A, MATCH($E1911, 'Starlink Launches'!$B:$B, 0)),
  ""
)
</f>
        <v>6-85</v>
      </c>
      <c r="B1911" s="3" t="s">
        <v>25</v>
      </c>
      <c r="C1911" s="12" t="s">
        <v>1923</v>
      </c>
      <c r="D1911" s="13">
        <v>66480.0</v>
      </c>
      <c r="E1911" s="4">
        <v>45976.0</v>
      </c>
      <c r="F1911" s="4" t="str">
        <f>IF(D1911="","", IFNA(VLOOKUP(D1911, SATCAT_DECAY!A:B, 2, FALSE), ""))
</f>
        <v/>
      </c>
      <c r="G1911" s="3" t="str">
        <f t="shared" si="1"/>
        <v>ACTIVE</v>
      </c>
    </row>
    <row r="1912" ht="22.5" customHeight="1">
      <c r="A1912" s="11" t="str">
        <f t="array" ref="A1912">IFERROR(
  INDEX('Starlink Launches'!$A:$A, MATCH($E1912, 'Starlink Launches'!$B:$B, 0)),
  ""
)
</f>
        <v>6-85</v>
      </c>
      <c r="B1912" s="3" t="s">
        <v>25</v>
      </c>
      <c r="C1912" s="12" t="s">
        <v>1924</v>
      </c>
      <c r="D1912" s="13">
        <v>66481.0</v>
      </c>
      <c r="E1912" s="4">
        <v>45976.0</v>
      </c>
      <c r="F1912" s="4" t="str">
        <f>IF(D1912="","", IFNA(VLOOKUP(D1912, SATCAT_DECAY!A:B, 2, FALSE), ""))
</f>
        <v/>
      </c>
      <c r="G1912" s="3" t="str">
        <f t="shared" si="1"/>
        <v>ACTIVE</v>
      </c>
    </row>
    <row r="1913" ht="22.5" customHeight="1">
      <c r="A1913" s="11" t="str">
        <f t="array" ref="A1913">IFERROR(
  INDEX('Starlink Launches'!$A:$A, MATCH($E1913, 'Starlink Launches'!$B:$B, 0)),
  ""
)
</f>
        <v>6-85</v>
      </c>
      <c r="B1913" s="3" t="s">
        <v>25</v>
      </c>
      <c r="C1913" s="12" t="s">
        <v>1925</v>
      </c>
      <c r="D1913" s="13">
        <v>66482.0</v>
      </c>
      <c r="E1913" s="4">
        <v>45976.0</v>
      </c>
      <c r="F1913" s="4" t="str">
        <f>IF(D1913="","", IFNA(VLOOKUP(D1913, SATCAT_DECAY!A:B, 2, FALSE), ""))
</f>
        <v/>
      </c>
      <c r="G1913" s="3" t="str">
        <f t="shared" si="1"/>
        <v>ACTIVE</v>
      </c>
    </row>
    <row r="1914" ht="22.5" customHeight="1">
      <c r="A1914" s="11" t="str">
        <f t="array" ref="A1914">IFERROR(
  INDEX('Starlink Launches'!$A:$A, MATCH($E1914, 'Starlink Launches'!$B:$B, 0)),
  ""
)
</f>
        <v>6-85</v>
      </c>
      <c r="B1914" s="3" t="s">
        <v>25</v>
      </c>
      <c r="C1914" s="12" t="s">
        <v>1926</v>
      </c>
      <c r="D1914" s="13">
        <v>66483.0</v>
      </c>
      <c r="E1914" s="4">
        <v>45976.0</v>
      </c>
      <c r="F1914" s="4" t="str">
        <f>IF(D1914="","", IFNA(VLOOKUP(D1914, SATCAT_DECAY!A:B, 2, FALSE), ""))
</f>
        <v/>
      </c>
      <c r="G1914" s="3" t="str">
        <f t="shared" si="1"/>
        <v>ACTIVE</v>
      </c>
    </row>
    <row r="1915" ht="22.5" customHeight="1">
      <c r="A1915" s="11" t="str">
        <f t="array" ref="A1915">IFERROR(
  INDEX('Starlink Launches'!$A:$A, MATCH($E1915, 'Starlink Launches'!$B:$B, 0)),
  ""
)
</f>
        <v>6-85</v>
      </c>
      <c r="B1915" s="3" t="s">
        <v>25</v>
      </c>
      <c r="C1915" s="12" t="s">
        <v>1927</v>
      </c>
      <c r="D1915" s="13">
        <v>66484.0</v>
      </c>
      <c r="E1915" s="4">
        <v>45976.0</v>
      </c>
      <c r="F1915" s="4" t="str">
        <f>IF(D1915="","", IFNA(VLOOKUP(D1915, SATCAT_DECAY!A:B, 2, FALSE), ""))
</f>
        <v/>
      </c>
      <c r="G1915" s="3" t="str">
        <f t="shared" si="1"/>
        <v>ACTIVE</v>
      </c>
    </row>
    <row r="1916" ht="22.5" customHeight="1">
      <c r="A1916" s="11" t="str">
        <f t="array" ref="A1916">IFERROR(
  INDEX('Starlink Launches'!$A:$A, MATCH($E1916, 'Starlink Launches'!$B:$B, 0)),
  ""
)
</f>
        <v>6-85</v>
      </c>
      <c r="B1916" s="3" t="s">
        <v>25</v>
      </c>
      <c r="C1916" s="12" t="s">
        <v>1928</v>
      </c>
      <c r="D1916" s="13">
        <v>66485.0</v>
      </c>
      <c r="E1916" s="4">
        <v>45976.0</v>
      </c>
      <c r="F1916" s="4" t="str">
        <f>IF(D1916="","", IFNA(VLOOKUP(D1916, SATCAT_DECAY!A:B, 2, FALSE), ""))
</f>
        <v/>
      </c>
      <c r="G1916" s="3" t="str">
        <f t="shared" si="1"/>
        <v>ACTIVE</v>
      </c>
    </row>
    <row r="1917" ht="22.5" customHeight="1">
      <c r="A1917" s="11" t="str">
        <f t="array" ref="A1917">IFERROR(
  INDEX('Starlink Launches'!$A:$A, MATCH($E1917, 'Starlink Launches'!$B:$B, 0)),
  ""
)
</f>
        <v>6-85</v>
      </c>
      <c r="B1917" s="3" t="s">
        <v>25</v>
      </c>
      <c r="C1917" s="12" t="s">
        <v>1929</v>
      </c>
      <c r="D1917" s="13">
        <v>66486.0</v>
      </c>
      <c r="E1917" s="4">
        <v>45976.0</v>
      </c>
      <c r="F1917" s="4" t="str">
        <f>IF(D1917="","", IFNA(VLOOKUP(D1917, SATCAT_DECAY!A:B, 2, FALSE), ""))
</f>
        <v/>
      </c>
      <c r="G1917" s="3" t="str">
        <f t="shared" si="1"/>
        <v>ACTIVE</v>
      </c>
    </row>
    <row r="1918" ht="22.5" customHeight="1">
      <c r="A1918" s="11" t="str">
        <f t="array" ref="A1918">IFERROR(
  INDEX('Starlink Launches'!$A:$A, MATCH($E1918, 'Starlink Launches'!$B:$B, 0)),
  ""
)
</f>
        <v>6-85</v>
      </c>
      <c r="B1918" s="3" t="s">
        <v>25</v>
      </c>
      <c r="C1918" s="12" t="s">
        <v>1930</v>
      </c>
      <c r="D1918" s="13">
        <v>66487.0</v>
      </c>
      <c r="E1918" s="4">
        <v>45976.0</v>
      </c>
      <c r="F1918" s="4" t="str">
        <f>IF(D1918="","", IFNA(VLOOKUP(D1918, SATCAT_DECAY!A:B, 2, FALSE), ""))
</f>
        <v/>
      </c>
      <c r="G1918" s="3" t="str">
        <f t="shared" si="1"/>
        <v>ACTIVE</v>
      </c>
    </row>
    <row r="1919" ht="22.5" customHeight="1">
      <c r="A1919" s="11" t="str">
        <f t="array" ref="A1919">IFERROR(
  INDEX('Starlink Launches'!$A:$A, MATCH($E1919, 'Starlink Launches'!$B:$B, 0)),
  ""
)
</f>
        <v>6-85</v>
      </c>
      <c r="B1919" s="3" t="s">
        <v>25</v>
      </c>
      <c r="C1919" s="12" t="s">
        <v>1931</v>
      </c>
      <c r="D1919" s="13">
        <v>66488.0</v>
      </c>
      <c r="E1919" s="4">
        <v>45976.0</v>
      </c>
      <c r="F1919" s="4" t="str">
        <f>IF(D1919="","", IFNA(VLOOKUP(D1919, SATCAT_DECAY!A:B, 2, FALSE), ""))
</f>
        <v/>
      </c>
      <c r="G1919" s="3" t="str">
        <f t="shared" si="1"/>
        <v>ACTIVE</v>
      </c>
    </row>
    <row r="1920" ht="22.5" customHeight="1">
      <c r="A1920" s="11" t="str">
        <f t="array" ref="A1920">IFERROR(
  INDEX('Starlink Launches'!$A:$A, MATCH($E1920, 'Starlink Launches'!$B:$B, 0)),
  ""
)
</f>
        <v>6-85</v>
      </c>
      <c r="B1920" s="3" t="s">
        <v>25</v>
      </c>
      <c r="C1920" s="12" t="s">
        <v>1932</v>
      </c>
      <c r="D1920" s="13">
        <v>66489.0</v>
      </c>
      <c r="E1920" s="4">
        <v>45976.0</v>
      </c>
      <c r="F1920" s="4" t="str">
        <f>IF(D1920="","", IFNA(VLOOKUP(D1920, SATCAT_DECAY!A:B, 2, FALSE), ""))
</f>
        <v/>
      </c>
      <c r="G1920" s="3" t="str">
        <f t="shared" si="1"/>
        <v>ACTIVE</v>
      </c>
    </row>
    <row r="1921" ht="22.5" customHeight="1">
      <c r="A1921" s="11" t="str">
        <f t="array" ref="A1921">IFERROR(
  INDEX('Starlink Launches'!$A:$A, MATCH($E1921, 'Starlink Launches'!$B:$B, 0)),
  ""
)
</f>
        <v>6-85</v>
      </c>
      <c r="B1921" s="3" t="s">
        <v>25</v>
      </c>
      <c r="C1921" s="12" t="s">
        <v>1933</v>
      </c>
      <c r="D1921" s="13">
        <v>66490.0</v>
      </c>
      <c r="E1921" s="4">
        <v>45976.0</v>
      </c>
      <c r="F1921" s="4" t="str">
        <f>IF(D1921="","", IFNA(VLOOKUP(D1921, SATCAT_DECAY!A:B, 2, FALSE), ""))
</f>
        <v/>
      </c>
      <c r="G1921" s="3" t="str">
        <f t="shared" si="1"/>
        <v>ACTIVE</v>
      </c>
    </row>
    <row r="1922" ht="22.5" customHeight="1">
      <c r="A1922" s="11" t="str">
        <f t="array" ref="A1922">IFERROR(
  INDEX('Starlink Launches'!$A:$A, MATCH($E1922, 'Starlink Launches'!$B:$B, 0)),
  ""
)
</f>
        <v>6-85</v>
      </c>
      <c r="B1922" s="3" t="s">
        <v>25</v>
      </c>
      <c r="C1922" s="12" t="s">
        <v>1934</v>
      </c>
      <c r="D1922" s="13">
        <v>66491.0</v>
      </c>
      <c r="E1922" s="4">
        <v>45976.0</v>
      </c>
      <c r="F1922" s="4" t="str">
        <f>IF(D1922="","", IFNA(VLOOKUP(D1922, SATCAT_DECAY!A:B, 2, FALSE), ""))
</f>
        <v/>
      </c>
      <c r="G1922" s="3" t="str">
        <f t="shared" si="1"/>
        <v>ACTIVE</v>
      </c>
    </row>
    <row r="1923" ht="22.5" customHeight="1">
      <c r="A1923" s="11" t="str">
        <f t="array" ref="A1923">IFERROR(
  INDEX('Starlink Launches'!$A:$A, MATCH($E1923, 'Starlink Launches'!$B:$B, 0)),
  ""
)
</f>
        <v>6-85</v>
      </c>
      <c r="B1923" s="3" t="s">
        <v>25</v>
      </c>
      <c r="C1923" s="12" t="s">
        <v>1935</v>
      </c>
      <c r="D1923" s="13">
        <v>66492.0</v>
      </c>
      <c r="E1923" s="4">
        <v>45976.0</v>
      </c>
      <c r="F1923" s="4" t="str">
        <f>IF(D1923="","", IFNA(VLOOKUP(D1923, SATCAT_DECAY!A:B, 2, FALSE), ""))
</f>
        <v/>
      </c>
      <c r="G1923" s="3" t="str">
        <f t="shared" si="1"/>
        <v>ACTIVE</v>
      </c>
    </row>
    <row r="1924" ht="22.5" customHeight="1">
      <c r="A1924" s="11" t="str">
        <f t="array" ref="A1924">IFERROR(
  INDEX('Starlink Launches'!$A:$A, MATCH($E1924, 'Starlink Launches'!$B:$B, 0)),
  ""
)
</f>
        <v>6-85</v>
      </c>
      <c r="B1924" s="3" t="s">
        <v>25</v>
      </c>
      <c r="C1924" s="12" t="s">
        <v>1936</v>
      </c>
      <c r="D1924" s="13">
        <v>66493.0</v>
      </c>
      <c r="E1924" s="4">
        <v>45976.0</v>
      </c>
      <c r="F1924" s="4" t="str">
        <f>IF(D1924="","", IFNA(VLOOKUP(D1924, SATCAT_DECAY!A:B, 2, FALSE), ""))
</f>
        <v/>
      </c>
      <c r="G1924" s="3" t="str">
        <f t="shared" si="1"/>
        <v>ACTIVE</v>
      </c>
    </row>
    <row r="1925" ht="22.5" customHeight="1">
      <c r="A1925" s="11" t="str">
        <f t="array" ref="A1925">IFERROR(
  INDEX('Starlink Launches'!$A:$A, MATCH($E1925, 'Starlink Launches'!$B:$B, 0)),
  ""
)
</f>
        <v>6-85</v>
      </c>
      <c r="B1925" s="3" t="s">
        <v>25</v>
      </c>
      <c r="C1925" s="12" t="s">
        <v>1937</v>
      </c>
      <c r="D1925" s="13">
        <v>66494.0</v>
      </c>
      <c r="E1925" s="4">
        <v>45976.0</v>
      </c>
      <c r="F1925" s="4" t="str">
        <f>IF(D1925="","", IFNA(VLOOKUP(D1925, SATCAT_DECAY!A:B, 2, FALSE), ""))
</f>
        <v/>
      </c>
      <c r="G1925" s="3" t="str">
        <f t="shared" si="1"/>
        <v>ACTIVE</v>
      </c>
    </row>
    <row r="1926" ht="22.5" customHeight="1">
      <c r="A1926" s="11" t="str">
        <f t="array" ref="A1926">IFERROR(
  INDEX('Starlink Launches'!$A:$A, MATCH($E1926, 'Starlink Launches'!$B:$B, 0)),
  ""
)
</f>
        <v>6-85</v>
      </c>
      <c r="B1926" s="3" t="s">
        <v>25</v>
      </c>
      <c r="C1926" s="12" t="s">
        <v>1938</v>
      </c>
      <c r="D1926" s="13">
        <v>66495.0</v>
      </c>
      <c r="E1926" s="4">
        <v>45976.0</v>
      </c>
      <c r="F1926" s="4" t="str">
        <f>IF(D1926="","", IFNA(VLOOKUP(D1926, SATCAT_DECAY!A:B, 2, FALSE), ""))
</f>
        <v/>
      </c>
      <c r="G1926" s="3" t="str">
        <f t="shared" si="1"/>
        <v>ACTIVE</v>
      </c>
    </row>
    <row r="1927" ht="22.5" customHeight="1">
      <c r="A1927" s="11" t="str">
        <f t="array" ref="A1927">IFERROR(
  INDEX('Starlink Launches'!$A:$A, MATCH($E1927, 'Starlink Launches'!$B:$B, 0)),
  ""
)
</f>
        <v>6-85</v>
      </c>
      <c r="B1927" s="3" t="s">
        <v>25</v>
      </c>
      <c r="C1927" s="12" t="s">
        <v>1939</v>
      </c>
      <c r="D1927" s="13">
        <v>66496.0</v>
      </c>
      <c r="E1927" s="4">
        <v>45976.0</v>
      </c>
      <c r="F1927" s="4" t="str">
        <f>IF(D1927="","", IFNA(VLOOKUP(D1927, SATCAT_DECAY!A:B, 2, FALSE), ""))
</f>
        <v/>
      </c>
      <c r="G1927" s="3" t="str">
        <f t="shared" si="1"/>
        <v>ACTIVE</v>
      </c>
    </row>
    <row r="1928" ht="22.5" customHeight="1">
      <c r="A1928" s="11" t="str">
        <f t="array" ref="A1928">IFERROR(
  INDEX('Starlink Launches'!$A:$A, MATCH($E1928, 'Starlink Launches'!$B:$B, 0)),
  ""
)
</f>
        <v>6-85</v>
      </c>
      <c r="B1928" s="3" t="s">
        <v>25</v>
      </c>
      <c r="C1928" s="12" t="s">
        <v>1940</v>
      </c>
      <c r="D1928" s="13">
        <v>66497.0</v>
      </c>
      <c r="E1928" s="4">
        <v>45976.0</v>
      </c>
      <c r="F1928" s="4" t="str">
        <f>IF(D1928="","", IFNA(VLOOKUP(D1928, SATCAT_DECAY!A:B, 2, FALSE), ""))
</f>
        <v/>
      </c>
      <c r="G1928" s="3" t="str">
        <f t="shared" si="1"/>
        <v>ACTIVE</v>
      </c>
    </row>
    <row r="1929" ht="22.5" customHeight="1">
      <c r="A1929" s="11" t="str">
        <f t="array" ref="A1929">IFERROR(
  INDEX('Starlink Launches'!$A:$A, MATCH($E1929, 'Starlink Launches'!$B:$B, 0)),
  ""
)
</f>
        <v>6-85</v>
      </c>
      <c r="B1929" s="3" t="s">
        <v>25</v>
      </c>
      <c r="C1929" s="12" t="s">
        <v>1941</v>
      </c>
      <c r="D1929" s="13">
        <v>66498.0</v>
      </c>
      <c r="E1929" s="4">
        <v>45976.0</v>
      </c>
      <c r="F1929" s="4" t="str">
        <f>IF(D1929="","", IFNA(VLOOKUP(D1929, SATCAT_DECAY!A:B, 2, FALSE), ""))
</f>
        <v/>
      </c>
      <c r="G1929" s="3" t="str">
        <f t="shared" si="1"/>
        <v>ACTIVE</v>
      </c>
    </row>
    <row r="1930" ht="22.5" customHeight="1">
      <c r="A1930" s="11" t="str">
        <f t="array" ref="A1930">IFERROR(
  INDEX('Starlink Launches'!$A:$A, MATCH($E1930, 'Starlink Launches'!$B:$B, 0)),
  ""
)
</f>
        <v>6-85</v>
      </c>
      <c r="B1930" s="3" t="s">
        <v>25</v>
      </c>
      <c r="C1930" s="12" t="s">
        <v>1942</v>
      </c>
      <c r="D1930" s="13">
        <v>66499.0</v>
      </c>
      <c r="E1930" s="4">
        <v>45976.0</v>
      </c>
      <c r="F1930" s="4" t="str">
        <f>IF(D1930="","", IFNA(VLOOKUP(D1930, SATCAT_DECAY!A:B, 2, FALSE), ""))
</f>
        <v/>
      </c>
      <c r="G1930" s="3" t="str">
        <f t="shared" si="1"/>
        <v>ACTIVE</v>
      </c>
    </row>
    <row r="1931" ht="22.5" customHeight="1">
      <c r="A1931" s="11" t="str">
        <f t="array" ref="A1931">IFERROR(
  INDEX('Starlink Launches'!$A:$A, MATCH($E1931, 'Starlink Launches'!$B:$B, 0)),
  ""
)
</f>
        <v>6-85</v>
      </c>
      <c r="B1931" s="3" t="s">
        <v>25</v>
      </c>
      <c r="C1931" s="12" t="s">
        <v>1943</v>
      </c>
      <c r="D1931" s="13">
        <v>66500.0</v>
      </c>
      <c r="E1931" s="4">
        <v>45976.0</v>
      </c>
      <c r="F1931" s="4" t="str">
        <f>IF(D1931="","", IFNA(VLOOKUP(D1931, SATCAT_DECAY!A:B, 2, FALSE), ""))
</f>
        <v/>
      </c>
      <c r="G1931" s="3" t="str">
        <f t="shared" si="1"/>
        <v>ACTIVE</v>
      </c>
    </row>
    <row r="1932" ht="22.5" customHeight="1">
      <c r="A1932" s="11" t="str">
        <f t="array" ref="A1932">IFERROR(
  INDEX('Starlink Launches'!$A:$A, MATCH($E1932, 'Starlink Launches'!$B:$B, 0)),
  ""
)
</f>
        <v>6-85</v>
      </c>
      <c r="B1932" s="3" t="s">
        <v>25</v>
      </c>
      <c r="C1932" s="12" t="s">
        <v>1944</v>
      </c>
      <c r="D1932" s="13">
        <v>66501.0</v>
      </c>
      <c r="E1932" s="4">
        <v>45976.0</v>
      </c>
      <c r="F1932" s="4" t="str">
        <f>IF(D1932="","", IFNA(VLOOKUP(D1932, SATCAT_DECAY!A:B, 2, FALSE), ""))
</f>
        <v/>
      </c>
      <c r="G1932" s="3" t="str">
        <f t="shared" si="1"/>
        <v>ACTIVE</v>
      </c>
    </row>
    <row r="1933" ht="22.5" customHeight="1">
      <c r="A1933" s="11" t="str">
        <f t="array" ref="A1933">IFERROR(
  INDEX('Starlink Launches'!$A:$A, MATCH($E1933, 'Starlink Launches'!$B:$B, 0)),
  ""
)
</f>
        <v>6-85</v>
      </c>
      <c r="B1933" s="3" t="s">
        <v>25</v>
      </c>
      <c r="C1933" s="12" t="s">
        <v>1945</v>
      </c>
      <c r="D1933" s="13">
        <v>66502.0</v>
      </c>
      <c r="E1933" s="4">
        <v>45976.0</v>
      </c>
      <c r="F1933" s="4" t="str">
        <f>IF(D1933="","", IFNA(VLOOKUP(D1933, SATCAT_DECAY!A:B, 2, FALSE), ""))
</f>
        <v/>
      </c>
      <c r="G1933" s="3" t="str">
        <f t="shared" si="1"/>
        <v>ACTIVE</v>
      </c>
    </row>
    <row r="1934" ht="22.5" customHeight="1">
      <c r="A1934" s="11" t="str">
        <f t="array" ref="A1934">IFERROR(
  INDEX('Starlink Launches'!$A:$A, MATCH($E1934, 'Starlink Launches'!$B:$B, 0)),
  ""
)
</f>
        <v>6-85</v>
      </c>
      <c r="B1934" s="3" t="s">
        <v>25</v>
      </c>
      <c r="C1934" s="12" t="s">
        <v>1946</v>
      </c>
      <c r="D1934" s="13">
        <v>66503.0</v>
      </c>
      <c r="E1934" s="4">
        <v>45976.0</v>
      </c>
      <c r="F1934" s="4" t="str">
        <f>IF(D1934="","", IFNA(VLOOKUP(D1934, SATCAT_DECAY!A:B, 2, FALSE), ""))
</f>
        <v/>
      </c>
      <c r="G1934" s="3" t="str">
        <f t="shared" si="1"/>
        <v>ACTIVE</v>
      </c>
    </row>
    <row r="1935" ht="22.5" customHeight="1">
      <c r="A1935" s="11" t="str">
        <f t="array" ref="A1935">IFERROR(
  INDEX('Starlink Launches'!$A:$A, MATCH($E1935, 'Starlink Launches'!$B:$B, 0)),
  ""
)
</f>
        <v>6-85</v>
      </c>
      <c r="B1935" s="3" t="s">
        <v>25</v>
      </c>
      <c r="C1935" s="12" t="s">
        <v>1947</v>
      </c>
      <c r="D1935" s="13">
        <v>66504.0</v>
      </c>
      <c r="E1935" s="4">
        <v>45976.0</v>
      </c>
      <c r="F1935" s="4" t="str">
        <f>IF(D1935="","", IFNA(VLOOKUP(D1935, SATCAT_DECAY!A:B, 2, FALSE), ""))
</f>
        <v/>
      </c>
      <c r="G1935" s="3" t="str">
        <f t="shared" si="1"/>
        <v>ACTIVE</v>
      </c>
    </row>
    <row r="1936" ht="22.5" customHeight="1">
      <c r="A1936" s="11" t="str">
        <f t="array" ref="A1936">IFERROR(
  INDEX('Starlink Launches'!$A:$A, MATCH($E1936, 'Starlink Launches'!$B:$B, 0)),
  ""
)
</f>
        <v>6-85</v>
      </c>
      <c r="B1936" s="3" t="s">
        <v>25</v>
      </c>
      <c r="C1936" s="12" t="s">
        <v>1948</v>
      </c>
      <c r="D1936" s="13">
        <v>66505.0</v>
      </c>
      <c r="E1936" s="4">
        <v>45976.0</v>
      </c>
      <c r="F1936" s="4" t="str">
        <f>IF(D1936="","", IFNA(VLOOKUP(D1936, SATCAT_DECAY!A:B, 2, FALSE), ""))
</f>
        <v/>
      </c>
      <c r="G1936" s="3" t="str">
        <f t="shared" si="1"/>
        <v>ACTIVE</v>
      </c>
    </row>
    <row r="1937" ht="22.5" customHeight="1">
      <c r="A1937" s="11" t="str">
        <f t="array" ref="A1937">IFERROR(
  INDEX('Starlink Launches'!$A:$A, MATCH($E1937, 'Starlink Launches'!$B:$B, 0)),
  ""
)
</f>
        <v>6-85</v>
      </c>
      <c r="B1937" s="3" t="s">
        <v>25</v>
      </c>
      <c r="C1937" s="12" t="s">
        <v>1949</v>
      </c>
      <c r="D1937" s="13">
        <v>66506.0</v>
      </c>
      <c r="E1937" s="4">
        <v>45976.0</v>
      </c>
      <c r="F1937" s="4" t="str">
        <f>IF(D1937="","", IFNA(VLOOKUP(D1937, SATCAT_DECAY!A:B, 2, FALSE), ""))
</f>
        <v/>
      </c>
      <c r="G1937" s="3" t="str">
        <f t="shared" si="1"/>
        <v>ACTIVE</v>
      </c>
    </row>
    <row r="1938" ht="22.5" customHeight="1">
      <c r="A1938" s="11" t="str">
        <f t="array" ref="A1938">IFERROR(
  INDEX('Starlink Launches'!$A:$A, MATCH($E1938, 'Starlink Launches'!$B:$B, 0)),
  ""
)
</f>
        <v>6-85</v>
      </c>
      <c r="B1938" s="3" t="s">
        <v>25</v>
      </c>
      <c r="C1938" s="12" t="s">
        <v>1950</v>
      </c>
      <c r="D1938" s="13">
        <v>66507.0</v>
      </c>
      <c r="E1938" s="4">
        <v>45976.0</v>
      </c>
      <c r="F1938" s="4" t="str">
        <f>IF(D1938="","", IFNA(VLOOKUP(D1938, SATCAT_DECAY!A:B, 2, FALSE), ""))
</f>
        <v/>
      </c>
      <c r="G1938" s="3" t="str">
        <f t="shared" si="1"/>
        <v>ACTIVE</v>
      </c>
    </row>
    <row r="1939" ht="22.5" customHeight="1">
      <c r="A1939" s="11" t="str">
        <f t="array" ref="A1939">IFERROR(
  INDEX('Starlink Launches'!$A:$A, MATCH($E1939, 'Starlink Launches'!$B:$B, 0)),
  ""
)
</f>
        <v>6-85</v>
      </c>
      <c r="B1939" s="3" t="s">
        <v>25</v>
      </c>
      <c r="C1939" s="12" t="s">
        <v>1951</v>
      </c>
      <c r="D1939" s="13">
        <v>66508.0</v>
      </c>
      <c r="E1939" s="4">
        <v>45976.0</v>
      </c>
      <c r="F1939" s="4" t="str">
        <f>IF(D1939="","", IFNA(VLOOKUP(D1939, SATCAT_DECAY!A:B, 2, FALSE), ""))
</f>
        <v/>
      </c>
      <c r="G1939" s="3" t="str">
        <f t="shared" si="1"/>
        <v>ACTIVE</v>
      </c>
    </row>
    <row r="1940" ht="22.5" customHeight="1">
      <c r="A1940" s="11" t="str">
        <f t="array" ref="A1940">IFERROR(
  INDEX('Starlink Launches'!$A:$A, MATCH($E1940, 'Starlink Launches'!$B:$B, 0)),
  ""
)
</f>
        <v>6-85</v>
      </c>
      <c r="B1940" s="3" t="s">
        <v>25</v>
      </c>
      <c r="C1940" s="12" t="s">
        <v>1952</v>
      </c>
      <c r="D1940" s="13">
        <v>66509.0</v>
      </c>
      <c r="E1940" s="4">
        <v>45976.0</v>
      </c>
      <c r="F1940" s="4" t="str">
        <f>IF(D1940="","", IFNA(VLOOKUP(D1940, SATCAT_DECAY!A:B, 2, FALSE), ""))
</f>
        <v/>
      </c>
      <c r="G1940" s="3" t="str">
        <f t="shared" si="1"/>
        <v>ACTIVE</v>
      </c>
    </row>
    <row r="1941" ht="22.5" customHeight="1">
      <c r="A1941" s="11" t="str">
        <f t="array" ref="A1941">IFERROR(
  INDEX('Starlink Launches'!$A:$A, MATCH($E1941, 'Starlink Launches'!$B:$B, 0)),
  ""
)
</f>
        <v>6-85</v>
      </c>
      <c r="B1941" s="3" t="s">
        <v>25</v>
      </c>
      <c r="C1941" s="12" t="s">
        <v>1953</v>
      </c>
      <c r="D1941" s="13">
        <v>66510.0</v>
      </c>
      <c r="E1941" s="4">
        <v>45976.0</v>
      </c>
      <c r="F1941" s="4" t="str">
        <f>IF(D1941="","", IFNA(VLOOKUP(D1941, SATCAT_DECAY!A:B, 2, FALSE), ""))
</f>
        <v/>
      </c>
      <c r="G1941" s="3" t="str">
        <f t="shared" si="1"/>
        <v>ACTIVE</v>
      </c>
    </row>
    <row r="1942" ht="22.5" customHeight="1">
      <c r="A1942" s="11" t="str">
        <f t="array" ref="A1942">IFERROR(
  INDEX('Starlink Launches'!$A:$A, MATCH($E1942, 'Starlink Launches'!$B:$B, 0)),
  ""
)
</f>
        <v>6-85</v>
      </c>
      <c r="B1942" s="3" t="s">
        <v>25</v>
      </c>
      <c r="C1942" s="12" t="s">
        <v>1954</v>
      </c>
      <c r="D1942" s="13">
        <v>66511.0</v>
      </c>
      <c r="E1942" s="4">
        <v>45976.0</v>
      </c>
      <c r="F1942" s="4" t="str">
        <f>IF(D1942="","", IFNA(VLOOKUP(D1942, SATCAT_DECAY!A:B, 2, FALSE), ""))
</f>
        <v/>
      </c>
      <c r="G1942" s="3" t="str">
        <f t="shared" si="1"/>
        <v>ACTIVE</v>
      </c>
    </row>
    <row r="1943" ht="22.5" customHeight="1">
      <c r="A1943" s="11" t="str">
        <f t="array" ref="A1943">IFERROR(
  INDEX('Starlink Launches'!$A:$A, MATCH($E1943, 'Starlink Launches'!$B:$B, 0)),
  ""
)
</f>
        <v>6-85</v>
      </c>
      <c r="B1943" s="3" t="s">
        <v>25</v>
      </c>
      <c r="C1943" s="12" t="s">
        <v>1955</v>
      </c>
      <c r="D1943" s="13">
        <v>66512.0</v>
      </c>
      <c r="E1943" s="4">
        <v>45976.0</v>
      </c>
      <c r="F1943" s="4" t="str">
        <f>IF(D1943="","", IFNA(VLOOKUP(D1943, SATCAT_DECAY!A:B, 2, FALSE), ""))
</f>
        <v/>
      </c>
      <c r="G1943" s="3" t="str">
        <f t="shared" si="1"/>
        <v>ACTIVE</v>
      </c>
    </row>
    <row r="1944" ht="22.5" customHeight="1">
      <c r="A1944" s="11" t="str">
        <f t="array" ref="A1944">IFERROR(
  INDEX('Starlink Launches'!$A:$A, MATCH($E1944, 'Starlink Launches'!$B:$B, 0)),
  ""
)
</f>
        <v>6-85</v>
      </c>
      <c r="B1944" s="3" t="s">
        <v>25</v>
      </c>
      <c r="C1944" s="12" t="s">
        <v>1956</v>
      </c>
      <c r="D1944" s="13">
        <v>66513.0</v>
      </c>
      <c r="E1944" s="4">
        <v>45976.0</v>
      </c>
      <c r="F1944" s="4" t="str">
        <f>IF(D1944="","", IFNA(VLOOKUP(D1944, SATCAT_DECAY!A:B, 2, FALSE), ""))
</f>
        <v/>
      </c>
      <c r="G1944" s="3" t="str">
        <f t="shared" si="1"/>
        <v>ACTIVE</v>
      </c>
    </row>
    <row r="1945" ht="22.5" customHeight="1">
      <c r="A1945" s="11" t="str">
        <f t="array" ref="A1945">IFERROR(
  INDEX('Starlink Launches'!$A:$A, MATCH($E1945, 'Starlink Launches'!$B:$B, 0)),
  ""
)
</f>
        <v>6-94</v>
      </c>
      <c r="B1945" s="3" t="s">
        <v>25</v>
      </c>
      <c r="C1945" s="12" t="s">
        <v>1957</v>
      </c>
      <c r="D1945" s="13">
        <v>66516.0</v>
      </c>
      <c r="E1945" s="4">
        <v>45980.0</v>
      </c>
      <c r="F1945" s="4" t="str">
        <f>IF(D1945="","", IFNA(VLOOKUP(D1945, SATCAT_DECAY!A:B, 2, FALSE), ""))
</f>
        <v/>
      </c>
      <c r="G1945" s="3" t="str">
        <f t="shared" si="1"/>
        <v>ACTIVE</v>
      </c>
    </row>
    <row r="1946" ht="22.5" customHeight="1">
      <c r="A1946" s="11" t="str">
        <f t="array" ref="A1946">IFERROR(
  INDEX('Starlink Launches'!$A:$A, MATCH($E1946, 'Starlink Launches'!$B:$B, 0)),
  ""
)
</f>
        <v>6-94</v>
      </c>
      <c r="B1946" s="3" t="s">
        <v>25</v>
      </c>
      <c r="C1946" s="12" t="s">
        <v>1958</v>
      </c>
      <c r="D1946" s="13">
        <v>66517.0</v>
      </c>
      <c r="E1946" s="4">
        <v>45980.0</v>
      </c>
      <c r="F1946" s="4" t="str">
        <f>IF(D1946="","", IFNA(VLOOKUP(D1946, SATCAT_DECAY!A:B, 2, FALSE), ""))
</f>
        <v/>
      </c>
      <c r="G1946" s="3" t="str">
        <f t="shared" si="1"/>
        <v>ACTIVE</v>
      </c>
    </row>
    <row r="1947" ht="22.5" customHeight="1">
      <c r="A1947" s="11" t="str">
        <f t="array" ref="A1947">IFERROR(
  INDEX('Starlink Launches'!$A:$A, MATCH($E1947, 'Starlink Launches'!$B:$B, 0)),
  ""
)
</f>
        <v>6-94</v>
      </c>
      <c r="B1947" s="3" t="s">
        <v>25</v>
      </c>
      <c r="C1947" s="12" t="s">
        <v>1959</v>
      </c>
      <c r="D1947" s="13">
        <v>66518.0</v>
      </c>
      <c r="E1947" s="4">
        <v>45980.0</v>
      </c>
      <c r="F1947" s="4" t="str">
        <f>IF(D1947="","", IFNA(VLOOKUP(D1947, SATCAT_DECAY!A:B, 2, FALSE), ""))
</f>
        <v/>
      </c>
      <c r="G1947" s="3" t="str">
        <f t="shared" si="1"/>
        <v>ACTIVE</v>
      </c>
    </row>
    <row r="1948" ht="22.5" customHeight="1">
      <c r="A1948" s="11" t="str">
        <f t="array" ref="A1948">IFERROR(
  INDEX('Starlink Launches'!$A:$A, MATCH($E1948, 'Starlink Launches'!$B:$B, 0)),
  ""
)
</f>
        <v>6-94</v>
      </c>
      <c r="B1948" s="3" t="s">
        <v>25</v>
      </c>
      <c r="C1948" s="12" t="s">
        <v>1960</v>
      </c>
      <c r="D1948" s="13">
        <v>66519.0</v>
      </c>
      <c r="E1948" s="4">
        <v>45980.0</v>
      </c>
      <c r="F1948" s="4" t="str">
        <f>IF(D1948="","", IFNA(VLOOKUP(D1948, SATCAT_DECAY!A:B, 2, FALSE), ""))
</f>
        <v/>
      </c>
      <c r="G1948" s="3" t="str">
        <f t="shared" si="1"/>
        <v>ACTIVE</v>
      </c>
    </row>
    <row r="1949" ht="22.5" customHeight="1">
      <c r="A1949" s="11" t="str">
        <f t="array" ref="A1949">IFERROR(
  INDEX('Starlink Launches'!$A:$A, MATCH($E1949, 'Starlink Launches'!$B:$B, 0)),
  ""
)
</f>
        <v>6-94</v>
      </c>
      <c r="B1949" s="3" t="s">
        <v>25</v>
      </c>
      <c r="C1949" s="12" t="s">
        <v>1961</v>
      </c>
      <c r="D1949" s="13">
        <v>66520.0</v>
      </c>
      <c r="E1949" s="4">
        <v>45980.0</v>
      </c>
      <c r="F1949" s="4" t="str">
        <f>IF(D1949="","", IFNA(VLOOKUP(D1949, SATCAT_DECAY!A:B, 2, FALSE), ""))
</f>
        <v/>
      </c>
      <c r="G1949" s="3" t="str">
        <f t="shared" si="1"/>
        <v>ACTIVE</v>
      </c>
    </row>
    <row r="1950" ht="22.5" customHeight="1">
      <c r="A1950" s="11" t="str">
        <f t="array" ref="A1950">IFERROR(
  INDEX('Starlink Launches'!$A:$A, MATCH($E1950, 'Starlink Launches'!$B:$B, 0)),
  ""
)
</f>
        <v>6-94</v>
      </c>
      <c r="B1950" s="3" t="s">
        <v>25</v>
      </c>
      <c r="C1950" s="12" t="s">
        <v>1962</v>
      </c>
      <c r="D1950" s="13">
        <v>66521.0</v>
      </c>
      <c r="E1950" s="4">
        <v>45980.0</v>
      </c>
      <c r="F1950" s="4" t="str">
        <f>IF(D1950="","", IFNA(VLOOKUP(D1950, SATCAT_DECAY!A:B, 2, FALSE), ""))
</f>
        <v/>
      </c>
      <c r="G1950" s="3" t="str">
        <f t="shared" si="1"/>
        <v>ACTIVE</v>
      </c>
    </row>
    <row r="1951" ht="22.5" customHeight="1">
      <c r="A1951" s="11" t="str">
        <f t="array" ref="A1951">IFERROR(
  INDEX('Starlink Launches'!$A:$A, MATCH($E1951, 'Starlink Launches'!$B:$B, 0)),
  ""
)
</f>
        <v>6-94</v>
      </c>
      <c r="B1951" s="3" t="s">
        <v>25</v>
      </c>
      <c r="C1951" s="12" t="s">
        <v>1963</v>
      </c>
      <c r="D1951" s="13">
        <v>66522.0</v>
      </c>
      <c r="E1951" s="4">
        <v>45980.0</v>
      </c>
      <c r="F1951" s="4" t="str">
        <f>IF(D1951="","", IFNA(VLOOKUP(D1951, SATCAT_DECAY!A:B, 2, FALSE), ""))
</f>
        <v/>
      </c>
      <c r="G1951" s="3" t="str">
        <f t="shared" si="1"/>
        <v>ACTIVE</v>
      </c>
    </row>
    <row r="1952" ht="22.5" customHeight="1">
      <c r="A1952" s="11" t="str">
        <f t="array" ref="A1952">IFERROR(
  INDEX('Starlink Launches'!$A:$A, MATCH($E1952, 'Starlink Launches'!$B:$B, 0)),
  ""
)
</f>
        <v>6-94</v>
      </c>
      <c r="B1952" s="3" t="s">
        <v>25</v>
      </c>
      <c r="C1952" s="12" t="s">
        <v>1964</v>
      </c>
      <c r="D1952" s="13">
        <v>66523.0</v>
      </c>
      <c r="E1952" s="4">
        <v>45980.0</v>
      </c>
      <c r="F1952" s="4" t="str">
        <f>IF(D1952="","", IFNA(VLOOKUP(D1952, SATCAT_DECAY!A:B, 2, FALSE), ""))
</f>
        <v/>
      </c>
      <c r="G1952" s="3" t="str">
        <f t="shared" si="1"/>
        <v>ACTIVE</v>
      </c>
    </row>
    <row r="1953" ht="22.5" customHeight="1">
      <c r="A1953" s="11" t="str">
        <f t="array" ref="A1953">IFERROR(
  INDEX('Starlink Launches'!$A:$A, MATCH($E1953, 'Starlink Launches'!$B:$B, 0)),
  ""
)
</f>
        <v>6-94</v>
      </c>
      <c r="B1953" s="3" t="s">
        <v>25</v>
      </c>
      <c r="C1953" s="12" t="s">
        <v>1965</v>
      </c>
      <c r="D1953" s="13">
        <v>66524.0</v>
      </c>
      <c r="E1953" s="4">
        <v>45980.0</v>
      </c>
      <c r="F1953" s="4" t="str">
        <f>IF(D1953="","", IFNA(VLOOKUP(D1953, SATCAT_DECAY!A:B, 2, FALSE), ""))
</f>
        <v/>
      </c>
      <c r="G1953" s="3" t="str">
        <f t="shared" si="1"/>
        <v>ACTIVE</v>
      </c>
    </row>
    <row r="1954" ht="22.5" customHeight="1">
      <c r="A1954" s="11" t="str">
        <f t="array" ref="A1954">IFERROR(
  INDEX('Starlink Launches'!$A:$A, MATCH($E1954, 'Starlink Launches'!$B:$B, 0)),
  ""
)
</f>
        <v>6-94</v>
      </c>
      <c r="B1954" s="3" t="s">
        <v>25</v>
      </c>
      <c r="C1954" s="12" t="s">
        <v>1966</v>
      </c>
      <c r="D1954" s="13">
        <v>66525.0</v>
      </c>
      <c r="E1954" s="4">
        <v>45980.0</v>
      </c>
      <c r="F1954" s="4" t="str">
        <f>IF(D1954="","", IFNA(VLOOKUP(D1954, SATCAT_DECAY!A:B, 2, FALSE), ""))
</f>
        <v/>
      </c>
      <c r="G1954" s="3" t="str">
        <f t="shared" si="1"/>
        <v>ACTIVE</v>
      </c>
    </row>
    <row r="1955" ht="22.5" customHeight="1">
      <c r="A1955" s="11" t="str">
        <f t="array" ref="A1955">IFERROR(
  INDEX('Starlink Launches'!$A:$A, MATCH($E1955, 'Starlink Launches'!$B:$B, 0)),
  ""
)
</f>
        <v>6-94</v>
      </c>
      <c r="B1955" s="3" t="s">
        <v>25</v>
      </c>
      <c r="C1955" s="12" t="s">
        <v>1967</v>
      </c>
      <c r="D1955" s="13">
        <v>66526.0</v>
      </c>
      <c r="E1955" s="4">
        <v>45980.0</v>
      </c>
      <c r="F1955" s="4" t="str">
        <f>IF(D1955="","", IFNA(VLOOKUP(D1955, SATCAT_DECAY!A:B, 2, FALSE), ""))
</f>
        <v/>
      </c>
      <c r="G1955" s="3" t="str">
        <f t="shared" si="1"/>
        <v>ACTIVE</v>
      </c>
    </row>
    <row r="1956" ht="22.5" customHeight="1">
      <c r="A1956" s="11" t="str">
        <f t="array" ref="A1956">IFERROR(
  INDEX('Starlink Launches'!$A:$A, MATCH($E1956, 'Starlink Launches'!$B:$B, 0)),
  ""
)
</f>
        <v>6-94</v>
      </c>
      <c r="B1956" s="3" t="s">
        <v>25</v>
      </c>
      <c r="C1956" s="12" t="s">
        <v>1968</v>
      </c>
      <c r="D1956" s="13">
        <v>66527.0</v>
      </c>
      <c r="E1956" s="4">
        <v>45980.0</v>
      </c>
      <c r="F1956" s="4" t="str">
        <f>IF(D1956="","", IFNA(VLOOKUP(D1956, SATCAT_DECAY!A:B, 2, FALSE), ""))
</f>
        <v/>
      </c>
      <c r="G1956" s="3" t="str">
        <f t="shared" si="1"/>
        <v>ACTIVE</v>
      </c>
    </row>
    <row r="1957" ht="22.5" customHeight="1">
      <c r="A1957" s="11" t="str">
        <f t="array" ref="A1957">IFERROR(
  INDEX('Starlink Launches'!$A:$A, MATCH($E1957, 'Starlink Launches'!$B:$B, 0)),
  ""
)
</f>
        <v>6-94</v>
      </c>
      <c r="B1957" s="3" t="s">
        <v>25</v>
      </c>
      <c r="C1957" s="12" t="s">
        <v>1969</v>
      </c>
      <c r="D1957" s="13">
        <v>66528.0</v>
      </c>
      <c r="E1957" s="4">
        <v>45980.0</v>
      </c>
      <c r="F1957" s="4" t="str">
        <f>IF(D1957="","", IFNA(VLOOKUP(D1957, SATCAT_DECAY!A:B, 2, FALSE), ""))
</f>
        <v/>
      </c>
      <c r="G1957" s="3" t="str">
        <f t="shared" si="1"/>
        <v>ACTIVE</v>
      </c>
    </row>
    <row r="1958" ht="22.5" customHeight="1">
      <c r="A1958" s="11" t="str">
        <f t="array" ref="A1958">IFERROR(
  INDEX('Starlink Launches'!$A:$A, MATCH($E1958, 'Starlink Launches'!$B:$B, 0)),
  ""
)
</f>
        <v>6-94</v>
      </c>
      <c r="B1958" s="3" t="s">
        <v>25</v>
      </c>
      <c r="C1958" s="12" t="s">
        <v>1970</v>
      </c>
      <c r="D1958" s="13">
        <v>66529.0</v>
      </c>
      <c r="E1958" s="4">
        <v>45980.0</v>
      </c>
      <c r="F1958" s="4" t="str">
        <f>IF(D1958="","", IFNA(VLOOKUP(D1958, SATCAT_DECAY!A:B, 2, FALSE), ""))
</f>
        <v/>
      </c>
      <c r="G1958" s="3" t="str">
        <f t="shared" si="1"/>
        <v>ACTIVE</v>
      </c>
    </row>
    <row r="1959" ht="22.5" customHeight="1">
      <c r="A1959" s="11" t="str">
        <f t="array" ref="A1959">IFERROR(
  INDEX('Starlink Launches'!$A:$A, MATCH($E1959, 'Starlink Launches'!$B:$B, 0)),
  ""
)
</f>
        <v>6-94</v>
      </c>
      <c r="B1959" s="3" t="s">
        <v>25</v>
      </c>
      <c r="C1959" s="12" t="s">
        <v>1971</v>
      </c>
      <c r="D1959" s="13">
        <v>66530.0</v>
      </c>
      <c r="E1959" s="4">
        <v>45980.0</v>
      </c>
      <c r="F1959" s="4" t="str">
        <f>IF(D1959="","", IFNA(VLOOKUP(D1959, SATCAT_DECAY!A:B, 2, FALSE), ""))
</f>
        <v/>
      </c>
      <c r="G1959" s="3" t="str">
        <f t="shared" si="1"/>
        <v>ACTIVE</v>
      </c>
    </row>
    <row r="1960" ht="22.5" customHeight="1">
      <c r="A1960" s="11" t="str">
        <f t="array" ref="A1960">IFERROR(
  INDEX('Starlink Launches'!$A:$A, MATCH($E1960, 'Starlink Launches'!$B:$B, 0)),
  ""
)
</f>
        <v>6-94</v>
      </c>
      <c r="B1960" s="3" t="s">
        <v>25</v>
      </c>
      <c r="C1960" s="12" t="s">
        <v>1972</v>
      </c>
      <c r="D1960" s="13">
        <v>66531.0</v>
      </c>
      <c r="E1960" s="4">
        <v>45980.0</v>
      </c>
      <c r="F1960" s="4" t="str">
        <f>IF(D1960="","", IFNA(VLOOKUP(D1960, SATCAT_DECAY!A:B, 2, FALSE), ""))
</f>
        <v/>
      </c>
      <c r="G1960" s="3" t="str">
        <f t="shared" si="1"/>
        <v>ACTIVE</v>
      </c>
    </row>
    <row r="1961" ht="22.5" customHeight="1">
      <c r="A1961" s="11" t="str">
        <f t="array" ref="A1961">IFERROR(
  INDEX('Starlink Launches'!$A:$A, MATCH($E1961, 'Starlink Launches'!$B:$B, 0)),
  ""
)
</f>
        <v>6-94</v>
      </c>
      <c r="B1961" s="3" t="s">
        <v>25</v>
      </c>
      <c r="C1961" s="12" t="s">
        <v>1973</v>
      </c>
      <c r="D1961" s="13">
        <v>66532.0</v>
      </c>
      <c r="E1961" s="4">
        <v>45980.0</v>
      </c>
      <c r="F1961" s="4" t="str">
        <f>IF(D1961="","", IFNA(VLOOKUP(D1961, SATCAT_DECAY!A:B, 2, FALSE), ""))
</f>
        <v/>
      </c>
      <c r="G1961" s="3" t="str">
        <f t="shared" si="1"/>
        <v>ACTIVE</v>
      </c>
    </row>
    <row r="1962" ht="22.5" customHeight="1">
      <c r="A1962" s="11" t="str">
        <f t="array" ref="A1962">IFERROR(
  INDEX('Starlink Launches'!$A:$A, MATCH($E1962, 'Starlink Launches'!$B:$B, 0)),
  ""
)
</f>
        <v>6-94</v>
      </c>
      <c r="B1962" s="3" t="s">
        <v>25</v>
      </c>
      <c r="C1962" s="12" t="s">
        <v>1974</v>
      </c>
      <c r="D1962" s="13">
        <v>66533.0</v>
      </c>
      <c r="E1962" s="4">
        <v>45980.0</v>
      </c>
      <c r="F1962" s="4" t="str">
        <f>IF(D1962="","", IFNA(VLOOKUP(D1962, SATCAT_DECAY!A:B, 2, FALSE), ""))
</f>
        <v/>
      </c>
      <c r="G1962" s="3" t="str">
        <f t="shared" si="1"/>
        <v>ACTIVE</v>
      </c>
    </row>
    <row r="1963" ht="22.5" customHeight="1">
      <c r="A1963" s="11" t="str">
        <f t="array" ref="A1963">IFERROR(
  INDEX('Starlink Launches'!$A:$A, MATCH($E1963, 'Starlink Launches'!$B:$B, 0)),
  ""
)
</f>
        <v>6-94</v>
      </c>
      <c r="B1963" s="3" t="s">
        <v>25</v>
      </c>
      <c r="C1963" s="12" t="s">
        <v>1975</v>
      </c>
      <c r="D1963" s="13">
        <v>66534.0</v>
      </c>
      <c r="E1963" s="4">
        <v>45980.0</v>
      </c>
      <c r="F1963" s="4" t="str">
        <f>IF(D1963="","", IFNA(VLOOKUP(D1963, SATCAT_DECAY!A:B, 2, FALSE), ""))
</f>
        <v/>
      </c>
      <c r="G1963" s="3" t="str">
        <f t="shared" si="1"/>
        <v>ACTIVE</v>
      </c>
    </row>
    <row r="1964" ht="22.5" customHeight="1">
      <c r="A1964" s="11" t="str">
        <f t="array" ref="A1964">IFERROR(
  INDEX('Starlink Launches'!$A:$A, MATCH($E1964, 'Starlink Launches'!$B:$B, 0)),
  ""
)
</f>
        <v>6-94</v>
      </c>
      <c r="B1964" s="3" t="s">
        <v>25</v>
      </c>
      <c r="C1964" s="12" t="s">
        <v>1976</v>
      </c>
      <c r="D1964" s="13">
        <v>66535.0</v>
      </c>
      <c r="E1964" s="4">
        <v>45980.0</v>
      </c>
      <c r="F1964" s="4" t="str">
        <f>IF(D1964="","", IFNA(VLOOKUP(D1964, SATCAT_DECAY!A:B, 2, FALSE), ""))
</f>
        <v/>
      </c>
      <c r="G1964" s="3" t="str">
        <f t="shared" si="1"/>
        <v>ACTIVE</v>
      </c>
    </row>
    <row r="1965" ht="22.5" customHeight="1">
      <c r="A1965" s="11" t="str">
        <f t="array" ref="A1965">IFERROR(
  INDEX('Starlink Launches'!$A:$A, MATCH($E1965, 'Starlink Launches'!$B:$B, 0)),
  ""
)
</f>
        <v>6-94</v>
      </c>
      <c r="B1965" s="3" t="s">
        <v>25</v>
      </c>
      <c r="C1965" s="12" t="s">
        <v>1977</v>
      </c>
      <c r="D1965" s="13">
        <v>66536.0</v>
      </c>
      <c r="E1965" s="4">
        <v>45980.0</v>
      </c>
      <c r="F1965" s="4" t="str">
        <f>IF(D1965="","", IFNA(VLOOKUP(D1965, SATCAT_DECAY!A:B, 2, FALSE), ""))
</f>
        <v/>
      </c>
      <c r="G1965" s="3" t="str">
        <f t="shared" si="1"/>
        <v>ACTIVE</v>
      </c>
    </row>
    <row r="1966" ht="22.5" customHeight="1">
      <c r="A1966" s="11" t="str">
        <f t="array" ref="A1966">IFERROR(
  INDEX('Starlink Launches'!$A:$A, MATCH($E1966, 'Starlink Launches'!$B:$B, 0)),
  ""
)
</f>
        <v>6-94</v>
      </c>
      <c r="B1966" s="3" t="s">
        <v>25</v>
      </c>
      <c r="C1966" s="12" t="s">
        <v>1978</v>
      </c>
      <c r="D1966" s="13">
        <v>66537.0</v>
      </c>
      <c r="E1966" s="4">
        <v>45980.0</v>
      </c>
      <c r="F1966" s="4" t="str">
        <f>IF(D1966="","", IFNA(VLOOKUP(D1966, SATCAT_DECAY!A:B, 2, FALSE), ""))
</f>
        <v/>
      </c>
      <c r="G1966" s="3" t="str">
        <f t="shared" si="1"/>
        <v>ACTIVE</v>
      </c>
    </row>
    <row r="1967" ht="22.5" customHeight="1">
      <c r="A1967" s="11" t="str">
        <f t="array" ref="A1967">IFERROR(
  INDEX('Starlink Launches'!$A:$A, MATCH($E1967, 'Starlink Launches'!$B:$B, 0)),
  ""
)
</f>
        <v>6-94</v>
      </c>
      <c r="B1967" s="3" t="s">
        <v>25</v>
      </c>
      <c r="C1967" s="12" t="s">
        <v>1979</v>
      </c>
      <c r="D1967" s="13">
        <v>66538.0</v>
      </c>
      <c r="E1967" s="4">
        <v>45980.0</v>
      </c>
      <c r="F1967" s="4" t="str">
        <f>IF(D1967="","", IFNA(VLOOKUP(D1967, SATCAT_DECAY!A:B, 2, FALSE), ""))
</f>
        <v/>
      </c>
      <c r="G1967" s="3" t="str">
        <f t="shared" si="1"/>
        <v>ACTIVE</v>
      </c>
    </row>
    <row r="1968" ht="22.5" customHeight="1">
      <c r="A1968" s="11" t="str">
        <f t="array" ref="A1968">IFERROR(
  INDEX('Starlink Launches'!$A:$A, MATCH($E1968, 'Starlink Launches'!$B:$B, 0)),
  ""
)
</f>
        <v>6-94</v>
      </c>
      <c r="B1968" s="3" t="s">
        <v>25</v>
      </c>
      <c r="C1968" s="12" t="s">
        <v>1980</v>
      </c>
      <c r="D1968" s="13">
        <v>66539.0</v>
      </c>
      <c r="E1968" s="4">
        <v>45980.0</v>
      </c>
      <c r="F1968" s="4" t="str">
        <f>IF(D1968="","", IFNA(VLOOKUP(D1968, SATCAT_DECAY!A:B, 2, FALSE), ""))
</f>
        <v/>
      </c>
      <c r="G1968" s="3" t="str">
        <f t="shared" si="1"/>
        <v>ACTIVE</v>
      </c>
    </row>
    <row r="1969" ht="22.5" customHeight="1">
      <c r="A1969" s="11" t="str">
        <f t="array" ref="A1969">IFERROR(
  INDEX('Starlink Launches'!$A:$A, MATCH($E1969, 'Starlink Launches'!$B:$B, 0)),
  ""
)
</f>
        <v>6-94</v>
      </c>
      <c r="B1969" s="3" t="s">
        <v>25</v>
      </c>
      <c r="C1969" s="12" t="s">
        <v>1981</v>
      </c>
      <c r="D1969" s="13">
        <v>66540.0</v>
      </c>
      <c r="E1969" s="4">
        <v>45980.0</v>
      </c>
      <c r="F1969" s="4" t="str">
        <f>IF(D1969="","", IFNA(VLOOKUP(D1969, SATCAT_DECAY!A:B, 2, FALSE), ""))
</f>
        <v/>
      </c>
      <c r="G1969" s="3" t="str">
        <f t="shared" si="1"/>
        <v>ACTIVE</v>
      </c>
    </row>
    <row r="1970" ht="22.5" customHeight="1">
      <c r="A1970" s="11" t="str">
        <f t="array" ref="A1970">IFERROR(
  INDEX('Starlink Launches'!$A:$A, MATCH($E1970, 'Starlink Launches'!$B:$B, 0)),
  ""
)
</f>
        <v>6-94</v>
      </c>
      <c r="B1970" s="3" t="s">
        <v>25</v>
      </c>
      <c r="C1970" s="12" t="s">
        <v>1982</v>
      </c>
      <c r="D1970" s="13">
        <v>66541.0</v>
      </c>
      <c r="E1970" s="4">
        <v>45980.0</v>
      </c>
      <c r="F1970" s="4" t="str">
        <f>IF(D1970="","", IFNA(VLOOKUP(D1970, SATCAT_DECAY!A:B, 2, FALSE), ""))
</f>
        <v/>
      </c>
      <c r="G1970" s="3" t="str">
        <f t="shared" si="1"/>
        <v>ACTIVE</v>
      </c>
    </row>
    <row r="1971" ht="22.5" customHeight="1">
      <c r="A1971" s="11" t="str">
        <f t="array" ref="A1971">IFERROR(
  INDEX('Starlink Launches'!$A:$A, MATCH($E1971, 'Starlink Launches'!$B:$B, 0)),
  ""
)
</f>
        <v>6-94</v>
      </c>
      <c r="B1971" s="3" t="s">
        <v>25</v>
      </c>
      <c r="C1971" s="12" t="s">
        <v>1983</v>
      </c>
      <c r="D1971" s="13">
        <v>66542.0</v>
      </c>
      <c r="E1971" s="4">
        <v>45980.0</v>
      </c>
      <c r="F1971" s="4" t="str">
        <f>IF(D1971="","", IFNA(VLOOKUP(D1971, SATCAT_DECAY!A:B, 2, FALSE), ""))
</f>
        <v/>
      </c>
      <c r="G1971" s="3" t="str">
        <f t="shared" si="1"/>
        <v>ACTIVE</v>
      </c>
    </row>
    <row r="1972" ht="22.5" customHeight="1">
      <c r="A1972" s="11" t="str">
        <f t="array" ref="A1972">IFERROR(
  INDEX('Starlink Launches'!$A:$A, MATCH($E1972, 'Starlink Launches'!$B:$B, 0)),
  ""
)
</f>
        <v>6-94</v>
      </c>
      <c r="B1972" s="3" t="s">
        <v>25</v>
      </c>
      <c r="C1972" s="12" t="s">
        <v>1984</v>
      </c>
      <c r="D1972" s="13">
        <v>66543.0</v>
      </c>
      <c r="E1972" s="4">
        <v>45980.0</v>
      </c>
      <c r="F1972" s="4" t="str">
        <f>IF(D1972="","", IFNA(VLOOKUP(D1972, SATCAT_DECAY!A:B, 2, FALSE), ""))
</f>
        <v/>
      </c>
      <c r="G1972" s="3" t="str">
        <f t="shared" si="1"/>
        <v>ACTIVE</v>
      </c>
    </row>
    <row r="1973" ht="22.5" customHeight="1">
      <c r="A1973" s="11" t="str">
        <f t="array" ref="A1973">IFERROR(
  INDEX('Starlink Launches'!$A:$A, MATCH($E1973, 'Starlink Launches'!$B:$B, 0)),
  ""
)
</f>
        <v>6-94</v>
      </c>
      <c r="B1973" s="3" t="s">
        <v>25</v>
      </c>
      <c r="C1973" s="12" t="s">
        <v>1985</v>
      </c>
      <c r="D1973" s="13">
        <v>66544.0</v>
      </c>
      <c r="E1973" s="4">
        <v>45980.0</v>
      </c>
      <c r="F1973" s="4" t="str">
        <f>IF(D1973="","", IFNA(VLOOKUP(D1973, SATCAT_DECAY!A:B, 2, FALSE), ""))
</f>
        <v/>
      </c>
      <c r="G1973" s="3" t="str">
        <f t="shared" si="1"/>
        <v>ACTIVE</v>
      </c>
    </row>
    <row r="1974" ht="22.5" customHeight="1">
      <c r="A1974" s="11" t="str">
        <f t="array" ref="A1974">IFERROR(
  INDEX('Starlink Launches'!$A:$A, MATCH($E1974, 'Starlink Launches'!$B:$B, 0)),
  ""
)
</f>
        <v>6-78</v>
      </c>
      <c r="B1974" s="3" t="s">
        <v>25</v>
      </c>
      <c r="C1974" s="12" t="s">
        <v>1986</v>
      </c>
      <c r="D1974" s="13">
        <v>66557.0</v>
      </c>
      <c r="E1974" s="4">
        <v>45982.0</v>
      </c>
      <c r="F1974" s="4" t="str">
        <f>IF(D1974="","", IFNA(VLOOKUP(D1974, SATCAT_DECAY!A:B, 2, FALSE), ""))
</f>
        <v/>
      </c>
      <c r="G1974" s="3" t="str">
        <f t="shared" si="1"/>
        <v>ACTIVE</v>
      </c>
    </row>
    <row r="1975" ht="22.5" customHeight="1">
      <c r="A1975" s="11" t="str">
        <f t="array" ref="A1975">IFERROR(
  INDEX('Starlink Launches'!$A:$A, MATCH($E1975, 'Starlink Launches'!$B:$B, 0)),
  ""
)
</f>
        <v>6-78</v>
      </c>
      <c r="B1975" s="3" t="s">
        <v>25</v>
      </c>
      <c r="C1975" s="12" t="s">
        <v>1987</v>
      </c>
      <c r="D1975" s="13">
        <v>66558.0</v>
      </c>
      <c r="E1975" s="4">
        <v>45982.0</v>
      </c>
      <c r="F1975" s="4" t="str">
        <f>IF(D1975="","", IFNA(VLOOKUP(D1975, SATCAT_DECAY!A:B, 2, FALSE), ""))
</f>
        <v/>
      </c>
      <c r="G1975" s="3" t="str">
        <f t="shared" si="1"/>
        <v>ACTIVE</v>
      </c>
    </row>
    <row r="1976" ht="22.5" customHeight="1">
      <c r="A1976" s="11" t="str">
        <f t="array" ref="A1976">IFERROR(
  INDEX('Starlink Launches'!$A:$A, MATCH($E1976, 'Starlink Launches'!$B:$B, 0)),
  ""
)
</f>
        <v>6-78</v>
      </c>
      <c r="B1976" s="3" t="s">
        <v>25</v>
      </c>
      <c r="C1976" s="12" t="s">
        <v>1988</v>
      </c>
      <c r="D1976" s="13">
        <v>66559.0</v>
      </c>
      <c r="E1976" s="4">
        <v>45982.0</v>
      </c>
      <c r="F1976" s="4" t="str">
        <f>IF(D1976="","", IFNA(VLOOKUP(D1976, SATCAT_DECAY!A:B, 2, FALSE), ""))
</f>
        <v/>
      </c>
      <c r="G1976" s="3" t="str">
        <f t="shared" si="1"/>
        <v>ACTIVE</v>
      </c>
    </row>
    <row r="1977" ht="22.5" customHeight="1">
      <c r="A1977" s="11" t="str">
        <f t="array" ref="A1977">IFERROR(
  INDEX('Starlink Launches'!$A:$A, MATCH($E1977, 'Starlink Launches'!$B:$B, 0)),
  ""
)
</f>
        <v>6-78</v>
      </c>
      <c r="B1977" s="3" t="s">
        <v>25</v>
      </c>
      <c r="C1977" s="12" t="s">
        <v>1989</v>
      </c>
      <c r="D1977" s="13">
        <v>66560.0</v>
      </c>
      <c r="E1977" s="4">
        <v>45982.0</v>
      </c>
      <c r="F1977" s="4" t="str">
        <f>IF(D1977="","", IFNA(VLOOKUP(D1977, SATCAT_DECAY!A:B, 2, FALSE), ""))
</f>
        <v/>
      </c>
      <c r="G1977" s="3" t="str">
        <f t="shared" si="1"/>
        <v>ACTIVE</v>
      </c>
    </row>
    <row r="1978" ht="22.5" customHeight="1">
      <c r="A1978" s="11" t="str">
        <f t="array" ref="A1978">IFERROR(
  INDEX('Starlink Launches'!$A:$A, MATCH($E1978, 'Starlink Launches'!$B:$B, 0)),
  ""
)
</f>
        <v>6-78</v>
      </c>
      <c r="B1978" s="3" t="s">
        <v>25</v>
      </c>
      <c r="C1978" s="12" t="s">
        <v>1990</v>
      </c>
      <c r="D1978" s="13">
        <v>66561.0</v>
      </c>
      <c r="E1978" s="4">
        <v>45982.0</v>
      </c>
      <c r="F1978" s="4" t="str">
        <f>IF(D1978="","", IFNA(VLOOKUP(D1978, SATCAT_DECAY!A:B, 2, FALSE), ""))
</f>
        <v/>
      </c>
      <c r="G1978" s="3" t="str">
        <f t="shared" si="1"/>
        <v>ACTIVE</v>
      </c>
    </row>
    <row r="1979" ht="22.5" customHeight="1">
      <c r="A1979" s="11" t="str">
        <f t="array" ref="A1979">IFERROR(
  INDEX('Starlink Launches'!$A:$A, MATCH($E1979, 'Starlink Launches'!$B:$B, 0)),
  ""
)
</f>
        <v>6-78</v>
      </c>
      <c r="B1979" s="3" t="s">
        <v>25</v>
      </c>
      <c r="C1979" s="12" t="s">
        <v>1991</v>
      </c>
      <c r="D1979" s="13">
        <v>66562.0</v>
      </c>
      <c r="E1979" s="4">
        <v>45982.0</v>
      </c>
      <c r="F1979" s="4" t="str">
        <f>IF(D1979="","", IFNA(VLOOKUP(D1979, SATCAT_DECAY!A:B, 2, FALSE), ""))
</f>
        <v/>
      </c>
      <c r="G1979" s="3" t="str">
        <f t="shared" si="1"/>
        <v>ACTIVE</v>
      </c>
    </row>
    <row r="1980" ht="22.5" customHeight="1">
      <c r="A1980" s="11" t="str">
        <f t="array" ref="A1980">IFERROR(
  INDEX('Starlink Launches'!$A:$A, MATCH($E1980, 'Starlink Launches'!$B:$B, 0)),
  ""
)
</f>
        <v>6-78</v>
      </c>
      <c r="B1980" s="3" t="s">
        <v>25</v>
      </c>
      <c r="C1980" s="12" t="s">
        <v>1992</v>
      </c>
      <c r="D1980" s="13">
        <v>66563.0</v>
      </c>
      <c r="E1980" s="4">
        <v>45982.0</v>
      </c>
      <c r="F1980" s="4" t="str">
        <f>IF(D1980="","", IFNA(VLOOKUP(D1980, SATCAT_DECAY!A:B, 2, FALSE), ""))
</f>
        <v/>
      </c>
      <c r="G1980" s="3" t="str">
        <f t="shared" si="1"/>
        <v>ACTIVE</v>
      </c>
    </row>
    <row r="1981" ht="22.5" customHeight="1">
      <c r="A1981" s="11" t="str">
        <f t="array" ref="A1981">IFERROR(
  INDEX('Starlink Launches'!$A:$A, MATCH($E1981, 'Starlink Launches'!$B:$B, 0)),
  ""
)
</f>
        <v>6-78</v>
      </c>
      <c r="B1981" s="3" t="s">
        <v>25</v>
      </c>
      <c r="C1981" s="12" t="s">
        <v>1993</v>
      </c>
      <c r="D1981" s="13">
        <v>66564.0</v>
      </c>
      <c r="E1981" s="4">
        <v>45982.0</v>
      </c>
      <c r="F1981" s="4" t="str">
        <f>IF(D1981="","", IFNA(VLOOKUP(D1981, SATCAT_DECAY!A:B, 2, FALSE), ""))
</f>
        <v/>
      </c>
      <c r="G1981" s="3" t="str">
        <f t="shared" si="1"/>
        <v>ACTIVE</v>
      </c>
    </row>
    <row r="1982" ht="22.5" customHeight="1">
      <c r="A1982" s="11" t="str">
        <f t="array" ref="A1982">IFERROR(
  INDEX('Starlink Launches'!$A:$A, MATCH($E1982, 'Starlink Launches'!$B:$B, 0)),
  ""
)
</f>
        <v>6-78</v>
      </c>
      <c r="B1982" s="3" t="s">
        <v>25</v>
      </c>
      <c r="C1982" s="12" t="s">
        <v>1994</v>
      </c>
      <c r="D1982" s="13">
        <v>66565.0</v>
      </c>
      <c r="E1982" s="4">
        <v>45982.0</v>
      </c>
      <c r="F1982" s="4" t="str">
        <f>IF(D1982="","", IFNA(VLOOKUP(D1982, SATCAT_DECAY!A:B, 2, FALSE), ""))
</f>
        <v/>
      </c>
      <c r="G1982" s="3" t="str">
        <f t="shared" si="1"/>
        <v>ACTIVE</v>
      </c>
    </row>
    <row r="1983" ht="22.5" customHeight="1">
      <c r="A1983" s="11" t="str">
        <f t="array" ref="A1983">IFERROR(
  INDEX('Starlink Launches'!$A:$A, MATCH($E1983, 'Starlink Launches'!$B:$B, 0)),
  ""
)
</f>
        <v>6-78</v>
      </c>
      <c r="B1983" s="3" t="s">
        <v>25</v>
      </c>
      <c r="C1983" s="12" t="s">
        <v>1995</v>
      </c>
      <c r="D1983" s="13">
        <v>66566.0</v>
      </c>
      <c r="E1983" s="4">
        <v>45982.0</v>
      </c>
      <c r="F1983" s="4" t="str">
        <f>IF(D1983="","", IFNA(VLOOKUP(D1983, SATCAT_DECAY!A:B, 2, FALSE), ""))
</f>
        <v/>
      </c>
      <c r="G1983" s="3" t="str">
        <f t="shared" si="1"/>
        <v>ACTIVE</v>
      </c>
    </row>
    <row r="1984" ht="22.5" customHeight="1">
      <c r="A1984" s="11" t="str">
        <f t="array" ref="A1984">IFERROR(
  INDEX('Starlink Launches'!$A:$A, MATCH($E1984, 'Starlink Launches'!$B:$B, 0)),
  ""
)
</f>
        <v>6-78</v>
      </c>
      <c r="B1984" s="3" t="s">
        <v>25</v>
      </c>
      <c r="C1984" s="12" t="s">
        <v>1996</v>
      </c>
      <c r="D1984" s="13">
        <v>66567.0</v>
      </c>
      <c r="E1984" s="4">
        <v>45982.0</v>
      </c>
      <c r="F1984" s="4" t="str">
        <f>IF(D1984="","", IFNA(VLOOKUP(D1984, SATCAT_DECAY!A:B, 2, FALSE), ""))
</f>
        <v/>
      </c>
      <c r="G1984" s="3" t="str">
        <f t="shared" si="1"/>
        <v>ACTIVE</v>
      </c>
    </row>
    <row r="1985" ht="22.5" customHeight="1">
      <c r="A1985" s="11" t="str">
        <f t="array" ref="A1985">IFERROR(
  INDEX('Starlink Launches'!$A:$A, MATCH($E1985, 'Starlink Launches'!$B:$B, 0)),
  ""
)
</f>
        <v>6-78</v>
      </c>
      <c r="B1985" s="3" t="s">
        <v>25</v>
      </c>
      <c r="C1985" s="12" t="s">
        <v>1997</v>
      </c>
      <c r="D1985" s="13">
        <v>66568.0</v>
      </c>
      <c r="E1985" s="4">
        <v>45982.0</v>
      </c>
      <c r="F1985" s="4" t="str">
        <f>IF(D1985="","", IFNA(VLOOKUP(D1985, SATCAT_DECAY!A:B, 2, FALSE), ""))
</f>
        <v/>
      </c>
      <c r="G1985" s="3" t="str">
        <f t="shared" si="1"/>
        <v>ACTIVE</v>
      </c>
    </row>
    <row r="1986" ht="22.5" customHeight="1">
      <c r="A1986" s="11" t="str">
        <f t="array" ref="A1986">IFERROR(
  INDEX('Starlink Launches'!$A:$A, MATCH($E1986, 'Starlink Launches'!$B:$B, 0)),
  ""
)
</f>
        <v>6-78</v>
      </c>
      <c r="B1986" s="3" t="s">
        <v>25</v>
      </c>
      <c r="C1986" s="12" t="s">
        <v>1998</v>
      </c>
      <c r="D1986" s="13">
        <v>66569.0</v>
      </c>
      <c r="E1986" s="4">
        <v>45982.0</v>
      </c>
      <c r="F1986" s="4" t="str">
        <f>IF(D1986="","", IFNA(VLOOKUP(D1986, SATCAT_DECAY!A:B, 2, FALSE), ""))
</f>
        <v/>
      </c>
      <c r="G1986" s="3" t="str">
        <f t="shared" si="1"/>
        <v>ACTIVE</v>
      </c>
    </row>
    <row r="1987" ht="22.5" customHeight="1">
      <c r="A1987" s="11" t="str">
        <f t="array" ref="A1987">IFERROR(
  INDEX('Starlink Launches'!$A:$A, MATCH($E1987, 'Starlink Launches'!$B:$B, 0)),
  ""
)
</f>
        <v>6-78</v>
      </c>
      <c r="B1987" s="3" t="s">
        <v>25</v>
      </c>
      <c r="C1987" s="12" t="s">
        <v>1999</v>
      </c>
      <c r="D1987" s="13">
        <v>66570.0</v>
      </c>
      <c r="E1987" s="4">
        <v>45982.0</v>
      </c>
      <c r="F1987" s="4" t="str">
        <f>IF(D1987="","", IFNA(VLOOKUP(D1987, SATCAT_DECAY!A:B, 2, FALSE), ""))
</f>
        <v/>
      </c>
      <c r="G1987" s="3" t="str">
        <f t="shared" si="1"/>
        <v>ACTIVE</v>
      </c>
    </row>
    <row r="1988" ht="22.5" customHeight="1">
      <c r="A1988" s="11" t="str">
        <f t="array" ref="A1988">IFERROR(
  INDEX('Starlink Launches'!$A:$A, MATCH($E1988, 'Starlink Launches'!$B:$B, 0)),
  ""
)
</f>
        <v>6-78</v>
      </c>
      <c r="B1988" s="3" t="s">
        <v>25</v>
      </c>
      <c r="C1988" s="12" t="s">
        <v>2000</v>
      </c>
      <c r="D1988" s="13">
        <v>66571.0</v>
      </c>
      <c r="E1988" s="4">
        <v>45982.0</v>
      </c>
      <c r="F1988" s="4" t="str">
        <f>IF(D1988="","", IFNA(VLOOKUP(D1988, SATCAT_DECAY!A:B, 2, FALSE), ""))
</f>
        <v/>
      </c>
      <c r="G1988" s="3" t="str">
        <f t="shared" si="1"/>
        <v>ACTIVE</v>
      </c>
    </row>
    <row r="1989" ht="22.5" customHeight="1">
      <c r="A1989" s="11" t="str">
        <f t="array" ref="A1989">IFERROR(
  INDEX('Starlink Launches'!$A:$A, MATCH($E1989, 'Starlink Launches'!$B:$B, 0)),
  ""
)
</f>
        <v>6-78</v>
      </c>
      <c r="B1989" s="3" t="s">
        <v>25</v>
      </c>
      <c r="C1989" s="12" t="s">
        <v>2001</v>
      </c>
      <c r="D1989" s="13">
        <v>66572.0</v>
      </c>
      <c r="E1989" s="4">
        <v>45982.0</v>
      </c>
      <c r="F1989" s="4" t="str">
        <f>IF(D1989="","", IFNA(VLOOKUP(D1989, SATCAT_DECAY!A:B, 2, FALSE), ""))
</f>
        <v/>
      </c>
      <c r="G1989" s="3" t="str">
        <f t="shared" si="1"/>
        <v>ACTIVE</v>
      </c>
    </row>
    <row r="1990" ht="22.5" customHeight="1">
      <c r="A1990" s="11" t="str">
        <f t="array" ref="A1990">IFERROR(
  INDEX('Starlink Launches'!$A:$A, MATCH($E1990, 'Starlink Launches'!$B:$B, 0)),
  ""
)
</f>
        <v>6-78</v>
      </c>
      <c r="B1990" s="3" t="s">
        <v>25</v>
      </c>
      <c r="C1990" s="12" t="s">
        <v>2002</v>
      </c>
      <c r="D1990" s="13">
        <v>66573.0</v>
      </c>
      <c r="E1990" s="4">
        <v>45982.0</v>
      </c>
      <c r="F1990" s="4" t="str">
        <f>IF(D1990="","", IFNA(VLOOKUP(D1990, SATCAT_DECAY!A:B, 2, FALSE), ""))
</f>
        <v/>
      </c>
      <c r="G1990" s="3" t="str">
        <f t="shared" si="1"/>
        <v>ACTIVE</v>
      </c>
    </row>
    <row r="1991" ht="22.5" customHeight="1">
      <c r="A1991" s="11" t="str">
        <f t="array" ref="A1991">IFERROR(
  INDEX('Starlink Launches'!$A:$A, MATCH($E1991, 'Starlink Launches'!$B:$B, 0)),
  ""
)
</f>
        <v>6-78</v>
      </c>
      <c r="B1991" s="3" t="s">
        <v>25</v>
      </c>
      <c r="C1991" s="12" t="s">
        <v>2003</v>
      </c>
      <c r="D1991" s="13">
        <v>66574.0</v>
      </c>
      <c r="E1991" s="4">
        <v>45982.0</v>
      </c>
      <c r="F1991" s="4" t="str">
        <f>IF(D1991="","", IFNA(VLOOKUP(D1991, SATCAT_DECAY!A:B, 2, FALSE), ""))
</f>
        <v/>
      </c>
      <c r="G1991" s="3" t="str">
        <f t="shared" si="1"/>
        <v>ACTIVE</v>
      </c>
    </row>
    <row r="1992" ht="22.5" customHeight="1">
      <c r="A1992" s="11" t="str">
        <f t="array" ref="A1992">IFERROR(
  INDEX('Starlink Launches'!$A:$A, MATCH($E1992, 'Starlink Launches'!$B:$B, 0)),
  ""
)
</f>
        <v>6-78</v>
      </c>
      <c r="B1992" s="3" t="s">
        <v>25</v>
      </c>
      <c r="C1992" s="12" t="s">
        <v>2004</v>
      </c>
      <c r="D1992" s="13">
        <v>66575.0</v>
      </c>
      <c r="E1992" s="4">
        <v>45982.0</v>
      </c>
      <c r="F1992" s="4" t="str">
        <f>IF(D1992="","", IFNA(VLOOKUP(D1992, SATCAT_DECAY!A:B, 2, FALSE), ""))
</f>
        <v/>
      </c>
      <c r="G1992" s="3" t="str">
        <f t="shared" si="1"/>
        <v>ACTIVE</v>
      </c>
    </row>
    <row r="1993" ht="22.5" customHeight="1">
      <c r="A1993" s="11" t="str">
        <f t="array" ref="A1993">IFERROR(
  INDEX('Starlink Launches'!$A:$A, MATCH($E1993, 'Starlink Launches'!$B:$B, 0)),
  ""
)
</f>
        <v>6-78</v>
      </c>
      <c r="B1993" s="3" t="s">
        <v>25</v>
      </c>
      <c r="C1993" s="12" t="s">
        <v>2005</v>
      </c>
      <c r="D1993" s="13">
        <v>66576.0</v>
      </c>
      <c r="E1993" s="4">
        <v>45982.0</v>
      </c>
      <c r="F1993" s="4" t="str">
        <f>IF(D1993="","", IFNA(VLOOKUP(D1993, SATCAT_DECAY!A:B, 2, FALSE), ""))
</f>
        <v/>
      </c>
      <c r="G1993" s="3" t="str">
        <f t="shared" si="1"/>
        <v>ACTIVE</v>
      </c>
    </row>
    <row r="1994" ht="22.5" customHeight="1">
      <c r="A1994" s="11" t="str">
        <f t="array" ref="A1994">IFERROR(
  INDEX('Starlink Launches'!$A:$A, MATCH($E1994, 'Starlink Launches'!$B:$B, 0)),
  ""
)
</f>
        <v>6-78</v>
      </c>
      <c r="B1994" s="3" t="s">
        <v>25</v>
      </c>
      <c r="C1994" s="12" t="s">
        <v>2006</v>
      </c>
      <c r="D1994" s="13">
        <v>66577.0</v>
      </c>
      <c r="E1994" s="4">
        <v>45982.0</v>
      </c>
      <c r="F1994" s="4" t="str">
        <f>IF(D1994="","", IFNA(VLOOKUP(D1994, SATCAT_DECAY!A:B, 2, FALSE), ""))
</f>
        <v/>
      </c>
      <c r="G1994" s="3" t="str">
        <f t="shared" si="1"/>
        <v>ACTIVE</v>
      </c>
    </row>
    <row r="1995" ht="22.5" customHeight="1">
      <c r="A1995" s="11" t="str">
        <f t="array" ref="A1995">IFERROR(
  INDEX('Starlink Launches'!$A:$A, MATCH($E1995, 'Starlink Launches'!$B:$B, 0)),
  ""
)
</f>
        <v>6-78</v>
      </c>
      <c r="B1995" s="3" t="s">
        <v>25</v>
      </c>
      <c r="C1995" s="12" t="s">
        <v>2007</v>
      </c>
      <c r="D1995" s="13">
        <v>66578.0</v>
      </c>
      <c r="E1995" s="4">
        <v>45982.0</v>
      </c>
      <c r="F1995" s="4" t="str">
        <f>IF(D1995="","", IFNA(VLOOKUP(D1995, SATCAT_DECAY!A:B, 2, FALSE), ""))
</f>
        <v/>
      </c>
      <c r="G1995" s="3" t="str">
        <f t="shared" si="1"/>
        <v>ACTIVE</v>
      </c>
    </row>
    <row r="1996" ht="22.5" customHeight="1">
      <c r="A1996" s="11" t="str">
        <f t="array" ref="A1996">IFERROR(
  INDEX('Starlink Launches'!$A:$A, MATCH($E1996, 'Starlink Launches'!$B:$B, 0)),
  ""
)
</f>
        <v>6-78</v>
      </c>
      <c r="B1996" s="3" t="s">
        <v>25</v>
      </c>
      <c r="C1996" s="12" t="s">
        <v>2008</v>
      </c>
      <c r="D1996" s="13">
        <v>66579.0</v>
      </c>
      <c r="E1996" s="4">
        <v>45982.0</v>
      </c>
      <c r="F1996" s="4" t="str">
        <f>IF(D1996="","", IFNA(VLOOKUP(D1996, SATCAT_DECAY!A:B, 2, FALSE), ""))
</f>
        <v/>
      </c>
      <c r="G1996" s="3" t="str">
        <f t="shared" si="1"/>
        <v>ACTIVE</v>
      </c>
    </row>
    <row r="1997" ht="22.5" customHeight="1">
      <c r="A1997" s="11" t="str">
        <f t="array" ref="A1997">IFERROR(
  INDEX('Starlink Launches'!$A:$A, MATCH($E1997, 'Starlink Launches'!$B:$B, 0)),
  ""
)
</f>
        <v>6-78</v>
      </c>
      <c r="B1997" s="3" t="s">
        <v>25</v>
      </c>
      <c r="C1997" s="12" t="s">
        <v>2009</v>
      </c>
      <c r="D1997" s="13">
        <v>66580.0</v>
      </c>
      <c r="E1997" s="4">
        <v>45982.0</v>
      </c>
      <c r="F1997" s="4" t="str">
        <f>IF(D1997="","", IFNA(VLOOKUP(D1997, SATCAT_DECAY!A:B, 2, FALSE), ""))
</f>
        <v/>
      </c>
      <c r="G1997" s="3" t="str">
        <f t="shared" si="1"/>
        <v>ACTIVE</v>
      </c>
    </row>
    <row r="1998" ht="22.5" customHeight="1">
      <c r="A1998" s="11" t="str">
        <f t="array" ref="A1998">IFERROR(
  INDEX('Starlink Launches'!$A:$A, MATCH($E1998, 'Starlink Launches'!$B:$B, 0)),
  ""
)
</f>
        <v>6-78</v>
      </c>
      <c r="B1998" s="3" t="s">
        <v>25</v>
      </c>
      <c r="C1998" s="12" t="s">
        <v>2010</v>
      </c>
      <c r="D1998" s="13">
        <v>66581.0</v>
      </c>
      <c r="E1998" s="4">
        <v>45982.0</v>
      </c>
      <c r="F1998" s="4" t="str">
        <f>IF(D1998="","", IFNA(VLOOKUP(D1998, SATCAT_DECAY!A:B, 2, FALSE), ""))
</f>
        <v/>
      </c>
      <c r="G1998" s="3" t="str">
        <f t="shared" si="1"/>
        <v>ACTIVE</v>
      </c>
    </row>
    <row r="1999" ht="22.5" customHeight="1">
      <c r="A1999" s="11" t="str">
        <f t="array" ref="A1999">IFERROR(
  INDEX('Starlink Launches'!$A:$A, MATCH($E1999, 'Starlink Launches'!$B:$B, 0)),
  ""
)
</f>
        <v>6-78</v>
      </c>
      <c r="B1999" s="3" t="s">
        <v>25</v>
      </c>
      <c r="C1999" s="12" t="s">
        <v>2011</v>
      </c>
      <c r="D1999" s="13">
        <v>66582.0</v>
      </c>
      <c r="E1999" s="4">
        <v>45982.0</v>
      </c>
      <c r="F1999" s="4" t="str">
        <f>IF(D1999="","", IFNA(VLOOKUP(D1999, SATCAT_DECAY!A:B, 2, FALSE), ""))
</f>
        <v/>
      </c>
      <c r="G1999" s="3" t="str">
        <f t="shared" si="1"/>
        <v>ACTIVE</v>
      </c>
    </row>
    <row r="2000" ht="22.5" customHeight="1">
      <c r="A2000" s="11" t="str">
        <f t="array" ref="A2000">IFERROR(
  INDEX('Starlink Launches'!$A:$A, MATCH($E2000, 'Starlink Launches'!$B:$B, 0)),
  ""
)
</f>
        <v>6-78</v>
      </c>
      <c r="B2000" s="3" t="s">
        <v>25</v>
      </c>
      <c r="C2000" s="12" t="s">
        <v>2012</v>
      </c>
      <c r="D2000" s="13">
        <v>66583.0</v>
      </c>
      <c r="E2000" s="4">
        <v>45982.0</v>
      </c>
      <c r="F2000" s="4" t="str">
        <f>IF(D2000="","", IFNA(VLOOKUP(D2000, SATCAT_DECAY!A:B, 2, FALSE), ""))
</f>
        <v/>
      </c>
      <c r="G2000" s="3" t="str">
        <f t="shared" si="1"/>
        <v>ACTIVE</v>
      </c>
    </row>
    <row r="2001" ht="22.5" customHeight="1">
      <c r="A2001" s="11" t="str">
        <f t="array" ref="A2001">IFERROR(
  INDEX('Starlink Launches'!$A:$A, MATCH($E2001, 'Starlink Launches'!$B:$B, 0)),
  ""
)
</f>
        <v>6-78</v>
      </c>
      <c r="B2001" s="3" t="s">
        <v>25</v>
      </c>
      <c r="C2001" s="12" t="s">
        <v>2013</v>
      </c>
      <c r="D2001" s="13">
        <v>66584.0</v>
      </c>
      <c r="E2001" s="4">
        <v>45982.0</v>
      </c>
      <c r="F2001" s="4" t="str">
        <f>IF(D2001="","", IFNA(VLOOKUP(D2001, SATCAT_DECAY!A:B, 2, FALSE), ""))
</f>
        <v/>
      </c>
      <c r="G2001" s="3" t="str">
        <f t="shared" si="1"/>
        <v>ACTIVE</v>
      </c>
    </row>
    <row r="2002" ht="22.5" customHeight="1">
      <c r="A2002" s="11" t="str">
        <f t="array" ref="A2002">IFERROR(
  INDEX('Starlink Launches'!$A:$A, MATCH($E2002, 'Starlink Launches'!$B:$B, 0)),
  ""
)
</f>
        <v>6-78</v>
      </c>
      <c r="B2002" s="3" t="s">
        <v>25</v>
      </c>
      <c r="C2002" s="12" t="s">
        <v>2014</v>
      </c>
      <c r="D2002" s="13">
        <v>66585.0</v>
      </c>
      <c r="E2002" s="4">
        <v>45982.0</v>
      </c>
      <c r="F2002" s="4" t="str">
        <f>IF(D2002="","", IFNA(VLOOKUP(D2002, SATCAT_DECAY!A:B, 2, FALSE), ""))
</f>
        <v/>
      </c>
      <c r="G2002" s="3" t="str">
        <f t="shared" si="1"/>
        <v>ACTIVE</v>
      </c>
    </row>
    <row r="2003" ht="22.5" customHeight="1">
      <c r="A2003" s="11" t="str">
        <f t="array" ref="A2003">IFERROR(
  INDEX('Starlink Launches'!$A:$A, MATCH($E2003, 'Starlink Launches'!$B:$B, 0)),
  ""
)
</f>
        <v>6-79</v>
      </c>
      <c r="B2003" s="3" t="s">
        <v>25</v>
      </c>
      <c r="C2003" s="12" t="s">
        <v>2015</v>
      </c>
      <c r="D2003" s="13">
        <v>66588.0</v>
      </c>
      <c r="E2003" s="4">
        <v>45983.0</v>
      </c>
      <c r="F2003" s="4" t="str">
        <f>IF(D2003="","", IFNA(VLOOKUP(D2003, SATCAT_DECAY!A:B, 2, FALSE), ""))
</f>
        <v/>
      </c>
      <c r="G2003" s="3" t="str">
        <f t="shared" si="1"/>
        <v>ACTIVE</v>
      </c>
    </row>
    <row r="2004" ht="22.5" customHeight="1">
      <c r="A2004" s="11" t="str">
        <f t="array" ref="A2004">IFERROR(
  INDEX('Starlink Launches'!$A:$A, MATCH($E2004, 'Starlink Launches'!$B:$B, 0)),
  ""
)
</f>
        <v>6-79</v>
      </c>
      <c r="B2004" s="3" t="s">
        <v>25</v>
      </c>
      <c r="C2004" s="12" t="s">
        <v>2016</v>
      </c>
      <c r="D2004" s="13">
        <v>66589.0</v>
      </c>
      <c r="E2004" s="4">
        <v>45983.0</v>
      </c>
      <c r="F2004" s="4" t="str">
        <f>IF(D2004="","", IFNA(VLOOKUP(D2004, SATCAT_DECAY!A:B, 2, FALSE), ""))
</f>
        <v/>
      </c>
      <c r="G2004" s="3" t="str">
        <f t="shared" si="1"/>
        <v>ACTIVE</v>
      </c>
    </row>
    <row r="2005" ht="22.5" customHeight="1">
      <c r="A2005" s="11" t="str">
        <f t="array" ref="A2005">IFERROR(
  INDEX('Starlink Launches'!$A:$A, MATCH($E2005, 'Starlink Launches'!$B:$B, 0)),
  ""
)
</f>
        <v>6-79</v>
      </c>
      <c r="B2005" s="3" t="s">
        <v>25</v>
      </c>
      <c r="C2005" s="12" t="s">
        <v>2017</v>
      </c>
      <c r="D2005" s="13">
        <v>66590.0</v>
      </c>
      <c r="E2005" s="4">
        <v>45983.0</v>
      </c>
      <c r="F2005" s="4" t="str">
        <f>IF(D2005="","", IFNA(VLOOKUP(D2005, SATCAT_DECAY!A:B, 2, FALSE), ""))
</f>
        <v/>
      </c>
      <c r="G2005" s="3" t="str">
        <f t="shared" si="1"/>
        <v>ACTIVE</v>
      </c>
    </row>
    <row r="2006" ht="22.5" customHeight="1">
      <c r="A2006" s="11" t="str">
        <f t="array" ref="A2006">IFERROR(
  INDEX('Starlink Launches'!$A:$A, MATCH($E2006, 'Starlink Launches'!$B:$B, 0)),
  ""
)
</f>
        <v>6-79</v>
      </c>
      <c r="B2006" s="3" t="s">
        <v>25</v>
      </c>
      <c r="C2006" s="12" t="s">
        <v>2018</v>
      </c>
      <c r="D2006" s="13">
        <v>66591.0</v>
      </c>
      <c r="E2006" s="4">
        <v>45983.0</v>
      </c>
      <c r="F2006" s="4" t="str">
        <f>IF(D2006="","", IFNA(VLOOKUP(D2006, SATCAT_DECAY!A:B, 2, FALSE), ""))
</f>
        <v/>
      </c>
      <c r="G2006" s="3" t="str">
        <f t="shared" si="1"/>
        <v>ACTIVE</v>
      </c>
    </row>
    <row r="2007" ht="22.5" customHeight="1">
      <c r="A2007" s="11" t="str">
        <f t="array" ref="A2007">IFERROR(
  INDEX('Starlink Launches'!$A:$A, MATCH($E2007, 'Starlink Launches'!$B:$B, 0)),
  ""
)
</f>
        <v>6-79</v>
      </c>
      <c r="B2007" s="3" t="s">
        <v>25</v>
      </c>
      <c r="C2007" s="12" t="s">
        <v>2019</v>
      </c>
      <c r="D2007" s="13">
        <v>66592.0</v>
      </c>
      <c r="E2007" s="4">
        <v>45983.0</v>
      </c>
      <c r="F2007" s="4" t="str">
        <f>IF(D2007="","", IFNA(VLOOKUP(D2007, SATCAT_DECAY!A:B, 2, FALSE), ""))
</f>
        <v/>
      </c>
      <c r="G2007" s="3" t="str">
        <f t="shared" si="1"/>
        <v>ACTIVE</v>
      </c>
    </row>
    <row r="2008" ht="22.5" customHeight="1">
      <c r="A2008" s="11" t="str">
        <f t="array" ref="A2008">IFERROR(
  INDEX('Starlink Launches'!$A:$A, MATCH($E2008, 'Starlink Launches'!$B:$B, 0)),
  ""
)
</f>
        <v>6-79</v>
      </c>
      <c r="B2008" s="3" t="s">
        <v>25</v>
      </c>
      <c r="C2008" s="12" t="s">
        <v>2020</v>
      </c>
      <c r="D2008" s="13">
        <v>66593.0</v>
      </c>
      <c r="E2008" s="4">
        <v>45983.0</v>
      </c>
      <c r="F2008" s="4" t="str">
        <f>IF(D2008="","", IFNA(VLOOKUP(D2008, SATCAT_DECAY!A:B, 2, FALSE), ""))
</f>
        <v/>
      </c>
      <c r="G2008" s="3" t="str">
        <f t="shared" si="1"/>
        <v>ACTIVE</v>
      </c>
    </row>
    <row r="2009" ht="22.5" customHeight="1">
      <c r="A2009" s="11" t="str">
        <f t="array" ref="A2009">IFERROR(
  INDEX('Starlink Launches'!$A:$A, MATCH($E2009, 'Starlink Launches'!$B:$B, 0)),
  ""
)
</f>
        <v>6-79</v>
      </c>
      <c r="B2009" s="3" t="s">
        <v>25</v>
      </c>
      <c r="C2009" s="12" t="s">
        <v>2021</v>
      </c>
      <c r="D2009" s="13">
        <v>66594.0</v>
      </c>
      <c r="E2009" s="4">
        <v>45983.0</v>
      </c>
      <c r="F2009" s="4" t="str">
        <f>IF(D2009="","", IFNA(VLOOKUP(D2009, SATCAT_DECAY!A:B, 2, FALSE), ""))
</f>
        <v/>
      </c>
      <c r="G2009" s="3" t="str">
        <f t="shared" si="1"/>
        <v>ACTIVE</v>
      </c>
    </row>
    <row r="2010" ht="22.5" customHeight="1">
      <c r="A2010" s="11" t="str">
        <f t="array" ref="A2010">IFERROR(
  INDEX('Starlink Launches'!$A:$A, MATCH($E2010, 'Starlink Launches'!$B:$B, 0)),
  ""
)
</f>
        <v>6-79</v>
      </c>
      <c r="B2010" s="3" t="s">
        <v>25</v>
      </c>
      <c r="C2010" s="12" t="s">
        <v>2022</v>
      </c>
      <c r="D2010" s="13">
        <v>66595.0</v>
      </c>
      <c r="E2010" s="4">
        <v>45983.0</v>
      </c>
      <c r="F2010" s="4" t="str">
        <f>IF(D2010="","", IFNA(VLOOKUP(D2010, SATCAT_DECAY!A:B, 2, FALSE), ""))
</f>
        <v/>
      </c>
      <c r="G2010" s="3" t="str">
        <f t="shared" si="1"/>
        <v>ACTIVE</v>
      </c>
    </row>
    <row r="2011" ht="22.5" customHeight="1">
      <c r="A2011" s="11" t="str">
        <f t="array" ref="A2011">IFERROR(
  INDEX('Starlink Launches'!$A:$A, MATCH($E2011, 'Starlink Launches'!$B:$B, 0)),
  ""
)
</f>
        <v>6-79</v>
      </c>
      <c r="B2011" s="3" t="s">
        <v>25</v>
      </c>
      <c r="C2011" s="12" t="s">
        <v>2023</v>
      </c>
      <c r="D2011" s="13">
        <v>66596.0</v>
      </c>
      <c r="E2011" s="4">
        <v>45983.0</v>
      </c>
      <c r="F2011" s="4" t="str">
        <f>IF(D2011="","", IFNA(VLOOKUP(D2011, SATCAT_DECAY!A:B, 2, FALSE), ""))
</f>
        <v/>
      </c>
      <c r="G2011" s="3" t="str">
        <f t="shared" si="1"/>
        <v>ACTIVE</v>
      </c>
    </row>
    <row r="2012" ht="22.5" customHeight="1">
      <c r="A2012" s="11" t="str">
        <f t="array" ref="A2012">IFERROR(
  INDEX('Starlink Launches'!$A:$A, MATCH($E2012, 'Starlink Launches'!$B:$B, 0)),
  ""
)
</f>
        <v>6-79</v>
      </c>
      <c r="B2012" s="3" t="s">
        <v>25</v>
      </c>
      <c r="C2012" s="12" t="s">
        <v>2024</v>
      </c>
      <c r="D2012" s="13">
        <v>66597.0</v>
      </c>
      <c r="E2012" s="4">
        <v>45983.0</v>
      </c>
      <c r="F2012" s="4" t="str">
        <f>IF(D2012="","", IFNA(VLOOKUP(D2012, SATCAT_DECAY!A:B, 2, FALSE), ""))
</f>
        <v/>
      </c>
      <c r="G2012" s="3" t="str">
        <f t="shared" si="1"/>
        <v>ACTIVE</v>
      </c>
    </row>
    <row r="2013" ht="22.5" customHeight="1">
      <c r="A2013" s="11" t="str">
        <f t="array" ref="A2013">IFERROR(
  INDEX('Starlink Launches'!$A:$A, MATCH($E2013, 'Starlink Launches'!$B:$B, 0)),
  ""
)
</f>
        <v>6-79</v>
      </c>
      <c r="B2013" s="3" t="s">
        <v>25</v>
      </c>
      <c r="C2013" s="12" t="s">
        <v>2025</v>
      </c>
      <c r="D2013" s="13">
        <v>66598.0</v>
      </c>
      <c r="E2013" s="4">
        <v>45983.0</v>
      </c>
      <c r="F2013" s="4" t="str">
        <f>IF(D2013="","", IFNA(VLOOKUP(D2013, SATCAT_DECAY!A:B, 2, FALSE), ""))
</f>
        <v/>
      </c>
      <c r="G2013" s="3" t="str">
        <f t="shared" si="1"/>
        <v>ACTIVE</v>
      </c>
    </row>
    <row r="2014" ht="22.5" customHeight="1">
      <c r="A2014" s="11" t="str">
        <f t="array" ref="A2014">IFERROR(
  INDEX('Starlink Launches'!$A:$A, MATCH($E2014, 'Starlink Launches'!$B:$B, 0)),
  ""
)
</f>
        <v>6-79</v>
      </c>
      <c r="B2014" s="3" t="s">
        <v>25</v>
      </c>
      <c r="C2014" s="12" t="s">
        <v>2026</v>
      </c>
      <c r="D2014" s="13">
        <v>66599.0</v>
      </c>
      <c r="E2014" s="4">
        <v>45983.0</v>
      </c>
      <c r="F2014" s="4" t="str">
        <f>IF(D2014="","", IFNA(VLOOKUP(D2014, SATCAT_DECAY!A:B, 2, FALSE), ""))
</f>
        <v/>
      </c>
      <c r="G2014" s="3" t="str">
        <f t="shared" si="1"/>
        <v>ACTIVE</v>
      </c>
    </row>
    <row r="2015" ht="22.5" customHeight="1">
      <c r="A2015" s="11" t="str">
        <f t="array" ref="A2015">IFERROR(
  INDEX('Starlink Launches'!$A:$A, MATCH($E2015, 'Starlink Launches'!$B:$B, 0)),
  ""
)
</f>
        <v>6-79</v>
      </c>
      <c r="B2015" s="3" t="s">
        <v>25</v>
      </c>
      <c r="C2015" s="12" t="s">
        <v>2027</v>
      </c>
      <c r="D2015" s="13">
        <v>66600.0</v>
      </c>
      <c r="E2015" s="4">
        <v>45983.0</v>
      </c>
      <c r="F2015" s="4" t="str">
        <f>IF(D2015="","", IFNA(VLOOKUP(D2015, SATCAT_DECAY!A:B, 2, FALSE), ""))
</f>
        <v/>
      </c>
      <c r="G2015" s="3" t="str">
        <f t="shared" si="1"/>
        <v>ACTIVE</v>
      </c>
    </row>
    <row r="2016" ht="22.5" customHeight="1">
      <c r="A2016" s="11" t="str">
        <f t="array" ref="A2016">IFERROR(
  INDEX('Starlink Launches'!$A:$A, MATCH($E2016, 'Starlink Launches'!$B:$B, 0)),
  ""
)
</f>
        <v>6-79</v>
      </c>
      <c r="B2016" s="3" t="s">
        <v>25</v>
      </c>
      <c r="C2016" s="12" t="s">
        <v>2028</v>
      </c>
      <c r="D2016" s="13">
        <v>66601.0</v>
      </c>
      <c r="E2016" s="4">
        <v>45983.0</v>
      </c>
      <c r="F2016" s="4" t="str">
        <f>IF(D2016="","", IFNA(VLOOKUP(D2016, SATCAT_DECAY!A:B, 2, FALSE), ""))
</f>
        <v/>
      </c>
      <c r="G2016" s="3" t="str">
        <f t="shared" si="1"/>
        <v>ACTIVE</v>
      </c>
    </row>
    <row r="2017" ht="22.5" customHeight="1">
      <c r="A2017" s="11" t="str">
        <f t="array" ref="A2017">IFERROR(
  INDEX('Starlink Launches'!$A:$A, MATCH($E2017, 'Starlink Launches'!$B:$B, 0)),
  ""
)
</f>
        <v>6-79</v>
      </c>
      <c r="B2017" s="3" t="s">
        <v>25</v>
      </c>
      <c r="C2017" s="12" t="s">
        <v>2029</v>
      </c>
      <c r="D2017" s="13">
        <v>66602.0</v>
      </c>
      <c r="E2017" s="4">
        <v>45983.0</v>
      </c>
      <c r="F2017" s="4" t="str">
        <f>IF(D2017="","", IFNA(VLOOKUP(D2017, SATCAT_DECAY!A:B, 2, FALSE), ""))
</f>
        <v/>
      </c>
      <c r="G2017" s="3" t="str">
        <f t="shared" si="1"/>
        <v>ACTIVE</v>
      </c>
    </row>
    <row r="2018" ht="22.5" customHeight="1">
      <c r="A2018" s="11" t="str">
        <f t="array" ref="A2018">IFERROR(
  INDEX('Starlink Launches'!$A:$A, MATCH($E2018, 'Starlink Launches'!$B:$B, 0)),
  ""
)
</f>
        <v>6-79</v>
      </c>
      <c r="B2018" s="3" t="s">
        <v>25</v>
      </c>
      <c r="C2018" s="12" t="s">
        <v>2030</v>
      </c>
      <c r="D2018" s="13">
        <v>66603.0</v>
      </c>
      <c r="E2018" s="4">
        <v>45983.0</v>
      </c>
      <c r="F2018" s="4" t="str">
        <f>IF(D2018="","", IFNA(VLOOKUP(D2018, SATCAT_DECAY!A:B, 2, FALSE), ""))
</f>
        <v/>
      </c>
      <c r="G2018" s="3" t="str">
        <f t="shared" si="1"/>
        <v>ACTIVE</v>
      </c>
    </row>
    <row r="2019" ht="22.5" customHeight="1">
      <c r="A2019" s="11" t="str">
        <f t="array" ref="A2019">IFERROR(
  INDEX('Starlink Launches'!$A:$A, MATCH($E2019, 'Starlink Launches'!$B:$B, 0)),
  ""
)
</f>
        <v>6-79</v>
      </c>
      <c r="B2019" s="3" t="s">
        <v>25</v>
      </c>
      <c r="C2019" s="12" t="s">
        <v>2031</v>
      </c>
      <c r="D2019" s="13">
        <v>66604.0</v>
      </c>
      <c r="E2019" s="4">
        <v>45983.0</v>
      </c>
      <c r="F2019" s="4" t="str">
        <f>IF(D2019="","", IFNA(VLOOKUP(D2019, SATCAT_DECAY!A:B, 2, FALSE), ""))
</f>
        <v/>
      </c>
      <c r="G2019" s="3" t="str">
        <f t="shared" si="1"/>
        <v>ACTIVE</v>
      </c>
    </row>
    <row r="2020" ht="22.5" customHeight="1">
      <c r="A2020" s="11" t="str">
        <f t="array" ref="A2020">IFERROR(
  INDEX('Starlink Launches'!$A:$A, MATCH($E2020, 'Starlink Launches'!$B:$B, 0)),
  ""
)
</f>
        <v>6-79</v>
      </c>
      <c r="B2020" s="3" t="s">
        <v>25</v>
      </c>
      <c r="C2020" s="12" t="s">
        <v>2032</v>
      </c>
      <c r="D2020" s="13">
        <v>66605.0</v>
      </c>
      <c r="E2020" s="4">
        <v>45983.0</v>
      </c>
      <c r="F2020" s="4" t="str">
        <f>IF(D2020="","", IFNA(VLOOKUP(D2020, SATCAT_DECAY!A:B, 2, FALSE), ""))
</f>
        <v/>
      </c>
      <c r="G2020" s="3" t="str">
        <f t="shared" si="1"/>
        <v>ACTIVE</v>
      </c>
    </row>
    <row r="2021" ht="22.5" customHeight="1">
      <c r="A2021" s="11" t="str">
        <f t="array" ref="A2021">IFERROR(
  INDEX('Starlink Launches'!$A:$A, MATCH($E2021, 'Starlink Launches'!$B:$B, 0)),
  ""
)
</f>
        <v>6-79</v>
      </c>
      <c r="B2021" s="3" t="s">
        <v>25</v>
      </c>
      <c r="C2021" s="12" t="s">
        <v>2033</v>
      </c>
      <c r="D2021" s="13">
        <v>66606.0</v>
      </c>
      <c r="E2021" s="4">
        <v>45983.0</v>
      </c>
      <c r="F2021" s="4" t="str">
        <f>IF(D2021="","", IFNA(VLOOKUP(D2021, SATCAT_DECAY!A:B, 2, FALSE), ""))
</f>
        <v/>
      </c>
      <c r="G2021" s="3" t="str">
        <f t="shared" si="1"/>
        <v>ACTIVE</v>
      </c>
    </row>
    <row r="2022" ht="22.5" customHeight="1">
      <c r="A2022" s="11" t="str">
        <f t="array" ref="A2022">IFERROR(
  INDEX('Starlink Launches'!$A:$A, MATCH($E2022, 'Starlink Launches'!$B:$B, 0)),
  ""
)
</f>
        <v>6-79</v>
      </c>
      <c r="B2022" s="3" t="s">
        <v>25</v>
      </c>
      <c r="C2022" s="12" t="s">
        <v>2034</v>
      </c>
      <c r="D2022" s="13">
        <v>66607.0</v>
      </c>
      <c r="E2022" s="4">
        <v>45983.0</v>
      </c>
      <c r="F2022" s="4" t="str">
        <f>IF(D2022="","", IFNA(VLOOKUP(D2022, SATCAT_DECAY!A:B, 2, FALSE), ""))
</f>
        <v/>
      </c>
      <c r="G2022" s="3" t="str">
        <f t="shared" si="1"/>
        <v>ACTIVE</v>
      </c>
    </row>
    <row r="2023" ht="22.5" customHeight="1">
      <c r="A2023" s="11" t="str">
        <f t="array" ref="A2023">IFERROR(
  INDEX('Starlink Launches'!$A:$A, MATCH($E2023, 'Starlink Launches'!$B:$B, 0)),
  ""
)
</f>
        <v>6-79</v>
      </c>
      <c r="B2023" s="3" t="s">
        <v>25</v>
      </c>
      <c r="C2023" s="12" t="s">
        <v>2035</v>
      </c>
      <c r="D2023" s="13">
        <v>66608.0</v>
      </c>
      <c r="E2023" s="4">
        <v>45983.0</v>
      </c>
      <c r="F2023" s="4" t="str">
        <f>IF(D2023="","", IFNA(VLOOKUP(D2023, SATCAT_DECAY!A:B, 2, FALSE), ""))
</f>
        <v/>
      </c>
      <c r="G2023" s="3" t="str">
        <f t="shared" si="1"/>
        <v>ACTIVE</v>
      </c>
    </row>
    <row r="2024" ht="22.5" customHeight="1">
      <c r="A2024" s="11" t="str">
        <f t="array" ref="A2024">IFERROR(
  INDEX('Starlink Launches'!$A:$A, MATCH($E2024, 'Starlink Launches'!$B:$B, 0)),
  ""
)
</f>
        <v>6-79</v>
      </c>
      <c r="B2024" s="3" t="s">
        <v>25</v>
      </c>
      <c r="C2024" s="12" t="s">
        <v>2036</v>
      </c>
      <c r="D2024" s="13">
        <v>66609.0</v>
      </c>
      <c r="E2024" s="4">
        <v>45983.0</v>
      </c>
      <c r="F2024" s="4" t="str">
        <f>IF(D2024="","", IFNA(VLOOKUP(D2024, SATCAT_DECAY!A:B, 2, FALSE), ""))
</f>
        <v/>
      </c>
      <c r="G2024" s="3" t="str">
        <f t="shared" si="1"/>
        <v>ACTIVE</v>
      </c>
    </row>
    <row r="2025" ht="22.5" customHeight="1">
      <c r="A2025" s="11" t="str">
        <f t="array" ref="A2025">IFERROR(
  INDEX('Starlink Launches'!$A:$A, MATCH($E2025, 'Starlink Launches'!$B:$B, 0)),
  ""
)
</f>
        <v>6-79</v>
      </c>
      <c r="B2025" s="3" t="s">
        <v>25</v>
      </c>
      <c r="C2025" s="12" t="s">
        <v>2037</v>
      </c>
      <c r="D2025" s="13">
        <v>66610.0</v>
      </c>
      <c r="E2025" s="4">
        <v>45983.0</v>
      </c>
      <c r="F2025" s="4" t="str">
        <f>IF(D2025="","", IFNA(VLOOKUP(D2025, SATCAT_DECAY!A:B, 2, FALSE), ""))
</f>
        <v/>
      </c>
      <c r="G2025" s="3" t="str">
        <f t="shared" si="1"/>
        <v>ACTIVE</v>
      </c>
    </row>
    <row r="2026" ht="22.5" customHeight="1">
      <c r="A2026" s="11" t="str">
        <f t="array" ref="A2026">IFERROR(
  INDEX('Starlink Launches'!$A:$A, MATCH($E2026, 'Starlink Launches'!$B:$B, 0)),
  ""
)
</f>
        <v>6-79</v>
      </c>
      <c r="B2026" s="3" t="s">
        <v>25</v>
      </c>
      <c r="C2026" s="12" t="s">
        <v>2038</v>
      </c>
      <c r="D2026" s="13">
        <v>66611.0</v>
      </c>
      <c r="E2026" s="4">
        <v>45983.0</v>
      </c>
      <c r="F2026" s="4" t="str">
        <f>IF(D2026="","", IFNA(VLOOKUP(D2026, SATCAT_DECAY!A:B, 2, FALSE), ""))
</f>
        <v/>
      </c>
      <c r="G2026" s="3" t="str">
        <f t="shared" si="1"/>
        <v>ACTIVE</v>
      </c>
    </row>
    <row r="2027" ht="22.5" customHeight="1">
      <c r="A2027" s="11" t="str">
        <f t="array" ref="A2027">IFERROR(
  INDEX('Starlink Launches'!$A:$A, MATCH($E2027, 'Starlink Launches'!$B:$B, 0)),
  ""
)
</f>
        <v>6-79</v>
      </c>
      <c r="B2027" s="3" t="s">
        <v>25</v>
      </c>
      <c r="C2027" s="12" t="s">
        <v>2039</v>
      </c>
      <c r="D2027" s="13">
        <v>66612.0</v>
      </c>
      <c r="E2027" s="4">
        <v>45983.0</v>
      </c>
      <c r="F2027" s="4" t="str">
        <f>IF(D2027="","", IFNA(VLOOKUP(D2027, SATCAT_DECAY!A:B, 2, FALSE), ""))
</f>
        <v/>
      </c>
      <c r="G2027" s="3" t="str">
        <f t="shared" si="1"/>
        <v>ACTIVE</v>
      </c>
    </row>
    <row r="2028" ht="22.5" customHeight="1">
      <c r="A2028" s="11" t="str">
        <f t="array" ref="A2028">IFERROR(
  INDEX('Starlink Launches'!$A:$A, MATCH($E2028, 'Starlink Launches'!$B:$B, 0)),
  ""
)
</f>
        <v>6-79</v>
      </c>
      <c r="B2028" s="3" t="s">
        <v>25</v>
      </c>
      <c r="C2028" s="12" t="s">
        <v>2040</v>
      </c>
      <c r="D2028" s="13">
        <v>66613.0</v>
      </c>
      <c r="E2028" s="4">
        <v>45983.0</v>
      </c>
      <c r="F2028" s="4" t="str">
        <f>IF(D2028="","", IFNA(VLOOKUP(D2028, SATCAT_DECAY!A:B, 2, FALSE), ""))
</f>
        <v/>
      </c>
      <c r="G2028" s="3" t="str">
        <f t="shared" si="1"/>
        <v>ACTIVE</v>
      </c>
    </row>
    <row r="2029" ht="22.5" customHeight="1">
      <c r="A2029" s="11" t="str">
        <f t="array" ref="A2029">IFERROR(
  INDEX('Starlink Launches'!$A:$A, MATCH($E2029, 'Starlink Launches'!$B:$B, 0)),
  ""
)
</f>
        <v>6-79</v>
      </c>
      <c r="B2029" s="3" t="s">
        <v>25</v>
      </c>
      <c r="C2029" s="12" t="s">
        <v>2041</v>
      </c>
      <c r="D2029" s="13">
        <v>66614.0</v>
      </c>
      <c r="E2029" s="4">
        <v>45983.0</v>
      </c>
      <c r="F2029" s="4" t="str">
        <f>IF(D2029="","", IFNA(VLOOKUP(D2029, SATCAT_DECAY!A:B, 2, FALSE), ""))
</f>
        <v/>
      </c>
      <c r="G2029" s="3" t="str">
        <f t="shared" si="1"/>
        <v>ACTIVE</v>
      </c>
    </row>
    <row r="2030" ht="22.5" customHeight="1">
      <c r="A2030" s="11" t="str">
        <f t="array" ref="A2030">IFERROR(
  INDEX('Starlink Launches'!$A:$A, MATCH($E2030, 'Starlink Launches'!$B:$B, 0)),
  ""
)
</f>
        <v>6-79</v>
      </c>
      <c r="B2030" s="3" t="s">
        <v>25</v>
      </c>
      <c r="C2030" s="12" t="s">
        <v>2042</v>
      </c>
      <c r="D2030" s="13">
        <v>66615.0</v>
      </c>
      <c r="E2030" s="4">
        <v>45983.0</v>
      </c>
      <c r="F2030" s="4" t="str">
        <f>IF(D2030="","", IFNA(VLOOKUP(D2030, SATCAT_DECAY!A:B, 2, FALSE), ""))
</f>
        <v/>
      </c>
      <c r="G2030" s="3" t="str">
        <f t="shared" si="1"/>
        <v>ACTIVE</v>
      </c>
    </row>
    <row r="2031" ht="22.5" customHeight="1">
      <c r="A2031" s="11" t="str">
        <f t="array" ref="A2031">IFERROR(
  INDEX('Starlink Launches'!$A:$A, MATCH($E2031, 'Starlink Launches'!$B:$B, 0)),
  ""
)
</f>
        <v>6-79</v>
      </c>
      <c r="B2031" s="3" t="s">
        <v>25</v>
      </c>
      <c r="C2031" s="12" t="s">
        <v>2043</v>
      </c>
      <c r="D2031" s="13">
        <v>66616.0</v>
      </c>
      <c r="E2031" s="4">
        <v>45983.0</v>
      </c>
      <c r="F2031" s="4" t="str">
        <f>IF(D2031="","", IFNA(VLOOKUP(D2031, SATCAT_DECAY!A:B, 2, FALSE), ""))
</f>
        <v/>
      </c>
      <c r="G2031" s="3" t="str">
        <f t="shared" si="1"/>
        <v>ACTIVE</v>
      </c>
    </row>
    <row r="2032" ht="22.5" customHeight="1">
      <c r="A2032" s="11" t="str">
        <f t="array" ref="A2032">IFERROR(
  INDEX('Starlink Launches'!$A:$A, MATCH($E2032, 'Starlink Launches'!$B:$B, 0)),
  ""
)
</f>
        <v>6-86</v>
      </c>
      <c r="B2032" s="3" t="s">
        <v>25</v>
      </c>
      <c r="C2032" s="12" t="s">
        <v>2044</v>
      </c>
      <c r="D2032" s="13">
        <v>66791.0</v>
      </c>
      <c r="E2032" s="4">
        <v>45992.0</v>
      </c>
      <c r="F2032" s="4" t="str">
        <f>IF(D2032="","", IFNA(VLOOKUP(D2032, SATCAT_DECAY!A:B, 2, FALSE), ""))
</f>
        <v/>
      </c>
      <c r="G2032" s="3" t="str">
        <f t="shared" si="1"/>
        <v>ACTIVE</v>
      </c>
    </row>
    <row r="2033" ht="22.5" customHeight="1">
      <c r="A2033" s="11" t="str">
        <f t="array" ref="A2033">IFERROR(
  INDEX('Starlink Launches'!$A:$A, MATCH($E2033, 'Starlink Launches'!$B:$B, 0)),
  ""
)
</f>
        <v>6-86</v>
      </c>
      <c r="B2033" s="3" t="s">
        <v>25</v>
      </c>
      <c r="C2033" s="12" t="s">
        <v>2045</v>
      </c>
      <c r="D2033" s="13">
        <v>66792.0</v>
      </c>
      <c r="E2033" s="4">
        <v>45992.0</v>
      </c>
      <c r="F2033" s="4" t="str">
        <f>IF(D2033="","", IFNA(VLOOKUP(D2033, SATCAT_DECAY!A:B, 2, FALSE), ""))
</f>
        <v/>
      </c>
      <c r="G2033" s="3" t="str">
        <f t="shared" si="1"/>
        <v>ACTIVE</v>
      </c>
    </row>
    <row r="2034" ht="22.5" customHeight="1">
      <c r="A2034" s="11" t="str">
        <f t="array" ref="A2034">IFERROR(
  INDEX('Starlink Launches'!$A:$A, MATCH($E2034, 'Starlink Launches'!$B:$B, 0)),
  ""
)
</f>
        <v>6-86</v>
      </c>
      <c r="B2034" s="3" t="s">
        <v>25</v>
      </c>
      <c r="C2034" s="12" t="s">
        <v>2046</v>
      </c>
      <c r="D2034" s="13">
        <v>66793.0</v>
      </c>
      <c r="E2034" s="4">
        <v>45992.0</v>
      </c>
      <c r="F2034" s="4" t="str">
        <f>IF(D2034="","", IFNA(VLOOKUP(D2034, SATCAT_DECAY!A:B, 2, FALSE), ""))
</f>
        <v/>
      </c>
      <c r="G2034" s="3" t="str">
        <f t="shared" si="1"/>
        <v>ACTIVE</v>
      </c>
    </row>
    <row r="2035" ht="22.5" customHeight="1">
      <c r="A2035" s="11" t="str">
        <f t="array" ref="A2035">IFERROR(
  INDEX('Starlink Launches'!$A:$A, MATCH($E2035, 'Starlink Launches'!$B:$B, 0)),
  ""
)
</f>
        <v>6-86</v>
      </c>
      <c r="B2035" s="3" t="s">
        <v>25</v>
      </c>
      <c r="C2035" s="12" t="s">
        <v>2047</v>
      </c>
      <c r="D2035" s="13">
        <v>66794.0</v>
      </c>
      <c r="E2035" s="4">
        <v>45992.0</v>
      </c>
      <c r="F2035" s="4" t="str">
        <f>IF(D2035="","", IFNA(VLOOKUP(D2035, SATCAT_DECAY!A:B, 2, FALSE), ""))
</f>
        <v/>
      </c>
      <c r="G2035" s="3" t="str">
        <f t="shared" si="1"/>
        <v>ACTIVE</v>
      </c>
    </row>
    <row r="2036" ht="22.5" customHeight="1">
      <c r="A2036" s="11" t="str">
        <f t="array" ref="A2036">IFERROR(
  INDEX('Starlink Launches'!$A:$A, MATCH($E2036, 'Starlink Launches'!$B:$B, 0)),
  ""
)
</f>
        <v>6-86</v>
      </c>
      <c r="B2036" s="3" t="s">
        <v>25</v>
      </c>
      <c r="C2036" s="12" t="s">
        <v>2048</v>
      </c>
      <c r="D2036" s="13">
        <v>66795.0</v>
      </c>
      <c r="E2036" s="4">
        <v>45992.0</v>
      </c>
      <c r="F2036" s="4" t="str">
        <f>IF(D2036="","", IFNA(VLOOKUP(D2036, SATCAT_DECAY!A:B, 2, FALSE), ""))
</f>
        <v/>
      </c>
      <c r="G2036" s="3" t="str">
        <f t="shared" si="1"/>
        <v>ACTIVE</v>
      </c>
    </row>
    <row r="2037" ht="22.5" customHeight="1">
      <c r="A2037" s="11" t="str">
        <f t="array" ref="A2037">IFERROR(
  INDEX('Starlink Launches'!$A:$A, MATCH($E2037, 'Starlink Launches'!$B:$B, 0)),
  ""
)
</f>
        <v>6-86</v>
      </c>
      <c r="B2037" s="3" t="s">
        <v>25</v>
      </c>
      <c r="C2037" s="12" t="s">
        <v>2049</v>
      </c>
      <c r="D2037" s="13">
        <v>66796.0</v>
      </c>
      <c r="E2037" s="4">
        <v>45992.0</v>
      </c>
      <c r="F2037" s="4" t="str">
        <f>IF(D2037="","", IFNA(VLOOKUP(D2037, SATCAT_DECAY!A:B, 2, FALSE), ""))
</f>
        <v/>
      </c>
      <c r="G2037" s="3" t="str">
        <f t="shared" si="1"/>
        <v>ACTIVE</v>
      </c>
    </row>
    <row r="2038" ht="22.5" customHeight="1">
      <c r="A2038" s="11" t="str">
        <f t="array" ref="A2038">IFERROR(
  INDEX('Starlink Launches'!$A:$A, MATCH($E2038, 'Starlink Launches'!$B:$B, 0)),
  ""
)
</f>
        <v>6-86</v>
      </c>
      <c r="B2038" s="3" t="s">
        <v>25</v>
      </c>
      <c r="C2038" s="12" t="s">
        <v>2050</v>
      </c>
      <c r="D2038" s="13">
        <v>66797.0</v>
      </c>
      <c r="E2038" s="4">
        <v>45992.0</v>
      </c>
      <c r="F2038" s="4" t="str">
        <f>IF(D2038="","", IFNA(VLOOKUP(D2038, SATCAT_DECAY!A:B, 2, FALSE), ""))
</f>
        <v/>
      </c>
      <c r="G2038" s="3" t="str">
        <f t="shared" si="1"/>
        <v>ACTIVE</v>
      </c>
    </row>
    <row r="2039" ht="22.5" customHeight="1">
      <c r="A2039" s="11" t="str">
        <f t="array" ref="A2039">IFERROR(
  INDEX('Starlink Launches'!$A:$A, MATCH($E2039, 'Starlink Launches'!$B:$B, 0)),
  ""
)
</f>
        <v>6-86</v>
      </c>
      <c r="B2039" s="3" t="s">
        <v>25</v>
      </c>
      <c r="C2039" s="12" t="s">
        <v>2051</v>
      </c>
      <c r="D2039" s="13">
        <v>66798.0</v>
      </c>
      <c r="E2039" s="4">
        <v>45992.0</v>
      </c>
      <c r="F2039" s="4" t="str">
        <f>IF(D2039="","", IFNA(VLOOKUP(D2039, SATCAT_DECAY!A:B, 2, FALSE), ""))
</f>
        <v/>
      </c>
      <c r="G2039" s="3" t="str">
        <f t="shared" si="1"/>
        <v>ACTIVE</v>
      </c>
    </row>
    <row r="2040" ht="22.5" customHeight="1">
      <c r="A2040" s="11" t="str">
        <f t="array" ref="A2040">IFERROR(
  INDEX('Starlink Launches'!$A:$A, MATCH($E2040, 'Starlink Launches'!$B:$B, 0)),
  ""
)
</f>
        <v>6-86</v>
      </c>
      <c r="B2040" s="3" t="s">
        <v>25</v>
      </c>
      <c r="C2040" s="12" t="s">
        <v>2052</v>
      </c>
      <c r="D2040" s="13">
        <v>66799.0</v>
      </c>
      <c r="E2040" s="4">
        <v>45992.0</v>
      </c>
      <c r="F2040" s="4" t="str">
        <f>IF(D2040="","", IFNA(VLOOKUP(D2040, SATCAT_DECAY!A:B, 2, FALSE), ""))
</f>
        <v/>
      </c>
      <c r="G2040" s="3" t="str">
        <f t="shared" si="1"/>
        <v>ACTIVE</v>
      </c>
    </row>
    <row r="2041" ht="22.5" customHeight="1">
      <c r="A2041" s="11" t="str">
        <f t="array" ref="A2041">IFERROR(
  INDEX('Starlink Launches'!$A:$A, MATCH($E2041, 'Starlink Launches'!$B:$B, 0)),
  ""
)
</f>
        <v>6-86</v>
      </c>
      <c r="B2041" s="3" t="s">
        <v>25</v>
      </c>
      <c r="C2041" s="12" t="s">
        <v>2053</v>
      </c>
      <c r="D2041" s="13">
        <v>66800.0</v>
      </c>
      <c r="E2041" s="4">
        <v>45992.0</v>
      </c>
      <c r="F2041" s="4" t="str">
        <f>IF(D2041="","", IFNA(VLOOKUP(D2041, SATCAT_DECAY!A:B, 2, FALSE), ""))
</f>
        <v/>
      </c>
      <c r="G2041" s="3" t="str">
        <f t="shared" si="1"/>
        <v>ACTIVE</v>
      </c>
    </row>
    <row r="2042" ht="22.5" customHeight="1">
      <c r="A2042" s="11" t="str">
        <f t="array" ref="A2042">IFERROR(
  INDEX('Starlink Launches'!$A:$A, MATCH($E2042, 'Starlink Launches'!$B:$B, 0)),
  ""
)
</f>
        <v>6-86</v>
      </c>
      <c r="B2042" s="3" t="s">
        <v>25</v>
      </c>
      <c r="C2042" s="12" t="s">
        <v>2054</v>
      </c>
      <c r="D2042" s="13">
        <v>66801.0</v>
      </c>
      <c r="E2042" s="4">
        <v>45992.0</v>
      </c>
      <c r="F2042" s="4" t="str">
        <f>IF(D2042="","", IFNA(VLOOKUP(D2042, SATCAT_DECAY!A:B, 2, FALSE), ""))
</f>
        <v/>
      </c>
      <c r="G2042" s="3" t="str">
        <f t="shared" si="1"/>
        <v>ACTIVE</v>
      </c>
    </row>
    <row r="2043" ht="22.5" customHeight="1">
      <c r="A2043" s="11" t="str">
        <f t="array" ref="A2043">IFERROR(
  INDEX('Starlink Launches'!$A:$A, MATCH($E2043, 'Starlink Launches'!$B:$B, 0)),
  ""
)
</f>
        <v>6-86</v>
      </c>
      <c r="B2043" s="3" t="s">
        <v>25</v>
      </c>
      <c r="C2043" s="12" t="s">
        <v>2055</v>
      </c>
      <c r="D2043" s="13">
        <v>66802.0</v>
      </c>
      <c r="E2043" s="4">
        <v>45992.0</v>
      </c>
      <c r="F2043" s="4" t="str">
        <f>IF(D2043="","", IFNA(VLOOKUP(D2043, SATCAT_DECAY!A:B, 2, FALSE), ""))
</f>
        <v/>
      </c>
      <c r="G2043" s="3" t="str">
        <f t="shared" si="1"/>
        <v>ACTIVE</v>
      </c>
    </row>
    <row r="2044" ht="22.5" customHeight="1">
      <c r="A2044" s="11" t="str">
        <f t="array" ref="A2044">IFERROR(
  INDEX('Starlink Launches'!$A:$A, MATCH($E2044, 'Starlink Launches'!$B:$B, 0)),
  ""
)
</f>
        <v>6-86</v>
      </c>
      <c r="B2044" s="3" t="s">
        <v>25</v>
      </c>
      <c r="C2044" s="12" t="s">
        <v>2056</v>
      </c>
      <c r="D2044" s="13">
        <v>66803.0</v>
      </c>
      <c r="E2044" s="4">
        <v>45992.0</v>
      </c>
      <c r="F2044" s="4" t="str">
        <f>IF(D2044="","", IFNA(VLOOKUP(D2044, SATCAT_DECAY!A:B, 2, FALSE), ""))
</f>
        <v/>
      </c>
      <c r="G2044" s="3" t="str">
        <f t="shared" si="1"/>
        <v>ACTIVE</v>
      </c>
    </row>
    <row r="2045" ht="22.5" customHeight="1">
      <c r="A2045" s="11" t="str">
        <f t="array" ref="A2045">IFERROR(
  INDEX('Starlink Launches'!$A:$A, MATCH($E2045, 'Starlink Launches'!$B:$B, 0)),
  ""
)
</f>
        <v>6-86</v>
      </c>
      <c r="B2045" s="3" t="s">
        <v>25</v>
      </c>
      <c r="C2045" s="12" t="s">
        <v>2057</v>
      </c>
      <c r="D2045" s="13">
        <v>66804.0</v>
      </c>
      <c r="E2045" s="4">
        <v>45992.0</v>
      </c>
      <c r="F2045" s="4" t="str">
        <f>IF(D2045="","", IFNA(VLOOKUP(D2045, SATCAT_DECAY!A:B, 2, FALSE), ""))
</f>
        <v/>
      </c>
      <c r="G2045" s="3" t="str">
        <f t="shared" si="1"/>
        <v>ACTIVE</v>
      </c>
    </row>
    <row r="2046" ht="22.5" customHeight="1">
      <c r="A2046" s="11" t="str">
        <f t="array" ref="A2046">IFERROR(
  INDEX('Starlink Launches'!$A:$A, MATCH($E2046, 'Starlink Launches'!$B:$B, 0)),
  ""
)
</f>
        <v>6-86</v>
      </c>
      <c r="B2046" s="3" t="s">
        <v>25</v>
      </c>
      <c r="C2046" s="12" t="s">
        <v>2058</v>
      </c>
      <c r="D2046" s="13">
        <v>66805.0</v>
      </c>
      <c r="E2046" s="4">
        <v>45992.0</v>
      </c>
      <c r="F2046" s="4" t="str">
        <f>IF(D2046="","", IFNA(VLOOKUP(D2046, SATCAT_DECAY!A:B, 2, FALSE), ""))
</f>
        <v/>
      </c>
      <c r="G2046" s="3" t="str">
        <f t="shared" si="1"/>
        <v>ACTIVE</v>
      </c>
    </row>
    <row r="2047" ht="22.5" customHeight="1">
      <c r="A2047" s="11" t="str">
        <f t="array" ref="A2047">IFERROR(
  INDEX('Starlink Launches'!$A:$A, MATCH($E2047, 'Starlink Launches'!$B:$B, 0)),
  ""
)
</f>
        <v>6-86</v>
      </c>
      <c r="B2047" s="3" t="s">
        <v>25</v>
      </c>
      <c r="C2047" s="12" t="s">
        <v>2059</v>
      </c>
      <c r="D2047" s="13">
        <v>66806.0</v>
      </c>
      <c r="E2047" s="4">
        <v>45992.0</v>
      </c>
      <c r="F2047" s="4" t="str">
        <f>IF(D2047="","", IFNA(VLOOKUP(D2047, SATCAT_DECAY!A:B, 2, FALSE), ""))
</f>
        <v/>
      </c>
      <c r="G2047" s="3" t="str">
        <f t="shared" si="1"/>
        <v>ACTIVE</v>
      </c>
    </row>
    <row r="2048" ht="22.5" customHeight="1">
      <c r="A2048" s="11" t="str">
        <f t="array" ref="A2048">IFERROR(
  INDEX('Starlink Launches'!$A:$A, MATCH($E2048, 'Starlink Launches'!$B:$B, 0)),
  ""
)
</f>
        <v>6-86</v>
      </c>
      <c r="B2048" s="3" t="s">
        <v>25</v>
      </c>
      <c r="C2048" s="12" t="s">
        <v>2060</v>
      </c>
      <c r="D2048" s="13">
        <v>66807.0</v>
      </c>
      <c r="E2048" s="4">
        <v>45992.0</v>
      </c>
      <c r="F2048" s="4" t="str">
        <f>IF(D2048="","", IFNA(VLOOKUP(D2048, SATCAT_DECAY!A:B, 2, FALSE), ""))
</f>
        <v/>
      </c>
      <c r="G2048" s="3" t="str">
        <f t="shared" si="1"/>
        <v>ACTIVE</v>
      </c>
    </row>
    <row r="2049" ht="22.5" customHeight="1">
      <c r="A2049" s="11" t="str">
        <f t="array" ref="A2049">IFERROR(
  INDEX('Starlink Launches'!$A:$A, MATCH($E2049, 'Starlink Launches'!$B:$B, 0)),
  ""
)
</f>
        <v>6-86</v>
      </c>
      <c r="B2049" s="3" t="s">
        <v>25</v>
      </c>
      <c r="C2049" s="12" t="s">
        <v>2061</v>
      </c>
      <c r="D2049" s="13">
        <v>66808.0</v>
      </c>
      <c r="E2049" s="4">
        <v>45992.0</v>
      </c>
      <c r="F2049" s="4" t="str">
        <f>IF(D2049="","", IFNA(VLOOKUP(D2049, SATCAT_DECAY!A:B, 2, FALSE), ""))
</f>
        <v/>
      </c>
      <c r="G2049" s="3" t="str">
        <f t="shared" si="1"/>
        <v>ACTIVE</v>
      </c>
    </row>
    <row r="2050" ht="22.5" customHeight="1">
      <c r="A2050" s="11" t="str">
        <f t="array" ref="A2050">IFERROR(
  INDEX('Starlink Launches'!$A:$A, MATCH($E2050, 'Starlink Launches'!$B:$B, 0)),
  ""
)
</f>
        <v>6-86</v>
      </c>
      <c r="B2050" s="3" t="s">
        <v>25</v>
      </c>
      <c r="C2050" s="12" t="s">
        <v>2062</v>
      </c>
      <c r="D2050" s="13">
        <v>66809.0</v>
      </c>
      <c r="E2050" s="4">
        <v>45992.0</v>
      </c>
      <c r="F2050" s="4" t="str">
        <f>IF(D2050="","", IFNA(VLOOKUP(D2050, SATCAT_DECAY!A:B, 2, FALSE), ""))
</f>
        <v/>
      </c>
      <c r="G2050" s="3" t="str">
        <f t="shared" si="1"/>
        <v>ACTIVE</v>
      </c>
    </row>
    <row r="2051" ht="22.5" customHeight="1">
      <c r="A2051" s="11" t="str">
        <f t="array" ref="A2051">IFERROR(
  INDEX('Starlink Launches'!$A:$A, MATCH($E2051, 'Starlink Launches'!$B:$B, 0)),
  ""
)
</f>
        <v>6-86</v>
      </c>
      <c r="B2051" s="3" t="s">
        <v>25</v>
      </c>
      <c r="C2051" s="12" t="s">
        <v>2063</v>
      </c>
      <c r="D2051" s="13">
        <v>66810.0</v>
      </c>
      <c r="E2051" s="4">
        <v>45992.0</v>
      </c>
      <c r="F2051" s="4" t="str">
        <f>IF(D2051="","", IFNA(VLOOKUP(D2051, SATCAT_DECAY!A:B, 2, FALSE), ""))
</f>
        <v/>
      </c>
      <c r="G2051" s="3" t="str">
        <f t="shared" si="1"/>
        <v>ACTIVE</v>
      </c>
    </row>
    <row r="2052" ht="22.5" customHeight="1">
      <c r="A2052" s="11" t="str">
        <f t="array" ref="A2052">IFERROR(
  INDEX('Starlink Launches'!$A:$A, MATCH($E2052, 'Starlink Launches'!$B:$B, 0)),
  ""
)
</f>
        <v>6-86</v>
      </c>
      <c r="B2052" s="3" t="s">
        <v>25</v>
      </c>
      <c r="C2052" s="12" t="s">
        <v>2064</v>
      </c>
      <c r="D2052" s="13">
        <v>66811.0</v>
      </c>
      <c r="E2052" s="4">
        <v>45992.0</v>
      </c>
      <c r="F2052" s="4" t="str">
        <f>IF(D2052="","", IFNA(VLOOKUP(D2052, SATCAT_DECAY!A:B, 2, FALSE), ""))
</f>
        <v/>
      </c>
      <c r="G2052" s="3" t="str">
        <f t="shared" si="1"/>
        <v>ACTIVE</v>
      </c>
    </row>
    <row r="2053" ht="22.5" customHeight="1">
      <c r="A2053" s="11" t="str">
        <f t="array" ref="A2053">IFERROR(
  INDEX('Starlink Launches'!$A:$A, MATCH($E2053, 'Starlink Launches'!$B:$B, 0)),
  ""
)
</f>
        <v>6-86</v>
      </c>
      <c r="B2053" s="3" t="s">
        <v>25</v>
      </c>
      <c r="C2053" s="12" t="s">
        <v>2065</v>
      </c>
      <c r="D2053" s="13">
        <v>66812.0</v>
      </c>
      <c r="E2053" s="4">
        <v>45992.0</v>
      </c>
      <c r="F2053" s="4" t="str">
        <f>IF(D2053="","", IFNA(VLOOKUP(D2053, SATCAT_DECAY!A:B, 2, FALSE), ""))
</f>
        <v/>
      </c>
      <c r="G2053" s="3" t="str">
        <f t="shared" si="1"/>
        <v>ACTIVE</v>
      </c>
    </row>
    <row r="2054" ht="22.5" customHeight="1">
      <c r="A2054" s="11" t="str">
        <f t="array" ref="A2054">IFERROR(
  INDEX('Starlink Launches'!$A:$A, MATCH($E2054, 'Starlink Launches'!$B:$B, 0)),
  ""
)
</f>
        <v>6-86</v>
      </c>
      <c r="B2054" s="3" t="s">
        <v>25</v>
      </c>
      <c r="C2054" s="12" t="s">
        <v>2066</v>
      </c>
      <c r="D2054" s="13">
        <v>66813.0</v>
      </c>
      <c r="E2054" s="4">
        <v>45992.0</v>
      </c>
      <c r="F2054" s="4" t="str">
        <f>IF(D2054="","", IFNA(VLOOKUP(D2054, SATCAT_DECAY!A:B, 2, FALSE), ""))
</f>
        <v/>
      </c>
      <c r="G2054" s="3" t="str">
        <f t="shared" si="1"/>
        <v>ACTIVE</v>
      </c>
    </row>
    <row r="2055" ht="22.5" customHeight="1">
      <c r="A2055" s="11" t="str">
        <f t="array" ref="A2055">IFERROR(
  INDEX('Starlink Launches'!$A:$A, MATCH($E2055, 'Starlink Launches'!$B:$B, 0)),
  ""
)
</f>
        <v>6-86</v>
      </c>
      <c r="B2055" s="3" t="s">
        <v>25</v>
      </c>
      <c r="C2055" s="12" t="s">
        <v>2067</v>
      </c>
      <c r="D2055" s="13">
        <v>66814.0</v>
      </c>
      <c r="E2055" s="4">
        <v>45992.0</v>
      </c>
      <c r="F2055" s="4" t="str">
        <f>IF(D2055="","", IFNA(VLOOKUP(D2055, SATCAT_DECAY!A:B, 2, FALSE), ""))
</f>
        <v/>
      </c>
      <c r="G2055" s="3" t="str">
        <f t="shared" si="1"/>
        <v>ACTIVE</v>
      </c>
    </row>
    <row r="2056" ht="22.5" customHeight="1">
      <c r="A2056" s="11" t="str">
        <f t="array" ref="A2056">IFERROR(
  INDEX('Starlink Launches'!$A:$A, MATCH($E2056, 'Starlink Launches'!$B:$B, 0)),
  ""
)
</f>
        <v>6-86</v>
      </c>
      <c r="B2056" s="3" t="s">
        <v>25</v>
      </c>
      <c r="C2056" s="12" t="s">
        <v>2068</v>
      </c>
      <c r="D2056" s="13">
        <v>66815.0</v>
      </c>
      <c r="E2056" s="4">
        <v>45992.0</v>
      </c>
      <c r="F2056" s="4" t="str">
        <f>IF(D2056="","", IFNA(VLOOKUP(D2056, SATCAT_DECAY!A:B, 2, FALSE), ""))
</f>
        <v/>
      </c>
      <c r="G2056" s="3" t="str">
        <f t="shared" si="1"/>
        <v>ACTIVE</v>
      </c>
    </row>
    <row r="2057" ht="22.5" customHeight="1">
      <c r="A2057" s="11" t="str">
        <f t="array" ref="A2057">IFERROR(
  INDEX('Starlink Launches'!$A:$A, MATCH($E2057, 'Starlink Launches'!$B:$B, 0)),
  ""
)
</f>
        <v>6-86</v>
      </c>
      <c r="B2057" s="3" t="s">
        <v>25</v>
      </c>
      <c r="C2057" s="12" t="s">
        <v>2069</v>
      </c>
      <c r="D2057" s="13">
        <v>66816.0</v>
      </c>
      <c r="E2057" s="4">
        <v>45992.0</v>
      </c>
      <c r="F2057" s="4" t="str">
        <f>IF(D2057="","", IFNA(VLOOKUP(D2057, SATCAT_DECAY!A:B, 2, FALSE), ""))
</f>
        <v/>
      </c>
      <c r="G2057" s="3" t="str">
        <f t="shared" si="1"/>
        <v>ACTIVE</v>
      </c>
    </row>
    <row r="2058" ht="22.5" customHeight="1">
      <c r="A2058" s="11" t="str">
        <f t="array" ref="A2058">IFERROR(
  INDEX('Starlink Launches'!$A:$A, MATCH($E2058, 'Starlink Launches'!$B:$B, 0)),
  ""
)
</f>
        <v>6-86</v>
      </c>
      <c r="B2058" s="3" t="s">
        <v>25</v>
      </c>
      <c r="C2058" s="12" t="s">
        <v>2070</v>
      </c>
      <c r="D2058" s="13">
        <v>66817.0</v>
      </c>
      <c r="E2058" s="4">
        <v>45992.0</v>
      </c>
      <c r="F2058" s="4" t="str">
        <f>IF(D2058="","", IFNA(VLOOKUP(D2058, SATCAT_DECAY!A:B, 2, FALSE), ""))
</f>
        <v/>
      </c>
      <c r="G2058" s="3" t="str">
        <f t="shared" si="1"/>
        <v>ACTIVE</v>
      </c>
    </row>
    <row r="2059" ht="22.5" customHeight="1">
      <c r="A2059" s="11" t="str">
        <f t="array" ref="A2059">IFERROR(
  INDEX('Starlink Launches'!$A:$A, MATCH($E2059, 'Starlink Launches'!$B:$B, 0)),
  ""
)
</f>
        <v>6-86</v>
      </c>
      <c r="B2059" s="3" t="s">
        <v>25</v>
      </c>
      <c r="C2059" s="12" t="s">
        <v>2071</v>
      </c>
      <c r="D2059" s="13">
        <v>66818.0</v>
      </c>
      <c r="E2059" s="4">
        <v>45992.0</v>
      </c>
      <c r="F2059" s="4" t="str">
        <f>IF(D2059="","", IFNA(VLOOKUP(D2059, SATCAT_DECAY!A:B, 2, FALSE), ""))
</f>
        <v/>
      </c>
      <c r="G2059" s="3" t="str">
        <f t="shared" si="1"/>
        <v>ACTIVE</v>
      </c>
    </row>
    <row r="2060" ht="22.5" customHeight="1">
      <c r="A2060" s="11" t="str">
        <f t="array" ref="A2060">IFERROR(
  INDEX('Starlink Launches'!$A:$A, MATCH($E2060, 'Starlink Launches'!$B:$B, 0)),
  ""
)
</f>
        <v>6-86</v>
      </c>
      <c r="B2060" s="3" t="s">
        <v>25</v>
      </c>
      <c r="C2060" s="12" t="s">
        <v>2072</v>
      </c>
      <c r="D2060" s="13">
        <v>66819.0</v>
      </c>
      <c r="E2060" s="4">
        <v>45992.0</v>
      </c>
      <c r="F2060" s="4" t="str">
        <f>IF(D2060="","", IFNA(VLOOKUP(D2060, SATCAT_DECAY!A:B, 2, FALSE), ""))
</f>
        <v/>
      </c>
      <c r="G2060" s="3" t="str">
        <f t="shared" si="1"/>
        <v>ACTIVE</v>
      </c>
    </row>
    <row r="2061" ht="22.5" customHeight="1">
      <c r="A2061" s="11" t="str">
        <f t="array" ref="A2061">IFERROR(
  INDEX('Starlink Launches'!$A:$A, MATCH($E2061, 'Starlink Launches'!$B:$B, 0)),
  ""
)
</f>
        <v>6-95</v>
      </c>
      <c r="B2061" s="3" t="s">
        <v>25</v>
      </c>
      <c r="C2061" s="12" t="s">
        <v>2073</v>
      </c>
      <c r="D2061" s="13">
        <v>66848.0</v>
      </c>
      <c r="E2061" s="4">
        <v>45993.0</v>
      </c>
      <c r="F2061" s="4" t="str">
        <f>IF(D2061="","", IFNA(VLOOKUP(D2061, SATCAT_DECAY!A:B, 2, FALSE), ""))
</f>
        <v/>
      </c>
      <c r="G2061" s="3" t="str">
        <f t="shared" si="1"/>
        <v>ACTIVE</v>
      </c>
    </row>
    <row r="2062" ht="22.5" customHeight="1">
      <c r="A2062" s="11" t="str">
        <f t="array" ref="A2062">IFERROR(
  INDEX('Starlink Launches'!$A:$A, MATCH($E2062, 'Starlink Launches'!$B:$B, 0)),
  ""
)
</f>
        <v>6-95</v>
      </c>
      <c r="B2062" s="3" t="s">
        <v>25</v>
      </c>
      <c r="C2062" s="12" t="s">
        <v>2074</v>
      </c>
      <c r="D2062" s="13">
        <v>66849.0</v>
      </c>
      <c r="E2062" s="4">
        <v>45993.0</v>
      </c>
      <c r="F2062" s="4" t="str">
        <f>IF(D2062="","", IFNA(VLOOKUP(D2062, SATCAT_DECAY!A:B, 2, FALSE), ""))
</f>
        <v/>
      </c>
      <c r="G2062" s="3" t="str">
        <f t="shared" si="1"/>
        <v>ACTIVE</v>
      </c>
    </row>
    <row r="2063" ht="22.5" customHeight="1">
      <c r="A2063" s="11" t="str">
        <f t="array" ref="A2063">IFERROR(
  INDEX('Starlink Launches'!$A:$A, MATCH($E2063, 'Starlink Launches'!$B:$B, 0)),
  ""
)
</f>
        <v>6-95</v>
      </c>
      <c r="B2063" s="3" t="s">
        <v>25</v>
      </c>
      <c r="C2063" s="12" t="s">
        <v>2075</v>
      </c>
      <c r="D2063" s="13">
        <v>66850.0</v>
      </c>
      <c r="E2063" s="4">
        <v>45993.0</v>
      </c>
      <c r="F2063" s="4" t="str">
        <f>IF(D2063="","", IFNA(VLOOKUP(D2063, SATCAT_DECAY!A:B, 2, FALSE), ""))
</f>
        <v/>
      </c>
      <c r="G2063" s="3" t="str">
        <f t="shared" si="1"/>
        <v>ACTIVE</v>
      </c>
    </row>
    <row r="2064" ht="22.5" customHeight="1">
      <c r="A2064" s="11" t="str">
        <f t="array" ref="A2064">IFERROR(
  INDEX('Starlink Launches'!$A:$A, MATCH($E2064, 'Starlink Launches'!$B:$B, 0)),
  ""
)
</f>
        <v>6-95</v>
      </c>
      <c r="B2064" s="3" t="s">
        <v>25</v>
      </c>
      <c r="C2064" s="12" t="s">
        <v>2076</v>
      </c>
      <c r="D2064" s="13">
        <v>66851.0</v>
      </c>
      <c r="E2064" s="4">
        <v>45993.0</v>
      </c>
      <c r="F2064" s="4" t="str">
        <f>IF(D2064="","", IFNA(VLOOKUP(D2064, SATCAT_DECAY!A:B, 2, FALSE), ""))
</f>
        <v/>
      </c>
      <c r="G2064" s="3" t="str">
        <f t="shared" si="1"/>
        <v>ACTIVE</v>
      </c>
    </row>
    <row r="2065" ht="22.5" customHeight="1">
      <c r="A2065" s="11" t="str">
        <f t="array" ref="A2065">IFERROR(
  INDEX('Starlink Launches'!$A:$A, MATCH($E2065, 'Starlink Launches'!$B:$B, 0)),
  ""
)
</f>
        <v>6-95</v>
      </c>
      <c r="B2065" s="3" t="s">
        <v>25</v>
      </c>
      <c r="C2065" s="12" t="s">
        <v>2077</v>
      </c>
      <c r="D2065" s="13">
        <v>66852.0</v>
      </c>
      <c r="E2065" s="4">
        <v>45993.0</v>
      </c>
      <c r="F2065" s="4" t="str">
        <f>IF(D2065="","", IFNA(VLOOKUP(D2065, SATCAT_DECAY!A:B, 2, FALSE), ""))
</f>
        <v/>
      </c>
      <c r="G2065" s="3" t="str">
        <f t="shared" si="1"/>
        <v>ACTIVE</v>
      </c>
    </row>
    <row r="2066" ht="22.5" customHeight="1">
      <c r="A2066" s="11" t="str">
        <f t="array" ref="A2066">IFERROR(
  INDEX('Starlink Launches'!$A:$A, MATCH($E2066, 'Starlink Launches'!$B:$B, 0)),
  ""
)
</f>
        <v>6-95</v>
      </c>
      <c r="B2066" s="3" t="s">
        <v>25</v>
      </c>
      <c r="C2066" s="12" t="s">
        <v>2078</v>
      </c>
      <c r="D2066" s="13">
        <v>66853.0</v>
      </c>
      <c r="E2066" s="4">
        <v>45993.0</v>
      </c>
      <c r="F2066" s="4" t="str">
        <f>IF(D2066="","", IFNA(VLOOKUP(D2066, SATCAT_DECAY!A:B, 2, FALSE), ""))
</f>
        <v/>
      </c>
      <c r="G2066" s="3" t="str">
        <f t="shared" si="1"/>
        <v>ACTIVE</v>
      </c>
    </row>
    <row r="2067" ht="22.5" customHeight="1">
      <c r="A2067" s="11" t="str">
        <f t="array" ref="A2067">IFERROR(
  INDEX('Starlink Launches'!$A:$A, MATCH($E2067, 'Starlink Launches'!$B:$B, 0)),
  ""
)
</f>
        <v>6-95</v>
      </c>
      <c r="B2067" s="3" t="s">
        <v>25</v>
      </c>
      <c r="C2067" s="12" t="s">
        <v>2079</v>
      </c>
      <c r="D2067" s="13">
        <v>66854.0</v>
      </c>
      <c r="E2067" s="4">
        <v>45993.0</v>
      </c>
      <c r="F2067" s="4" t="str">
        <f>IF(D2067="","", IFNA(VLOOKUP(D2067, SATCAT_DECAY!A:B, 2, FALSE), ""))
</f>
        <v/>
      </c>
      <c r="G2067" s="3" t="str">
        <f t="shared" si="1"/>
        <v>ACTIVE</v>
      </c>
    </row>
    <row r="2068" ht="22.5" customHeight="1">
      <c r="A2068" s="11" t="str">
        <f t="array" ref="A2068">IFERROR(
  INDEX('Starlink Launches'!$A:$A, MATCH($E2068, 'Starlink Launches'!$B:$B, 0)),
  ""
)
</f>
        <v>6-95</v>
      </c>
      <c r="B2068" s="3" t="s">
        <v>25</v>
      </c>
      <c r="C2068" s="12" t="s">
        <v>2080</v>
      </c>
      <c r="D2068" s="13">
        <v>66855.0</v>
      </c>
      <c r="E2068" s="4">
        <v>45993.0</v>
      </c>
      <c r="F2068" s="4" t="str">
        <f>IF(D2068="","", IFNA(VLOOKUP(D2068, SATCAT_DECAY!A:B, 2, FALSE), ""))
</f>
        <v/>
      </c>
      <c r="G2068" s="3" t="str">
        <f t="shared" si="1"/>
        <v>ACTIVE</v>
      </c>
    </row>
    <row r="2069" ht="22.5" customHeight="1">
      <c r="A2069" s="11" t="str">
        <f t="array" ref="A2069">IFERROR(
  INDEX('Starlink Launches'!$A:$A, MATCH($E2069, 'Starlink Launches'!$B:$B, 0)),
  ""
)
</f>
        <v>6-95</v>
      </c>
      <c r="B2069" s="3" t="s">
        <v>25</v>
      </c>
      <c r="C2069" s="12" t="s">
        <v>2081</v>
      </c>
      <c r="D2069" s="13">
        <v>66856.0</v>
      </c>
      <c r="E2069" s="4">
        <v>45993.0</v>
      </c>
      <c r="F2069" s="4" t="str">
        <f>IF(D2069="","", IFNA(VLOOKUP(D2069, SATCAT_DECAY!A:B, 2, FALSE), ""))
</f>
        <v/>
      </c>
      <c r="G2069" s="3" t="str">
        <f t="shared" si="1"/>
        <v>ACTIVE</v>
      </c>
    </row>
    <row r="2070" ht="22.5" customHeight="1">
      <c r="A2070" s="11" t="str">
        <f t="array" ref="A2070">IFERROR(
  INDEX('Starlink Launches'!$A:$A, MATCH($E2070, 'Starlink Launches'!$B:$B, 0)),
  ""
)
</f>
        <v>6-95</v>
      </c>
      <c r="B2070" s="3" t="s">
        <v>25</v>
      </c>
      <c r="C2070" s="12" t="s">
        <v>2082</v>
      </c>
      <c r="D2070" s="13">
        <v>66857.0</v>
      </c>
      <c r="E2070" s="4">
        <v>45993.0</v>
      </c>
      <c r="F2070" s="4" t="str">
        <f>IF(D2070="","", IFNA(VLOOKUP(D2070, SATCAT_DECAY!A:B, 2, FALSE), ""))
</f>
        <v/>
      </c>
      <c r="G2070" s="3" t="str">
        <f t="shared" si="1"/>
        <v>ACTIVE</v>
      </c>
    </row>
    <row r="2071" ht="22.5" customHeight="1">
      <c r="A2071" s="11" t="str">
        <f t="array" ref="A2071">IFERROR(
  INDEX('Starlink Launches'!$A:$A, MATCH($E2071, 'Starlink Launches'!$B:$B, 0)),
  ""
)
</f>
        <v>6-95</v>
      </c>
      <c r="B2071" s="3" t="s">
        <v>25</v>
      </c>
      <c r="C2071" s="12" t="s">
        <v>2083</v>
      </c>
      <c r="D2071" s="13">
        <v>66858.0</v>
      </c>
      <c r="E2071" s="4">
        <v>45993.0</v>
      </c>
      <c r="F2071" s="4" t="str">
        <f>IF(D2071="","", IFNA(VLOOKUP(D2071, SATCAT_DECAY!A:B, 2, FALSE), ""))
</f>
        <v/>
      </c>
      <c r="G2071" s="3" t="str">
        <f t="shared" si="1"/>
        <v>ACTIVE</v>
      </c>
    </row>
    <row r="2072" ht="22.5" customHeight="1">
      <c r="A2072" s="11" t="str">
        <f t="array" ref="A2072">IFERROR(
  INDEX('Starlink Launches'!$A:$A, MATCH($E2072, 'Starlink Launches'!$B:$B, 0)),
  ""
)
</f>
        <v>6-95</v>
      </c>
      <c r="B2072" s="3" t="s">
        <v>25</v>
      </c>
      <c r="C2072" s="12" t="s">
        <v>2084</v>
      </c>
      <c r="D2072" s="13">
        <v>66859.0</v>
      </c>
      <c r="E2072" s="4">
        <v>45993.0</v>
      </c>
      <c r="F2072" s="4" t="str">
        <f>IF(D2072="","", IFNA(VLOOKUP(D2072, SATCAT_DECAY!A:B, 2, FALSE), ""))
</f>
        <v/>
      </c>
      <c r="G2072" s="3" t="str">
        <f t="shared" si="1"/>
        <v>ACTIVE</v>
      </c>
    </row>
    <row r="2073" ht="22.5" customHeight="1">
      <c r="A2073" s="11" t="str">
        <f t="array" ref="A2073">IFERROR(
  INDEX('Starlink Launches'!$A:$A, MATCH($E2073, 'Starlink Launches'!$B:$B, 0)),
  ""
)
</f>
        <v>6-95</v>
      </c>
      <c r="B2073" s="3" t="s">
        <v>25</v>
      </c>
      <c r="C2073" s="12" t="s">
        <v>2085</v>
      </c>
      <c r="D2073" s="13">
        <v>66860.0</v>
      </c>
      <c r="E2073" s="4">
        <v>45993.0</v>
      </c>
      <c r="F2073" s="4" t="str">
        <f>IF(D2073="","", IFNA(VLOOKUP(D2073, SATCAT_DECAY!A:B, 2, FALSE), ""))
</f>
        <v/>
      </c>
      <c r="G2073" s="3" t="str">
        <f t="shared" si="1"/>
        <v>ACTIVE</v>
      </c>
    </row>
    <row r="2074" ht="22.5" customHeight="1">
      <c r="A2074" s="11" t="str">
        <f t="array" ref="A2074">IFERROR(
  INDEX('Starlink Launches'!$A:$A, MATCH($E2074, 'Starlink Launches'!$B:$B, 0)),
  ""
)
</f>
        <v>6-95</v>
      </c>
      <c r="B2074" s="3" t="s">
        <v>25</v>
      </c>
      <c r="C2074" s="12" t="s">
        <v>2086</v>
      </c>
      <c r="D2074" s="13">
        <v>66861.0</v>
      </c>
      <c r="E2074" s="4">
        <v>45993.0</v>
      </c>
      <c r="F2074" s="4" t="str">
        <f>IF(D2074="","", IFNA(VLOOKUP(D2074, SATCAT_DECAY!A:B, 2, FALSE), ""))
</f>
        <v/>
      </c>
      <c r="G2074" s="3" t="str">
        <f t="shared" si="1"/>
        <v>ACTIVE</v>
      </c>
    </row>
    <row r="2075" ht="22.5" customHeight="1">
      <c r="A2075" s="11" t="str">
        <f t="array" ref="A2075">IFERROR(
  INDEX('Starlink Launches'!$A:$A, MATCH($E2075, 'Starlink Launches'!$B:$B, 0)),
  ""
)
</f>
        <v>6-95</v>
      </c>
      <c r="B2075" s="3" t="s">
        <v>25</v>
      </c>
      <c r="C2075" s="12" t="s">
        <v>2087</v>
      </c>
      <c r="D2075" s="13">
        <v>66862.0</v>
      </c>
      <c r="E2075" s="4">
        <v>45993.0</v>
      </c>
      <c r="F2075" s="4" t="str">
        <f>IF(D2075="","", IFNA(VLOOKUP(D2075, SATCAT_DECAY!A:B, 2, FALSE), ""))
</f>
        <v/>
      </c>
      <c r="G2075" s="3" t="str">
        <f t="shared" si="1"/>
        <v>ACTIVE</v>
      </c>
    </row>
    <row r="2076" ht="22.5" customHeight="1">
      <c r="A2076" s="11" t="str">
        <f t="array" ref="A2076">IFERROR(
  INDEX('Starlink Launches'!$A:$A, MATCH($E2076, 'Starlink Launches'!$B:$B, 0)),
  ""
)
</f>
        <v>6-95</v>
      </c>
      <c r="B2076" s="3" t="s">
        <v>25</v>
      </c>
      <c r="C2076" s="12" t="s">
        <v>2088</v>
      </c>
      <c r="D2076" s="13">
        <v>66863.0</v>
      </c>
      <c r="E2076" s="4">
        <v>45993.0</v>
      </c>
      <c r="F2076" s="4" t="str">
        <f>IF(D2076="","", IFNA(VLOOKUP(D2076, SATCAT_DECAY!A:B, 2, FALSE), ""))
</f>
        <v/>
      </c>
      <c r="G2076" s="3" t="str">
        <f t="shared" si="1"/>
        <v>ACTIVE</v>
      </c>
    </row>
    <row r="2077" ht="22.5" customHeight="1">
      <c r="A2077" s="11" t="str">
        <f t="array" ref="A2077">IFERROR(
  INDEX('Starlink Launches'!$A:$A, MATCH($E2077, 'Starlink Launches'!$B:$B, 0)),
  ""
)
</f>
        <v>6-95</v>
      </c>
      <c r="B2077" s="3" t="s">
        <v>25</v>
      </c>
      <c r="C2077" s="12" t="s">
        <v>2089</v>
      </c>
      <c r="D2077" s="13">
        <v>66864.0</v>
      </c>
      <c r="E2077" s="4">
        <v>45993.0</v>
      </c>
      <c r="F2077" s="4" t="str">
        <f>IF(D2077="","", IFNA(VLOOKUP(D2077, SATCAT_DECAY!A:B, 2, FALSE), ""))
</f>
        <v/>
      </c>
      <c r="G2077" s="3" t="str">
        <f t="shared" si="1"/>
        <v>ACTIVE</v>
      </c>
    </row>
    <row r="2078" ht="22.5" customHeight="1">
      <c r="A2078" s="11" t="str">
        <f t="array" ref="A2078">IFERROR(
  INDEX('Starlink Launches'!$A:$A, MATCH($E2078, 'Starlink Launches'!$B:$B, 0)),
  ""
)
</f>
        <v>6-95</v>
      </c>
      <c r="B2078" s="3" t="s">
        <v>25</v>
      </c>
      <c r="C2078" s="12" t="s">
        <v>2090</v>
      </c>
      <c r="D2078" s="13">
        <v>66865.0</v>
      </c>
      <c r="E2078" s="4">
        <v>45993.0</v>
      </c>
      <c r="F2078" s="4" t="str">
        <f>IF(D2078="","", IFNA(VLOOKUP(D2078, SATCAT_DECAY!A:B, 2, FALSE), ""))
</f>
        <v/>
      </c>
      <c r="G2078" s="3" t="str">
        <f t="shared" si="1"/>
        <v>ACTIVE</v>
      </c>
    </row>
    <row r="2079" ht="22.5" customHeight="1">
      <c r="A2079" s="11" t="str">
        <f t="array" ref="A2079">IFERROR(
  INDEX('Starlink Launches'!$A:$A, MATCH($E2079, 'Starlink Launches'!$B:$B, 0)),
  ""
)
</f>
        <v>6-95</v>
      </c>
      <c r="B2079" s="3" t="s">
        <v>25</v>
      </c>
      <c r="C2079" s="12" t="s">
        <v>2091</v>
      </c>
      <c r="D2079" s="13">
        <v>66866.0</v>
      </c>
      <c r="E2079" s="4">
        <v>45993.0</v>
      </c>
      <c r="F2079" s="4" t="str">
        <f>IF(D2079="","", IFNA(VLOOKUP(D2079, SATCAT_DECAY!A:B, 2, FALSE), ""))
</f>
        <v/>
      </c>
      <c r="G2079" s="3" t="str">
        <f t="shared" si="1"/>
        <v>ACTIVE</v>
      </c>
    </row>
    <row r="2080" ht="22.5" customHeight="1">
      <c r="A2080" s="11" t="str">
        <f t="array" ref="A2080">IFERROR(
  INDEX('Starlink Launches'!$A:$A, MATCH($E2080, 'Starlink Launches'!$B:$B, 0)),
  ""
)
</f>
        <v>6-95</v>
      </c>
      <c r="B2080" s="3" t="s">
        <v>25</v>
      </c>
      <c r="C2080" s="12" t="s">
        <v>2092</v>
      </c>
      <c r="D2080" s="13">
        <v>66867.0</v>
      </c>
      <c r="E2080" s="4">
        <v>45993.0</v>
      </c>
      <c r="F2080" s="4" t="str">
        <f>IF(D2080="","", IFNA(VLOOKUP(D2080, SATCAT_DECAY!A:B, 2, FALSE), ""))
</f>
        <v/>
      </c>
      <c r="G2080" s="3" t="str">
        <f t="shared" si="1"/>
        <v>ACTIVE</v>
      </c>
    </row>
    <row r="2081" ht="22.5" customHeight="1">
      <c r="A2081" s="11" t="str">
        <f t="array" ref="A2081">IFERROR(
  INDEX('Starlink Launches'!$A:$A, MATCH($E2081, 'Starlink Launches'!$B:$B, 0)),
  ""
)
</f>
        <v>6-95</v>
      </c>
      <c r="B2081" s="3" t="s">
        <v>25</v>
      </c>
      <c r="C2081" s="12" t="s">
        <v>2093</v>
      </c>
      <c r="D2081" s="13">
        <v>66868.0</v>
      </c>
      <c r="E2081" s="4">
        <v>45993.0</v>
      </c>
      <c r="F2081" s="4" t="str">
        <f>IF(D2081="","", IFNA(VLOOKUP(D2081, SATCAT_DECAY!A:B, 2, FALSE), ""))
</f>
        <v/>
      </c>
      <c r="G2081" s="3" t="str">
        <f t="shared" si="1"/>
        <v>ACTIVE</v>
      </c>
    </row>
    <row r="2082" ht="22.5" customHeight="1">
      <c r="A2082" s="11" t="str">
        <f t="array" ref="A2082">IFERROR(
  INDEX('Starlink Launches'!$A:$A, MATCH($E2082, 'Starlink Launches'!$B:$B, 0)),
  ""
)
</f>
        <v>6-95</v>
      </c>
      <c r="B2082" s="3" t="s">
        <v>25</v>
      </c>
      <c r="C2082" s="12" t="s">
        <v>2094</v>
      </c>
      <c r="D2082" s="13">
        <v>66869.0</v>
      </c>
      <c r="E2082" s="4">
        <v>45993.0</v>
      </c>
      <c r="F2082" s="4" t="str">
        <f>IF(D2082="","", IFNA(VLOOKUP(D2082, SATCAT_DECAY!A:B, 2, FALSE), ""))
</f>
        <v/>
      </c>
      <c r="G2082" s="3" t="str">
        <f t="shared" si="1"/>
        <v>ACTIVE</v>
      </c>
    </row>
    <row r="2083" ht="22.5" customHeight="1">
      <c r="A2083" s="11" t="str">
        <f t="array" ref="A2083">IFERROR(
  INDEX('Starlink Launches'!$A:$A, MATCH($E2083, 'Starlink Launches'!$B:$B, 0)),
  ""
)
</f>
        <v>6-95</v>
      </c>
      <c r="B2083" s="3" t="s">
        <v>25</v>
      </c>
      <c r="C2083" s="12" t="s">
        <v>2095</v>
      </c>
      <c r="D2083" s="13">
        <v>66870.0</v>
      </c>
      <c r="E2083" s="4">
        <v>45993.0</v>
      </c>
      <c r="F2083" s="4" t="str">
        <f>IF(D2083="","", IFNA(VLOOKUP(D2083, SATCAT_DECAY!A:B, 2, FALSE), ""))
</f>
        <v/>
      </c>
      <c r="G2083" s="3" t="str">
        <f t="shared" si="1"/>
        <v>ACTIVE</v>
      </c>
    </row>
    <row r="2084" ht="22.5" customHeight="1">
      <c r="A2084" s="11" t="str">
        <f t="array" ref="A2084">IFERROR(
  INDEX('Starlink Launches'!$A:$A, MATCH($E2084, 'Starlink Launches'!$B:$B, 0)),
  ""
)
</f>
        <v>6-95</v>
      </c>
      <c r="B2084" s="3" t="s">
        <v>25</v>
      </c>
      <c r="C2084" s="12" t="s">
        <v>2096</v>
      </c>
      <c r="D2084" s="13">
        <v>66871.0</v>
      </c>
      <c r="E2084" s="4">
        <v>45993.0</v>
      </c>
      <c r="F2084" s="4" t="str">
        <f>IF(D2084="","", IFNA(VLOOKUP(D2084, SATCAT_DECAY!A:B, 2, FALSE), ""))
</f>
        <v/>
      </c>
      <c r="G2084" s="3" t="str">
        <f t="shared" si="1"/>
        <v>ACTIVE</v>
      </c>
    </row>
    <row r="2085" ht="22.5" customHeight="1">
      <c r="A2085" s="11" t="str">
        <f t="array" ref="A2085">IFERROR(
  INDEX('Starlink Launches'!$A:$A, MATCH($E2085, 'Starlink Launches'!$B:$B, 0)),
  ""
)
</f>
        <v>6-95</v>
      </c>
      <c r="B2085" s="3" t="s">
        <v>25</v>
      </c>
      <c r="C2085" s="12" t="s">
        <v>2097</v>
      </c>
      <c r="D2085" s="13">
        <v>66872.0</v>
      </c>
      <c r="E2085" s="4">
        <v>45993.0</v>
      </c>
      <c r="F2085" s="4" t="str">
        <f>IF(D2085="","", IFNA(VLOOKUP(D2085, SATCAT_DECAY!A:B, 2, FALSE), ""))
</f>
        <v/>
      </c>
      <c r="G2085" s="3" t="str">
        <f t="shared" si="1"/>
        <v>ACTIVE</v>
      </c>
    </row>
    <row r="2086" ht="22.5" customHeight="1">
      <c r="A2086" s="11" t="str">
        <f t="array" ref="A2086">IFERROR(
  INDEX('Starlink Launches'!$A:$A, MATCH($E2086, 'Starlink Launches'!$B:$B, 0)),
  ""
)
</f>
        <v>6-95</v>
      </c>
      <c r="B2086" s="3" t="s">
        <v>25</v>
      </c>
      <c r="C2086" s="12" t="s">
        <v>2098</v>
      </c>
      <c r="D2086" s="13">
        <v>66873.0</v>
      </c>
      <c r="E2086" s="4">
        <v>45993.0</v>
      </c>
      <c r="F2086" s="4" t="str">
        <f>IF(D2086="","", IFNA(VLOOKUP(D2086, SATCAT_DECAY!A:B, 2, FALSE), ""))
</f>
        <v/>
      </c>
      <c r="G2086" s="3" t="str">
        <f t="shared" si="1"/>
        <v>ACTIVE</v>
      </c>
    </row>
    <row r="2087" ht="22.5" customHeight="1">
      <c r="A2087" s="11" t="str">
        <f t="array" ref="A2087">IFERROR(
  INDEX('Starlink Launches'!$A:$A, MATCH($E2087, 'Starlink Launches'!$B:$B, 0)),
  ""
)
</f>
        <v>6-95</v>
      </c>
      <c r="B2087" s="3" t="s">
        <v>25</v>
      </c>
      <c r="C2087" s="12" t="s">
        <v>2099</v>
      </c>
      <c r="D2087" s="13">
        <v>66874.0</v>
      </c>
      <c r="E2087" s="4">
        <v>45993.0</v>
      </c>
      <c r="F2087" s="4" t="str">
        <f>IF(D2087="","", IFNA(VLOOKUP(D2087, SATCAT_DECAY!A:B, 2, FALSE), ""))
</f>
        <v/>
      </c>
      <c r="G2087" s="3" t="str">
        <f t="shared" si="1"/>
        <v>ACTIVE</v>
      </c>
    </row>
    <row r="2088" ht="22.5" customHeight="1">
      <c r="A2088" s="11" t="str">
        <f t="array" ref="A2088">IFERROR(
  INDEX('Starlink Launches'!$A:$A, MATCH($E2088, 'Starlink Launches'!$B:$B, 0)),
  ""
)
</f>
        <v>6-95</v>
      </c>
      <c r="B2088" s="3" t="s">
        <v>25</v>
      </c>
      <c r="C2088" s="12" t="s">
        <v>2100</v>
      </c>
      <c r="D2088" s="13">
        <v>66875.0</v>
      </c>
      <c r="E2088" s="4">
        <v>45993.0</v>
      </c>
      <c r="F2088" s="4" t="str">
        <f>IF(D2088="","", IFNA(VLOOKUP(D2088, SATCAT_DECAY!A:B, 2, FALSE), ""))
</f>
        <v/>
      </c>
      <c r="G2088" s="3" t="str">
        <f t="shared" si="1"/>
        <v>ACTIVE</v>
      </c>
    </row>
    <row r="2089" ht="22.5" customHeight="1">
      <c r="A2089" s="11" t="str">
        <f t="array" ref="A2089">IFERROR(
  INDEX('Starlink Launches'!$A:$A, MATCH($E2089, 'Starlink Launches'!$B:$B, 0)),
  ""
)
</f>
        <v>6-95</v>
      </c>
      <c r="B2089" s="3" t="s">
        <v>25</v>
      </c>
      <c r="C2089" s="12" t="s">
        <v>2101</v>
      </c>
      <c r="D2089" s="13">
        <v>66876.0</v>
      </c>
      <c r="E2089" s="4">
        <v>45993.0</v>
      </c>
      <c r="F2089" s="4" t="str">
        <f>IF(D2089="","", IFNA(VLOOKUP(D2089, SATCAT_DECAY!A:B, 2, FALSE), ""))
</f>
        <v/>
      </c>
      <c r="G2089" s="3" t="str">
        <f t="shared" si="1"/>
        <v>ACTIVE</v>
      </c>
    </row>
    <row r="2090" ht="22.5" customHeight="1">
      <c r="A2090" s="11" t="str">
        <f t="array" ref="A2090">IFERROR(
  INDEX('Starlink Launches'!$A:$A, MATCH($E2090, 'Starlink Launches'!$B:$B, 0)),
  ""
)
</f>
        <v>6-92</v>
      </c>
      <c r="B2090" s="3" t="s">
        <v>25</v>
      </c>
      <c r="C2090" s="12" t="s">
        <v>2102</v>
      </c>
      <c r="D2090" s="13">
        <v>66959.0</v>
      </c>
      <c r="E2090" s="4">
        <v>45999.0</v>
      </c>
      <c r="F2090" s="4" t="str">
        <f>IF(D2090="","", IFNA(VLOOKUP(D2090, SATCAT_DECAY!A:B, 2, FALSE), ""))
</f>
        <v/>
      </c>
      <c r="G2090" s="3" t="str">
        <f t="shared" si="1"/>
        <v>ACTIVE</v>
      </c>
    </row>
    <row r="2091" ht="22.5" customHeight="1">
      <c r="A2091" s="11" t="str">
        <f t="array" ref="A2091">IFERROR(
  INDEX('Starlink Launches'!$A:$A, MATCH($E2091, 'Starlink Launches'!$B:$B, 0)),
  ""
)
</f>
        <v>6-92</v>
      </c>
      <c r="B2091" s="3" t="s">
        <v>25</v>
      </c>
      <c r="C2091" s="12" t="s">
        <v>2103</v>
      </c>
      <c r="D2091" s="13">
        <v>66960.0</v>
      </c>
      <c r="E2091" s="4">
        <v>45999.0</v>
      </c>
      <c r="F2091" s="4" t="str">
        <f>IF(D2091="","", IFNA(VLOOKUP(D2091, SATCAT_DECAY!A:B, 2, FALSE), ""))
</f>
        <v/>
      </c>
      <c r="G2091" s="3" t="str">
        <f t="shared" si="1"/>
        <v>ACTIVE</v>
      </c>
    </row>
    <row r="2092" ht="22.5" customHeight="1">
      <c r="A2092" s="11" t="str">
        <f t="array" ref="A2092">IFERROR(
  INDEX('Starlink Launches'!$A:$A, MATCH($E2092, 'Starlink Launches'!$B:$B, 0)),
  ""
)
</f>
        <v>6-92</v>
      </c>
      <c r="B2092" s="3" t="s">
        <v>25</v>
      </c>
      <c r="C2092" s="12" t="s">
        <v>2104</v>
      </c>
      <c r="D2092" s="13">
        <v>66961.0</v>
      </c>
      <c r="E2092" s="4">
        <v>45999.0</v>
      </c>
      <c r="F2092" s="4" t="str">
        <f>IF(D2092="","", IFNA(VLOOKUP(D2092, SATCAT_DECAY!A:B, 2, FALSE), ""))
</f>
        <v/>
      </c>
      <c r="G2092" s="3" t="str">
        <f t="shared" si="1"/>
        <v>ACTIVE</v>
      </c>
    </row>
    <row r="2093" ht="22.5" customHeight="1">
      <c r="A2093" s="11" t="str">
        <f t="array" ref="A2093">IFERROR(
  INDEX('Starlink Launches'!$A:$A, MATCH($E2093, 'Starlink Launches'!$B:$B, 0)),
  ""
)
</f>
        <v>6-92</v>
      </c>
      <c r="B2093" s="3" t="s">
        <v>25</v>
      </c>
      <c r="C2093" s="12" t="s">
        <v>2105</v>
      </c>
      <c r="D2093" s="13">
        <v>66962.0</v>
      </c>
      <c r="E2093" s="4">
        <v>45999.0</v>
      </c>
      <c r="F2093" s="4" t="str">
        <f>IF(D2093="","", IFNA(VLOOKUP(D2093, SATCAT_DECAY!A:B, 2, FALSE), ""))
</f>
        <v/>
      </c>
      <c r="G2093" s="3" t="str">
        <f t="shared" si="1"/>
        <v>ACTIVE</v>
      </c>
    </row>
    <row r="2094" ht="22.5" customHeight="1">
      <c r="A2094" s="11" t="str">
        <f t="array" ref="A2094">IFERROR(
  INDEX('Starlink Launches'!$A:$A, MATCH($E2094, 'Starlink Launches'!$B:$B, 0)),
  ""
)
</f>
        <v>6-92</v>
      </c>
      <c r="B2094" s="3" t="s">
        <v>25</v>
      </c>
      <c r="C2094" s="12" t="s">
        <v>2106</v>
      </c>
      <c r="D2094" s="13">
        <v>66963.0</v>
      </c>
      <c r="E2094" s="4">
        <v>45999.0</v>
      </c>
      <c r="F2094" s="4" t="str">
        <f>IF(D2094="","", IFNA(VLOOKUP(D2094, SATCAT_DECAY!A:B, 2, FALSE), ""))
</f>
        <v/>
      </c>
      <c r="G2094" s="3" t="str">
        <f t="shared" si="1"/>
        <v>ACTIVE</v>
      </c>
    </row>
    <row r="2095" ht="22.5" customHeight="1">
      <c r="A2095" s="11" t="str">
        <f t="array" ref="A2095">IFERROR(
  INDEX('Starlink Launches'!$A:$A, MATCH($E2095, 'Starlink Launches'!$B:$B, 0)),
  ""
)
</f>
        <v>6-92</v>
      </c>
      <c r="B2095" s="3" t="s">
        <v>25</v>
      </c>
      <c r="C2095" s="12" t="s">
        <v>2107</v>
      </c>
      <c r="D2095" s="13">
        <v>66964.0</v>
      </c>
      <c r="E2095" s="4">
        <v>45999.0</v>
      </c>
      <c r="F2095" s="4" t="str">
        <f>IF(D2095="","", IFNA(VLOOKUP(D2095, SATCAT_DECAY!A:B, 2, FALSE), ""))
</f>
        <v/>
      </c>
      <c r="G2095" s="3" t="str">
        <f t="shared" si="1"/>
        <v>ACTIVE</v>
      </c>
    </row>
    <row r="2096" ht="22.5" customHeight="1">
      <c r="A2096" s="11" t="str">
        <f t="array" ref="A2096">IFERROR(
  INDEX('Starlink Launches'!$A:$A, MATCH($E2096, 'Starlink Launches'!$B:$B, 0)),
  ""
)
</f>
        <v>6-92</v>
      </c>
      <c r="B2096" s="3" t="s">
        <v>25</v>
      </c>
      <c r="C2096" s="12" t="s">
        <v>2108</v>
      </c>
      <c r="D2096" s="13">
        <v>66965.0</v>
      </c>
      <c r="E2096" s="4">
        <v>45999.0</v>
      </c>
      <c r="F2096" s="4" t="str">
        <f>IF(D2096="","", IFNA(VLOOKUP(D2096, SATCAT_DECAY!A:B, 2, FALSE), ""))
</f>
        <v/>
      </c>
      <c r="G2096" s="3" t="str">
        <f t="shared" si="1"/>
        <v>ACTIVE</v>
      </c>
    </row>
    <row r="2097" ht="22.5" customHeight="1">
      <c r="A2097" s="11" t="str">
        <f t="array" ref="A2097">IFERROR(
  INDEX('Starlink Launches'!$A:$A, MATCH($E2097, 'Starlink Launches'!$B:$B, 0)),
  ""
)
</f>
        <v>6-92</v>
      </c>
      <c r="B2097" s="3" t="s">
        <v>25</v>
      </c>
      <c r="C2097" s="12" t="s">
        <v>2109</v>
      </c>
      <c r="D2097" s="13">
        <v>66966.0</v>
      </c>
      <c r="E2097" s="4">
        <v>45999.0</v>
      </c>
      <c r="F2097" s="4" t="str">
        <f>IF(D2097="","", IFNA(VLOOKUP(D2097, SATCAT_DECAY!A:B, 2, FALSE), ""))
</f>
        <v/>
      </c>
      <c r="G2097" s="3" t="str">
        <f t="shared" si="1"/>
        <v>ACTIVE</v>
      </c>
    </row>
    <row r="2098" ht="22.5" customHeight="1">
      <c r="A2098" s="11" t="str">
        <f t="array" ref="A2098">IFERROR(
  INDEX('Starlink Launches'!$A:$A, MATCH($E2098, 'Starlink Launches'!$B:$B, 0)),
  ""
)
</f>
        <v>6-92</v>
      </c>
      <c r="B2098" s="3" t="s">
        <v>25</v>
      </c>
      <c r="C2098" s="12" t="s">
        <v>2110</v>
      </c>
      <c r="D2098" s="13">
        <v>66967.0</v>
      </c>
      <c r="E2098" s="4">
        <v>45999.0</v>
      </c>
      <c r="F2098" s="4" t="str">
        <f>IF(D2098="","", IFNA(VLOOKUP(D2098, SATCAT_DECAY!A:B, 2, FALSE), ""))
</f>
        <v/>
      </c>
      <c r="G2098" s="3" t="str">
        <f t="shared" si="1"/>
        <v>ACTIVE</v>
      </c>
    </row>
    <row r="2099" ht="22.5" customHeight="1">
      <c r="A2099" s="11" t="str">
        <f t="array" ref="A2099">IFERROR(
  INDEX('Starlink Launches'!$A:$A, MATCH($E2099, 'Starlink Launches'!$B:$B, 0)),
  ""
)
</f>
        <v>6-92</v>
      </c>
      <c r="B2099" s="3" t="s">
        <v>25</v>
      </c>
      <c r="C2099" s="12" t="s">
        <v>2111</v>
      </c>
      <c r="D2099" s="13">
        <v>66968.0</v>
      </c>
      <c r="E2099" s="4">
        <v>45999.0</v>
      </c>
      <c r="F2099" s="4" t="str">
        <f>IF(D2099="","", IFNA(VLOOKUP(D2099, SATCAT_DECAY!A:B, 2, FALSE), ""))
</f>
        <v/>
      </c>
      <c r="G2099" s="3" t="str">
        <f t="shared" si="1"/>
        <v>ACTIVE</v>
      </c>
    </row>
    <row r="2100" ht="22.5" customHeight="1">
      <c r="A2100" s="11" t="str">
        <f t="array" ref="A2100">IFERROR(
  INDEX('Starlink Launches'!$A:$A, MATCH($E2100, 'Starlink Launches'!$B:$B, 0)),
  ""
)
</f>
        <v>6-92</v>
      </c>
      <c r="B2100" s="3" t="s">
        <v>25</v>
      </c>
      <c r="C2100" s="12" t="s">
        <v>2112</v>
      </c>
      <c r="D2100" s="13">
        <v>66969.0</v>
      </c>
      <c r="E2100" s="4">
        <v>45999.0</v>
      </c>
      <c r="F2100" s="4" t="str">
        <f>IF(D2100="","", IFNA(VLOOKUP(D2100, SATCAT_DECAY!A:B, 2, FALSE), ""))
</f>
        <v/>
      </c>
      <c r="G2100" s="3" t="str">
        <f t="shared" si="1"/>
        <v>ACTIVE</v>
      </c>
    </row>
    <row r="2101" ht="22.5" customHeight="1">
      <c r="A2101" s="11" t="str">
        <f t="array" ref="A2101">IFERROR(
  INDEX('Starlink Launches'!$A:$A, MATCH($E2101, 'Starlink Launches'!$B:$B, 0)),
  ""
)
</f>
        <v>6-92</v>
      </c>
      <c r="B2101" s="3" t="s">
        <v>25</v>
      </c>
      <c r="C2101" s="12" t="s">
        <v>2113</v>
      </c>
      <c r="D2101" s="13">
        <v>66970.0</v>
      </c>
      <c r="E2101" s="4">
        <v>45999.0</v>
      </c>
      <c r="F2101" s="4" t="str">
        <f>IF(D2101="","", IFNA(VLOOKUP(D2101, SATCAT_DECAY!A:B, 2, FALSE), ""))
</f>
        <v/>
      </c>
      <c r="G2101" s="3" t="str">
        <f t="shared" si="1"/>
        <v>ACTIVE</v>
      </c>
    </row>
    <row r="2102" ht="22.5" customHeight="1">
      <c r="A2102" s="11" t="str">
        <f t="array" ref="A2102">IFERROR(
  INDEX('Starlink Launches'!$A:$A, MATCH($E2102, 'Starlink Launches'!$B:$B, 0)),
  ""
)
</f>
        <v>6-92</v>
      </c>
      <c r="B2102" s="3" t="s">
        <v>25</v>
      </c>
      <c r="C2102" s="12" t="s">
        <v>2114</v>
      </c>
      <c r="D2102" s="13">
        <v>66971.0</v>
      </c>
      <c r="E2102" s="4">
        <v>45999.0</v>
      </c>
      <c r="F2102" s="4" t="str">
        <f>IF(D2102="","", IFNA(VLOOKUP(D2102, SATCAT_DECAY!A:B, 2, FALSE), ""))
</f>
        <v/>
      </c>
      <c r="G2102" s="3" t="str">
        <f t="shared" si="1"/>
        <v>ACTIVE</v>
      </c>
    </row>
    <row r="2103" ht="22.5" customHeight="1">
      <c r="A2103" s="11" t="str">
        <f t="array" ref="A2103">IFERROR(
  INDEX('Starlink Launches'!$A:$A, MATCH($E2103, 'Starlink Launches'!$B:$B, 0)),
  ""
)
</f>
        <v>6-92</v>
      </c>
      <c r="B2103" s="3" t="s">
        <v>25</v>
      </c>
      <c r="C2103" s="12" t="s">
        <v>2115</v>
      </c>
      <c r="D2103" s="13">
        <v>66972.0</v>
      </c>
      <c r="E2103" s="4">
        <v>45999.0</v>
      </c>
      <c r="F2103" s="4" t="str">
        <f>IF(D2103="","", IFNA(VLOOKUP(D2103, SATCAT_DECAY!A:B, 2, FALSE), ""))
</f>
        <v/>
      </c>
      <c r="G2103" s="3" t="str">
        <f t="shared" si="1"/>
        <v>ACTIVE</v>
      </c>
    </row>
    <row r="2104" ht="22.5" customHeight="1">
      <c r="A2104" s="11" t="str">
        <f t="array" ref="A2104">IFERROR(
  INDEX('Starlink Launches'!$A:$A, MATCH($E2104, 'Starlink Launches'!$B:$B, 0)),
  ""
)
</f>
        <v>6-92</v>
      </c>
      <c r="B2104" s="3" t="s">
        <v>25</v>
      </c>
      <c r="C2104" s="12" t="s">
        <v>2116</v>
      </c>
      <c r="D2104" s="13">
        <v>66973.0</v>
      </c>
      <c r="E2104" s="4">
        <v>45999.0</v>
      </c>
      <c r="F2104" s="4" t="str">
        <f>IF(D2104="","", IFNA(VLOOKUP(D2104, SATCAT_DECAY!A:B, 2, FALSE), ""))
</f>
        <v/>
      </c>
      <c r="G2104" s="3" t="str">
        <f t="shared" si="1"/>
        <v>ACTIVE</v>
      </c>
    </row>
    <row r="2105" ht="22.5" customHeight="1">
      <c r="A2105" s="11" t="str">
        <f t="array" ref="A2105">IFERROR(
  INDEX('Starlink Launches'!$A:$A, MATCH($E2105, 'Starlink Launches'!$B:$B, 0)),
  ""
)
</f>
        <v>6-92</v>
      </c>
      <c r="B2105" s="3" t="s">
        <v>25</v>
      </c>
      <c r="C2105" s="12" t="s">
        <v>2117</v>
      </c>
      <c r="D2105" s="13">
        <v>66974.0</v>
      </c>
      <c r="E2105" s="4">
        <v>45999.0</v>
      </c>
      <c r="F2105" s="4" t="str">
        <f>IF(D2105="","", IFNA(VLOOKUP(D2105, SATCAT_DECAY!A:B, 2, FALSE), ""))
</f>
        <v/>
      </c>
      <c r="G2105" s="3" t="str">
        <f t="shared" si="1"/>
        <v>ACTIVE</v>
      </c>
    </row>
    <row r="2106" ht="22.5" customHeight="1">
      <c r="A2106" s="11" t="str">
        <f t="array" ref="A2106">IFERROR(
  INDEX('Starlink Launches'!$A:$A, MATCH($E2106, 'Starlink Launches'!$B:$B, 0)),
  ""
)
</f>
        <v>6-92</v>
      </c>
      <c r="B2106" s="3" t="s">
        <v>25</v>
      </c>
      <c r="C2106" s="12" t="s">
        <v>2118</v>
      </c>
      <c r="D2106" s="13">
        <v>66975.0</v>
      </c>
      <c r="E2106" s="4">
        <v>45999.0</v>
      </c>
      <c r="F2106" s="4" t="str">
        <f>IF(D2106="","", IFNA(VLOOKUP(D2106, SATCAT_DECAY!A:B, 2, FALSE), ""))
</f>
        <v/>
      </c>
      <c r="G2106" s="3" t="str">
        <f t="shared" si="1"/>
        <v>ACTIVE</v>
      </c>
    </row>
    <row r="2107" ht="22.5" customHeight="1">
      <c r="A2107" s="11" t="str">
        <f t="array" ref="A2107">IFERROR(
  INDEX('Starlink Launches'!$A:$A, MATCH($E2107, 'Starlink Launches'!$B:$B, 0)),
  ""
)
</f>
        <v>6-92</v>
      </c>
      <c r="B2107" s="3" t="s">
        <v>25</v>
      </c>
      <c r="C2107" s="12" t="s">
        <v>2119</v>
      </c>
      <c r="D2107" s="13">
        <v>66976.0</v>
      </c>
      <c r="E2107" s="4">
        <v>45999.0</v>
      </c>
      <c r="F2107" s="4" t="str">
        <f>IF(D2107="","", IFNA(VLOOKUP(D2107, SATCAT_DECAY!A:B, 2, FALSE), ""))
</f>
        <v/>
      </c>
      <c r="G2107" s="3" t="str">
        <f t="shared" si="1"/>
        <v>ACTIVE</v>
      </c>
    </row>
    <row r="2108" ht="22.5" customHeight="1">
      <c r="A2108" s="11" t="str">
        <f t="array" ref="A2108">IFERROR(
  INDEX('Starlink Launches'!$A:$A, MATCH($E2108, 'Starlink Launches'!$B:$B, 0)),
  ""
)
</f>
        <v>6-92</v>
      </c>
      <c r="B2108" s="3" t="s">
        <v>25</v>
      </c>
      <c r="C2108" s="12" t="s">
        <v>2120</v>
      </c>
      <c r="D2108" s="13">
        <v>66977.0</v>
      </c>
      <c r="E2108" s="4">
        <v>45999.0</v>
      </c>
      <c r="F2108" s="4" t="str">
        <f>IF(D2108="","", IFNA(VLOOKUP(D2108, SATCAT_DECAY!A:B, 2, FALSE), ""))
</f>
        <v/>
      </c>
      <c r="G2108" s="3" t="str">
        <f t="shared" si="1"/>
        <v>ACTIVE</v>
      </c>
    </row>
    <row r="2109" ht="22.5" customHeight="1">
      <c r="A2109" s="11" t="str">
        <f t="array" ref="A2109">IFERROR(
  INDEX('Starlink Launches'!$A:$A, MATCH($E2109, 'Starlink Launches'!$B:$B, 0)),
  ""
)
</f>
        <v>6-92</v>
      </c>
      <c r="B2109" s="3" t="s">
        <v>25</v>
      </c>
      <c r="C2109" s="12" t="s">
        <v>2121</v>
      </c>
      <c r="D2109" s="13">
        <v>66978.0</v>
      </c>
      <c r="E2109" s="4">
        <v>45999.0</v>
      </c>
      <c r="F2109" s="4" t="str">
        <f>IF(D2109="","", IFNA(VLOOKUP(D2109, SATCAT_DECAY!A:B, 2, FALSE), ""))
</f>
        <v/>
      </c>
      <c r="G2109" s="3" t="str">
        <f t="shared" si="1"/>
        <v>ACTIVE</v>
      </c>
    </row>
    <row r="2110" ht="22.5" customHeight="1">
      <c r="A2110" s="11" t="str">
        <f t="array" ref="A2110">IFERROR(
  INDEX('Starlink Launches'!$A:$A, MATCH($E2110, 'Starlink Launches'!$B:$B, 0)),
  ""
)
</f>
        <v>6-92</v>
      </c>
      <c r="B2110" s="3" t="s">
        <v>25</v>
      </c>
      <c r="C2110" s="12" t="s">
        <v>2122</v>
      </c>
      <c r="D2110" s="13">
        <v>66979.0</v>
      </c>
      <c r="E2110" s="4">
        <v>45999.0</v>
      </c>
      <c r="F2110" s="4" t="str">
        <f>IF(D2110="","", IFNA(VLOOKUP(D2110, SATCAT_DECAY!A:B, 2, FALSE), ""))
</f>
        <v/>
      </c>
      <c r="G2110" s="3" t="str">
        <f t="shared" si="1"/>
        <v>ACTIVE</v>
      </c>
    </row>
    <row r="2111" ht="22.5" customHeight="1">
      <c r="A2111" s="11" t="str">
        <f t="array" ref="A2111">IFERROR(
  INDEX('Starlink Launches'!$A:$A, MATCH($E2111, 'Starlink Launches'!$B:$B, 0)),
  ""
)
</f>
        <v>6-92</v>
      </c>
      <c r="B2111" s="3" t="s">
        <v>25</v>
      </c>
      <c r="C2111" s="12" t="s">
        <v>2123</v>
      </c>
      <c r="D2111" s="13">
        <v>66980.0</v>
      </c>
      <c r="E2111" s="4">
        <v>45999.0</v>
      </c>
      <c r="F2111" s="4" t="str">
        <f>IF(D2111="","", IFNA(VLOOKUP(D2111, SATCAT_DECAY!A:B, 2, FALSE), ""))
</f>
        <v/>
      </c>
      <c r="G2111" s="3" t="str">
        <f t="shared" si="1"/>
        <v>ACTIVE</v>
      </c>
    </row>
    <row r="2112" ht="22.5" customHeight="1">
      <c r="A2112" s="11" t="str">
        <f t="array" ref="A2112">IFERROR(
  INDEX('Starlink Launches'!$A:$A, MATCH($E2112, 'Starlink Launches'!$B:$B, 0)),
  ""
)
</f>
        <v>6-92</v>
      </c>
      <c r="B2112" s="3" t="s">
        <v>25</v>
      </c>
      <c r="C2112" s="12" t="s">
        <v>2124</v>
      </c>
      <c r="D2112" s="13">
        <v>66981.0</v>
      </c>
      <c r="E2112" s="4">
        <v>45999.0</v>
      </c>
      <c r="F2112" s="4" t="str">
        <f>IF(D2112="","", IFNA(VLOOKUP(D2112, SATCAT_DECAY!A:B, 2, FALSE), ""))
</f>
        <v/>
      </c>
      <c r="G2112" s="3" t="str">
        <f t="shared" si="1"/>
        <v>ACTIVE</v>
      </c>
    </row>
    <row r="2113" ht="22.5" customHeight="1">
      <c r="A2113" s="11" t="str">
        <f t="array" ref="A2113">IFERROR(
  INDEX('Starlink Launches'!$A:$A, MATCH($E2113, 'Starlink Launches'!$B:$B, 0)),
  ""
)
</f>
        <v>6-92</v>
      </c>
      <c r="B2113" s="3" t="s">
        <v>25</v>
      </c>
      <c r="C2113" s="12" t="s">
        <v>2125</v>
      </c>
      <c r="D2113" s="13">
        <v>66982.0</v>
      </c>
      <c r="E2113" s="4">
        <v>45999.0</v>
      </c>
      <c r="F2113" s="4" t="str">
        <f>IF(D2113="","", IFNA(VLOOKUP(D2113, SATCAT_DECAY!A:B, 2, FALSE), ""))
</f>
        <v/>
      </c>
      <c r="G2113" s="3" t="str">
        <f t="shared" si="1"/>
        <v>ACTIVE</v>
      </c>
    </row>
    <row r="2114" ht="22.5" customHeight="1">
      <c r="A2114" s="11" t="str">
        <f t="array" ref="A2114">IFERROR(
  INDEX('Starlink Launches'!$A:$A, MATCH($E2114, 'Starlink Launches'!$B:$B, 0)),
  ""
)
</f>
        <v>6-92</v>
      </c>
      <c r="B2114" s="3" t="s">
        <v>25</v>
      </c>
      <c r="C2114" s="12" t="s">
        <v>2126</v>
      </c>
      <c r="D2114" s="13">
        <v>66983.0</v>
      </c>
      <c r="E2114" s="4">
        <v>45999.0</v>
      </c>
      <c r="F2114" s="4" t="str">
        <f>IF(D2114="","", IFNA(VLOOKUP(D2114, SATCAT_DECAY!A:B, 2, FALSE), ""))
</f>
        <v/>
      </c>
      <c r="G2114" s="3" t="str">
        <f t="shared" si="1"/>
        <v>ACTIVE</v>
      </c>
    </row>
    <row r="2115" ht="22.5" customHeight="1">
      <c r="A2115" s="11" t="str">
        <f t="array" ref="A2115">IFERROR(
  INDEX('Starlink Launches'!$A:$A, MATCH($E2115, 'Starlink Launches'!$B:$B, 0)),
  ""
)
</f>
        <v>6-92</v>
      </c>
      <c r="B2115" s="3" t="s">
        <v>25</v>
      </c>
      <c r="C2115" s="12" t="s">
        <v>2127</v>
      </c>
      <c r="D2115" s="13">
        <v>66984.0</v>
      </c>
      <c r="E2115" s="4">
        <v>45999.0</v>
      </c>
      <c r="F2115" s="4" t="str">
        <f>IF(D2115="","", IFNA(VLOOKUP(D2115, SATCAT_DECAY!A:B, 2, FALSE), ""))
</f>
        <v/>
      </c>
      <c r="G2115" s="3" t="str">
        <f t="shared" si="1"/>
        <v>ACTIVE</v>
      </c>
    </row>
    <row r="2116" ht="22.5" customHeight="1">
      <c r="A2116" s="11" t="str">
        <f t="array" ref="A2116">IFERROR(
  INDEX('Starlink Launches'!$A:$A, MATCH($E2116, 'Starlink Launches'!$B:$B, 0)),
  ""
)
</f>
        <v>6-92</v>
      </c>
      <c r="B2116" s="3" t="s">
        <v>25</v>
      </c>
      <c r="C2116" s="12" t="s">
        <v>2128</v>
      </c>
      <c r="D2116" s="13">
        <v>66985.0</v>
      </c>
      <c r="E2116" s="4">
        <v>45999.0</v>
      </c>
      <c r="F2116" s="4" t="str">
        <f>IF(D2116="","", IFNA(VLOOKUP(D2116, SATCAT_DECAY!A:B, 2, FALSE), ""))
</f>
        <v/>
      </c>
      <c r="G2116" s="3" t="str">
        <f t="shared" si="1"/>
        <v>ACTIVE</v>
      </c>
    </row>
    <row r="2117" ht="22.5" customHeight="1">
      <c r="A2117" s="11" t="str">
        <f t="array" ref="A2117">IFERROR(
  INDEX('Starlink Launches'!$A:$A, MATCH($E2117, 'Starlink Launches'!$B:$B, 0)),
  ""
)
</f>
        <v>6-92</v>
      </c>
      <c r="B2117" s="3" t="s">
        <v>25</v>
      </c>
      <c r="C2117" s="12" t="s">
        <v>2129</v>
      </c>
      <c r="D2117" s="13">
        <v>66986.0</v>
      </c>
      <c r="E2117" s="4">
        <v>45999.0</v>
      </c>
      <c r="F2117" s="4" t="str">
        <f>IF(D2117="","", IFNA(VLOOKUP(D2117, SATCAT_DECAY!A:B, 2, FALSE), ""))
</f>
        <v/>
      </c>
      <c r="G2117" s="3" t="str">
        <f t="shared" si="1"/>
        <v>ACTIVE</v>
      </c>
    </row>
    <row r="2118" ht="22.5" customHeight="1">
      <c r="A2118" s="11" t="str">
        <f t="array" ref="A2118">IFERROR(
  INDEX('Starlink Launches'!$A:$A, MATCH($E2118, 'Starlink Launches'!$B:$B, 0)),
  ""
)
</f>
        <v>6-92</v>
      </c>
      <c r="B2118" s="3" t="s">
        <v>25</v>
      </c>
      <c r="C2118" s="12" t="s">
        <v>2130</v>
      </c>
      <c r="D2118" s="13">
        <v>66987.0</v>
      </c>
      <c r="E2118" s="4">
        <v>45999.0</v>
      </c>
      <c r="F2118" s="4" t="str">
        <f>IF(D2118="","", IFNA(VLOOKUP(D2118, SATCAT_DECAY!A:B, 2, FALSE), ""))
</f>
        <v/>
      </c>
      <c r="G2118" s="3" t="str">
        <f t="shared" si="1"/>
        <v>ACTIVE</v>
      </c>
    </row>
    <row r="2119" ht="22.5" customHeight="1">
      <c r="A2119" s="11" t="str">
        <f t="array" ref="A2119">IFERROR(
  INDEX('Starlink Launches'!$A:$A, MATCH($E2119, 'Starlink Launches'!$B:$B, 0)),
  ""
)
</f>
        <v>6-90</v>
      </c>
      <c r="B2119" s="3" t="s">
        <v>25</v>
      </c>
      <c r="C2119" s="12" t="s">
        <v>2131</v>
      </c>
      <c r="D2119" s="13">
        <v>67030.0</v>
      </c>
      <c r="E2119" s="4">
        <v>46002.0</v>
      </c>
      <c r="F2119" s="4" t="str">
        <f>IF(D2119="","", IFNA(VLOOKUP(D2119, SATCAT_DECAY!A:B, 2, FALSE), ""))
</f>
        <v/>
      </c>
      <c r="G2119" s="3" t="str">
        <f t="shared" si="1"/>
        <v>ACTIVE</v>
      </c>
    </row>
    <row r="2120" ht="22.5" customHeight="1">
      <c r="A2120" s="11" t="str">
        <f t="array" ref="A2120">IFERROR(
  INDEX('Starlink Launches'!$A:$A, MATCH($E2120, 'Starlink Launches'!$B:$B, 0)),
  ""
)
</f>
        <v>6-90</v>
      </c>
      <c r="B2120" s="3" t="s">
        <v>25</v>
      </c>
      <c r="C2120" s="12" t="s">
        <v>2132</v>
      </c>
      <c r="D2120" s="13">
        <v>67031.0</v>
      </c>
      <c r="E2120" s="4">
        <v>46002.0</v>
      </c>
      <c r="F2120" s="4" t="str">
        <f>IF(D2120="","", IFNA(VLOOKUP(D2120, SATCAT_DECAY!A:B, 2, FALSE), ""))
</f>
        <v/>
      </c>
      <c r="G2120" s="3" t="str">
        <f t="shared" si="1"/>
        <v>ACTIVE</v>
      </c>
    </row>
    <row r="2121" ht="22.5" customHeight="1">
      <c r="A2121" s="11" t="str">
        <f t="array" ref="A2121">IFERROR(
  INDEX('Starlink Launches'!$A:$A, MATCH($E2121, 'Starlink Launches'!$B:$B, 0)),
  ""
)
</f>
        <v>6-90</v>
      </c>
      <c r="B2121" s="3" t="s">
        <v>25</v>
      </c>
      <c r="C2121" s="12" t="s">
        <v>2133</v>
      </c>
      <c r="D2121" s="13">
        <v>67032.0</v>
      </c>
      <c r="E2121" s="4">
        <v>46002.0</v>
      </c>
      <c r="F2121" s="4" t="str">
        <f>IF(D2121="","", IFNA(VLOOKUP(D2121, SATCAT_DECAY!A:B, 2, FALSE), ""))
</f>
        <v/>
      </c>
      <c r="G2121" s="3" t="str">
        <f t="shared" si="1"/>
        <v>ACTIVE</v>
      </c>
    </row>
    <row r="2122" ht="22.5" customHeight="1">
      <c r="A2122" s="11" t="str">
        <f t="array" ref="A2122">IFERROR(
  INDEX('Starlink Launches'!$A:$A, MATCH($E2122, 'Starlink Launches'!$B:$B, 0)),
  ""
)
</f>
        <v>6-90</v>
      </c>
      <c r="B2122" s="3" t="s">
        <v>25</v>
      </c>
      <c r="C2122" s="12" t="s">
        <v>2134</v>
      </c>
      <c r="D2122" s="13">
        <v>67033.0</v>
      </c>
      <c r="E2122" s="4">
        <v>46002.0</v>
      </c>
      <c r="F2122" s="4" t="str">
        <f>IF(D2122="","", IFNA(VLOOKUP(D2122, SATCAT_DECAY!A:B, 2, FALSE), ""))
</f>
        <v/>
      </c>
      <c r="G2122" s="3" t="str">
        <f t="shared" si="1"/>
        <v>ACTIVE</v>
      </c>
    </row>
    <row r="2123" ht="22.5" customHeight="1">
      <c r="A2123" s="11" t="str">
        <f t="array" ref="A2123">IFERROR(
  INDEX('Starlink Launches'!$A:$A, MATCH($E2123, 'Starlink Launches'!$B:$B, 0)),
  ""
)
</f>
        <v>6-90</v>
      </c>
      <c r="B2123" s="3" t="s">
        <v>25</v>
      </c>
      <c r="C2123" s="12" t="s">
        <v>2135</v>
      </c>
      <c r="D2123" s="13">
        <v>67034.0</v>
      </c>
      <c r="E2123" s="4">
        <v>46002.0</v>
      </c>
      <c r="F2123" s="4" t="str">
        <f>IF(D2123="","", IFNA(VLOOKUP(D2123, SATCAT_DECAY!A:B, 2, FALSE), ""))
</f>
        <v/>
      </c>
      <c r="G2123" s="3" t="str">
        <f t="shared" si="1"/>
        <v>ACTIVE</v>
      </c>
    </row>
    <row r="2124" ht="22.5" customHeight="1">
      <c r="A2124" s="11" t="str">
        <f t="array" ref="A2124">IFERROR(
  INDEX('Starlink Launches'!$A:$A, MATCH($E2124, 'Starlink Launches'!$B:$B, 0)),
  ""
)
</f>
        <v>6-90</v>
      </c>
      <c r="B2124" s="3" t="s">
        <v>25</v>
      </c>
      <c r="C2124" s="12" t="s">
        <v>2136</v>
      </c>
      <c r="D2124" s="13">
        <v>67035.0</v>
      </c>
      <c r="E2124" s="4">
        <v>46002.0</v>
      </c>
      <c r="F2124" s="4" t="str">
        <f>IF(D2124="","", IFNA(VLOOKUP(D2124, SATCAT_DECAY!A:B, 2, FALSE), ""))
</f>
        <v/>
      </c>
      <c r="G2124" s="3" t="str">
        <f t="shared" si="1"/>
        <v>ACTIVE</v>
      </c>
    </row>
    <row r="2125" ht="22.5" customHeight="1">
      <c r="A2125" s="11" t="str">
        <f t="array" ref="A2125">IFERROR(
  INDEX('Starlink Launches'!$A:$A, MATCH($E2125, 'Starlink Launches'!$B:$B, 0)),
  ""
)
</f>
        <v>6-90</v>
      </c>
      <c r="B2125" s="3" t="s">
        <v>25</v>
      </c>
      <c r="C2125" s="12" t="s">
        <v>2137</v>
      </c>
      <c r="D2125" s="13">
        <v>67036.0</v>
      </c>
      <c r="E2125" s="4">
        <v>46002.0</v>
      </c>
      <c r="F2125" s="4" t="str">
        <f>IF(D2125="","", IFNA(VLOOKUP(D2125, SATCAT_DECAY!A:B, 2, FALSE), ""))
</f>
        <v/>
      </c>
      <c r="G2125" s="3" t="str">
        <f t="shared" si="1"/>
        <v>ACTIVE</v>
      </c>
    </row>
    <row r="2126" ht="22.5" customHeight="1">
      <c r="A2126" s="11" t="str">
        <f t="array" ref="A2126">IFERROR(
  INDEX('Starlink Launches'!$A:$A, MATCH($E2126, 'Starlink Launches'!$B:$B, 0)),
  ""
)
</f>
        <v>6-90</v>
      </c>
      <c r="B2126" s="3" t="s">
        <v>25</v>
      </c>
      <c r="C2126" s="12" t="s">
        <v>2138</v>
      </c>
      <c r="D2126" s="13">
        <v>67037.0</v>
      </c>
      <c r="E2126" s="4">
        <v>46002.0</v>
      </c>
      <c r="F2126" s="4" t="str">
        <f>IF(D2126="","", IFNA(VLOOKUP(D2126, SATCAT_DECAY!A:B, 2, FALSE), ""))
</f>
        <v/>
      </c>
      <c r="G2126" s="3" t="str">
        <f t="shared" si="1"/>
        <v>ACTIVE</v>
      </c>
    </row>
    <row r="2127" ht="22.5" customHeight="1">
      <c r="A2127" s="11" t="str">
        <f t="array" ref="A2127">IFERROR(
  INDEX('Starlink Launches'!$A:$A, MATCH($E2127, 'Starlink Launches'!$B:$B, 0)),
  ""
)
</f>
        <v>6-90</v>
      </c>
      <c r="B2127" s="3" t="s">
        <v>25</v>
      </c>
      <c r="C2127" s="12" t="s">
        <v>2139</v>
      </c>
      <c r="D2127" s="13">
        <v>67038.0</v>
      </c>
      <c r="E2127" s="4">
        <v>46002.0</v>
      </c>
      <c r="F2127" s="4" t="str">
        <f>IF(D2127="","", IFNA(VLOOKUP(D2127, SATCAT_DECAY!A:B, 2, FALSE), ""))
</f>
        <v/>
      </c>
      <c r="G2127" s="3" t="str">
        <f t="shared" si="1"/>
        <v>ACTIVE</v>
      </c>
    </row>
    <row r="2128" ht="22.5" customHeight="1">
      <c r="A2128" s="11" t="str">
        <f t="array" ref="A2128">IFERROR(
  INDEX('Starlink Launches'!$A:$A, MATCH($E2128, 'Starlink Launches'!$B:$B, 0)),
  ""
)
</f>
        <v>6-90</v>
      </c>
      <c r="B2128" s="3" t="s">
        <v>25</v>
      </c>
      <c r="C2128" s="12" t="s">
        <v>2140</v>
      </c>
      <c r="D2128" s="13">
        <v>67039.0</v>
      </c>
      <c r="E2128" s="4">
        <v>46002.0</v>
      </c>
      <c r="F2128" s="4" t="str">
        <f>IF(D2128="","", IFNA(VLOOKUP(D2128, SATCAT_DECAY!A:B, 2, FALSE), ""))
</f>
        <v/>
      </c>
      <c r="G2128" s="3" t="str">
        <f t="shared" si="1"/>
        <v>ACTIVE</v>
      </c>
    </row>
    <row r="2129" ht="22.5" customHeight="1">
      <c r="A2129" s="11" t="str">
        <f t="array" ref="A2129">IFERROR(
  INDEX('Starlink Launches'!$A:$A, MATCH($E2129, 'Starlink Launches'!$B:$B, 0)),
  ""
)
</f>
        <v>6-90</v>
      </c>
      <c r="B2129" s="3" t="s">
        <v>25</v>
      </c>
      <c r="C2129" s="12" t="s">
        <v>2141</v>
      </c>
      <c r="D2129" s="13">
        <v>67040.0</v>
      </c>
      <c r="E2129" s="4">
        <v>46002.0</v>
      </c>
      <c r="F2129" s="4" t="str">
        <f>IF(D2129="","", IFNA(VLOOKUP(D2129, SATCAT_DECAY!A:B, 2, FALSE), ""))
</f>
        <v/>
      </c>
      <c r="G2129" s="3" t="str">
        <f t="shared" si="1"/>
        <v>ACTIVE</v>
      </c>
    </row>
    <row r="2130" ht="22.5" customHeight="1">
      <c r="A2130" s="11" t="str">
        <f t="array" ref="A2130">IFERROR(
  INDEX('Starlink Launches'!$A:$A, MATCH($E2130, 'Starlink Launches'!$B:$B, 0)),
  ""
)
</f>
        <v>6-90</v>
      </c>
      <c r="B2130" s="3" t="s">
        <v>25</v>
      </c>
      <c r="C2130" s="12" t="s">
        <v>2142</v>
      </c>
      <c r="D2130" s="13">
        <v>67041.0</v>
      </c>
      <c r="E2130" s="4">
        <v>46002.0</v>
      </c>
      <c r="F2130" s="4" t="str">
        <f>IF(D2130="","", IFNA(VLOOKUP(D2130, SATCAT_DECAY!A:B, 2, FALSE), ""))
</f>
        <v/>
      </c>
      <c r="G2130" s="3" t="str">
        <f t="shared" si="1"/>
        <v>ACTIVE</v>
      </c>
    </row>
    <row r="2131" ht="22.5" customHeight="1">
      <c r="A2131" s="11" t="str">
        <f t="array" ref="A2131">IFERROR(
  INDEX('Starlink Launches'!$A:$A, MATCH($E2131, 'Starlink Launches'!$B:$B, 0)),
  ""
)
</f>
        <v>6-90</v>
      </c>
      <c r="B2131" s="3" t="s">
        <v>25</v>
      </c>
      <c r="C2131" s="12" t="s">
        <v>2143</v>
      </c>
      <c r="D2131" s="13">
        <v>67042.0</v>
      </c>
      <c r="E2131" s="4">
        <v>46002.0</v>
      </c>
      <c r="F2131" s="4" t="str">
        <f>IF(D2131="","", IFNA(VLOOKUP(D2131, SATCAT_DECAY!A:B, 2, FALSE), ""))
</f>
        <v/>
      </c>
      <c r="G2131" s="3" t="str">
        <f t="shared" si="1"/>
        <v>ACTIVE</v>
      </c>
    </row>
    <row r="2132" ht="22.5" customHeight="1">
      <c r="A2132" s="11" t="str">
        <f t="array" ref="A2132">IFERROR(
  INDEX('Starlink Launches'!$A:$A, MATCH($E2132, 'Starlink Launches'!$B:$B, 0)),
  ""
)
</f>
        <v>6-90</v>
      </c>
      <c r="B2132" s="3" t="s">
        <v>25</v>
      </c>
      <c r="C2132" s="12" t="s">
        <v>2144</v>
      </c>
      <c r="D2132" s="13">
        <v>67043.0</v>
      </c>
      <c r="E2132" s="4">
        <v>46002.0</v>
      </c>
      <c r="F2132" s="4" t="str">
        <f>IF(D2132="","", IFNA(VLOOKUP(D2132, SATCAT_DECAY!A:B, 2, FALSE), ""))
</f>
        <v/>
      </c>
      <c r="G2132" s="3" t="str">
        <f t="shared" si="1"/>
        <v>ACTIVE</v>
      </c>
    </row>
    <row r="2133" ht="22.5" customHeight="1">
      <c r="A2133" s="11" t="str">
        <f t="array" ref="A2133">IFERROR(
  INDEX('Starlink Launches'!$A:$A, MATCH($E2133, 'Starlink Launches'!$B:$B, 0)),
  ""
)
</f>
        <v>6-90</v>
      </c>
      <c r="B2133" s="3" t="s">
        <v>25</v>
      </c>
      <c r="C2133" s="12" t="s">
        <v>2145</v>
      </c>
      <c r="D2133" s="13">
        <v>67044.0</v>
      </c>
      <c r="E2133" s="4">
        <v>46002.0</v>
      </c>
      <c r="F2133" s="4" t="str">
        <f>IF(D2133="","", IFNA(VLOOKUP(D2133, SATCAT_DECAY!A:B, 2, FALSE), ""))
</f>
        <v/>
      </c>
      <c r="G2133" s="3" t="str">
        <f t="shared" si="1"/>
        <v>ACTIVE</v>
      </c>
    </row>
    <row r="2134" ht="22.5" customHeight="1">
      <c r="A2134" s="11" t="str">
        <f t="array" ref="A2134">IFERROR(
  INDEX('Starlink Launches'!$A:$A, MATCH($E2134, 'Starlink Launches'!$B:$B, 0)),
  ""
)
</f>
        <v>6-90</v>
      </c>
      <c r="B2134" s="3" t="s">
        <v>25</v>
      </c>
      <c r="C2134" s="12" t="s">
        <v>2146</v>
      </c>
      <c r="D2134" s="13">
        <v>67045.0</v>
      </c>
      <c r="E2134" s="4">
        <v>46002.0</v>
      </c>
      <c r="F2134" s="4" t="str">
        <f>IF(D2134="","", IFNA(VLOOKUP(D2134, SATCAT_DECAY!A:B, 2, FALSE), ""))
</f>
        <v/>
      </c>
      <c r="G2134" s="3" t="str">
        <f t="shared" si="1"/>
        <v>ACTIVE</v>
      </c>
    </row>
    <row r="2135" ht="22.5" customHeight="1">
      <c r="A2135" s="11" t="str">
        <f t="array" ref="A2135">IFERROR(
  INDEX('Starlink Launches'!$A:$A, MATCH($E2135, 'Starlink Launches'!$B:$B, 0)),
  ""
)
</f>
        <v>6-90</v>
      </c>
      <c r="B2135" s="3" t="s">
        <v>25</v>
      </c>
      <c r="C2135" s="12" t="s">
        <v>2147</v>
      </c>
      <c r="D2135" s="13">
        <v>67046.0</v>
      </c>
      <c r="E2135" s="4">
        <v>46002.0</v>
      </c>
      <c r="F2135" s="4" t="str">
        <f>IF(D2135="","", IFNA(VLOOKUP(D2135, SATCAT_DECAY!A:B, 2, FALSE), ""))
</f>
        <v/>
      </c>
      <c r="G2135" s="3" t="str">
        <f t="shared" si="1"/>
        <v>ACTIVE</v>
      </c>
    </row>
    <row r="2136" ht="22.5" customHeight="1">
      <c r="A2136" s="11" t="str">
        <f t="array" ref="A2136">IFERROR(
  INDEX('Starlink Launches'!$A:$A, MATCH($E2136, 'Starlink Launches'!$B:$B, 0)),
  ""
)
</f>
        <v>6-90</v>
      </c>
      <c r="B2136" s="3" t="s">
        <v>25</v>
      </c>
      <c r="C2136" s="12" t="s">
        <v>2148</v>
      </c>
      <c r="D2136" s="13">
        <v>67047.0</v>
      </c>
      <c r="E2136" s="4">
        <v>46002.0</v>
      </c>
      <c r="F2136" s="4" t="str">
        <f>IF(D2136="","", IFNA(VLOOKUP(D2136, SATCAT_DECAY!A:B, 2, FALSE), ""))
</f>
        <v/>
      </c>
      <c r="G2136" s="3" t="str">
        <f t="shared" si="1"/>
        <v>ACTIVE</v>
      </c>
    </row>
    <row r="2137" ht="22.5" customHeight="1">
      <c r="A2137" s="11" t="str">
        <f t="array" ref="A2137">IFERROR(
  INDEX('Starlink Launches'!$A:$A, MATCH($E2137, 'Starlink Launches'!$B:$B, 0)),
  ""
)
</f>
        <v>6-90</v>
      </c>
      <c r="B2137" s="3" t="s">
        <v>25</v>
      </c>
      <c r="C2137" s="12" t="s">
        <v>2149</v>
      </c>
      <c r="D2137" s="13">
        <v>67048.0</v>
      </c>
      <c r="E2137" s="4">
        <v>46002.0</v>
      </c>
      <c r="F2137" s="4" t="str">
        <f>IF(D2137="","", IFNA(VLOOKUP(D2137, SATCAT_DECAY!A:B, 2, FALSE), ""))
</f>
        <v/>
      </c>
      <c r="G2137" s="3" t="str">
        <f t="shared" si="1"/>
        <v>ACTIVE</v>
      </c>
    </row>
    <row r="2138" ht="22.5" customHeight="1">
      <c r="A2138" s="11" t="str">
        <f t="array" ref="A2138">IFERROR(
  INDEX('Starlink Launches'!$A:$A, MATCH($E2138, 'Starlink Launches'!$B:$B, 0)),
  ""
)
</f>
        <v>6-90</v>
      </c>
      <c r="B2138" s="3" t="s">
        <v>25</v>
      </c>
      <c r="C2138" s="12" t="s">
        <v>2150</v>
      </c>
      <c r="D2138" s="13">
        <v>67049.0</v>
      </c>
      <c r="E2138" s="4">
        <v>46002.0</v>
      </c>
      <c r="F2138" s="4" t="str">
        <f>IF(D2138="","", IFNA(VLOOKUP(D2138, SATCAT_DECAY!A:B, 2, FALSE), ""))
</f>
        <v/>
      </c>
      <c r="G2138" s="3" t="str">
        <f t="shared" si="1"/>
        <v>ACTIVE</v>
      </c>
    </row>
    <row r="2139" ht="22.5" customHeight="1">
      <c r="A2139" s="11" t="str">
        <f t="array" ref="A2139">IFERROR(
  INDEX('Starlink Launches'!$A:$A, MATCH($E2139, 'Starlink Launches'!$B:$B, 0)),
  ""
)
</f>
        <v>6-90</v>
      </c>
      <c r="B2139" s="3" t="s">
        <v>25</v>
      </c>
      <c r="C2139" s="12" t="s">
        <v>2151</v>
      </c>
      <c r="D2139" s="13">
        <v>67050.0</v>
      </c>
      <c r="E2139" s="4">
        <v>46002.0</v>
      </c>
      <c r="F2139" s="4" t="str">
        <f>IF(D2139="","", IFNA(VLOOKUP(D2139, SATCAT_DECAY!A:B, 2, FALSE), ""))
</f>
        <v/>
      </c>
      <c r="G2139" s="3" t="str">
        <f t="shared" si="1"/>
        <v>ACTIVE</v>
      </c>
    </row>
    <row r="2140" ht="22.5" customHeight="1">
      <c r="A2140" s="11" t="str">
        <f t="array" ref="A2140">IFERROR(
  INDEX('Starlink Launches'!$A:$A, MATCH($E2140, 'Starlink Launches'!$B:$B, 0)),
  ""
)
</f>
        <v>6-90</v>
      </c>
      <c r="B2140" s="3" t="s">
        <v>25</v>
      </c>
      <c r="C2140" s="12" t="s">
        <v>2152</v>
      </c>
      <c r="D2140" s="13">
        <v>67051.0</v>
      </c>
      <c r="E2140" s="4">
        <v>46002.0</v>
      </c>
      <c r="F2140" s="4" t="str">
        <f>IF(D2140="","", IFNA(VLOOKUP(D2140, SATCAT_DECAY!A:B, 2, FALSE), ""))
</f>
        <v/>
      </c>
      <c r="G2140" s="3" t="str">
        <f t="shared" si="1"/>
        <v>ACTIVE</v>
      </c>
    </row>
    <row r="2141" ht="22.5" customHeight="1">
      <c r="A2141" s="11" t="str">
        <f t="array" ref="A2141">IFERROR(
  INDEX('Starlink Launches'!$A:$A, MATCH($E2141, 'Starlink Launches'!$B:$B, 0)),
  ""
)
</f>
        <v>6-90</v>
      </c>
      <c r="B2141" s="3" t="s">
        <v>25</v>
      </c>
      <c r="C2141" s="12" t="s">
        <v>2153</v>
      </c>
      <c r="D2141" s="13">
        <v>67052.0</v>
      </c>
      <c r="E2141" s="4">
        <v>46002.0</v>
      </c>
      <c r="F2141" s="4" t="str">
        <f>IF(D2141="","", IFNA(VLOOKUP(D2141, SATCAT_DECAY!A:B, 2, FALSE), ""))
</f>
        <v/>
      </c>
      <c r="G2141" s="3" t="str">
        <f t="shared" si="1"/>
        <v>ACTIVE</v>
      </c>
    </row>
    <row r="2142" ht="22.5" customHeight="1">
      <c r="A2142" s="11" t="str">
        <f t="array" ref="A2142">IFERROR(
  INDEX('Starlink Launches'!$A:$A, MATCH($E2142, 'Starlink Launches'!$B:$B, 0)),
  ""
)
</f>
        <v>6-90</v>
      </c>
      <c r="B2142" s="3" t="s">
        <v>25</v>
      </c>
      <c r="C2142" s="12" t="s">
        <v>2154</v>
      </c>
      <c r="D2142" s="13">
        <v>67053.0</v>
      </c>
      <c r="E2142" s="4">
        <v>46002.0</v>
      </c>
      <c r="F2142" s="4" t="str">
        <f>IF(D2142="","", IFNA(VLOOKUP(D2142, SATCAT_DECAY!A:B, 2, FALSE), ""))
</f>
        <v/>
      </c>
      <c r="G2142" s="3" t="str">
        <f t="shared" si="1"/>
        <v>ACTIVE</v>
      </c>
    </row>
    <row r="2143" ht="22.5" customHeight="1">
      <c r="A2143" s="11" t="str">
        <f t="array" ref="A2143">IFERROR(
  INDEX('Starlink Launches'!$A:$A, MATCH($E2143, 'Starlink Launches'!$B:$B, 0)),
  ""
)
</f>
        <v>6-90</v>
      </c>
      <c r="B2143" s="3" t="s">
        <v>25</v>
      </c>
      <c r="C2143" s="12" t="s">
        <v>2155</v>
      </c>
      <c r="D2143" s="13">
        <v>67054.0</v>
      </c>
      <c r="E2143" s="4">
        <v>46002.0</v>
      </c>
      <c r="F2143" s="4" t="str">
        <f>IF(D2143="","", IFNA(VLOOKUP(D2143, SATCAT_DECAY!A:B, 2, FALSE), ""))
</f>
        <v/>
      </c>
      <c r="G2143" s="3" t="str">
        <f t="shared" si="1"/>
        <v>ACTIVE</v>
      </c>
    </row>
    <row r="2144" ht="22.5" customHeight="1">
      <c r="A2144" s="11" t="str">
        <f t="array" ref="A2144">IFERROR(
  INDEX('Starlink Launches'!$A:$A, MATCH($E2144, 'Starlink Launches'!$B:$B, 0)),
  ""
)
</f>
        <v>6-90</v>
      </c>
      <c r="B2144" s="3" t="s">
        <v>25</v>
      </c>
      <c r="C2144" s="12" t="s">
        <v>2156</v>
      </c>
      <c r="D2144" s="13">
        <v>67055.0</v>
      </c>
      <c r="E2144" s="4">
        <v>46002.0</v>
      </c>
      <c r="F2144" s="4" t="str">
        <f>IF(D2144="","", IFNA(VLOOKUP(D2144, SATCAT_DECAY!A:B, 2, FALSE), ""))
</f>
        <v/>
      </c>
      <c r="G2144" s="3" t="str">
        <f t="shared" si="1"/>
        <v>ACTIVE</v>
      </c>
    </row>
    <row r="2145" ht="22.5" customHeight="1">
      <c r="A2145" s="11" t="str">
        <f t="array" ref="A2145">IFERROR(
  INDEX('Starlink Launches'!$A:$A, MATCH($E2145, 'Starlink Launches'!$B:$B, 0)),
  ""
)
</f>
        <v>6-90</v>
      </c>
      <c r="B2145" s="3" t="s">
        <v>25</v>
      </c>
      <c r="C2145" s="12" t="s">
        <v>2157</v>
      </c>
      <c r="D2145" s="13">
        <v>67056.0</v>
      </c>
      <c r="E2145" s="4">
        <v>46002.0</v>
      </c>
      <c r="F2145" s="4" t="str">
        <f>IF(D2145="","", IFNA(VLOOKUP(D2145, SATCAT_DECAY!A:B, 2, FALSE), ""))
</f>
        <v/>
      </c>
      <c r="G2145" s="3" t="str">
        <f t="shared" si="1"/>
        <v>ACTIVE</v>
      </c>
    </row>
    <row r="2146" ht="22.5" customHeight="1">
      <c r="A2146" s="11" t="str">
        <f t="array" ref="A2146">IFERROR(
  INDEX('Starlink Launches'!$A:$A, MATCH($E2146, 'Starlink Launches'!$B:$B, 0)),
  ""
)
</f>
        <v>6-90</v>
      </c>
      <c r="B2146" s="3" t="s">
        <v>25</v>
      </c>
      <c r="C2146" s="12" t="s">
        <v>2158</v>
      </c>
      <c r="D2146" s="13">
        <v>67057.0</v>
      </c>
      <c r="E2146" s="4">
        <v>46002.0</v>
      </c>
      <c r="F2146" s="4" t="str">
        <f>IF(D2146="","", IFNA(VLOOKUP(D2146, SATCAT_DECAY!A:B, 2, FALSE), ""))
</f>
        <v/>
      </c>
      <c r="G2146" s="3" t="str">
        <f t="shared" si="1"/>
        <v>ACTIVE</v>
      </c>
    </row>
    <row r="2147" ht="22.5" customHeight="1">
      <c r="A2147" s="11" t="str">
        <f t="array" ref="A2147">IFERROR(
  INDEX('Starlink Launches'!$A:$A, MATCH($E2147, 'Starlink Launches'!$B:$B, 0)),
  ""
)
</f>
        <v>6-90</v>
      </c>
      <c r="B2147" s="3" t="s">
        <v>25</v>
      </c>
      <c r="C2147" s="12" t="s">
        <v>2159</v>
      </c>
      <c r="D2147" s="13">
        <v>67058.0</v>
      </c>
      <c r="E2147" s="4">
        <v>46002.0</v>
      </c>
      <c r="F2147" s="4" t="str">
        <f>IF(D2147="","", IFNA(VLOOKUP(D2147, SATCAT_DECAY!A:B, 2, FALSE), ""))
</f>
        <v/>
      </c>
      <c r="G2147" s="3" t="str">
        <f t="shared" si="1"/>
        <v>ACTIVE</v>
      </c>
    </row>
    <row r="2148" ht="22.5" customHeight="1">
      <c r="A2148" s="11" t="str">
        <f t="array" ref="A2148">IFERROR(
  INDEX('Starlink Launches'!$A:$A, MATCH($E2148, 'Starlink Launches'!$B:$B, 0)),
  ""
)
</f>
        <v>6-82</v>
      </c>
      <c r="B2148" s="3" t="s">
        <v>25</v>
      </c>
      <c r="C2148" s="12" t="s">
        <v>2160</v>
      </c>
      <c r="D2148" s="13">
        <v>67102.0</v>
      </c>
      <c r="E2148" s="4">
        <v>46006.0</v>
      </c>
      <c r="F2148" s="4" t="str">
        <f>IF(D2148="","", IFNA(VLOOKUP(D2148, SATCAT_DECAY!A:B, 2, FALSE), ""))
</f>
        <v/>
      </c>
      <c r="G2148" s="3" t="str">
        <f t="shared" si="1"/>
        <v>ACTIVE</v>
      </c>
    </row>
    <row r="2149" ht="22.5" customHeight="1">
      <c r="A2149" s="11" t="str">
        <f t="array" ref="A2149">IFERROR(
  INDEX('Starlink Launches'!$A:$A, MATCH($E2149, 'Starlink Launches'!$B:$B, 0)),
  ""
)
</f>
        <v>6-82</v>
      </c>
      <c r="B2149" s="3" t="s">
        <v>25</v>
      </c>
      <c r="C2149" s="12" t="s">
        <v>2161</v>
      </c>
      <c r="D2149" s="13">
        <v>67103.0</v>
      </c>
      <c r="E2149" s="4">
        <v>46006.0</v>
      </c>
      <c r="F2149" s="4" t="str">
        <f>IF(D2149="","", IFNA(VLOOKUP(D2149, SATCAT_DECAY!A:B, 2, FALSE), ""))
</f>
        <v/>
      </c>
      <c r="G2149" s="3" t="str">
        <f t="shared" si="1"/>
        <v>ACTIVE</v>
      </c>
    </row>
    <row r="2150" ht="22.5" customHeight="1">
      <c r="A2150" s="11" t="str">
        <f t="array" ref="A2150">IFERROR(
  INDEX('Starlink Launches'!$A:$A, MATCH($E2150, 'Starlink Launches'!$B:$B, 0)),
  ""
)
</f>
        <v>6-82</v>
      </c>
      <c r="B2150" s="3" t="s">
        <v>25</v>
      </c>
      <c r="C2150" s="12" t="s">
        <v>2162</v>
      </c>
      <c r="D2150" s="13">
        <v>67104.0</v>
      </c>
      <c r="E2150" s="4">
        <v>46006.0</v>
      </c>
      <c r="F2150" s="4" t="str">
        <f>IF(D2150="","", IFNA(VLOOKUP(D2150, SATCAT_DECAY!A:B, 2, FALSE), ""))
</f>
        <v/>
      </c>
      <c r="G2150" s="3" t="str">
        <f t="shared" si="1"/>
        <v>ACTIVE</v>
      </c>
    </row>
    <row r="2151" ht="22.5" customHeight="1">
      <c r="A2151" s="11" t="str">
        <f t="array" ref="A2151">IFERROR(
  INDEX('Starlink Launches'!$A:$A, MATCH($E2151, 'Starlink Launches'!$B:$B, 0)),
  ""
)
</f>
        <v>6-82</v>
      </c>
      <c r="B2151" s="3" t="s">
        <v>25</v>
      </c>
      <c r="C2151" s="12" t="s">
        <v>2163</v>
      </c>
      <c r="D2151" s="13">
        <v>67105.0</v>
      </c>
      <c r="E2151" s="4">
        <v>46006.0</v>
      </c>
      <c r="F2151" s="4" t="str">
        <f>IF(D2151="","", IFNA(VLOOKUP(D2151, SATCAT_DECAY!A:B, 2, FALSE), ""))
</f>
        <v/>
      </c>
      <c r="G2151" s="3" t="str">
        <f t="shared" si="1"/>
        <v>ACTIVE</v>
      </c>
    </row>
    <row r="2152" ht="22.5" customHeight="1">
      <c r="A2152" s="11" t="str">
        <f t="array" ref="A2152">IFERROR(
  INDEX('Starlink Launches'!$A:$A, MATCH($E2152, 'Starlink Launches'!$B:$B, 0)),
  ""
)
</f>
        <v>6-82</v>
      </c>
      <c r="B2152" s="3" t="s">
        <v>25</v>
      </c>
      <c r="C2152" s="12" t="s">
        <v>2164</v>
      </c>
      <c r="D2152" s="13">
        <v>67106.0</v>
      </c>
      <c r="E2152" s="4">
        <v>46006.0</v>
      </c>
      <c r="F2152" s="4" t="str">
        <f>IF(D2152="","", IFNA(VLOOKUP(D2152, SATCAT_DECAY!A:B, 2, FALSE), ""))
</f>
        <v/>
      </c>
      <c r="G2152" s="3" t="str">
        <f t="shared" si="1"/>
        <v>ACTIVE</v>
      </c>
    </row>
    <row r="2153" ht="22.5" customHeight="1">
      <c r="A2153" s="11" t="str">
        <f t="array" ref="A2153">IFERROR(
  INDEX('Starlink Launches'!$A:$A, MATCH($E2153, 'Starlink Launches'!$B:$B, 0)),
  ""
)
</f>
        <v>6-82</v>
      </c>
      <c r="B2153" s="3" t="s">
        <v>25</v>
      </c>
      <c r="C2153" s="12" t="s">
        <v>2165</v>
      </c>
      <c r="D2153" s="13">
        <v>67107.0</v>
      </c>
      <c r="E2153" s="4">
        <v>46006.0</v>
      </c>
      <c r="F2153" s="4" t="str">
        <f>IF(D2153="","", IFNA(VLOOKUP(D2153, SATCAT_DECAY!A:B, 2, FALSE), ""))
</f>
        <v/>
      </c>
      <c r="G2153" s="3" t="str">
        <f t="shared" si="1"/>
        <v>ACTIVE</v>
      </c>
    </row>
    <row r="2154" ht="22.5" customHeight="1">
      <c r="A2154" s="11" t="str">
        <f t="array" ref="A2154">IFERROR(
  INDEX('Starlink Launches'!$A:$A, MATCH($E2154, 'Starlink Launches'!$B:$B, 0)),
  ""
)
</f>
        <v>6-82</v>
      </c>
      <c r="B2154" s="3" t="s">
        <v>25</v>
      </c>
      <c r="C2154" s="12" t="s">
        <v>2166</v>
      </c>
      <c r="D2154" s="13">
        <v>67108.0</v>
      </c>
      <c r="E2154" s="4">
        <v>46006.0</v>
      </c>
      <c r="F2154" s="4" t="str">
        <f>IF(D2154="","", IFNA(VLOOKUP(D2154, SATCAT_DECAY!A:B, 2, FALSE), ""))
</f>
        <v/>
      </c>
      <c r="G2154" s="3" t="str">
        <f t="shared" si="1"/>
        <v>ACTIVE</v>
      </c>
    </row>
    <row r="2155" ht="22.5" customHeight="1">
      <c r="A2155" s="11" t="str">
        <f t="array" ref="A2155">IFERROR(
  INDEX('Starlink Launches'!$A:$A, MATCH($E2155, 'Starlink Launches'!$B:$B, 0)),
  ""
)
</f>
        <v>6-82</v>
      </c>
      <c r="B2155" s="3" t="s">
        <v>25</v>
      </c>
      <c r="C2155" s="12" t="s">
        <v>2167</v>
      </c>
      <c r="D2155" s="13">
        <v>67109.0</v>
      </c>
      <c r="E2155" s="4">
        <v>46006.0</v>
      </c>
      <c r="F2155" s="4" t="str">
        <f>IF(D2155="","", IFNA(VLOOKUP(D2155, SATCAT_DECAY!A:B, 2, FALSE), ""))
</f>
        <v/>
      </c>
      <c r="G2155" s="3" t="str">
        <f t="shared" si="1"/>
        <v>ACTIVE</v>
      </c>
    </row>
    <row r="2156" ht="22.5" customHeight="1">
      <c r="A2156" s="11" t="str">
        <f t="array" ref="A2156">IFERROR(
  INDEX('Starlink Launches'!$A:$A, MATCH($E2156, 'Starlink Launches'!$B:$B, 0)),
  ""
)
</f>
        <v>6-82</v>
      </c>
      <c r="B2156" s="3" t="s">
        <v>25</v>
      </c>
      <c r="C2156" s="12" t="s">
        <v>2168</v>
      </c>
      <c r="D2156" s="13">
        <v>67110.0</v>
      </c>
      <c r="E2156" s="4">
        <v>46006.0</v>
      </c>
      <c r="F2156" s="4" t="str">
        <f>IF(D2156="","", IFNA(VLOOKUP(D2156, SATCAT_DECAY!A:B, 2, FALSE), ""))
</f>
        <v/>
      </c>
      <c r="G2156" s="3" t="str">
        <f t="shared" si="1"/>
        <v>ACTIVE</v>
      </c>
    </row>
    <row r="2157" ht="22.5" customHeight="1">
      <c r="A2157" s="11" t="str">
        <f t="array" ref="A2157">IFERROR(
  INDEX('Starlink Launches'!$A:$A, MATCH($E2157, 'Starlink Launches'!$B:$B, 0)),
  ""
)
</f>
        <v>6-82</v>
      </c>
      <c r="B2157" s="3" t="s">
        <v>25</v>
      </c>
      <c r="C2157" s="12" t="s">
        <v>2169</v>
      </c>
      <c r="D2157" s="13">
        <v>67111.0</v>
      </c>
      <c r="E2157" s="4">
        <v>46006.0</v>
      </c>
      <c r="F2157" s="4" t="str">
        <f>IF(D2157="","", IFNA(VLOOKUP(D2157, SATCAT_DECAY!A:B, 2, FALSE), ""))
</f>
        <v/>
      </c>
      <c r="G2157" s="3" t="str">
        <f t="shared" si="1"/>
        <v>ACTIVE</v>
      </c>
    </row>
    <row r="2158" ht="22.5" customHeight="1">
      <c r="A2158" s="11" t="str">
        <f t="array" ref="A2158">IFERROR(
  INDEX('Starlink Launches'!$A:$A, MATCH($E2158, 'Starlink Launches'!$B:$B, 0)),
  ""
)
</f>
        <v>6-82</v>
      </c>
      <c r="B2158" s="3" t="s">
        <v>25</v>
      </c>
      <c r="C2158" s="12" t="s">
        <v>2170</v>
      </c>
      <c r="D2158" s="13">
        <v>67112.0</v>
      </c>
      <c r="E2158" s="4">
        <v>46006.0</v>
      </c>
      <c r="F2158" s="4" t="str">
        <f>IF(D2158="","", IFNA(VLOOKUP(D2158, SATCAT_DECAY!A:B, 2, FALSE), ""))
</f>
        <v/>
      </c>
      <c r="G2158" s="3" t="str">
        <f t="shared" si="1"/>
        <v>ACTIVE</v>
      </c>
    </row>
    <row r="2159" ht="22.5" customHeight="1">
      <c r="A2159" s="11" t="str">
        <f t="array" ref="A2159">IFERROR(
  INDEX('Starlink Launches'!$A:$A, MATCH($E2159, 'Starlink Launches'!$B:$B, 0)),
  ""
)
</f>
        <v>6-82</v>
      </c>
      <c r="B2159" s="3" t="s">
        <v>25</v>
      </c>
      <c r="C2159" s="12" t="s">
        <v>2171</v>
      </c>
      <c r="D2159" s="13">
        <v>67113.0</v>
      </c>
      <c r="E2159" s="4">
        <v>46006.0</v>
      </c>
      <c r="F2159" s="4" t="str">
        <f>IF(D2159="","", IFNA(VLOOKUP(D2159, SATCAT_DECAY!A:B, 2, FALSE), ""))
</f>
        <v/>
      </c>
      <c r="G2159" s="3" t="str">
        <f t="shared" si="1"/>
        <v>ACTIVE</v>
      </c>
    </row>
    <row r="2160" ht="22.5" customHeight="1">
      <c r="A2160" s="11" t="str">
        <f t="array" ref="A2160">IFERROR(
  INDEX('Starlink Launches'!$A:$A, MATCH($E2160, 'Starlink Launches'!$B:$B, 0)),
  ""
)
</f>
        <v>6-82</v>
      </c>
      <c r="B2160" s="3" t="s">
        <v>25</v>
      </c>
      <c r="C2160" s="12" t="s">
        <v>2172</v>
      </c>
      <c r="D2160" s="13">
        <v>67114.0</v>
      </c>
      <c r="E2160" s="4">
        <v>46006.0</v>
      </c>
      <c r="F2160" s="4" t="str">
        <f>IF(D2160="","", IFNA(VLOOKUP(D2160, SATCAT_DECAY!A:B, 2, FALSE), ""))
</f>
        <v/>
      </c>
      <c r="G2160" s="3" t="str">
        <f t="shared" si="1"/>
        <v>ACTIVE</v>
      </c>
    </row>
    <row r="2161" ht="22.5" customHeight="1">
      <c r="A2161" s="11" t="str">
        <f t="array" ref="A2161">IFERROR(
  INDEX('Starlink Launches'!$A:$A, MATCH($E2161, 'Starlink Launches'!$B:$B, 0)),
  ""
)
</f>
        <v>6-82</v>
      </c>
      <c r="B2161" s="3" t="s">
        <v>25</v>
      </c>
      <c r="C2161" s="12" t="s">
        <v>2173</v>
      </c>
      <c r="D2161" s="13">
        <v>67115.0</v>
      </c>
      <c r="E2161" s="4">
        <v>46006.0</v>
      </c>
      <c r="F2161" s="4" t="str">
        <f>IF(D2161="","", IFNA(VLOOKUP(D2161, SATCAT_DECAY!A:B, 2, FALSE), ""))
</f>
        <v/>
      </c>
      <c r="G2161" s="3" t="str">
        <f t="shared" si="1"/>
        <v>ACTIVE</v>
      </c>
    </row>
    <row r="2162" ht="22.5" customHeight="1">
      <c r="A2162" s="11" t="str">
        <f t="array" ref="A2162">IFERROR(
  INDEX('Starlink Launches'!$A:$A, MATCH($E2162, 'Starlink Launches'!$B:$B, 0)),
  ""
)
</f>
        <v>6-82</v>
      </c>
      <c r="B2162" s="3" t="s">
        <v>25</v>
      </c>
      <c r="C2162" s="12" t="s">
        <v>2174</v>
      </c>
      <c r="D2162" s="13">
        <v>67116.0</v>
      </c>
      <c r="E2162" s="4">
        <v>46006.0</v>
      </c>
      <c r="F2162" s="4" t="str">
        <f>IF(D2162="","", IFNA(VLOOKUP(D2162, SATCAT_DECAY!A:B, 2, FALSE), ""))
</f>
        <v/>
      </c>
      <c r="G2162" s="3" t="str">
        <f t="shared" si="1"/>
        <v>ACTIVE</v>
      </c>
    </row>
    <row r="2163" ht="22.5" customHeight="1">
      <c r="A2163" s="11" t="str">
        <f t="array" ref="A2163">IFERROR(
  INDEX('Starlink Launches'!$A:$A, MATCH($E2163, 'Starlink Launches'!$B:$B, 0)),
  ""
)
</f>
        <v>6-82</v>
      </c>
      <c r="B2163" s="3" t="s">
        <v>25</v>
      </c>
      <c r="C2163" s="12" t="s">
        <v>2175</v>
      </c>
      <c r="D2163" s="13">
        <v>67117.0</v>
      </c>
      <c r="E2163" s="4">
        <v>46006.0</v>
      </c>
      <c r="F2163" s="4" t="str">
        <f>IF(D2163="","", IFNA(VLOOKUP(D2163, SATCAT_DECAY!A:B, 2, FALSE), ""))
</f>
        <v/>
      </c>
      <c r="G2163" s="3" t="str">
        <f t="shared" si="1"/>
        <v>ACTIVE</v>
      </c>
    </row>
    <row r="2164" ht="22.5" customHeight="1">
      <c r="A2164" s="11" t="str">
        <f t="array" ref="A2164">IFERROR(
  INDEX('Starlink Launches'!$A:$A, MATCH($E2164, 'Starlink Launches'!$B:$B, 0)),
  ""
)
</f>
        <v>6-82</v>
      </c>
      <c r="B2164" s="3" t="s">
        <v>25</v>
      </c>
      <c r="C2164" s="12" t="s">
        <v>2176</v>
      </c>
      <c r="D2164" s="13">
        <v>67118.0</v>
      </c>
      <c r="E2164" s="4">
        <v>46006.0</v>
      </c>
      <c r="F2164" s="4" t="str">
        <f>IF(D2164="","", IFNA(VLOOKUP(D2164, SATCAT_DECAY!A:B, 2, FALSE), ""))
</f>
        <v/>
      </c>
      <c r="G2164" s="3" t="str">
        <f t="shared" si="1"/>
        <v>ACTIVE</v>
      </c>
    </row>
    <row r="2165" ht="22.5" customHeight="1">
      <c r="A2165" s="11" t="str">
        <f t="array" ref="A2165">IFERROR(
  INDEX('Starlink Launches'!$A:$A, MATCH($E2165, 'Starlink Launches'!$B:$B, 0)),
  ""
)
</f>
        <v>6-82</v>
      </c>
      <c r="B2165" s="3" t="s">
        <v>25</v>
      </c>
      <c r="C2165" s="12" t="s">
        <v>2177</v>
      </c>
      <c r="D2165" s="13">
        <v>67119.0</v>
      </c>
      <c r="E2165" s="4">
        <v>46006.0</v>
      </c>
      <c r="F2165" s="4" t="str">
        <f>IF(D2165="","", IFNA(VLOOKUP(D2165, SATCAT_DECAY!A:B, 2, FALSE), ""))
</f>
        <v/>
      </c>
      <c r="G2165" s="3" t="str">
        <f t="shared" si="1"/>
        <v>ACTIVE</v>
      </c>
    </row>
    <row r="2166" ht="22.5" customHeight="1">
      <c r="A2166" s="11" t="str">
        <f t="array" ref="A2166">IFERROR(
  INDEX('Starlink Launches'!$A:$A, MATCH($E2166, 'Starlink Launches'!$B:$B, 0)),
  ""
)
</f>
        <v>6-82</v>
      </c>
      <c r="B2166" s="3" t="s">
        <v>25</v>
      </c>
      <c r="C2166" s="12" t="s">
        <v>2178</v>
      </c>
      <c r="D2166" s="13">
        <v>67120.0</v>
      </c>
      <c r="E2166" s="4">
        <v>46006.0</v>
      </c>
      <c r="F2166" s="4" t="str">
        <f>IF(D2166="","", IFNA(VLOOKUP(D2166, SATCAT_DECAY!A:B, 2, FALSE), ""))
</f>
        <v/>
      </c>
      <c r="G2166" s="3" t="str">
        <f t="shared" si="1"/>
        <v>ACTIVE</v>
      </c>
    </row>
    <row r="2167" ht="22.5" customHeight="1">
      <c r="A2167" s="11" t="str">
        <f t="array" ref="A2167">IFERROR(
  INDEX('Starlink Launches'!$A:$A, MATCH($E2167, 'Starlink Launches'!$B:$B, 0)),
  ""
)
</f>
        <v>6-82</v>
      </c>
      <c r="B2167" s="3" t="s">
        <v>25</v>
      </c>
      <c r="C2167" s="12" t="s">
        <v>2179</v>
      </c>
      <c r="D2167" s="13">
        <v>67121.0</v>
      </c>
      <c r="E2167" s="4">
        <v>46006.0</v>
      </c>
      <c r="F2167" s="4" t="str">
        <f>IF(D2167="","", IFNA(VLOOKUP(D2167, SATCAT_DECAY!A:B, 2, FALSE), ""))
</f>
        <v/>
      </c>
      <c r="G2167" s="3" t="str">
        <f t="shared" si="1"/>
        <v>ACTIVE</v>
      </c>
    </row>
    <row r="2168" ht="22.5" customHeight="1">
      <c r="A2168" s="11" t="str">
        <f t="array" ref="A2168">IFERROR(
  INDEX('Starlink Launches'!$A:$A, MATCH($E2168, 'Starlink Launches'!$B:$B, 0)),
  ""
)
</f>
        <v>6-82</v>
      </c>
      <c r="B2168" s="3" t="s">
        <v>25</v>
      </c>
      <c r="C2168" s="12" t="s">
        <v>2180</v>
      </c>
      <c r="D2168" s="13">
        <v>67122.0</v>
      </c>
      <c r="E2168" s="4">
        <v>46006.0</v>
      </c>
      <c r="F2168" s="4" t="str">
        <f>IF(D2168="","", IFNA(VLOOKUP(D2168, SATCAT_DECAY!A:B, 2, FALSE), ""))
</f>
        <v/>
      </c>
      <c r="G2168" s="3" t="str">
        <f t="shared" si="1"/>
        <v>ACTIVE</v>
      </c>
    </row>
    <row r="2169" ht="22.5" customHeight="1">
      <c r="A2169" s="11" t="str">
        <f t="array" ref="A2169">IFERROR(
  INDEX('Starlink Launches'!$A:$A, MATCH($E2169, 'Starlink Launches'!$B:$B, 0)),
  ""
)
</f>
        <v>6-82</v>
      </c>
      <c r="B2169" s="3" t="s">
        <v>25</v>
      </c>
      <c r="C2169" s="12" t="s">
        <v>2181</v>
      </c>
      <c r="D2169" s="13">
        <v>67123.0</v>
      </c>
      <c r="E2169" s="4">
        <v>46006.0</v>
      </c>
      <c r="F2169" s="4" t="str">
        <f>IF(D2169="","", IFNA(VLOOKUP(D2169, SATCAT_DECAY!A:B, 2, FALSE), ""))
</f>
        <v/>
      </c>
      <c r="G2169" s="3" t="str">
        <f t="shared" si="1"/>
        <v>ACTIVE</v>
      </c>
    </row>
    <row r="2170" ht="22.5" customHeight="1">
      <c r="A2170" s="11" t="str">
        <f t="array" ref="A2170">IFERROR(
  INDEX('Starlink Launches'!$A:$A, MATCH($E2170, 'Starlink Launches'!$B:$B, 0)),
  ""
)
</f>
        <v>6-82</v>
      </c>
      <c r="B2170" s="3" t="s">
        <v>25</v>
      </c>
      <c r="C2170" s="12" t="s">
        <v>2182</v>
      </c>
      <c r="D2170" s="13">
        <v>67124.0</v>
      </c>
      <c r="E2170" s="4">
        <v>46006.0</v>
      </c>
      <c r="F2170" s="4" t="str">
        <f>IF(D2170="","", IFNA(VLOOKUP(D2170, SATCAT_DECAY!A:B, 2, FALSE), ""))
</f>
        <v/>
      </c>
      <c r="G2170" s="3" t="str">
        <f t="shared" si="1"/>
        <v>ACTIVE</v>
      </c>
    </row>
    <row r="2171" ht="22.5" customHeight="1">
      <c r="A2171" s="11" t="str">
        <f t="array" ref="A2171">IFERROR(
  INDEX('Starlink Launches'!$A:$A, MATCH($E2171, 'Starlink Launches'!$B:$B, 0)),
  ""
)
</f>
        <v>6-82</v>
      </c>
      <c r="B2171" s="3" t="s">
        <v>25</v>
      </c>
      <c r="C2171" s="12" t="s">
        <v>2183</v>
      </c>
      <c r="D2171" s="13">
        <v>67125.0</v>
      </c>
      <c r="E2171" s="4">
        <v>46006.0</v>
      </c>
      <c r="F2171" s="4" t="str">
        <f>IF(D2171="","", IFNA(VLOOKUP(D2171, SATCAT_DECAY!A:B, 2, FALSE), ""))
</f>
        <v/>
      </c>
      <c r="G2171" s="3" t="str">
        <f t="shared" si="1"/>
        <v>ACTIVE</v>
      </c>
    </row>
    <row r="2172" ht="22.5" customHeight="1">
      <c r="A2172" s="11" t="str">
        <f t="array" ref="A2172">IFERROR(
  INDEX('Starlink Launches'!$A:$A, MATCH($E2172, 'Starlink Launches'!$B:$B, 0)),
  ""
)
</f>
        <v>6-82</v>
      </c>
      <c r="B2172" s="3" t="s">
        <v>25</v>
      </c>
      <c r="C2172" s="12" t="s">
        <v>2184</v>
      </c>
      <c r="D2172" s="13">
        <v>67126.0</v>
      </c>
      <c r="E2172" s="4">
        <v>46006.0</v>
      </c>
      <c r="F2172" s="4" t="str">
        <f>IF(D2172="","", IFNA(VLOOKUP(D2172, SATCAT_DECAY!A:B, 2, FALSE), ""))
</f>
        <v/>
      </c>
      <c r="G2172" s="3" t="str">
        <f t="shared" si="1"/>
        <v>ACTIVE</v>
      </c>
    </row>
    <row r="2173" ht="22.5" customHeight="1">
      <c r="A2173" s="11" t="str">
        <f t="array" ref="A2173">IFERROR(
  INDEX('Starlink Launches'!$A:$A, MATCH($E2173, 'Starlink Launches'!$B:$B, 0)),
  ""
)
</f>
        <v>6-82</v>
      </c>
      <c r="B2173" s="3" t="s">
        <v>25</v>
      </c>
      <c r="C2173" s="12" t="s">
        <v>2185</v>
      </c>
      <c r="D2173" s="13">
        <v>67127.0</v>
      </c>
      <c r="E2173" s="4">
        <v>46006.0</v>
      </c>
      <c r="F2173" s="4" t="str">
        <f>IF(D2173="","", IFNA(VLOOKUP(D2173, SATCAT_DECAY!A:B, 2, FALSE), ""))
</f>
        <v/>
      </c>
      <c r="G2173" s="3" t="str">
        <f t="shared" si="1"/>
        <v>ACTIVE</v>
      </c>
    </row>
    <row r="2174" ht="22.5" customHeight="1">
      <c r="A2174" s="11" t="str">
        <f t="array" ref="A2174">IFERROR(
  INDEX('Starlink Launches'!$A:$A, MATCH($E2174, 'Starlink Launches'!$B:$B, 0)),
  ""
)
</f>
        <v>6-82</v>
      </c>
      <c r="B2174" s="3" t="s">
        <v>25</v>
      </c>
      <c r="C2174" s="12" t="s">
        <v>2186</v>
      </c>
      <c r="D2174" s="13">
        <v>67128.0</v>
      </c>
      <c r="E2174" s="4">
        <v>46006.0</v>
      </c>
      <c r="F2174" s="4" t="str">
        <f>IF(D2174="","", IFNA(VLOOKUP(D2174, SATCAT_DECAY!A:B, 2, FALSE), ""))
</f>
        <v/>
      </c>
      <c r="G2174" s="3" t="str">
        <f t="shared" si="1"/>
        <v>ACTIVE</v>
      </c>
    </row>
    <row r="2175" ht="22.5" customHeight="1">
      <c r="A2175" s="11" t="str">
        <f t="array" ref="A2175">IFERROR(
  INDEX('Starlink Launches'!$A:$A, MATCH($E2175, 'Starlink Launches'!$B:$B, 0)),
  ""
)
</f>
        <v>6-82</v>
      </c>
      <c r="B2175" s="3" t="s">
        <v>25</v>
      </c>
      <c r="C2175" s="12" t="s">
        <v>2187</v>
      </c>
      <c r="D2175" s="13">
        <v>67129.0</v>
      </c>
      <c r="E2175" s="4">
        <v>46006.0</v>
      </c>
      <c r="F2175" s="4" t="str">
        <f>IF(D2175="","", IFNA(VLOOKUP(D2175, SATCAT_DECAY!A:B, 2, FALSE), ""))
</f>
        <v/>
      </c>
      <c r="G2175" s="3" t="str">
        <f t="shared" si="1"/>
        <v>ACTIVE</v>
      </c>
    </row>
    <row r="2176" ht="22.5" customHeight="1">
      <c r="A2176" s="11" t="str">
        <f t="array" ref="A2176">IFERROR(
  INDEX('Starlink Launches'!$A:$A, MATCH($E2176, 'Starlink Launches'!$B:$B, 0)),
  ""
)
</f>
        <v>6-82</v>
      </c>
      <c r="B2176" s="3" t="s">
        <v>25</v>
      </c>
      <c r="C2176" s="12" t="s">
        <v>2188</v>
      </c>
      <c r="D2176" s="13">
        <v>67130.0</v>
      </c>
      <c r="E2176" s="4">
        <v>46006.0</v>
      </c>
      <c r="F2176" s="4" t="str">
        <f>IF(D2176="","", IFNA(VLOOKUP(D2176, SATCAT_DECAY!A:B, 2, FALSE), ""))
</f>
        <v/>
      </c>
      <c r="G2176" s="3" t="str">
        <f t="shared" si="1"/>
        <v>ACTIVE</v>
      </c>
    </row>
    <row r="2177" ht="22.5" customHeight="1">
      <c r="A2177" s="11" t="str">
        <f t="array" ref="A2177">IFERROR(
  INDEX('Starlink Launches'!$A:$A, MATCH($E2177, 'Starlink Launches'!$B:$B, 0)),
  ""
)
</f>
        <v>6-99</v>
      </c>
      <c r="B2177" s="3" t="s">
        <v>25</v>
      </c>
      <c r="C2177" s="12" t="s">
        <v>2189</v>
      </c>
      <c r="D2177" s="13">
        <v>67163.0</v>
      </c>
      <c r="E2177" s="4">
        <v>46008.0</v>
      </c>
      <c r="F2177" s="4" t="str">
        <f>IF(D2177="","", IFNA(VLOOKUP(D2177, SATCAT_DECAY!A:B, 2, FALSE), ""))
</f>
        <v/>
      </c>
      <c r="G2177" s="3" t="str">
        <f t="shared" si="1"/>
        <v>ACTIVE</v>
      </c>
    </row>
    <row r="2178" ht="22.5" customHeight="1">
      <c r="A2178" s="11" t="str">
        <f t="array" ref="A2178">IFERROR(
  INDEX('Starlink Launches'!$A:$A, MATCH($E2178, 'Starlink Launches'!$B:$B, 0)),
  ""
)
</f>
        <v>6-99</v>
      </c>
      <c r="B2178" s="3" t="s">
        <v>25</v>
      </c>
      <c r="C2178" s="12" t="s">
        <v>2190</v>
      </c>
      <c r="D2178" s="13">
        <v>67164.0</v>
      </c>
      <c r="E2178" s="4">
        <v>46008.0</v>
      </c>
      <c r="F2178" s="4" t="str">
        <f>IF(D2178="","", IFNA(VLOOKUP(D2178, SATCAT_DECAY!A:B, 2, FALSE), ""))
</f>
        <v/>
      </c>
      <c r="G2178" s="3" t="str">
        <f t="shared" si="1"/>
        <v>ACTIVE</v>
      </c>
    </row>
    <row r="2179" ht="22.5" customHeight="1">
      <c r="A2179" s="11" t="str">
        <f t="array" ref="A2179">IFERROR(
  INDEX('Starlink Launches'!$A:$A, MATCH($E2179, 'Starlink Launches'!$B:$B, 0)),
  ""
)
</f>
        <v>6-99</v>
      </c>
      <c r="B2179" s="3" t="s">
        <v>25</v>
      </c>
      <c r="C2179" s="12" t="s">
        <v>2191</v>
      </c>
      <c r="D2179" s="13">
        <v>67165.0</v>
      </c>
      <c r="E2179" s="4">
        <v>46008.0</v>
      </c>
      <c r="F2179" s="4" t="str">
        <f>IF(D2179="","", IFNA(VLOOKUP(D2179, SATCAT_DECAY!A:B, 2, FALSE), ""))
</f>
        <v/>
      </c>
      <c r="G2179" s="3" t="str">
        <f t="shared" si="1"/>
        <v>ACTIVE</v>
      </c>
    </row>
    <row r="2180" ht="22.5" customHeight="1">
      <c r="A2180" s="11" t="str">
        <f t="array" ref="A2180">IFERROR(
  INDEX('Starlink Launches'!$A:$A, MATCH($E2180, 'Starlink Launches'!$B:$B, 0)),
  ""
)
</f>
        <v>6-99</v>
      </c>
      <c r="B2180" s="3" t="s">
        <v>25</v>
      </c>
      <c r="C2180" s="12" t="s">
        <v>2192</v>
      </c>
      <c r="D2180" s="13">
        <v>67166.0</v>
      </c>
      <c r="E2180" s="4">
        <v>46008.0</v>
      </c>
      <c r="F2180" s="4" t="str">
        <f>IF(D2180="","", IFNA(VLOOKUP(D2180, SATCAT_DECAY!A:B, 2, FALSE), ""))
</f>
        <v/>
      </c>
      <c r="G2180" s="3" t="str">
        <f t="shared" si="1"/>
        <v>ACTIVE</v>
      </c>
    </row>
    <row r="2181" ht="22.5" customHeight="1">
      <c r="A2181" s="11" t="str">
        <f t="array" ref="A2181">IFERROR(
  INDEX('Starlink Launches'!$A:$A, MATCH($E2181, 'Starlink Launches'!$B:$B, 0)),
  ""
)
</f>
        <v>6-99</v>
      </c>
      <c r="B2181" s="3" t="s">
        <v>25</v>
      </c>
      <c r="C2181" s="12" t="s">
        <v>2193</v>
      </c>
      <c r="D2181" s="13">
        <v>67167.0</v>
      </c>
      <c r="E2181" s="4">
        <v>46008.0</v>
      </c>
      <c r="F2181" s="4" t="str">
        <f>IF(D2181="","", IFNA(VLOOKUP(D2181, SATCAT_DECAY!A:B, 2, FALSE), ""))
</f>
        <v/>
      </c>
      <c r="G2181" s="3" t="str">
        <f t="shared" si="1"/>
        <v>ACTIVE</v>
      </c>
    </row>
    <row r="2182" ht="22.5" customHeight="1">
      <c r="A2182" s="11" t="str">
        <f t="array" ref="A2182">IFERROR(
  INDEX('Starlink Launches'!$A:$A, MATCH($E2182, 'Starlink Launches'!$B:$B, 0)),
  ""
)
</f>
        <v>6-99</v>
      </c>
      <c r="B2182" s="3" t="s">
        <v>25</v>
      </c>
      <c r="C2182" s="12" t="s">
        <v>2194</v>
      </c>
      <c r="D2182" s="13">
        <v>67168.0</v>
      </c>
      <c r="E2182" s="4">
        <v>46008.0</v>
      </c>
      <c r="F2182" s="4" t="str">
        <f>IF(D2182="","", IFNA(VLOOKUP(D2182, SATCAT_DECAY!A:B, 2, FALSE), ""))
</f>
        <v/>
      </c>
      <c r="G2182" s="3" t="str">
        <f t="shared" si="1"/>
        <v>ACTIVE</v>
      </c>
    </row>
    <row r="2183" ht="22.5" customHeight="1">
      <c r="A2183" s="11" t="str">
        <f t="array" ref="A2183">IFERROR(
  INDEX('Starlink Launches'!$A:$A, MATCH($E2183, 'Starlink Launches'!$B:$B, 0)),
  ""
)
</f>
        <v>6-99</v>
      </c>
      <c r="B2183" s="3" t="s">
        <v>25</v>
      </c>
      <c r="C2183" s="12" t="s">
        <v>2195</v>
      </c>
      <c r="D2183" s="13">
        <v>67169.0</v>
      </c>
      <c r="E2183" s="4">
        <v>46008.0</v>
      </c>
      <c r="F2183" s="4" t="str">
        <f>IF(D2183="","", IFNA(VLOOKUP(D2183, SATCAT_DECAY!A:B, 2, FALSE), ""))
</f>
        <v/>
      </c>
      <c r="G2183" s="3" t="str">
        <f t="shared" si="1"/>
        <v>ACTIVE</v>
      </c>
    </row>
    <row r="2184" ht="22.5" customHeight="1">
      <c r="A2184" s="11" t="str">
        <f t="array" ref="A2184">IFERROR(
  INDEX('Starlink Launches'!$A:$A, MATCH($E2184, 'Starlink Launches'!$B:$B, 0)),
  ""
)
</f>
        <v>6-99</v>
      </c>
      <c r="B2184" s="3" t="s">
        <v>25</v>
      </c>
      <c r="C2184" s="12" t="s">
        <v>2196</v>
      </c>
      <c r="D2184" s="13">
        <v>67170.0</v>
      </c>
      <c r="E2184" s="4">
        <v>46008.0</v>
      </c>
      <c r="F2184" s="4" t="str">
        <f>IF(D2184="","", IFNA(VLOOKUP(D2184, SATCAT_DECAY!A:B, 2, FALSE), ""))
</f>
        <v/>
      </c>
      <c r="G2184" s="3" t="str">
        <f t="shared" si="1"/>
        <v>ACTIVE</v>
      </c>
    </row>
    <row r="2185" ht="22.5" customHeight="1">
      <c r="A2185" s="11" t="str">
        <f t="array" ref="A2185">IFERROR(
  INDEX('Starlink Launches'!$A:$A, MATCH($E2185, 'Starlink Launches'!$B:$B, 0)),
  ""
)
</f>
        <v>6-99</v>
      </c>
      <c r="B2185" s="3" t="s">
        <v>25</v>
      </c>
      <c r="C2185" s="12" t="s">
        <v>2197</v>
      </c>
      <c r="D2185" s="13">
        <v>67171.0</v>
      </c>
      <c r="E2185" s="4">
        <v>46008.0</v>
      </c>
      <c r="F2185" s="4" t="str">
        <f>IF(D2185="","", IFNA(VLOOKUP(D2185, SATCAT_DECAY!A:B, 2, FALSE), ""))
</f>
        <v/>
      </c>
      <c r="G2185" s="3" t="str">
        <f t="shared" si="1"/>
        <v>ACTIVE</v>
      </c>
    </row>
    <row r="2186" ht="22.5" customHeight="1">
      <c r="A2186" s="11" t="str">
        <f t="array" ref="A2186">IFERROR(
  INDEX('Starlink Launches'!$A:$A, MATCH($E2186, 'Starlink Launches'!$B:$B, 0)),
  ""
)
</f>
        <v>6-99</v>
      </c>
      <c r="B2186" s="3" t="s">
        <v>25</v>
      </c>
      <c r="C2186" s="12" t="s">
        <v>2198</v>
      </c>
      <c r="D2186" s="13">
        <v>67172.0</v>
      </c>
      <c r="E2186" s="4">
        <v>46008.0</v>
      </c>
      <c r="F2186" s="4" t="str">
        <f>IF(D2186="","", IFNA(VLOOKUP(D2186, SATCAT_DECAY!A:B, 2, FALSE), ""))
</f>
        <v/>
      </c>
      <c r="G2186" s="3" t="str">
        <f t="shared" si="1"/>
        <v>ACTIVE</v>
      </c>
    </row>
    <row r="2187" ht="22.5" customHeight="1">
      <c r="A2187" s="11" t="str">
        <f t="array" ref="A2187">IFERROR(
  INDEX('Starlink Launches'!$A:$A, MATCH($E2187, 'Starlink Launches'!$B:$B, 0)),
  ""
)
</f>
        <v>6-99</v>
      </c>
      <c r="B2187" s="3" t="s">
        <v>25</v>
      </c>
      <c r="C2187" s="12" t="s">
        <v>2199</v>
      </c>
      <c r="D2187" s="13">
        <v>67173.0</v>
      </c>
      <c r="E2187" s="4">
        <v>46008.0</v>
      </c>
      <c r="F2187" s="4" t="str">
        <f>IF(D2187="","", IFNA(VLOOKUP(D2187, SATCAT_DECAY!A:B, 2, FALSE), ""))
</f>
        <v/>
      </c>
      <c r="G2187" s="3" t="str">
        <f t="shared" si="1"/>
        <v>ACTIVE</v>
      </c>
    </row>
    <row r="2188" ht="22.5" customHeight="1">
      <c r="A2188" s="11" t="str">
        <f t="array" ref="A2188">IFERROR(
  INDEX('Starlink Launches'!$A:$A, MATCH($E2188, 'Starlink Launches'!$B:$B, 0)),
  ""
)
</f>
        <v>6-99</v>
      </c>
      <c r="B2188" s="3" t="s">
        <v>25</v>
      </c>
      <c r="C2188" s="12" t="s">
        <v>2200</v>
      </c>
      <c r="D2188" s="13">
        <v>67174.0</v>
      </c>
      <c r="E2188" s="4">
        <v>46008.0</v>
      </c>
      <c r="F2188" s="4" t="str">
        <f>IF(D2188="","", IFNA(VLOOKUP(D2188, SATCAT_DECAY!A:B, 2, FALSE), ""))
</f>
        <v/>
      </c>
      <c r="G2188" s="3" t="str">
        <f t="shared" si="1"/>
        <v>ACTIVE</v>
      </c>
    </row>
    <row r="2189" ht="22.5" customHeight="1">
      <c r="A2189" s="11" t="str">
        <f t="array" ref="A2189">IFERROR(
  INDEX('Starlink Launches'!$A:$A, MATCH($E2189, 'Starlink Launches'!$B:$B, 0)),
  ""
)
</f>
        <v>6-99</v>
      </c>
      <c r="B2189" s="3" t="s">
        <v>25</v>
      </c>
      <c r="C2189" s="12" t="s">
        <v>2201</v>
      </c>
      <c r="D2189" s="13">
        <v>67175.0</v>
      </c>
      <c r="E2189" s="4">
        <v>46008.0</v>
      </c>
      <c r="F2189" s="4" t="str">
        <f>IF(D2189="","", IFNA(VLOOKUP(D2189, SATCAT_DECAY!A:B, 2, FALSE), ""))
</f>
        <v/>
      </c>
      <c r="G2189" s="3" t="str">
        <f t="shared" si="1"/>
        <v>ACTIVE</v>
      </c>
    </row>
    <row r="2190" ht="22.5" customHeight="1">
      <c r="A2190" s="11" t="str">
        <f t="array" ref="A2190">IFERROR(
  INDEX('Starlink Launches'!$A:$A, MATCH($E2190, 'Starlink Launches'!$B:$B, 0)),
  ""
)
</f>
        <v>6-99</v>
      </c>
      <c r="B2190" s="3" t="s">
        <v>25</v>
      </c>
      <c r="C2190" s="12" t="s">
        <v>2202</v>
      </c>
      <c r="D2190" s="13">
        <v>67176.0</v>
      </c>
      <c r="E2190" s="4">
        <v>46008.0</v>
      </c>
      <c r="F2190" s="4" t="str">
        <f>IF(D2190="","", IFNA(VLOOKUP(D2190, SATCAT_DECAY!A:B, 2, FALSE), ""))
</f>
        <v/>
      </c>
      <c r="G2190" s="3" t="str">
        <f t="shared" si="1"/>
        <v>ACTIVE</v>
      </c>
    </row>
    <row r="2191" ht="22.5" customHeight="1">
      <c r="A2191" s="11" t="str">
        <f t="array" ref="A2191">IFERROR(
  INDEX('Starlink Launches'!$A:$A, MATCH($E2191, 'Starlink Launches'!$B:$B, 0)),
  ""
)
</f>
        <v>6-99</v>
      </c>
      <c r="B2191" s="3" t="s">
        <v>25</v>
      </c>
      <c r="C2191" s="12" t="s">
        <v>2203</v>
      </c>
      <c r="D2191" s="13">
        <v>67177.0</v>
      </c>
      <c r="E2191" s="4">
        <v>46008.0</v>
      </c>
      <c r="F2191" s="4" t="str">
        <f>IF(D2191="","", IFNA(VLOOKUP(D2191, SATCAT_DECAY!A:B, 2, FALSE), ""))
</f>
        <v/>
      </c>
      <c r="G2191" s="3" t="str">
        <f t="shared" si="1"/>
        <v>ACTIVE</v>
      </c>
    </row>
    <row r="2192" ht="22.5" customHeight="1">
      <c r="A2192" s="11" t="str">
        <f t="array" ref="A2192">IFERROR(
  INDEX('Starlink Launches'!$A:$A, MATCH($E2192, 'Starlink Launches'!$B:$B, 0)),
  ""
)
</f>
        <v>6-99</v>
      </c>
      <c r="B2192" s="3" t="s">
        <v>25</v>
      </c>
      <c r="C2192" s="12" t="s">
        <v>2204</v>
      </c>
      <c r="D2192" s="13">
        <v>67178.0</v>
      </c>
      <c r="E2192" s="4">
        <v>46008.0</v>
      </c>
      <c r="F2192" s="4" t="str">
        <f>IF(D2192="","", IFNA(VLOOKUP(D2192, SATCAT_DECAY!A:B, 2, FALSE), ""))
</f>
        <v/>
      </c>
      <c r="G2192" s="3" t="str">
        <f t="shared" si="1"/>
        <v>ACTIVE</v>
      </c>
    </row>
    <row r="2193" ht="22.5" customHeight="1">
      <c r="A2193" s="11" t="str">
        <f t="array" ref="A2193">IFERROR(
  INDEX('Starlink Launches'!$A:$A, MATCH($E2193, 'Starlink Launches'!$B:$B, 0)),
  ""
)
</f>
        <v>6-99</v>
      </c>
      <c r="B2193" s="3" t="s">
        <v>25</v>
      </c>
      <c r="C2193" s="12" t="s">
        <v>2205</v>
      </c>
      <c r="D2193" s="13">
        <v>67179.0</v>
      </c>
      <c r="E2193" s="4">
        <v>46008.0</v>
      </c>
      <c r="F2193" s="4" t="str">
        <f>IF(D2193="","", IFNA(VLOOKUP(D2193, SATCAT_DECAY!A:B, 2, FALSE), ""))
</f>
        <v/>
      </c>
      <c r="G2193" s="3" t="str">
        <f t="shared" si="1"/>
        <v>ACTIVE</v>
      </c>
    </row>
    <row r="2194" ht="22.5" customHeight="1">
      <c r="A2194" s="11" t="str">
        <f t="array" ref="A2194">IFERROR(
  INDEX('Starlink Launches'!$A:$A, MATCH($E2194, 'Starlink Launches'!$B:$B, 0)),
  ""
)
</f>
        <v>6-99</v>
      </c>
      <c r="B2194" s="3" t="s">
        <v>25</v>
      </c>
      <c r="C2194" s="12" t="s">
        <v>2206</v>
      </c>
      <c r="D2194" s="13">
        <v>67180.0</v>
      </c>
      <c r="E2194" s="4">
        <v>46008.0</v>
      </c>
      <c r="F2194" s="4" t="str">
        <f>IF(D2194="","", IFNA(VLOOKUP(D2194, SATCAT_DECAY!A:B, 2, FALSE), ""))
</f>
        <v/>
      </c>
      <c r="G2194" s="3" t="str">
        <f t="shared" si="1"/>
        <v>ACTIVE</v>
      </c>
    </row>
    <row r="2195" ht="22.5" customHeight="1">
      <c r="A2195" s="11" t="str">
        <f t="array" ref="A2195">IFERROR(
  INDEX('Starlink Launches'!$A:$A, MATCH($E2195, 'Starlink Launches'!$B:$B, 0)),
  ""
)
</f>
        <v>6-99</v>
      </c>
      <c r="B2195" s="3" t="s">
        <v>25</v>
      </c>
      <c r="C2195" s="12" t="s">
        <v>2207</v>
      </c>
      <c r="D2195" s="13">
        <v>67181.0</v>
      </c>
      <c r="E2195" s="4">
        <v>46008.0</v>
      </c>
      <c r="F2195" s="4" t="str">
        <f>IF(D2195="","", IFNA(VLOOKUP(D2195, SATCAT_DECAY!A:B, 2, FALSE), ""))
</f>
        <v/>
      </c>
      <c r="G2195" s="3" t="str">
        <f t="shared" si="1"/>
        <v>ACTIVE</v>
      </c>
    </row>
    <row r="2196" ht="22.5" customHeight="1">
      <c r="A2196" s="11" t="str">
        <f t="array" ref="A2196">IFERROR(
  INDEX('Starlink Launches'!$A:$A, MATCH($E2196, 'Starlink Launches'!$B:$B, 0)),
  ""
)
</f>
        <v>6-99</v>
      </c>
      <c r="B2196" s="3" t="s">
        <v>25</v>
      </c>
      <c r="C2196" s="12" t="s">
        <v>2208</v>
      </c>
      <c r="D2196" s="13">
        <v>67182.0</v>
      </c>
      <c r="E2196" s="4">
        <v>46008.0</v>
      </c>
      <c r="F2196" s="4" t="str">
        <f>IF(D2196="","", IFNA(VLOOKUP(D2196, SATCAT_DECAY!A:B, 2, FALSE), ""))
</f>
        <v/>
      </c>
      <c r="G2196" s="3" t="str">
        <f t="shared" si="1"/>
        <v>ACTIVE</v>
      </c>
    </row>
    <row r="2197" ht="22.5" customHeight="1">
      <c r="A2197" s="11" t="str">
        <f t="array" ref="A2197">IFERROR(
  INDEX('Starlink Launches'!$A:$A, MATCH($E2197, 'Starlink Launches'!$B:$B, 0)),
  ""
)
</f>
        <v>6-99</v>
      </c>
      <c r="B2197" s="3" t="s">
        <v>25</v>
      </c>
      <c r="C2197" s="12" t="s">
        <v>2209</v>
      </c>
      <c r="D2197" s="13">
        <v>67183.0</v>
      </c>
      <c r="E2197" s="4">
        <v>46008.0</v>
      </c>
      <c r="F2197" s="4" t="str">
        <f>IF(D2197="","", IFNA(VLOOKUP(D2197, SATCAT_DECAY!A:B, 2, FALSE), ""))
</f>
        <v/>
      </c>
      <c r="G2197" s="3" t="str">
        <f t="shared" si="1"/>
        <v>ACTIVE</v>
      </c>
    </row>
    <row r="2198" ht="22.5" customHeight="1">
      <c r="A2198" s="11" t="str">
        <f t="array" ref="A2198">IFERROR(
  INDEX('Starlink Launches'!$A:$A, MATCH($E2198, 'Starlink Launches'!$B:$B, 0)),
  ""
)
</f>
        <v>6-99</v>
      </c>
      <c r="B2198" s="3" t="s">
        <v>25</v>
      </c>
      <c r="C2198" s="12" t="s">
        <v>2210</v>
      </c>
      <c r="D2198" s="13">
        <v>67184.0</v>
      </c>
      <c r="E2198" s="4">
        <v>46008.0</v>
      </c>
      <c r="F2198" s="4" t="str">
        <f>IF(D2198="","", IFNA(VLOOKUP(D2198, SATCAT_DECAY!A:B, 2, FALSE), ""))
</f>
        <v/>
      </c>
      <c r="G2198" s="3" t="str">
        <f t="shared" si="1"/>
        <v>ACTIVE</v>
      </c>
    </row>
    <row r="2199" ht="22.5" customHeight="1">
      <c r="A2199" s="11" t="str">
        <f t="array" ref="A2199">IFERROR(
  INDEX('Starlink Launches'!$A:$A, MATCH($E2199, 'Starlink Launches'!$B:$B, 0)),
  ""
)
</f>
        <v>6-99</v>
      </c>
      <c r="B2199" s="3" t="s">
        <v>25</v>
      </c>
      <c r="C2199" s="12" t="s">
        <v>2211</v>
      </c>
      <c r="D2199" s="13">
        <v>67185.0</v>
      </c>
      <c r="E2199" s="4">
        <v>46008.0</v>
      </c>
      <c r="F2199" s="4" t="str">
        <f>IF(D2199="","", IFNA(VLOOKUP(D2199, SATCAT_DECAY!A:B, 2, FALSE), ""))
</f>
        <v/>
      </c>
      <c r="G2199" s="3" t="str">
        <f t="shared" si="1"/>
        <v>ACTIVE</v>
      </c>
    </row>
    <row r="2200" ht="22.5" customHeight="1">
      <c r="A2200" s="11" t="str">
        <f t="array" ref="A2200">IFERROR(
  INDEX('Starlink Launches'!$A:$A, MATCH($E2200, 'Starlink Launches'!$B:$B, 0)),
  ""
)
</f>
        <v>6-99</v>
      </c>
      <c r="B2200" s="3" t="s">
        <v>25</v>
      </c>
      <c r="C2200" s="12" t="s">
        <v>2212</v>
      </c>
      <c r="D2200" s="13">
        <v>67186.0</v>
      </c>
      <c r="E2200" s="4">
        <v>46008.0</v>
      </c>
      <c r="F2200" s="4" t="str">
        <f>IF(D2200="","", IFNA(VLOOKUP(D2200, SATCAT_DECAY!A:B, 2, FALSE), ""))
</f>
        <v/>
      </c>
      <c r="G2200" s="3" t="str">
        <f t="shared" si="1"/>
        <v>ACTIVE</v>
      </c>
    </row>
    <row r="2201" ht="22.5" customHeight="1">
      <c r="A2201" s="11" t="str">
        <f t="array" ref="A2201">IFERROR(
  INDEX('Starlink Launches'!$A:$A, MATCH($E2201, 'Starlink Launches'!$B:$B, 0)),
  ""
)
</f>
        <v>6-99</v>
      </c>
      <c r="B2201" s="3" t="s">
        <v>25</v>
      </c>
      <c r="C2201" s="12" t="s">
        <v>2213</v>
      </c>
      <c r="D2201" s="13">
        <v>67187.0</v>
      </c>
      <c r="E2201" s="4">
        <v>46008.0</v>
      </c>
      <c r="F2201" s="4" t="str">
        <f>IF(D2201="","", IFNA(VLOOKUP(D2201, SATCAT_DECAY!A:B, 2, FALSE), ""))
</f>
        <v/>
      </c>
      <c r="G2201" s="3" t="str">
        <f t="shared" si="1"/>
        <v>ACTIVE</v>
      </c>
    </row>
    <row r="2202" ht="22.5" customHeight="1">
      <c r="A2202" s="11" t="str">
        <f t="array" ref="A2202">IFERROR(
  INDEX('Starlink Launches'!$A:$A, MATCH($E2202, 'Starlink Launches'!$B:$B, 0)),
  ""
)
</f>
        <v>6-99</v>
      </c>
      <c r="B2202" s="3" t="s">
        <v>25</v>
      </c>
      <c r="C2202" s="12" t="s">
        <v>2214</v>
      </c>
      <c r="D2202" s="13">
        <v>67188.0</v>
      </c>
      <c r="E2202" s="4">
        <v>46008.0</v>
      </c>
      <c r="F2202" s="4" t="str">
        <f>IF(D2202="","", IFNA(VLOOKUP(D2202, SATCAT_DECAY!A:B, 2, FALSE), ""))
</f>
        <v/>
      </c>
      <c r="G2202" s="3" t="str">
        <f t="shared" si="1"/>
        <v>ACTIVE</v>
      </c>
    </row>
    <row r="2203" ht="22.5" customHeight="1">
      <c r="A2203" s="11" t="str">
        <f t="array" ref="A2203">IFERROR(
  INDEX('Starlink Launches'!$A:$A, MATCH($E2203, 'Starlink Launches'!$B:$B, 0)),
  ""
)
</f>
        <v>6-99</v>
      </c>
      <c r="B2203" s="3" t="s">
        <v>25</v>
      </c>
      <c r="C2203" s="12" t="s">
        <v>2215</v>
      </c>
      <c r="D2203" s="13">
        <v>67189.0</v>
      </c>
      <c r="E2203" s="4">
        <v>46008.0</v>
      </c>
      <c r="F2203" s="4" t="str">
        <f>IF(D2203="","", IFNA(VLOOKUP(D2203, SATCAT_DECAY!A:B, 2, FALSE), ""))
</f>
        <v/>
      </c>
      <c r="G2203" s="3" t="str">
        <f t="shared" si="1"/>
        <v>ACTIVE</v>
      </c>
    </row>
    <row r="2204" ht="22.5" customHeight="1">
      <c r="A2204" s="11" t="str">
        <f t="array" ref="A2204">IFERROR(
  INDEX('Starlink Launches'!$A:$A, MATCH($E2204, 'Starlink Launches'!$B:$B, 0)),
  ""
)
</f>
        <v>6-99</v>
      </c>
      <c r="B2204" s="3" t="s">
        <v>25</v>
      </c>
      <c r="C2204" s="12" t="s">
        <v>2216</v>
      </c>
      <c r="D2204" s="13">
        <v>67190.0</v>
      </c>
      <c r="E2204" s="4">
        <v>46008.0</v>
      </c>
      <c r="F2204" s="4" t="str">
        <f>IF(D2204="","", IFNA(VLOOKUP(D2204, SATCAT_DECAY!A:B, 2, FALSE), ""))
</f>
        <v/>
      </c>
      <c r="G2204" s="3" t="str">
        <f t="shared" si="1"/>
        <v>ACTIVE</v>
      </c>
    </row>
    <row r="2205" ht="22.5" customHeight="1">
      <c r="A2205" s="11" t="str">
        <f t="array" ref="A2205">IFERROR(
  INDEX('Starlink Launches'!$A:$A, MATCH($E2205, 'Starlink Launches'!$B:$B, 0)),
  ""
)
</f>
        <v>6-99</v>
      </c>
      <c r="B2205" s="3" t="s">
        <v>25</v>
      </c>
      <c r="C2205" s="12" t="s">
        <v>2217</v>
      </c>
      <c r="D2205" s="13">
        <v>67191.0</v>
      </c>
      <c r="E2205" s="4">
        <v>46008.0</v>
      </c>
      <c r="F2205" s="4" t="str">
        <f>IF(D2205="","", IFNA(VLOOKUP(D2205, SATCAT_DECAY!A:B, 2, FALSE), ""))
</f>
        <v/>
      </c>
      <c r="G2205" s="3" t="str">
        <f t="shared" si="1"/>
        <v>ACTIVE</v>
      </c>
    </row>
    <row r="2206" ht="22.5" customHeight="1">
      <c r="A2206" s="11" t="str">
        <f t="array" ref="A2206">IFERROR(
  INDEX('Starlink Launches'!$A:$A, MATCH($E2206, 'Starlink Launches'!$B:$B, 0)),
  ""
)
</f>
        <v>6-88</v>
      </c>
      <c r="B2206" s="3" t="s">
        <v>25</v>
      </c>
      <c r="C2206" s="12" t="s">
        <v>2218</v>
      </c>
      <c r="D2206" s="13">
        <v>67305.0</v>
      </c>
      <c r="E2206" s="4">
        <v>46026.0</v>
      </c>
      <c r="F2206" s="4" t="str">
        <f>IF(D2206="","", IFNA(VLOOKUP(D2206, SATCAT_DECAY!A:B, 2, FALSE), ""))
</f>
        <v/>
      </c>
      <c r="G2206" s="3" t="str">
        <f t="shared" si="1"/>
        <v>ACTIVE</v>
      </c>
    </row>
    <row r="2207" ht="22.5" customHeight="1">
      <c r="A2207" s="11" t="str">
        <f t="array" ref="A2207">IFERROR(
  INDEX('Starlink Launches'!$A:$A, MATCH($E2207, 'Starlink Launches'!$B:$B, 0)),
  ""
)
</f>
        <v>6-88</v>
      </c>
      <c r="B2207" s="3" t="s">
        <v>25</v>
      </c>
      <c r="C2207" s="12" t="s">
        <v>2219</v>
      </c>
      <c r="D2207" s="13">
        <v>67306.0</v>
      </c>
      <c r="E2207" s="4">
        <v>46026.0</v>
      </c>
      <c r="F2207" s="4" t="str">
        <f>IF(D2207="","", IFNA(VLOOKUP(D2207, SATCAT_DECAY!A:B, 2, FALSE), ""))
</f>
        <v/>
      </c>
      <c r="G2207" s="3" t="str">
        <f t="shared" si="1"/>
        <v>ACTIVE</v>
      </c>
    </row>
    <row r="2208" ht="22.5" customHeight="1">
      <c r="A2208" s="11" t="str">
        <f t="array" ref="A2208">IFERROR(
  INDEX('Starlink Launches'!$A:$A, MATCH($E2208, 'Starlink Launches'!$B:$B, 0)),
  ""
)
</f>
        <v>6-88</v>
      </c>
      <c r="B2208" s="3" t="s">
        <v>25</v>
      </c>
      <c r="C2208" s="12" t="s">
        <v>2220</v>
      </c>
      <c r="D2208" s="13">
        <v>67307.0</v>
      </c>
      <c r="E2208" s="4">
        <v>46026.0</v>
      </c>
      <c r="F2208" s="4" t="str">
        <f>IF(D2208="","", IFNA(VLOOKUP(D2208, SATCAT_DECAY!A:B, 2, FALSE), ""))
</f>
        <v/>
      </c>
      <c r="G2208" s="3" t="str">
        <f t="shared" si="1"/>
        <v>ACTIVE</v>
      </c>
    </row>
    <row r="2209" ht="22.5" customHeight="1">
      <c r="A2209" s="11" t="str">
        <f t="array" ref="A2209">IFERROR(
  INDEX('Starlink Launches'!$A:$A, MATCH($E2209, 'Starlink Launches'!$B:$B, 0)),
  ""
)
</f>
        <v>6-88</v>
      </c>
      <c r="B2209" s="3" t="s">
        <v>25</v>
      </c>
      <c r="C2209" s="12" t="s">
        <v>2221</v>
      </c>
      <c r="D2209" s="13">
        <v>67308.0</v>
      </c>
      <c r="E2209" s="4">
        <v>46026.0</v>
      </c>
      <c r="F2209" s="4" t="str">
        <f>IF(D2209="","", IFNA(VLOOKUP(D2209, SATCAT_DECAY!A:B, 2, FALSE), ""))
</f>
        <v/>
      </c>
      <c r="G2209" s="3" t="str">
        <f t="shared" si="1"/>
        <v>ACTIVE</v>
      </c>
    </row>
    <row r="2210" ht="22.5" customHeight="1">
      <c r="A2210" s="11" t="str">
        <f t="array" ref="A2210">IFERROR(
  INDEX('Starlink Launches'!$A:$A, MATCH($E2210, 'Starlink Launches'!$B:$B, 0)),
  ""
)
</f>
        <v>6-88</v>
      </c>
      <c r="B2210" s="3" t="s">
        <v>25</v>
      </c>
      <c r="C2210" s="12" t="s">
        <v>2222</v>
      </c>
      <c r="D2210" s="13">
        <v>67309.0</v>
      </c>
      <c r="E2210" s="4">
        <v>46026.0</v>
      </c>
      <c r="F2210" s="4" t="str">
        <f>IF(D2210="","", IFNA(VLOOKUP(D2210, SATCAT_DECAY!A:B, 2, FALSE), ""))
</f>
        <v/>
      </c>
      <c r="G2210" s="3" t="str">
        <f t="shared" si="1"/>
        <v>ACTIVE</v>
      </c>
    </row>
    <row r="2211" ht="22.5" customHeight="1">
      <c r="A2211" s="11" t="str">
        <f t="array" ref="A2211">IFERROR(
  INDEX('Starlink Launches'!$A:$A, MATCH($E2211, 'Starlink Launches'!$B:$B, 0)),
  ""
)
</f>
        <v>6-88</v>
      </c>
      <c r="B2211" s="3" t="s">
        <v>25</v>
      </c>
      <c r="C2211" s="12" t="s">
        <v>2223</v>
      </c>
      <c r="D2211" s="13">
        <v>67310.0</v>
      </c>
      <c r="E2211" s="4">
        <v>46026.0</v>
      </c>
      <c r="F2211" s="4" t="str">
        <f>IF(D2211="","", IFNA(VLOOKUP(D2211, SATCAT_DECAY!A:B, 2, FALSE), ""))
</f>
        <v/>
      </c>
      <c r="G2211" s="3" t="str">
        <f t="shared" si="1"/>
        <v>ACTIVE</v>
      </c>
    </row>
    <row r="2212" ht="22.5" customHeight="1">
      <c r="A2212" s="11" t="str">
        <f t="array" ref="A2212">IFERROR(
  INDEX('Starlink Launches'!$A:$A, MATCH($E2212, 'Starlink Launches'!$B:$B, 0)),
  ""
)
</f>
        <v>6-88</v>
      </c>
      <c r="B2212" s="3" t="s">
        <v>25</v>
      </c>
      <c r="C2212" s="12" t="s">
        <v>2224</v>
      </c>
      <c r="D2212" s="13">
        <v>67311.0</v>
      </c>
      <c r="E2212" s="4">
        <v>46026.0</v>
      </c>
      <c r="F2212" s="4" t="str">
        <f>IF(D2212="","", IFNA(VLOOKUP(D2212, SATCAT_DECAY!A:B, 2, FALSE), ""))
</f>
        <v/>
      </c>
      <c r="G2212" s="3" t="str">
        <f t="shared" si="1"/>
        <v>ACTIVE</v>
      </c>
    </row>
    <row r="2213" ht="22.5" customHeight="1">
      <c r="A2213" s="11" t="str">
        <f t="array" ref="A2213">IFERROR(
  INDEX('Starlink Launches'!$A:$A, MATCH($E2213, 'Starlink Launches'!$B:$B, 0)),
  ""
)
</f>
        <v>6-88</v>
      </c>
      <c r="B2213" s="3" t="s">
        <v>25</v>
      </c>
      <c r="C2213" s="12" t="s">
        <v>2225</v>
      </c>
      <c r="D2213" s="13">
        <v>67312.0</v>
      </c>
      <c r="E2213" s="4">
        <v>46026.0</v>
      </c>
      <c r="F2213" s="4" t="str">
        <f>IF(D2213="","", IFNA(VLOOKUP(D2213, SATCAT_DECAY!A:B, 2, FALSE), ""))
</f>
        <v/>
      </c>
      <c r="G2213" s="3" t="str">
        <f t="shared" si="1"/>
        <v>ACTIVE</v>
      </c>
    </row>
    <row r="2214" ht="22.5" customHeight="1">
      <c r="A2214" s="11" t="str">
        <f t="array" ref="A2214">IFERROR(
  INDEX('Starlink Launches'!$A:$A, MATCH($E2214, 'Starlink Launches'!$B:$B, 0)),
  ""
)
</f>
        <v>6-88</v>
      </c>
      <c r="B2214" s="3" t="s">
        <v>25</v>
      </c>
      <c r="C2214" s="12" t="s">
        <v>2226</v>
      </c>
      <c r="D2214" s="13">
        <v>67313.0</v>
      </c>
      <c r="E2214" s="4">
        <v>46026.0</v>
      </c>
      <c r="F2214" s="4" t="str">
        <f>IF(D2214="","", IFNA(VLOOKUP(D2214, SATCAT_DECAY!A:B, 2, FALSE), ""))
</f>
        <v/>
      </c>
      <c r="G2214" s="3" t="str">
        <f t="shared" si="1"/>
        <v>ACTIVE</v>
      </c>
    </row>
    <row r="2215" ht="22.5" customHeight="1">
      <c r="A2215" s="11" t="str">
        <f t="array" ref="A2215">IFERROR(
  INDEX('Starlink Launches'!$A:$A, MATCH($E2215, 'Starlink Launches'!$B:$B, 0)),
  ""
)
</f>
        <v>6-88</v>
      </c>
      <c r="B2215" s="3" t="s">
        <v>25</v>
      </c>
      <c r="C2215" s="12" t="s">
        <v>2227</v>
      </c>
      <c r="D2215" s="13">
        <v>67314.0</v>
      </c>
      <c r="E2215" s="4">
        <v>46026.0</v>
      </c>
      <c r="F2215" s="4" t="str">
        <f>IF(D2215="","", IFNA(VLOOKUP(D2215, SATCAT_DECAY!A:B, 2, FALSE), ""))
</f>
        <v/>
      </c>
      <c r="G2215" s="3" t="str">
        <f t="shared" si="1"/>
        <v>ACTIVE</v>
      </c>
    </row>
    <row r="2216" ht="22.5" customHeight="1">
      <c r="A2216" s="11" t="str">
        <f t="array" ref="A2216">IFERROR(
  INDEX('Starlink Launches'!$A:$A, MATCH($E2216, 'Starlink Launches'!$B:$B, 0)),
  ""
)
</f>
        <v>6-88</v>
      </c>
      <c r="B2216" s="3" t="s">
        <v>25</v>
      </c>
      <c r="C2216" s="12" t="s">
        <v>2228</v>
      </c>
      <c r="D2216" s="13">
        <v>67315.0</v>
      </c>
      <c r="E2216" s="4">
        <v>46026.0</v>
      </c>
      <c r="F2216" s="4" t="str">
        <f>IF(D2216="","", IFNA(VLOOKUP(D2216, SATCAT_DECAY!A:B, 2, FALSE), ""))
</f>
        <v/>
      </c>
      <c r="G2216" s="3" t="str">
        <f t="shared" si="1"/>
        <v>ACTIVE</v>
      </c>
    </row>
    <row r="2217" ht="22.5" customHeight="1">
      <c r="A2217" s="11" t="str">
        <f t="array" ref="A2217">IFERROR(
  INDEX('Starlink Launches'!$A:$A, MATCH($E2217, 'Starlink Launches'!$B:$B, 0)),
  ""
)
</f>
        <v>6-88</v>
      </c>
      <c r="B2217" s="3" t="s">
        <v>25</v>
      </c>
      <c r="C2217" s="12" t="s">
        <v>2229</v>
      </c>
      <c r="D2217" s="13">
        <v>67316.0</v>
      </c>
      <c r="E2217" s="4">
        <v>46026.0</v>
      </c>
      <c r="F2217" s="4" t="str">
        <f>IF(D2217="","", IFNA(VLOOKUP(D2217, SATCAT_DECAY!A:B, 2, FALSE), ""))
</f>
        <v/>
      </c>
      <c r="G2217" s="3" t="str">
        <f t="shared" si="1"/>
        <v>ACTIVE</v>
      </c>
    </row>
    <row r="2218" ht="22.5" customHeight="1">
      <c r="A2218" s="11" t="str">
        <f t="array" ref="A2218">IFERROR(
  INDEX('Starlink Launches'!$A:$A, MATCH($E2218, 'Starlink Launches'!$B:$B, 0)),
  ""
)
</f>
        <v>6-88</v>
      </c>
      <c r="B2218" s="3" t="s">
        <v>25</v>
      </c>
      <c r="C2218" s="12" t="s">
        <v>2230</v>
      </c>
      <c r="D2218" s="13">
        <v>67317.0</v>
      </c>
      <c r="E2218" s="4">
        <v>46026.0</v>
      </c>
      <c r="F2218" s="4" t="str">
        <f>IF(D2218="","", IFNA(VLOOKUP(D2218, SATCAT_DECAY!A:B, 2, FALSE), ""))
</f>
        <v/>
      </c>
      <c r="G2218" s="3" t="str">
        <f t="shared" si="1"/>
        <v>ACTIVE</v>
      </c>
    </row>
    <row r="2219" ht="22.5" customHeight="1">
      <c r="A2219" s="11" t="str">
        <f t="array" ref="A2219">IFERROR(
  INDEX('Starlink Launches'!$A:$A, MATCH($E2219, 'Starlink Launches'!$B:$B, 0)),
  ""
)
</f>
        <v>6-88</v>
      </c>
      <c r="B2219" s="3" t="s">
        <v>25</v>
      </c>
      <c r="C2219" s="12" t="s">
        <v>2231</v>
      </c>
      <c r="D2219" s="13">
        <v>67318.0</v>
      </c>
      <c r="E2219" s="4">
        <v>46026.0</v>
      </c>
      <c r="F2219" s="4" t="str">
        <f>IF(D2219="","", IFNA(VLOOKUP(D2219, SATCAT_DECAY!A:B, 2, FALSE), ""))
</f>
        <v/>
      </c>
      <c r="G2219" s="3" t="str">
        <f t="shared" si="1"/>
        <v>ACTIVE</v>
      </c>
    </row>
    <row r="2220" ht="22.5" customHeight="1">
      <c r="A2220" s="11" t="str">
        <f t="array" ref="A2220">IFERROR(
  INDEX('Starlink Launches'!$A:$A, MATCH($E2220, 'Starlink Launches'!$B:$B, 0)),
  ""
)
</f>
        <v>6-88</v>
      </c>
      <c r="B2220" s="3" t="s">
        <v>25</v>
      </c>
      <c r="C2220" s="12" t="s">
        <v>2232</v>
      </c>
      <c r="D2220" s="13">
        <v>67319.0</v>
      </c>
      <c r="E2220" s="4">
        <v>46026.0</v>
      </c>
      <c r="F2220" s="4" t="str">
        <f>IF(D2220="","", IFNA(VLOOKUP(D2220, SATCAT_DECAY!A:B, 2, FALSE), ""))
</f>
        <v/>
      </c>
      <c r="G2220" s="3" t="str">
        <f t="shared" si="1"/>
        <v>ACTIVE</v>
      </c>
    </row>
    <row r="2221" ht="22.5" customHeight="1">
      <c r="A2221" s="11" t="str">
        <f t="array" ref="A2221">IFERROR(
  INDEX('Starlink Launches'!$A:$A, MATCH($E2221, 'Starlink Launches'!$B:$B, 0)),
  ""
)
</f>
        <v>6-88</v>
      </c>
      <c r="B2221" s="3" t="s">
        <v>25</v>
      </c>
      <c r="C2221" s="12" t="s">
        <v>2233</v>
      </c>
      <c r="D2221" s="13">
        <v>67320.0</v>
      </c>
      <c r="E2221" s="4">
        <v>46026.0</v>
      </c>
      <c r="F2221" s="4" t="str">
        <f>IF(D2221="","", IFNA(VLOOKUP(D2221, SATCAT_DECAY!A:B, 2, FALSE), ""))
</f>
        <v/>
      </c>
      <c r="G2221" s="3" t="str">
        <f t="shared" si="1"/>
        <v>ACTIVE</v>
      </c>
    </row>
    <row r="2222" ht="22.5" customHeight="1">
      <c r="A2222" s="11" t="str">
        <f t="array" ref="A2222">IFERROR(
  INDEX('Starlink Launches'!$A:$A, MATCH($E2222, 'Starlink Launches'!$B:$B, 0)),
  ""
)
</f>
        <v>6-88</v>
      </c>
      <c r="B2222" s="3" t="s">
        <v>25</v>
      </c>
      <c r="C2222" s="12" t="s">
        <v>2234</v>
      </c>
      <c r="D2222" s="13">
        <v>67321.0</v>
      </c>
      <c r="E2222" s="4">
        <v>46026.0</v>
      </c>
      <c r="F2222" s="4" t="str">
        <f>IF(D2222="","", IFNA(VLOOKUP(D2222, SATCAT_DECAY!A:B, 2, FALSE), ""))
</f>
        <v/>
      </c>
      <c r="G2222" s="3" t="str">
        <f t="shared" si="1"/>
        <v>ACTIVE</v>
      </c>
    </row>
    <row r="2223" ht="22.5" customHeight="1">
      <c r="A2223" s="11" t="str">
        <f t="array" ref="A2223">IFERROR(
  INDEX('Starlink Launches'!$A:$A, MATCH($E2223, 'Starlink Launches'!$B:$B, 0)),
  ""
)
</f>
        <v>6-88</v>
      </c>
      <c r="B2223" s="3" t="s">
        <v>25</v>
      </c>
      <c r="C2223" s="12" t="s">
        <v>2235</v>
      </c>
      <c r="D2223" s="13">
        <v>67322.0</v>
      </c>
      <c r="E2223" s="4">
        <v>46026.0</v>
      </c>
      <c r="F2223" s="4" t="str">
        <f>IF(D2223="","", IFNA(VLOOKUP(D2223, SATCAT_DECAY!A:B, 2, FALSE), ""))
</f>
        <v/>
      </c>
      <c r="G2223" s="3" t="str">
        <f t="shared" si="1"/>
        <v>ACTIVE</v>
      </c>
    </row>
    <row r="2224" ht="22.5" customHeight="1">
      <c r="A2224" s="11" t="str">
        <f t="array" ref="A2224">IFERROR(
  INDEX('Starlink Launches'!$A:$A, MATCH($E2224, 'Starlink Launches'!$B:$B, 0)),
  ""
)
</f>
        <v>6-88</v>
      </c>
      <c r="B2224" s="3" t="s">
        <v>25</v>
      </c>
      <c r="C2224" s="12" t="s">
        <v>2236</v>
      </c>
      <c r="D2224" s="13">
        <v>67323.0</v>
      </c>
      <c r="E2224" s="4">
        <v>46026.0</v>
      </c>
      <c r="F2224" s="4" t="str">
        <f>IF(D2224="","", IFNA(VLOOKUP(D2224, SATCAT_DECAY!A:B, 2, FALSE), ""))
</f>
        <v/>
      </c>
      <c r="G2224" s="3" t="str">
        <f t="shared" si="1"/>
        <v>ACTIVE</v>
      </c>
    </row>
    <row r="2225" ht="22.5" customHeight="1">
      <c r="A2225" s="11" t="str">
        <f t="array" ref="A2225">IFERROR(
  INDEX('Starlink Launches'!$A:$A, MATCH($E2225, 'Starlink Launches'!$B:$B, 0)),
  ""
)
</f>
        <v>6-88</v>
      </c>
      <c r="B2225" s="3" t="s">
        <v>25</v>
      </c>
      <c r="C2225" s="12" t="s">
        <v>2237</v>
      </c>
      <c r="D2225" s="13">
        <v>67324.0</v>
      </c>
      <c r="E2225" s="4">
        <v>46026.0</v>
      </c>
      <c r="F2225" s="4" t="str">
        <f>IF(D2225="","", IFNA(VLOOKUP(D2225, SATCAT_DECAY!A:B, 2, FALSE), ""))
</f>
        <v/>
      </c>
      <c r="G2225" s="3" t="str">
        <f t="shared" si="1"/>
        <v>ACTIVE</v>
      </c>
    </row>
    <row r="2226" ht="22.5" customHeight="1">
      <c r="A2226" s="11" t="str">
        <f t="array" ref="A2226">IFERROR(
  INDEX('Starlink Launches'!$A:$A, MATCH($E2226, 'Starlink Launches'!$B:$B, 0)),
  ""
)
</f>
        <v>6-88</v>
      </c>
      <c r="B2226" s="3" t="s">
        <v>25</v>
      </c>
      <c r="C2226" s="12" t="s">
        <v>2238</v>
      </c>
      <c r="D2226" s="13">
        <v>67325.0</v>
      </c>
      <c r="E2226" s="4">
        <v>46026.0</v>
      </c>
      <c r="F2226" s="4" t="str">
        <f>IF(D2226="","", IFNA(VLOOKUP(D2226, SATCAT_DECAY!A:B, 2, FALSE), ""))
</f>
        <v/>
      </c>
      <c r="G2226" s="3" t="str">
        <f t="shared" si="1"/>
        <v>ACTIVE</v>
      </c>
    </row>
    <row r="2227" ht="22.5" customHeight="1">
      <c r="A2227" s="11" t="str">
        <f t="array" ref="A2227">IFERROR(
  INDEX('Starlink Launches'!$A:$A, MATCH($E2227, 'Starlink Launches'!$B:$B, 0)),
  ""
)
</f>
        <v>6-88</v>
      </c>
      <c r="B2227" s="3" t="s">
        <v>25</v>
      </c>
      <c r="C2227" s="12" t="s">
        <v>2239</v>
      </c>
      <c r="D2227" s="13">
        <v>67326.0</v>
      </c>
      <c r="E2227" s="4">
        <v>46026.0</v>
      </c>
      <c r="F2227" s="4" t="str">
        <f>IF(D2227="","", IFNA(VLOOKUP(D2227, SATCAT_DECAY!A:B, 2, FALSE), ""))
</f>
        <v/>
      </c>
      <c r="G2227" s="3" t="str">
        <f t="shared" si="1"/>
        <v>ACTIVE</v>
      </c>
    </row>
    <row r="2228" ht="22.5" customHeight="1">
      <c r="A2228" s="11" t="str">
        <f t="array" ref="A2228">IFERROR(
  INDEX('Starlink Launches'!$A:$A, MATCH($E2228, 'Starlink Launches'!$B:$B, 0)),
  ""
)
</f>
        <v>6-88</v>
      </c>
      <c r="B2228" s="3" t="s">
        <v>25</v>
      </c>
      <c r="C2228" s="12" t="s">
        <v>2240</v>
      </c>
      <c r="D2228" s="13">
        <v>67327.0</v>
      </c>
      <c r="E2228" s="4">
        <v>46026.0</v>
      </c>
      <c r="F2228" s="4" t="str">
        <f>IF(D2228="","", IFNA(VLOOKUP(D2228, SATCAT_DECAY!A:B, 2, FALSE), ""))
</f>
        <v/>
      </c>
      <c r="G2228" s="3" t="str">
        <f t="shared" si="1"/>
        <v>ACTIVE</v>
      </c>
    </row>
    <row r="2229" ht="22.5" customHeight="1">
      <c r="A2229" s="11" t="str">
        <f t="array" ref="A2229">IFERROR(
  INDEX('Starlink Launches'!$A:$A, MATCH($E2229, 'Starlink Launches'!$B:$B, 0)),
  ""
)
</f>
        <v>6-88</v>
      </c>
      <c r="B2229" s="3" t="s">
        <v>25</v>
      </c>
      <c r="C2229" s="12" t="s">
        <v>2241</v>
      </c>
      <c r="D2229" s="13">
        <v>67328.0</v>
      </c>
      <c r="E2229" s="4">
        <v>46026.0</v>
      </c>
      <c r="F2229" s="4" t="str">
        <f>IF(D2229="","", IFNA(VLOOKUP(D2229, SATCAT_DECAY!A:B, 2, FALSE), ""))
</f>
        <v/>
      </c>
      <c r="G2229" s="3" t="str">
        <f t="shared" si="1"/>
        <v>ACTIVE</v>
      </c>
    </row>
    <row r="2230" ht="22.5" customHeight="1">
      <c r="A2230" s="11" t="str">
        <f t="array" ref="A2230">IFERROR(
  INDEX('Starlink Launches'!$A:$A, MATCH($E2230, 'Starlink Launches'!$B:$B, 0)),
  ""
)
</f>
        <v>6-88</v>
      </c>
      <c r="B2230" s="3" t="s">
        <v>25</v>
      </c>
      <c r="C2230" s="12" t="s">
        <v>2242</v>
      </c>
      <c r="D2230" s="13">
        <v>67329.0</v>
      </c>
      <c r="E2230" s="4">
        <v>46026.0</v>
      </c>
      <c r="F2230" s="4" t="str">
        <f>IF(D2230="","", IFNA(VLOOKUP(D2230, SATCAT_DECAY!A:B, 2, FALSE), ""))
</f>
        <v/>
      </c>
      <c r="G2230" s="3" t="str">
        <f t="shared" si="1"/>
        <v>ACTIVE</v>
      </c>
    </row>
    <row r="2231" ht="22.5" customHeight="1">
      <c r="A2231" s="11" t="str">
        <f t="array" ref="A2231">IFERROR(
  INDEX('Starlink Launches'!$A:$A, MATCH($E2231, 'Starlink Launches'!$B:$B, 0)),
  ""
)
</f>
        <v>6-88</v>
      </c>
      <c r="B2231" s="3" t="s">
        <v>25</v>
      </c>
      <c r="C2231" s="12" t="s">
        <v>2243</v>
      </c>
      <c r="D2231" s="13">
        <v>67330.0</v>
      </c>
      <c r="E2231" s="4">
        <v>46026.0</v>
      </c>
      <c r="F2231" s="4" t="str">
        <f>IF(D2231="","", IFNA(VLOOKUP(D2231, SATCAT_DECAY!A:B, 2, FALSE), ""))
</f>
        <v/>
      </c>
      <c r="G2231" s="3" t="str">
        <f t="shared" si="1"/>
        <v>ACTIVE</v>
      </c>
    </row>
    <row r="2232" ht="22.5" customHeight="1">
      <c r="A2232" s="11" t="str">
        <f t="array" ref="A2232">IFERROR(
  INDEX('Starlink Launches'!$A:$A, MATCH($E2232, 'Starlink Launches'!$B:$B, 0)),
  ""
)
</f>
        <v>6-88</v>
      </c>
      <c r="B2232" s="3" t="s">
        <v>25</v>
      </c>
      <c r="C2232" s="12" t="s">
        <v>2244</v>
      </c>
      <c r="D2232" s="13">
        <v>67331.0</v>
      </c>
      <c r="E2232" s="4">
        <v>46026.0</v>
      </c>
      <c r="F2232" s="4" t="str">
        <f>IF(D2232="","", IFNA(VLOOKUP(D2232, SATCAT_DECAY!A:B, 2, FALSE), ""))
</f>
        <v/>
      </c>
      <c r="G2232" s="3" t="str">
        <f t="shared" si="1"/>
        <v>ACTIVE</v>
      </c>
    </row>
    <row r="2233" ht="22.5" customHeight="1">
      <c r="A2233" s="11" t="str">
        <f t="array" ref="A2233">IFERROR(
  INDEX('Starlink Launches'!$A:$A, MATCH($E2233, 'Starlink Launches'!$B:$B, 0)),
  ""
)
</f>
        <v>6-88</v>
      </c>
      <c r="B2233" s="3" t="s">
        <v>25</v>
      </c>
      <c r="C2233" s="12" t="s">
        <v>2245</v>
      </c>
      <c r="D2233" s="13">
        <v>67332.0</v>
      </c>
      <c r="E2233" s="4">
        <v>46026.0</v>
      </c>
      <c r="F2233" s="4" t="str">
        <f>IF(D2233="","", IFNA(VLOOKUP(D2233, SATCAT_DECAY!A:B, 2, FALSE), ""))
</f>
        <v/>
      </c>
      <c r="G2233" s="3" t="str">
        <f t="shared" si="1"/>
        <v>ACTIVE</v>
      </c>
    </row>
    <row r="2234" ht="22.5" customHeight="1">
      <c r="A2234" s="11" t="str">
        <f t="array" ref="A2234">IFERROR(
  INDEX('Starlink Launches'!$A:$A, MATCH($E2234, 'Starlink Launches'!$B:$B, 0)),
  ""
)
</f>
        <v>6-88</v>
      </c>
      <c r="B2234" s="3" t="s">
        <v>25</v>
      </c>
      <c r="C2234" s="12" t="s">
        <v>2246</v>
      </c>
      <c r="D2234" s="13">
        <v>67333.0</v>
      </c>
      <c r="E2234" s="4">
        <v>46026.0</v>
      </c>
      <c r="F2234" s="4" t="str">
        <f>IF(D2234="","", IFNA(VLOOKUP(D2234, SATCAT_DECAY!A:B, 2, FALSE), ""))
</f>
        <v/>
      </c>
      <c r="G2234" s="3" t="str">
        <f t="shared" si="1"/>
        <v>ACTIVE</v>
      </c>
    </row>
    <row r="2235" ht="22.5" customHeight="1">
      <c r="A2235" s="11" t="str">
        <f t="array" ref="A2235">IFERROR(
  INDEX('Starlink Launches'!$A:$A, MATCH($E2235, 'Starlink Launches'!$B:$B, 0)),
  ""
)
</f>
        <v>6-96</v>
      </c>
      <c r="B2235" s="3" t="s">
        <v>25</v>
      </c>
      <c r="C2235" s="12" t="s">
        <v>2247</v>
      </c>
      <c r="D2235" s="13">
        <v>67334.0</v>
      </c>
      <c r="E2235" s="4">
        <v>46031.0</v>
      </c>
      <c r="F2235" s="4" t="str">
        <f>IF(D2235="","", IFNA(VLOOKUP(D2235, SATCAT_DECAY!A:B, 2, FALSE), ""))
</f>
        <v/>
      </c>
      <c r="G2235" s="3" t="str">
        <f t="shared" si="1"/>
        <v>ACTIVE</v>
      </c>
    </row>
    <row r="2236" ht="22.5" customHeight="1">
      <c r="A2236" s="11" t="str">
        <f t="array" ref="A2236">IFERROR(
  INDEX('Starlink Launches'!$A:$A, MATCH($E2236, 'Starlink Launches'!$B:$B, 0)),
  ""
)
</f>
        <v>6-96</v>
      </c>
      <c r="B2236" s="3" t="s">
        <v>25</v>
      </c>
      <c r="C2236" s="12" t="s">
        <v>2248</v>
      </c>
      <c r="D2236" s="13">
        <v>67335.0</v>
      </c>
      <c r="E2236" s="4">
        <v>46031.0</v>
      </c>
      <c r="F2236" s="4" t="str">
        <f>IF(D2236="","", IFNA(VLOOKUP(D2236, SATCAT_DECAY!A:B, 2, FALSE), ""))
</f>
        <v/>
      </c>
      <c r="G2236" s="3" t="str">
        <f t="shared" si="1"/>
        <v>ACTIVE</v>
      </c>
    </row>
    <row r="2237" ht="22.5" customHeight="1">
      <c r="A2237" s="11" t="str">
        <f t="array" ref="A2237">IFERROR(
  INDEX('Starlink Launches'!$A:$A, MATCH($E2237, 'Starlink Launches'!$B:$B, 0)),
  ""
)
</f>
        <v>6-96</v>
      </c>
      <c r="B2237" s="3" t="s">
        <v>25</v>
      </c>
      <c r="C2237" s="12" t="s">
        <v>2249</v>
      </c>
      <c r="D2237" s="13">
        <v>67336.0</v>
      </c>
      <c r="E2237" s="4">
        <v>46031.0</v>
      </c>
      <c r="F2237" s="4" t="str">
        <f>IF(D2237="","", IFNA(VLOOKUP(D2237, SATCAT_DECAY!A:B, 2, FALSE), ""))
</f>
        <v/>
      </c>
      <c r="G2237" s="3" t="str">
        <f t="shared" si="1"/>
        <v>ACTIVE</v>
      </c>
    </row>
    <row r="2238" ht="22.5" customHeight="1">
      <c r="A2238" s="11" t="str">
        <f t="array" ref="A2238">IFERROR(
  INDEX('Starlink Launches'!$A:$A, MATCH($E2238, 'Starlink Launches'!$B:$B, 0)),
  ""
)
</f>
        <v>6-96</v>
      </c>
      <c r="B2238" s="3" t="s">
        <v>25</v>
      </c>
      <c r="C2238" s="12" t="s">
        <v>2250</v>
      </c>
      <c r="D2238" s="13">
        <v>67337.0</v>
      </c>
      <c r="E2238" s="4">
        <v>46031.0</v>
      </c>
      <c r="F2238" s="4" t="str">
        <f>IF(D2238="","", IFNA(VLOOKUP(D2238, SATCAT_DECAY!A:B, 2, FALSE), ""))
</f>
        <v/>
      </c>
      <c r="G2238" s="3" t="str">
        <f t="shared" si="1"/>
        <v>ACTIVE</v>
      </c>
    </row>
    <row r="2239" ht="22.5" customHeight="1">
      <c r="A2239" s="11" t="str">
        <f t="array" ref="A2239">IFERROR(
  INDEX('Starlink Launches'!$A:$A, MATCH($E2239, 'Starlink Launches'!$B:$B, 0)),
  ""
)
</f>
        <v>6-96</v>
      </c>
      <c r="B2239" s="3" t="s">
        <v>25</v>
      </c>
      <c r="C2239" s="12" t="s">
        <v>2251</v>
      </c>
      <c r="D2239" s="13">
        <v>67338.0</v>
      </c>
      <c r="E2239" s="4">
        <v>46031.0</v>
      </c>
      <c r="F2239" s="4" t="str">
        <f>IF(D2239="","", IFNA(VLOOKUP(D2239, SATCAT_DECAY!A:B, 2, FALSE), ""))
</f>
        <v/>
      </c>
      <c r="G2239" s="3" t="str">
        <f t="shared" si="1"/>
        <v>ACTIVE</v>
      </c>
    </row>
    <row r="2240" ht="22.5" customHeight="1">
      <c r="A2240" s="11" t="str">
        <f t="array" ref="A2240">IFERROR(
  INDEX('Starlink Launches'!$A:$A, MATCH($E2240, 'Starlink Launches'!$B:$B, 0)),
  ""
)
</f>
        <v>6-96</v>
      </c>
      <c r="B2240" s="3" t="s">
        <v>25</v>
      </c>
      <c r="C2240" s="12" t="s">
        <v>2252</v>
      </c>
      <c r="D2240" s="13">
        <v>67339.0</v>
      </c>
      <c r="E2240" s="4">
        <v>46031.0</v>
      </c>
      <c r="F2240" s="4" t="str">
        <f>IF(D2240="","", IFNA(VLOOKUP(D2240, SATCAT_DECAY!A:B, 2, FALSE), ""))
</f>
        <v/>
      </c>
      <c r="G2240" s="3" t="str">
        <f t="shared" si="1"/>
        <v>ACTIVE</v>
      </c>
    </row>
    <row r="2241" ht="22.5" customHeight="1">
      <c r="A2241" s="11" t="str">
        <f t="array" ref="A2241">IFERROR(
  INDEX('Starlink Launches'!$A:$A, MATCH($E2241, 'Starlink Launches'!$B:$B, 0)),
  ""
)
</f>
        <v>6-96</v>
      </c>
      <c r="B2241" s="3" t="s">
        <v>25</v>
      </c>
      <c r="C2241" s="12" t="s">
        <v>2253</v>
      </c>
      <c r="D2241" s="13">
        <v>67340.0</v>
      </c>
      <c r="E2241" s="4">
        <v>46031.0</v>
      </c>
      <c r="F2241" s="4" t="str">
        <f>IF(D2241="","", IFNA(VLOOKUP(D2241, SATCAT_DECAY!A:B, 2, FALSE), ""))
</f>
        <v/>
      </c>
      <c r="G2241" s="3" t="str">
        <f t="shared" si="1"/>
        <v>ACTIVE</v>
      </c>
    </row>
    <row r="2242" ht="22.5" customHeight="1">
      <c r="A2242" s="11" t="str">
        <f t="array" ref="A2242">IFERROR(
  INDEX('Starlink Launches'!$A:$A, MATCH($E2242, 'Starlink Launches'!$B:$B, 0)),
  ""
)
</f>
        <v>6-96</v>
      </c>
      <c r="B2242" s="3" t="s">
        <v>25</v>
      </c>
      <c r="C2242" s="12" t="s">
        <v>2254</v>
      </c>
      <c r="D2242" s="13">
        <v>67341.0</v>
      </c>
      <c r="E2242" s="4">
        <v>46031.0</v>
      </c>
      <c r="F2242" s="4" t="str">
        <f>IF(D2242="","", IFNA(VLOOKUP(D2242, SATCAT_DECAY!A:B, 2, FALSE), ""))
</f>
        <v/>
      </c>
      <c r="G2242" s="3" t="str">
        <f t="shared" si="1"/>
        <v>ACTIVE</v>
      </c>
    </row>
    <row r="2243" ht="22.5" customHeight="1">
      <c r="A2243" s="11" t="str">
        <f t="array" ref="A2243">IFERROR(
  INDEX('Starlink Launches'!$A:$A, MATCH($E2243, 'Starlink Launches'!$B:$B, 0)),
  ""
)
</f>
        <v>6-96</v>
      </c>
      <c r="B2243" s="3" t="s">
        <v>25</v>
      </c>
      <c r="C2243" s="12" t="s">
        <v>2255</v>
      </c>
      <c r="D2243" s="13">
        <v>67342.0</v>
      </c>
      <c r="E2243" s="4">
        <v>46031.0</v>
      </c>
      <c r="F2243" s="4" t="str">
        <f>IF(D2243="","", IFNA(VLOOKUP(D2243, SATCAT_DECAY!A:B, 2, FALSE), ""))
</f>
        <v/>
      </c>
      <c r="G2243" s="3" t="str">
        <f t="shared" si="1"/>
        <v>ACTIVE</v>
      </c>
    </row>
    <row r="2244" ht="22.5" customHeight="1">
      <c r="A2244" s="11" t="str">
        <f t="array" ref="A2244">IFERROR(
  INDEX('Starlink Launches'!$A:$A, MATCH($E2244, 'Starlink Launches'!$B:$B, 0)),
  ""
)
</f>
        <v>6-96</v>
      </c>
      <c r="B2244" s="3" t="s">
        <v>25</v>
      </c>
      <c r="C2244" s="12" t="s">
        <v>2256</v>
      </c>
      <c r="D2244" s="13">
        <v>67343.0</v>
      </c>
      <c r="E2244" s="4">
        <v>46031.0</v>
      </c>
      <c r="F2244" s="4" t="str">
        <f>IF(D2244="","", IFNA(VLOOKUP(D2244, SATCAT_DECAY!A:B, 2, FALSE), ""))
</f>
        <v/>
      </c>
      <c r="G2244" s="3" t="str">
        <f t="shared" si="1"/>
        <v>ACTIVE</v>
      </c>
    </row>
    <row r="2245" ht="22.5" customHeight="1">
      <c r="A2245" s="11" t="str">
        <f t="array" ref="A2245">IFERROR(
  INDEX('Starlink Launches'!$A:$A, MATCH($E2245, 'Starlink Launches'!$B:$B, 0)),
  ""
)
</f>
        <v>6-96</v>
      </c>
      <c r="B2245" s="3" t="s">
        <v>25</v>
      </c>
      <c r="C2245" s="12" t="s">
        <v>2257</v>
      </c>
      <c r="D2245" s="13">
        <v>67344.0</v>
      </c>
      <c r="E2245" s="4">
        <v>46031.0</v>
      </c>
      <c r="F2245" s="4" t="str">
        <f>IF(D2245="","", IFNA(VLOOKUP(D2245, SATCAT_DECAY!A:B, 2, FALSE), ""))
</f>
        <v/>
      </c>
      <c r="G2245" s="3" t="str">
        <f t="shared" si="1"/>
        <v>ACTIVE</v>
      </c>
    </row>
    <row r="2246" ht="22.5" customHeight="1">
      <c r="A2246" s="11" t="str">
        <f t="array" ref="A2246">IFERROR(
  INDEX('Starlink Launches'!$A:$A, MATCH($E2246, 'Starlink Launches'!$B:$B, 0)),
  ""
)
</f>
        <v>6-96</v>
      </c>
      <c r="B2246" s="3" t="s">
        <v>25</v>
      </c>
      <c r="C2246" s="12" t="s">
        <v>2258</v>
      </c>
      <c r="D2246" s="13">
        <v>67345.0</v>
      </c>
      <c r="E2246" s="4">
        <v>46031.0</v>
      </c>
      <c r="F2246" s="4" t="str">
        <f>IF(D2246="","", IFNA(VLOOKUP(D2246, SATCAT_DECAY!A:B, 2, FALSE), ""))
</f>
        <v/>
      </c>
      <c r="G2246" s="3" t="str">
        <f t="shared" si="1"/>
        <v>ACTIVE</v>
      </c>
    </row>
    <row r="2247" ht="22.5" customHeight="1">
      <c r="A2247" s="11" t="str">
        <f t="array" ref="A2247">IFERROR(
  INDEX('Starlink Launches'!$A:$A, MATCH($E2247, 'Starlink Launches'!$B:$B, 0)),
  ""
)
</f>
        <v>6-96</v>
      </c>
      <c r="B2247" s="3" t="s">
        <v>25</v>
      </c>
      <c r="C2247" s="12" t="s">
        <v>2259</v>
      </c>
      <c r="D2247" s="13">
        <v>67346.0</v>
      </c>
      <c r="E2247" s="4">
        <v>46031.0</v>
      </c>
      <c r="F2247" s="4" t="str">
        <f>IF(D2247="","", IFNA(VLOOKUP(D2247, SATCAT_DECAY!A:B, 2, FALSE), ""))
</f>
        <v/>
      </c>
      <c r="G2247" s="3" t="str">
        <f t="shared" si="1"/>
        <v>ACTIVE</v>
      </c>
    </row>
    <row r="2248" ht="22.5" customHeight="1">
      <c r="A2248" s="11" t="str">
        <f t="array" ref="A2248">IFERROR(
  INDEX('Starlink Launches'!$A:$A, MATCH($E2248, 'Starlink Launches'!$B:$B, 0)),
  ""
)
</f>
        <v>6-96</v>
      </c>
      <c r="B2248" s="3" t="s">
        <v>25</v>
      </c>
      <c r="C2248" s="12" t="s">
        <v>2260</v>
      </c>
      <c r="D2248" s="13">
        <v>67347.0</v>
      </c>
      <c r="E2248" s="4">
        <v>46031.0</v>
      </c>
      <c r="F2248" s="4" t="str">
        <f>IF(D2248="","", IFNA(VLOOKUP(D2248, SATCAT_DECAY!A:B, 2, FALSE), ""))
</f>
        <v/>
      </c>
      <c r="G2248" s="3" t="str">
        <f t="shared" si="1"/>
        <v>ACTIVE</v>
      </c>
    </row>
    <row r="2249" ht="22.5" customHeight="1">
      <c r="A2249" s="11" t="str">
        <f t="array" ref="A2249">IFERROR(
  INDEX('Starlink Launches'!$A:$A, MATCH($E2249, 'Starlink Launches'!$B:$B, 0)),
  ""
)
</f>
        <v>6-96</v>
      </c>
      <c r="B2249" s="3" t="s">
        <v>25</v>
      </c>
      <c r="C2249" s="12" t="s">
        <v>2261</v>
      </c>
      <c r="D2249" s="13">
        <v>67348.0</v>
      </c>
      <c r="E2249" s="4">
        <v>46031.0</v>
      </c>
      <c r="F2249" s="4" t="str">
        <f>IF(D2249="","", IFNA(VLOOKUP(D2249, SATCAT_DECAY!A:B, 2, FALSE), ""))
</f>
        <v/>
      </c>
      <c r="G2249" s="3" t="str">
        <f t="shared" si="1"/>
        <v>ACTIVE</v>
      </c>
    </row>
    <row r="2250" ht="22.5" customHeight="1">
      <c r="A2250" s="11" t="str">
        <f t="array" ref="A2250">IFERROR(
  INDEX('Starlink Launches'!$A:$A, MATCH($E2250, 'Starlink Launches'!$B:$B, 0)),
  ""
)
</f>
        <v>6-96</v>
      </c>
      <c r="B2250" s="3" t="s">
        <v>25</v>
      </c>
      <c r="C2250" s="12" t="s">
        <v>2262</v>
      </c>
      <c r="D2250" s="13">
        <v>67349.0</v>
      </c>
      <c r="E2250" s="4">
        <v>46031.0</v>
      </c>
      <c r="F2250" s="4" t="str">
        <f>IF(D2250="","", IFNA(VLOOKUP(D2250, SATCAT_DECAY!A:B, 2, FALSE), ""))
</f>
        <v/>
      </c>
      <c r="G2250" s="3" t="str">
        <f t="shared" si="1"/>
        <v>ACTIVE</v>
      </c>
    </row>
    <row r="2251" ht="22.5" customHeight="1">
      <c r="A2251" s="11" t="str">
        <f t="array" ref="A2251">IFERROR(
  INDEX('Starlink Launches'!$A:$A, MATCH($E2251, 'Starlink Launches'!$B:$B, 0)),
  ""
)
</f>
        <v>6-96</v>
      </c>
      <c r="B2251" s="3" t="s">
        <v>25</v>
      </c>
      <c r="C2251" s="12" t="s">
        <v>2263</v>
      </c>
      <c r="D2251" s="13">
        <v>67350.0</v>
      </c>
      <c r="E2251" s="4">
        <v>46031.0</v>
      </c>
      <c r="F2251" s="4" t="str">
        <f>IF(D2251="","", IFNA(VLOOKUP(D2251, SATCAT_DECAY!A:B, 2, FALSE), ""))
</f>
        <v/>
      </c>
      <c r="G2251" s="3" t="str">
        <f t="shared" si="1"/>
        <v>ACTIVE</v>
      </c>
    </row>
    <row r="2252" ht="22.5" customHeight="1">
      <c r="A2252" s="11" t="str">
        <f t="array" ref="A2252">IFERROR(
  INDEX('Starlink Launches'!$A:$A, MATCH($E2252, 'Starlink Launches'!$B:$B, 0)),
  ""
)
</f>
        <v>6-96</v>
      </c>
      <c r="B2252" s="3" t="s">
        <v>25</v>
      </c>
      <c r="C2252" s="12" t="s">
        <v>2264</v>
      </c>
      <c r="D2252" s="13">
        <v>67351.0</v>
      </c>
      <c r="E2252" s="4">
        <v>46031.0</v>
      </c>
      <c r="F2252" s="4" t="str">
        <f>IF(D2252="","", IFNA(VLOOKUP(D2252, SATCAT_DECAY!A:B, 2, FALSE), ""))
</f>
        <v/>
      </c>
      <c r="G2252" s="3" t="str">
        <f t="shared" si="1"/>
        <v>ACTIVE</v>
      </c>
    </row>
    <row r="2253" ht="22.5" customHeight="1">
      <c r="A2253" s="11" t="str">
        <f t="array" ref="A2253">IFERROR(
  INDEX('Starlink Launches'!$A:$A, MATCH($E2253, 'Starlink Launches'!$B:$B, 0)),
  ""
)
</f>
        <v>6-96</v>
      </c>
      <c r="B2253" s="3" t="s">
        <v>25</v>
      </c>
      <c r="C2253" s="12" t="s">
        <v>2265</v>
      </c>
      <c r="D2253" s="13">
        <v>67352.0</v>
      </c>
      <c r="E2253" s="4">
        <v>46031.0</v>
      </c>
      <c r="F2253" s="4" t="str">
        <f>IF(D2253="","", IFNA(VLOOKUP(D2253, SATCAT_DECAY!A:B, 2, FALSE), ""))
</f>
        <v/>
      </c>
      <c r="G2253" s="3" t="str">
        <f t="shared" si="1"/>
        <v>ACTIVE</v>
      </c>
    </row>
    <row r="2254" ht="22.5" customHeight="1">
      <c r="A2254" s="11" t="str">
        <f t="array" ref="A2254">IFERROR(
  INDEX('Starlink Launches'!$A:$A, MATCH($E2254, 'Starlink Launches'!$B:$B, 0)),
  ""
)
</f>
        <v>6-96</v>
      </c>
      <c r="B2254" s="3" t="s">
        <v>25</v>
      </c>
      <c r="C2254" s="12" t="s">
        <v>2266</v>
      </c>
      <c r="D2254" s="13">
        <v>67353.0</v>
      </c>
      <c r="E2254" s="4">
        <v>46031.0</v>
      </c>
      <c r="F2254" s="4" t="str">
        <f>IF(D2254="","", IFNA(VLOOKUP(D2254, SATCAT_DECAY!A:B, 2, FALSE), ""))
</f>
        <v/>
      </c>
      <c r="G2254" s="3" t="str">
        <f t="shared" si="1"/>
        <v>ACTIVE</v>
      </c>
    </row>
    <row r="2255" ht="22.5" customHeight="1">
      <c r="A2255" s="11" t="str">
        <f t="array" ref="A2255">IFERROR(
  INDEX('Starlink Launches'!$A:$A, MATCH($E2255, 'Starlink Launches'!$B:$B, 0)),
  ""
)
</f>
        <v>6-96</v>
      </c>
      <c r="B2255" s="3" t="s">
        <v>25</v>
      </c>
      <c r="C2255" s="12" t="s">
        <v>2267</v>
      </c>
      <c r="D2255" s="13">
        <v>67354.0</v>
      </c>
      <c r="E2255" s="4">
        <v>46031.0</v>
      </c>
      <c r="F2255" s="4" t="str">
        <f>IF(D2255="","", IFNA(VLOOKUP(D2255, SATCAT_DECAY!A:B, 2, FALSE), ""))
</f>
        <v/>
      </c>
      <c r="G2255" s="3" t="str">
        <f t="shared" si="1"/>
        <v>ACTIVE</v>
      </c>
    </row>
    <row r="2256" ht="22.5" customHeight="1">
      <c r="A2256" s="11" t="str">
        <f t="array" ref="A2256">IFERROR(
  INDEX('Starlink Launches'!$A:$A, MATCH($E2256, 'Starlink Launches'!$B:$B, 0)),
  ""
)
</f>
        <v>6-96</v>
      </c>
      <c r="B2256" s="3" t="s">
        <v>25</v>
      </c>
      <c r="C2256" s="12" t="s">
        <v>2268</v>
      </c>
      <c r="D2256" s="13">
        <v>67355.0</v>
      </c>
      <c r="E2256" s="4">
        <v>46031.0</v>
      </c>
      <c r="F2256" s="4" t="str">
        <f>IF(D2256="","", IFNA(VLOOKUP(D2256, SATCAT_DECAY!A:B, 2, FALSE), ""))
</f>
        <v/>
      </c>
      <c r="G2256" s="3" t="str">
        <f t="shared" si="1"/>
        <v>ACTIVE</v>
      </c>
    </row>
    <row r="2257" ht="22.5" customHeight="1">
      <c r="A2257" s="11" t="str">
        <f t="array" ref="A2257">IFERROR(
  INDEX('Starlink Launches'!$A:$A, MATCH($E2257, 'Starlink Launches'!$B:$B, 0)),
  ""
)
</f>
        <v>6-96</v>
      </c>
      <c r="B2257" s="3" t="s">
        <v>25</v>
      </c>
      <c r="C2257" s="12" t="s">
        <v>2269</v>
      </c>
      <c r="D2257" s="13">
        <v>67356.0</v>
      </c>
      <c r="E2257" s="4">
        <v>46031.0</v>
      </c>
      <c r="F2257" s="4" t="str">
        <f>IF(D2257="","", IFNA(VLOOKUP(D2257, SATCAT_DECAY!A:B, 2, FALSE), ""))
</f>
        <v/>
      </c>
      <c r="G2257" s="3" t="str">
        <f t="shared" si="1"/>
        <v>ACTIVE</v>
      </c>
    </row>
    <row r="2258" ht="22.5" customHeight="1">
      <c r="A2258" s="11" t="str">
        <f t="array" ref="A2258">IFERROR(
  INDEX('Starlink Launches'!$A:$A, MATCH($E2258, 'Starlink Launches'!$B:$B, 0)),
  ""
)
</f>
        <v>6-96</v>
      </c>
      <c r="B2258" s="3" t="s">
        <v>25</v>
      </c>
      <c r="C2258" s="12" t="s">
        <v>2270</v>
      </c>
      <c r="D2258" s="13">
        <v>67357.0</v>
      </c>
      <c r="E2258" s="4">
        <v>46031.0</v>
      </c>
      <c r="F2258" s="4" t="str">
        <f>IF(D2258="","", IFNA(VLOOKUP(D2258, SATCAT_DECAY!A:B, 2, FALSE), ""))
</f>
        <v/>
      </c>
      <c r="G2258" s="3" t="str">
        <f t="shared" si="1"/>
        <v>ACTIVE</v>
      </c>
    </row>
    <row r="2259" ht="22.5" customHeight="1">
      <c r="A2259" s="11" t="str">
        <f t="array" ref="A2259">IFERROR(
  INDEX('Starlink Launches'!$A:$A, MATCH($E2259, 'Starlink Launches'!$B:$B, 0)),
  ""
)
</f>
        <v>6-96</v>
      </c>
      <c r="B2259" s="3" t="s">
        <v>25</v>
      </c>
      <c r="C2259" s="12" t="s">
        <v>2271</v>
      </c>
      <c r="D2259" s="13">
        <v>67358.0</v>
      </c>
      <c r="E2259" s="4">
        <v>46031.0</v>
      </c>
      <c r="F2259" s="4" t="str">
        <f>IF(D2259="","", IFNA(VLOOKUP(D2259, SATCAT_DECAY!A:B, 2, FALSE), ""))
</f>
        <v/>
      </c>
      <c r="G2259" s="3" t="str">
        <f t="shared" si="1"/>
        <v>ACTIVE</v>
      </c>
    </row>
    <row r="2260" ht="22.5" customHeight="1">
      <c r="A2260" s="11" t="str">
        <f t="array" ref="A2260">IFERROR(
  INDEX('Starlink Launches'!$A:$A, MATCH($E2260, 'Starlink Launches'!$B:$B, 0)),
  ""
)
</f>
        <v>6-96</v>
      </c>
      <c r="B2260" s="3" t="s">
        <v>25</v>
      </c>
      <c r="C2260" s="12" t="s">
        <v>2272</v>
      </c>
      <c r="D2260" s="13">
        <v>67359.0</v>
      </c>
      <c r="E2260" s="4">
        <v>46031.0</v>
      </c>
      <c r="F2260" s="4" t="str">
        <f>IF(D2260="","", IFNA(VLOOKUP(D2260, SATCAT_DECAY!A:B, 2, FALSE), ""))
</f>
        <v/>
      </c>
      <c r="G2260" s="3" t="str">
        <f t="shared" si="1"/>
        <v>ACTIVE</v>
      </c>
    </row>
    <row r="2261" ht="22.5" customHeight="1">
      <c r="A2261" s="11" t="str">
        <f t="array" ref="A2261">IFERROR(
  INDEX('Starlink Launches'!$A:$A, MATCH($E2261, 'Starlink Launches'!$B:$B, 0)),
  ""
)
</f>
        <v>6-96</v>
      </c>
      <c r="B2261" s="3" t="s">
        <v>25</v>
      </c>
      <c r="C2261" s="12" t="s">
        <v>2273</v>
      </c>
      <c r="D2261" s="13">
        <v>67360.0</v>
      </c>
      <c r="E2261" s="4">
        <v>46031.0</v>
      </c>
      <c r="F2261" s="4" t="str">
        <f>IF(D2261="","", IFNA(VLOOKUP(D2261, SATCAT_DECAY!A:B, 2, FALSE), ""))
</f>
        <v/>
      </c>
      <c r="G2261" s="3" t="str">
        <f t="shared" si="1"/>
        <v>ACTIVE</v>
      </c>
    </row>
    <row r="2262" ht="22.5" customHeight="1">
      <c r="A2262" s="11" t="str">
        <f t="array" ref="A2262">IFERROR(
  INDEX('Starlink Launches'!$A:$A, MATCH($E2262, 'Starlink Launches'!$B:$B, 0)),
  ""
)
</f>
        <v>6-96</v>
      </c>
      <c r="B2262" s="3" t="s">
        <v>25</v>
      </c>
      <c r="C2262" s="12" t="s">
        <v>2274</v>
      </c>
      <c r="D2262" s="13">
        <v>67361.0</v>
      </c>
      <c r="E2262" s="4">
        <v>46031.0</v>
      </c>
      <c r="F2262" s="4" t="str">
        <f>IF(D2262="","", IFNA(VLOOKUP(D2262, SATCAT_DECAY!A:B, 2, FALSE), ""))
</f>
        <v/>
      </c>
      <c r="G2262" s="3" t="str">
        <f t="shared" si="1"/>
        <v>ACTIVE</v>
      </c>
    </row>
    <row r="2263" ht="22.5" customHeight="1">
      <c r="A2263" s="11" t="str">
        <f t="array" ref="A2263">IFERROR(
  INDEX('Starlink Launches'!$A:$A, MATCH($E2263, 'Starlink Launches'!$B:$B, 0)),
  ""
)
</f>
        <v>6-96</v>
      </c>
      <c r="B2263" s="3" t="s">
        <v>25</v>
      </c>
      <c r="C2263" s="12" t="s">
        <v>2275</v>
      </c>
      <c r="D2263" s="13">
        <v>67362.0</v>
      </c>
      <c r="E2263" s="4">
        <v>46031.0</v>
      </c>
      <c r="F2263" s="4" t="str">
        <f>IF(D2263="","", IFNA(VLOOKUP(D2263, SATCAT_DECAY!A:B, 2, FALSE), ""))
</f>
        <v/>
      </c>
      <c r="G2263" s="3" t="str">
        <f t="shared" si="1"/>
        <v>ACTIVE</v>
      </c>
    </row>
    <row r="2264" ht="22.5" customHeight="1">
      <c r="A2264" s="11" t="str">
        <f t="array" ref="A2264">IFERROR(
  INDEX('Starlink Launches'!$A:$A, MATCH($E2264, 'Starlink Launches'!$B:$B, 0)),
  ""
)
</f>
        <v>6-97</v>
      </c>
      <c r="B2264" s="3" t="s">
        <v>25</v>
      </c>
      <c r="C2264" s="12" t="s">
        <v>2276</v>
      </c>
      <c r="D2264" s="13">
        <v>67404.0</v>
      </c>
      <c r="E2264" s="4">
        <v>46034.0</v>
      </c>
      <c r="F2264" s="4" t="str">
        <f>IF(D2264="","", IFNA(VLOOKUP(D2264, SATCAT_DECAY!A:B, 2, FALSE), ""))
</f>
        <v/>
      </c>
      <c r="G2264" s="3" t="str">
        <f t="shared" si="1"/>
        <v>ACTIVE</v>
      </c>
    </row>
    <row r="2265" ht="22.5" customHeight="1">
      <c r="A2265" s="11" t="str">
        <f t="array" ref="A2265">IFERROR(
  INDEX('Starlink Launches'!$A:$A, MATCH($E2265, 'Starlink Launches'!$B:$B, 0)),
  ""
)
</f>
        <v>6-97</v>
      </c>
      <c r="B2265" s="3" t="s">
        <v>25</v>
      </c>
      <c r="C2265" s="12" t="s">
        <v>2277</v>
      </c>
      <c r="D2265" s="13">
        <v>67405.0</v>
      </c>
      <c r="E2265" s="4">
        <v>46034.0</v>
      </c>
      <c r="F2265" s="4" t="str">
        <f>IF(D2265="","", IFNA(VLOOKUP(D2265, SATCAT_DECAY!A:B, 2, FALSE), ""))
</f>
        <v/>
      </c>
      <c r="G2265" s="3" t="str">
        <f t="shared" si="1"/>
        <v>ACTIVE</v>
      </c>
    </row>
    <row r="2266" ht="22.5" customHeight="1">
      <c r="A2266" s="11" t="str">
        <f t="array" ref="A2266">IFERROR(
  INDEX('Starlink Launches'!$A:$A, MATCH($E2266, 'Starlink Launches'!$B:$B, 0)),
  ""
)
</f>
        <v>6-97</v>
      </c>
      <c r="B2266" s="3" t="s">
        <v>25</v>
      </c>
      <c r="C2266" s="12" t="s">
        <v>2278</v>
      </c>
      <c r="D2266" s="13">
        <v>67406.0</v>
      </c>
      <c r="E2266" s="4">
        <v>46034.0</v>
      </c>
      <c r="F2266" s="4" t="str">
        <f>IF(D2266="","", IFNA(VLOOKUP(D2266, SATCAT_DECAY!A:B, 2, FALSE), ""))
</f>
        <v/>
      </c>
      <c r="G2266" s="3" t="str">
        <f t="shared" si="1"/>
        <v>ACTIVE</v>
      </c>
    </row>
    <row r="2267" ht="22.5" customHeight="1">
      <c r="A2267" s="11" t="str">
        <f t="array" ref="A2267">IFERROR(
  INDEX('Starlink Launches'!$A:$A, MATCH($E2267, 'Starlink Launches'!$B:$B, 0)),
  ""
)
</f>
        <v>6-97</v>
      </c>
      <c r="B2267" s="3" t="s">
        <v>25</v>
      </c>
      <c r="C2267" s="12" t="s">
        <v>2279</v>
      </c>
      <c r="D2267" s="13">
        <v>67407.0</v>
      </c>
      <c r="E2267" s="4">
        <v>46034.0</v>
      </c>
      <c r="F2267" s="4" t="str">
        <f>IF(D2267="","", IFNA(VLOOKUP(D2267, SATCAT_DECAY!A:B, 2, FALSE), ""))
</f>
        <v/>
      </c>
      <c r="G2267" s="3" t="str">
        <f t="shared" si="1"/>
        <v>ACTIVE</v>
      </c>
    </row>
    <row r="2268" ht="22.5" customHeight="1">
      <c r="A2268" s="11" t="str">
        <f t="array" ref="A2268">IFERROR(
  INDEX('Starlink Launches'!$A:$A, MATCH($E2268, 'Starlink Launches'!$B:$B, 0)),
  ""
)
</f>
        <v>6-97</v>
      </c>
      <c r="B2268" s="3" t="s">
        <v>25</v>
      </c>
      <c r="C2268" s="12" t="s">
        <v>2280</v>
      </c>
      <c r="D2268" s="13">
        <v>67408.0</v>
      </c>
      <c r="E2268" s="4">
        <v>46034.0</v>
      </c>
      <c r="F2268" s="4" t="str">
        <f>IF(D2268="","", IFNA(VLOOKUP(D2268, SATCAT_DECAY!A:B, 2, FALSE), ""))
</f>
        <v/>
      </c>
      <c r="G2268" s="3" t="str">
        <f t="shared" si="1"/>
        <v>ACTIVE</v>
      </c>
    </row>
    <row r="2269" ht="22.5" customHeight="1">
      <c r="A2269" s="11" t="str">
        <f t="array" ref="A2269">IFERROR(
  INDEX('Starlink Launches'!$A:$A, MATCH($E2269, 'Starlink Launches'!$B:$B, 0)),
  ""
)
</f>
        <v>6-97</v>
      </c>
      <c r="B2269" s="3" t="s">
        <v>25</v>
      </c>
      <c r="C2269" s="12" t="s">
        <v>2281</v>
      </c>
      <c r="D2269" s="13">
        <v>67409.0</v>
      </c>
      <c r="E2269" s="4">
        <v>46034.0</v>
      </c>
      <c r="F2269" s="4" t="str">
        <f>IF(D2269="","", IFNA(VLOOKUP(D2269, SATCAT_DECAY!A:B, 2, FALSE), ""))
</f>
        <v/>
      </c>
      <c r="G2269" s="3" t="str">
        <f t="shared" si="1"/>
        <v>ACTIVE</v>
      </c>
    </row>
    <row r="2270" ht="22.5" customHeight="1">
      <c r="A2270" s="11" t="str">
        <f t="array" ref="A2270">IFERROR(
  INDEX('Starlink Launches'!$A:$A, MATCH($E2270, 'Starlink Launches'!$B:$B, 0)),
  ""
)
</f>
        <v>6-97</v>
      </c>
      <c r="B2270" s="3" t="s">
        <v>25</v>
      </c>
      <c r="C2270" s="12" t="s">
        <v>2282</v>
      </c>
      <c r="D2270" s="13">
        <v>67410.0</v>
      </c>
      <c r="E2270" s="4">
        <v>46034.0</v>
      </c>
      <c r="F2270" s="4" t="str">
        <f>IF(D2270="","", IFNA(VLOOKUP(D2270, SATCAT_DECAY!A:B, 2, FALSE), ""))
</f>
        <v/>
      </c>
      <c r="G2270" s="3" t="str">
        <f t="shared" si="1"/>
        <v>ACTIVE</v>
      </c>
    </row>
    <row r="2271" ht="22.5" customHeight="1">
      <c r="A2271" s="11" t="str">
        <f t="array" ref="A2271">IFERROR(
  INDEX('Starlink Launches'!$A:$A, MATCH($E2271, 'Starlink Launches'!$B:$B, 0)),
  ""
)
</f>
        <v>6-97</v>
      </c>
      <c r="B2271" s="3" t="s">
        <v>25</v>
      </c>
      <c r="C2271" s="12" t="s">
        <v>2283</v>
      </c>
      <c r="D2271" s="13">
        <v>67411.0</v>
      </c>
      <c r="E2271" s="4">
        <v>46034.0</v>
      </c>
      <c r="F2271" s="4" t="str">
        <f>IF(D2271="","", IFNA(VLOOKUP(D2271, SATCAT_DECAY!A:B, 2, FALSE), ""))
</f>
        <v/>
      </c>
      <c r="G2271" s="3" t="str">
        <f t="shared" si="1"/>
        <v>ACTIVE</v>
      </c>
    </row>
    <row r="2272" ht="22.5" customHeight="1">
      <c r="A2272" s="11" t="str">
        <f t="array" ref="A2272">IFERROR(
  INDEX('Starlink Launches'!$A:$A, MATCH($E2272, 'Starlink Launches'!$B:$B, 0)),
  ""
)
</f>
        <v>6-97</v>
      </c>
      <c r="B2272" s="3" t="s">
        <v>25</v>
      </c>
      <c r="C2272" s="12" t="s">
        <v>2284</v>
      </c>
      <c r="D2272" s="13">
        <v>67412.0</v>
      </c>
      <c r="E2272" s="4">
        <v>46034.0</v>
      </c>
      <c r="F2272" s="4" t="str">
        <f>IF(D2272="","", IFNA(VLOOKUP(D2272, SATCAT_DECAY!A:B, 2, FALSE), ""))
</f>
        <v/>
      </c>
      <c r="G2272" s="3" t="str">
        <f t="shared" si="1"/>
        <v>ACTIVE</v>
      </c>
    </row>
    <row r="2273" ht="22.5" customHeight="1">
      <c r="A2273" s="11" t="str">
        <f t="array" ref="A2273">IFERROR(
  INDEX('Starlink Launches'!$A:$A, MATCH($E2273, 'Starlink Launches'!$B:$B, 0)),
  ""
)
</f>
        <v>6-97</v>
      </c>
      <c r="B2273" s="3" t="s">
        <v>25</v>
      </c>
      <c r="C2273" s="12" t="s">
        <v>2285</v>
      </c>
      <c r="D2273" s="13">
        <v>67413.0</v>
      </c>
      <c r="E2273" s="4">
        <v>46034.0</v>
      </c>
      <c r="F2273" s="4" t="str">
        <f>IF(D2273="","", IFNA(VLOOKUP(D2273, SATCAT_DECAY!A:B, 2, FALSE), ""))
</f>
        <v/>
      </c>
      <c r="G2273" s="3" t="str">
        <f t="shared" si="1"/>
        <v>ACTIVE</v>
      </c>
    </row>
    <row r="2274" ht="22.5" customHeight="1">
      <c r="A2274" s="11" t="str">
        <f t="array" ref="A2274">IFERROR(
  INDEX('Starlink Launches'!$A:$A, MATCH($E2274, 'Starlink Launches'!$B:$B, 0)),
  ""
)
</f>
        <v>6-97</v>
      </c>
      <c r="B2274" s="3" t="s">
        <v>25</v>
      </c>
      <c r="C2274" s="12" t="s">
        <v>2286</v>
      </c>
      <c r="D2274" s="13">
        <v>67414.0</v>
      </c>
      <c r="E2274" s="4">
        <v>46034.0</v>
      </c>
      <c r="F2274" s="4" t="str">
        <f>IF(D2274="","", IFNA(VLOOKUP(D2274, SATCAT_DECAY!A:B, 2, FALSE), ""))
</f>
        <v/>
      </c>
      <c r="G2274" s="3" t="str">
        <f t="shared" si="1"/>
        <v>ACTIVE</v>
      </c>
    </row>
    <row r="2275" ht="22.5" customHeight="1">
      <c r="A2275" s="11" t="str">
        <f t="array" ref="A2275">IFERROR(
  INDEX('Starlink Launches'!$A:$A, MATCH($E2275, 'Starlink Launches'!$B:$B, 0)),
  ""
)
</f>
        <v>6-97</v>
      </c>
      <c r="B2275" s="3" t="s">
        <v>25</v>
      </c>
      <c r="C2275" s="12" t="s">
        <v>2287</v>
      </c>
      <c r="D2275" s="13">
        <v>67415.0</v>
      </c>
      <c r="E2275" s="4">
        <v>46034.0</v>
      </c>
      <c r="F2275" s="4" t="str">
        <f>IF(D2275="","", IFNA(VLOOKUP(D2275, SATCAT_DECAY!A:B, 2, FALSE), ""))
</f>
        <v/>
      </c>
      <c r="G2275" s="3" t="str">
        <f t="shared" si="1"/>
        <v>ACTIVE</v>
      </c>
    </row>
    <row r="2276" ht="22.5" customHeight="1">
      <c r="A2276" s="11" t="str">
        <f t="array" ref="A2276">IFERROR(
  INDEX('Starlink Launches'!$A:$A, MATCH($E2276, 'Starlink Launches'!$B:$B, 0)),
  ""
)
</f>
        <v>6-97</v>
      </c>
      <c r="B2276" s="3" t="s">
        <v>25</v>
      </c>
      <c r="C2276" s="12" t="s">
        <v>2288</v>
      </c>
      <c r="D2276" s="13">
        <v>67416.0</v>
      </c>
      <c r="E2276" s="4">
        <v>46034.0</v>
      </c>
      <c r="F2276" s="4" t="str">
        <f>IF(D2276="","", IFNA(VLOOKUP(D2276, SATCAT_DECAY!A:B, 2, FALSE), ""))
</f>
        <v/>
      </c>
      <c r="G2276" s="3" t="str">
        <f t="shared" si="1"/>
        <v>ACTIVE</v>
      </c>
    </row>
    <row r="2277" ht="22.5" customHeight="1">
      <c r="A2277" s="11" t="str">
        <f t="array" ref="A2277">IFERROR(
  INDEX('Starlink Launches'!$A:$A, MATCH($E2277, 'Starlink Launches'!$B:$B, 0)),
  ""
)
</f>
        <v>6-97</v>
      </c>
      <c r="B2277" s="3" t="s">
        <v>25</v>
      </c>
      <c r="C2277" s="12" t="s">
        <v>2289</v>
      </c>
      <c r="D2277" s="13">
        <v>67417.0</v>
      </c>
      <c r="E2277" s="4">
        <v>46034.0</v>
      </c>
      <c r="F2277" s="4" t="str">
        <f>IF(D2277="","", IFNA(VLOOKUP(D2277, SATCAT_DECAY!A:B, 2, FALSE), ""))
</f>
        <v/>
      </c>
      <c r="G2277" s="3" t="str">
        <f t="shared" si="1"/>
        <v>ACTIVE</v>
      </c>
    </row>
    <row r="2278" ht="22.5" customHeight="1">
      <c r="A2278" s="11" t="str">
        <f t="array" ref="A2278">IFERROR(
  INDEX('Starlink Launches'!$A:$A, MATCH($E2278, 'Starlink Launches'!$B:$B, 0)),
  ""
)
</f>
        <v>6-97</v>
      </c>
      <c r="B2278" s="3" t="s">
        <v>25</v>
      </c>
      <c r="C2278" s="12" t="s">
        <v>2290</v>
      </c>
      <c r="D2278" s="13">
        <v>67418.0</v>
      </c>
      <c r="E2278" s="4">
        <v>46034.0</v>
      </c>
      <c r="F2278" s="4" t="str">
        <f>IF(D2278="","", IFNA(VLOOKUP(D2278, SATCAT_DECAY!A:B, 2, FALSE), ""))
</f>
        <v/>
      </c>
      <c r="G2278" s="3" t="str">
        <f t="shared" si="1"/>
        <v>ACTIVE</v>
      </c>
    </row>
    <row r="2279" ht="22.5" customHeight="1">
      <c r="A2279" s="11" t="str">
        <f t="array" ref="A2279">IFERROR(
  INDEX('Starlink Launches'!$A:$A, MATCH($E2279, 'Starlink Launches'!$B:$B, 0)),
  ""
)
</f>
        <v>6-97</v>
      </c>
      <c r="B2279" s="3" t="s">
        <v>25</v>
      </c>
      <c r="C2279" s="12" t="s">
        <v>2291</v>
      </c>
      <c r="D2279" s="13">
        <v>67419.0</v>
      </c>
      <c r="E2279" s="4">
        <v>46034.0</v>
      </c>
      <c r="F2279" s="4" t="str">
        <f>IF(D2279="","", IFNA(VLOOKUP(D2279, SATCAT_DECAY!A:B, 2, FALSE), ""))
</f>
        <v/>
      </c>
      <c r="G2279" s="3" t="str">
        <f t="shared" si="1"/>
        <v>ACTIVE</v>
      </c>
    </row>
    <row r="2280" ht="22.5" customHeight="1">
      <c r="A2280" s="11" t="str">
        <f t="array" ref="A2280">IFERROR(
  INDEX('Starlink Launches'!$A:$A, MATCH($E2280, 'Starlink Launches'!$B:$B, 0)),
  ""
)
</f>
        <v>6-97</v>
      </c>
      <c r="B2280" s="3" t="s">
        <v>25</v>
      </c>
      <c r="C2280" s="12" t="s">
        <v>2292</v>
      </c>
      <c r="D2280" s="13">
        <v>67420.0</v>
      </c>
      <c r="E2280" s="4">
        <v>46034.0</v>
      </c>
      <c r="F2280" s="4" t="str">
        <f>IF(D2280="","", IFNA(VLOOKUP(D2280, SATCAT_DECAY!A:B, 2, FALSE), ""))
</f>
        <v/>
      </c>
      <c r="G2280" s="3" t="str">
        <f t="shared" si="1"/>
        <v>ACTIVE</v>
      </c>
    </row>
    <row r="2281" ht="22.5" customHeight="1">
      <c r="A2281" s="11" t="str">
        <f t="array" ref="A2281">IFERROR(
  INDEX('Starlink Launches'!$A:$A, MATCH($E2281, 'Starlink Launches'!$B:$B, 0)),
  ""
)
</f>
        <v>6-97</v>
      </c>
      <c r="B2281" s="3" t="s">
        <v>25</v>
      </c>
      <c r="C2281" s="12" t="s">
        <v>2293</v>
      </c>
      <c r="D2281" s="13">
        <v>67421.0</v>
      </c>
      <c r="E2281" s="4">
        <v>46034.0</v>
      </c>
      <c r="F2281" s="4" t="str">
        <f>IF(D2281="","", IFNA(VLOOKUP(D2281, SATCAT_DECAY!A:B, 2, FALSE), ""))
</f>
        <v/>
      </c>
      <c r="G2281" s="3" t="str">
        <f t="shared" si="1"/>
        <v>ACTIVE</v>
      </c>
    </row>
    <row r="2282" ht="22.5" customHeight="1">
      <c r="A2282" s="11" t="str">
        <f t="array" ref="A2282">IFERROR(
  INDEX('Starlink Launches'!$A:$A, MATCH($E2282, 'Starlink Launches'!$B:$B, 0)),
  ""
)
</f>
        <v>6-97</v>
      </c>
      <c r="B2282" s="3" t="s">
        <v>25</v>
      </c>
      <c r="C2282" s="12" t="s">
        <v>2294</v>
      </c>
      <c r="D2282" s="13">
        <v>67422.0</v>
      </c>
      <c r="E2282" s="4">
        <v>46034.0</v>
      </c>
      <c r="F2282" s="4" t="str">
        <f>IF(D2282="","", IFNA(VLOOKUP(D2282, SATCAT_DECAY!A:B, 2, FALSE), ""))
</f>
        <v/>
      </c>
      <c r="G2282" s="3" t="str">
        <f t="shared" si="1"/>
        <v>ACTIVE</v>
      </c>
    </row>
    <row r="2283" ht="22.5" customHeight="1">
      <c r="A2283" s="11" t="str">
        <f t="array" ref="A2283">IFERROR(
  INDEX('Starlink Launches'!$A:$A, MATCH($E2283, 'Starlink Launches'!$B:$B, 0)),
  ""
)
</f>
        <v>6-97</v>
      </c>
      <c r="B2283" s="3" t="s">
        <v>25</v>
      </c>
      <c r="C2283" s="12" t="s">
        <v>2295</v>
      </c>
      <c r="D2283" s="13">
        <v>67423.0</v>
      </c>
      <c r="E2283" s="4">
        <v>46034.0</v>
      </c>
      <c r="F2283" s="4" t="str">
        <f>IF(D2283="","", IFNA(VLOOKUP(D2283, SATCAT_DECAY!A:B, 2, FALSE), ""))
</f>
        <v/>
      </c>
      <c r="G2283" s="3" t="str">
        <f t="shared" si="1"/>
        <v>ACTIVE</v>
      </c>
    </row>
    <row r="2284" ht="22.5" customHeight="1">
      <c r="A2284" s="11" t="str">
        <f t="array" ref="A2284">IFERROR(
  INDEX('Starlink Launches'!$A:$A, MATCH($E2284, 'Starlink Launches'!$B:$B, 0)),
  ""
)
</f>
        <v>6-97</v>
      </c>
      <c r="B2284" s="3" t="s">
        <v>25</v>
      </c>
      <c r="C2284" s="12" t="s">
        <v>2296</v>
      </c>
      <c r="D2284" s="13">
        <v>67424.0</v>
      </c>
      <c r="E2284" s="4">
        <v>46034.0</v>
      </c>
      <c r="F2284" s="4" t="str">
        <f>IF(D2284="","", IFNA(VLOOKUP(D2284, SATCAT_DECAY!A:B, 2, FALSE), ""))
</f>
        <v/>
      </c>
      <c r="G2284" s="3" t="str">
        <f t="shared" si="1"/>
        <v>ACTIVE</v>
      </c>
    </row>
    <row r="2285" ht="22.5" customHeight="1">
      <c r="A2285" s="11" t="str">
        <f t="array" ref="A2285">IFERROR(
  INDEX('Starlink Launches'!$A:$A, MATCH($E2285, 'Starlink Launches'!$B:$B, 0)),
  ""
)
</f>
        <v>6-97</v>
      </c>
      <c r="B2285" s="3" t="s">
        <v>25</v>
      </c>
      <c r="C2285" s="12" t="s">
        <v>2297</v>
      </c>
      <c r="D2285" s="13">
        <v>67425.0</v>
      </c>
      <c r="E2285" s="4">
        <v>46034.0</v>
      </c>
      <c r="F2285" s="4" t="str">
        <f>IF(D2285="","", IFNA(VLOOKUP(D2285, SATCAT_DECAY!A:B, 2, FALSE), ""))
</f>
        <v/>
      </c>
      <c r="G2285" s="3" t="str">
        <f t="shared" si="1"/>
        <v>ACTIVE</v>
      </c>
    </row>
    <row r="2286" ht="22.5" customHeight="1">
      <c r="A2286" s="11" t="str">
        <f t="array" ref="A2286">IFERROR(
  INDEX('Starlink Launches'!$A:$A, MATCH($E2286, 'Starlink Launches'!$B:$B, 0)),
  ""
)
</f>
        <v>6-97</v>
      </c>
      <c r="B2286" s="3" t="s">
        <v>25</v>
      </c>
      <c r="C2286" s="12" t="s">
        <v>2298</v>
      </c>
      <c r="D2286" s="13">
        <v>67426.0</v>
      </c>
      <c r="E2286" s="4">
        <v>46034.0</v>
      </c>
      <c r="F2286" s="4" t="str">
        <f>IF(D2286="","", IFNA(VLOOKUP(D2286, SATCAT_DECAY!A:B, 2, FALSE), ""))
</f>
        <v/>
      </c>
      <c r="G2286" s="3" t="str">
        <f t="shared" si="1"/>
        <v>ACTIVE</v>
      </c>
    </row>
    <row r="2287" ht="22.5" customHeight="1">
      <c r="A2287" s="11" t="str">
        <f t="array" ref="A2287">IFERROR(
  INDEX('Starlink Launches'!$A:$A, MATCH($E2287, 'Starlink Launches'!$B:$B, 0)),
  ""
)
</f>
        <v>6-97</v>
      </c>
      <c r="B2287" s="3" t="s">
        <v>25</v>
      </c>
      <c r="C2287" s="12" t="s">
        <v>2299</v>
      </c>
      <c r="D2287" s="13">
        <v>67427.0</v>
      </c>
      <c r="E2287" s="4">
        <v>46034.0</v>
      </c>
      <c r="F2287" s="4" t="str">
        <f>IF(D2287="","", IFNA(VLOOKUP(D2287, SATCAT_DECAY!A:B, 2, FALSE), ""))
</f>
        <v/>
      </c>
      <c r="G2287" s="3" t="str">
        <f t="shared" si="1"/>
        <v>ACTIVE</v>
      </c>
    </row>
    <row r="2288" ht="22.5" customHeight="1">
      <c r="A2288" s="11" t="str">
        <f t="array" ref="A2288">IFERROR(
  INDEX('Starlink Launches'!$A:$A, MATCH($E2288, 'Starlink Launches'!$B:$B, 0)),
  ""
)
</f>
        <v>6-97</v>
      </c>
      <c r="B2288" s="3" t="s">
        <v>25</v>
      </c>
      <c r="C2288" s="12" t="s">
        <v>2300</v>
      </c>
      <c r="D2288" s="13">
        <v>67428.0</v>
      </c>
      <c r="E2288" s="4">
        <v>46034.0</v>
      </c>
      <c r="F2288" s="4" t="str">
        <f>IF(D2288="","", IFNA(VLOOKUP(D2288, SATCAT_DECAY!A:B, 2, FALSE), ""))
</f>
        <v/>
      </c>
      <c r="G2288" s="3" t="str">
        <f t="shared" si="1"/>
        <v>ACTIVE</v>
      </c>
    </row>
    <row r="2289" ht="22.5" customHeight="1">
      <c r="A2289" s="11" t="str">
        <f t="array" ref="A2289">IFERROR(
  INDEX('Starlink Launches'!$A:$A, MATCH($E2289, 'Starlink Launches'!$B:$B, 0)),
  ""
)
</f>
        <v>6-97</v>
      </c>
      <c r="B2289" s="3" t="s">
        <v>25</v>
      </c>
      <c r="C2289" s="12" t="s">
        <v>2301</v>
      </c>
      <c r="D2289" s="13">
        <v>67429.0</v>
      </c>
      <c r="E2289" s="4">
        <v>46034.0</v>
      </c>
      <c r="F2289" s="4" t="str">
        <f>IF(D2289="","", IFNA(VLOOKUP(D2289, SATCAT_DECAY!A:B, 2, FALSE), ""))
</f>
        <v/>
      </c>
      <c r="G2289" s="3" t="str">
        <f t="shared" si="1"/>
        <v>ACTIVE</v>
      </c>
    </row>
    <row r="2290" ht="22.5" customHeight="1">
      <c r="A2290" s="11" t="str">
        <f t="array" ref="A2290">IFERROR(
  INDEX('Starlink Launches'!$A:$A, MATCH($E2290, 'Starlink Launches'!$B:$B, 0)),
  ""
)
</f>
        <v>6-97</v>
      </c>
      <c r="B2290" s="3" t="s">
        <v>25</v>
      </c>
      <c r="C2290" s="12" t="s">
        <v>2302</v>
      </c>
      <c r="D2290" s="13">
        <v>67430.0</v>
      </c>
      <c r="E2290" s="4">
        <v>46034.0</v>
      </c>
      <c r="F2290" s="4" t="str">
        <f>IF(D2290="","", IFNA(VLOOKUP(D2290, SATCAT_DECAY!A:B, 2, FALSE), ""))
</f>
        <v/>
      </c>
      <c r="G2290" s="3" t="str">
        <f t="shared" si="1"/>
        <v>ACTIVE</v>
      </c>
    </row>
    <row r="2291" ht="22.5" customHeight="1">
      <c r="A2291" s="11" t="str">
        <f t="array" ref="A2291">IFERROR(
  INDEX('Starlink Launches'!$A:$A, MATCH($E2291, 'Starlink Launches'!$B:$B, 0)),
  ""
)
</f>
        <v>6-97</v>
      </c>
      <c r="B2291" s="3" t="s">
        <v>25</v>
      </c>
      <c r="C2291" s="12" t="s">
        <v>2303</v>
      </c>
      <c r="D2291" s="13">
        <v>67431.0</v>
      </c>
      <c r="E2291" s="4">
        <v>46034.0</v>
      </c>
      <c r="F2291" s="4" t="str">
        <f>IF(D2291="","", IFNA(VLOOKUP(D2291, SATCAT_DECAY!A:B, 2, FALSE), ""))
</f>
        <v/>
      </c>
      <c r="G2291" s="3" t="str">
        <f t="shared" si="1"/>
        <v>ACTIVE</v>
      </c>
    </row>
    <row r="2292" ht="22.5" customHeight="1">
      <c r="A2292" s="11" t="str">
        <f t="array" ref="A2292">IFERROR(
  INDEX('Starlink Launches'!$A:$A, MATCH($E2292, 'Starlink Launches'!$B:$B, 0)),
  ""
)
</f>
        <v>6-97</v>
      </c>
      <c r="B2292" s="3" t="s">
        <v>25</v>
      </c>
      <c r="C2292" s="12" t="s">
        <v>2304</v>
      </c>
      <c r="D2292" s="13">
        <v>67432.0</v>
      </c>
      <c r="E2292" s="4">
        <v>46034.0</v>
      </c>
      <c r="F2292" s="4" t="str">
        <f>IF(D2292="","", IFNA(VLOOKUP(D2292, SATCAT_DECAY!A:B, 2, FALSE), ""))
</f>
        <v/>
      </c>
      <c r="G2292" s="3" t="str">
        <f t="shared" si="1"/>
        <v>ACTIVE</v>
      </c>
    </row>
    <row r="2293" ht="22.5" customHeight="1">
      <c r="A2293" s="11" t="str">
        <f t="array" ref="A2293">IFERROR(
  INDEX('Starlink Launches'!$A:$A, MATCH($E2293, 'Starlink Launches'!$B:$B, 0)),
  ""
)
</f>
        <v>6-98</v>
      </c>
      <c r="B2293" s="3" t="s">
        <v>25</v>
      </c>
      <c r="C2293" s="12" t="s">
        <v>2305</v>
      </c>
      <c r="D2293" s="13">
        <v>67445.0</v>
      </c>
      <c r="E2293" s="4">
        <v>46036.0</v>
      </c>
      <c r="F2293" s="4" t="str">
        <f>IF(D2293="","", IFNA(VLOOKUP(D2293, SATCAT_DECAY!A:B, 2, FALSE), ""))
</f>
        <v/>
      </c>
      <c r="G2293" s="3" t="str">
        <f t="shared" si="1"/>
        <v>ACTIVE</v>
      </c>
    </row>
    <row r="2294" ht="22.5" customHeight="1">
      <c r="A2294" s="11" t="str">
        <f t="array" ref="A2294">IFERROR(
  INDEX('Starlink Launches'!$A:$A, MATCH($E2294, 'Starlink Launches'!$B:$B, 0)),
  ""
)
</f>
        <v>6-98</v>
      </c>
      <c r="B2294" s="3" t="s">
        <v>25</v>
      </c>
      <c r="C2294" s="12" t="s">
        <v>2306</v>
      </c>
      <c r="D2294" s="13">
        <v>67446.0</v>
      </c>
      <c r="E2294" s="4">
        <v>46036.0</v>
      </c>
      <c r="F2294" s="4" t="str">
        <f>IF(D2294="","", IFNA(VLOOKUP(D2294, SATCAT_DECAY!A:B, 2, FALSE), ""))
</f>
        <v/>
      </c>
      <c r="G2294" s="3" t="str">
        <f t="shared" si="1"/>
        <v>ACTIVE</v>
      </c>
    </row>
    <row r="2295" ht="22.5" customHeight="1">
      <c r="A2295" s="11" t="str">
        <f t="array" ref="A2295">IFERROR(
  INDEX('Starlink Launches'!$A:$A, MATCH($E2295, 'Starlink Launches'!$B:$B, 0)),
  ""
)
</f>
        <v>6-98</v>
      </c>
      <c r="B2295" s="3" t="s">
        <v>25</v>
      </c>
      <c r="C2295" s="12" t="s">
        <v>2307</v>
      </c>
      <c r="D2295" s="13">
        <v>67447.0</v>
      </c>
      <c r="E2295" s="4">
        <v>46036.0</v>
      </c>
      <c r="F2295" s="4" t="str">
        <f>IF(D2295="","", IFNA(VLOOKUP(D2295, SATCAT_DECAY!A:B, 2, FALSE), ""))
</f>
        <v/>
      </c>
      <c r="G2295" s="3" t="str">
        <f t="shared" si="1"/>
        <v>ACTIVE</v>
      </c>
    </row>
    <row r="2296" ht="22.5" customHeight="1">
      <c r="A2296" s="11" t="str">
        <f t="array" ref="A2296">IFERROR(
  INDEX('Starlink Launches'!$A:$A, MATCH($E2296, 'Starlink Launches'!$B:$B, 0)),
  ""
)
</f>
        <v>6-98</v>
      </c>
      <c r="B2296" s="3" t="s">
        <v>25</v>
      </c>
      <c r="C2296" s="12" t="s">
        <v>2308</v>
      </c>
      <c r="D2296" s="13">
        <v>67448.0</v>
      </c>
      <c r="E2296" s="4">
        <v>46036.0</v>
      </c>
      <c r="F2296" s="4" t="str">
        <f>IF(D2296="","", IFNA(VLOOKUP(D2296, SATCAT_DECAY!A:B, 2, FALSE), ""))
</f>
        <v/>
      </c>
      <c r="G2296" s="3" t="str">
        <f t="shared" si="1"/>
        <v>ACTIVE</v>
      </c>
    </row>
    <row r="2297" ht="22.5" customHeight="1">
      <c r="A2297" s="11" t="str">
        <f t="array" ref="A2297">IFERROR(
  INDEX('Starlink Launches'!$A:$A, MATCH($E2297, 'Starlink Launches'!$B:$B, 0)),
  ""
)
</f>
        <v>6-98</v>
      </c>
      <c r="B2297" s="3" t="s">
        <v>25</v>
      </c>
      <c r="C2297" s="12" t="s">
        <v>2309</v>
      </c>
      <c r="D2297" s="13">
        <v>67449.0</v>
      </c>
      <c r="E2297" s="4">
        <v>46036.0</v>
      </c>
      <c r="F2297" s="4" t="str">
        <f>IF(D2297="","", IFNA(VLOOKUP(D2297, SATCAT_DECAY!A:B, 2, FALSE), ""))
</f>
        <v/>
      </c>
      <c r="G2297" s="3" t="str">
        <f t="shared" si="1"/>
        <v>ACTIVE</v>
      </c>
    </row>
    <row r="2298" ht="22.5" customHeight="1">
      <c r="A2298" s="11" t="str">
        <f t="array" ref="A2298">IFERROR(
  INDEX('Starlink Launches'!$A:$A, MATCH($E2298, 'Starlink Launches'!$B:$B, 0)),
  ""
)
</f>
        <v>6-98</v>
      </c>
      <c r="B2298" s="3" t="s">
        <v>25</v>
      </c>
      <c r="C2298" s="12" t="s">
        <v>2310</v>
      </c>
      <c r="D2298" s="13">
        <v>67450.0</v>
      </c>
      <c r="E2298" s="4">
        <v>46036.0</v>
      </c>
      <c r="F2298" s="4" t="str">
        <f>IF(D2298="","", IFNA(VLOOKUP(D2298, SATCAT_DECAY!A:B, 2, FALSE), ""))
</f>
        <v/>
      </c>
      <c r="G2298" s="3" t="str">
        <f t="shared" si="1"/>
        <v>ACTIVE</v>
      </c>
    </row>
    <row r="2299" ht="22.5" customHeight="1">
      <c r="A2299" s="11" t="str">
        <f t="array" ref="A2299">IFERROR(
  INDEX('Starlink Launches'!$A:$A, MATCH($E2299, 'Starlink Launches'!$B:$B, 0)),
  ""
)
</f>
        <v>6-98</v>
      </c>
      <c r="B2299" s="3" t="s">
        <v>25</v>
      </c>
      <c r="C2299" s="12" t="s">
        <v>2311</v>
      </c>
      <c r="D2299" s="13">
        <v>67451.0</v>
      </c>
      <c r="E2299" s="4">
        <v>46036.0</v>
      </c>
      <c r="F2299" s="4" t="str">
        <f>IF(D2299="","", IFNA(VLOOKUP(D2299, SATCAT_DECAY!A:B, 2, FALSE), ""))
</f>
        <v/>
      </c>
      <c r="G2299" s="3" t="str">
        <f t="shared" si="1"/>
        <v>ACTIVE</v>
      </c>
    </row>
    <row r="2300" ht="22.5" customHeight="1">
      <c r="A2300" s="11" t="str">
        <f t="array" ref="A2300">IFERROR(
  INDEX('Starlink Launches'!$A:$A, MATCH($E2300, 'Starlink Launches'!$B:$B, 0)),
  ""
)
</f>
        <v>6-98</v>
      </c>
      <c r="B2300" s="3" t="s">
        <v>25</v>
      </c>
      <c r="C2300" s="12" t="s">
        <v>2312</v>
      </c>
      <c r="D2300" s="13">
        <v>67452.0</v>
      </c>
      <c r="E2300" s="4">
        <v>46036.0</v>
      </c>
      <c r="F2300" s="4" t="str">
        <f>IF(D2300="","", IFNA(VLOOKUP(D2300, SATCAT_DECAY!A:B, 2, FALSE), ""))
</f>
        <v/>
      </c>
      <c r="G2300" s="3" t="str">
        <f t="shared" si="1"/>
        <v>ACTIVE</v>
      </c>
    </row>
    <row r="2301" ht="22.5" customHeight="1">
      <c r="A2301" s="11" t="str">
        <f t="array" ref="A2301">IFERROR(
  INDEX('Starlink Launches'!$A:$A, MATCH($E2301, 'Starlink Launches'!$B:$B, 0)),
  ""
)
</f>
        <v>6-98</v>
      </c>
      <c r="B2301" s="3" t="s">
        <v>25</v>
      </c>
      <c r="C2301" s="12" t="s">
        <v>2313</v>
      </c>
      <c r="D2301" s="13">
        <v>67453.0</v>
      </c>
      <c r="E2301" s="4">
        <v>46036.0</v>
      </c>
      <c r="F2301" s="4" t="str">
        <f>IF(D2301="","", IFNA(VLOOKUP(D2301, SATCAT_DECAY!A:B, 2, FALSE), ""))
</f>
        <v/>
      </c>
      <c r="G2301" s="3" t="str">
        <f t="shared" si="1"/>
        <v>ACTIVE</v>
      </c>
    </row>
    <row r="2302" ht="22.5" customHeight="1">
      <c r="A2302" s="11" t="str">
        <f t="array" ref="A2302">IFERROR(
  INDEX('Starlink Launches'!$A:$A, MATCH($E2302, 'Starlink Launches'!$B:$B, 0)),
  ""
)
</f>
        <v>6-98</v>
      </c>
      <c r="B2302" s="3" t="s">
        <v>25</v>
      </c>
      <c r="C2302" s="12" t="s">
        <v>2314</v>
      </c>
      <c r="D2302" s="13">
        <v>67454.0</v>
      </c>
      <c r="E2302" s="4">
        <v>46036.0</v>
      </c>
      <c r="F2302" s="4" t="str">
        <f>IF(D2302="","", IFNA(VLOOKUP(D2302, SATCAT_DECAY!A:B, 2, FALSE), ""))
</f>
        <v/>
      </c>
      <c r="G2302" s="3" t="str">
        <f t="shared" si="1"/>
        <v>ACTIVE</v>
      </c>
    </row>
    <row r="2303" ht="22.5" customHeight="1">
      <c r="A2303" s="11" t="str">
        <f t="array" ref="A2303">IFERROR(
  INDEX('Starlink Launches'!$A:$A, MATCH($E2303, 'Starlink Launches'!$B:$B, 0)),
  ""
)
</f>
        <v>6-98</v>
      </c>
      <c r="B2303" s="3" t="s">
        <v>25</v>
      </c>
      <c r="C2303" s="12" t="s">
        <v>2315</v>
      </c>
      <c r="D2303" s="13">
        <v>67455.0</v>
      </c>
      <c r="E2303" s="4">
        <v>46036.0</v>
      </c>
      <c r="F2303" s="4" t="str">
        <f>IF(D2303="","", IFNA(VLOOKUP(D2303, SATCAT_DECAY!A:B, 2, FALSE), ""))
</f>
        <v/>
      </c>
      <c r="G2303" s="3" t="str">
        <f t="shared" si="1"/>
        <v>ACTIVE</v>
      </c>
    </row>
    <row r="2304" ht="22.5" customHeight="1">
      <c r="A2304" s="11" t="str">
        <f t="array" ref="A2304">IFERROR(
  INDEX('Starlink Launches'!$A:$A, MATCH($E2304, 'Starlink Launches'!$B:$B, 0)),
  ""
)
</f>
        <v>6-98</v>
      </c>
      <c r="B2304" s="3" t="s">
        <v>25</v>
      </c>
      <c r="C2304" s="12" t="s">
        <v>2316</v>
      </c>
      <c r="D2304" s="13">
        <v>67456.0</v>
      </c>
      <c r="E2304" s="4">
        <v>46036.0</v>
      </c>
      <c r="F2304" s="4" t="str">
        <f>IF(D2304="","", IFNA(VLOOKUP(D2304, SATCAT_DECAY!A:B, 2, FALSE), ""))
</f>
        <v/>
      </c>
      <c r="G2304" s="3" t="str">
        <f t="shared" si="1"/>
        <v>ACTIVE</v>
      </c>
    </row>
    <row r="2305" ht="22.5" customHeight="1">
      <c r="A2305" s="11" t="str">
        <f t="array" ref="A2305">IFERROR(
  INDEX('Starlink Launches'!$A:$A, MATCH($E2305, 'Starlink Launches'!$B:$B, 0)),
  ""
)
</f>
        <v>6-98</v>
      </c>
      <c r="B2305" s="3" t="s">
        <v>25</v>
      </c>
      <c r="C2305" s="12" t="s">
        <v>2317</v>
      </c>
      <c r="D2305" s="13">
        <v>67457.0</v>
      </c>
      <c r="E2305" s="4">
        <v>46036.0</v>
      </c>
      <c r="F2305" s="4" t="str">
        <f>IF(D2305="","", IFNA(VLOOKUP(D2305, SATCAT_DECAY!A:B, 2, FALSE), ""))
</f>
        <v/>
      </c>
      <c r="G2305" s="3" t="str">
        <f t="shared" si="1"/>
        <v>ACTIVE</v>
      </c>
    </row>
    <row r="2306" ht="22.5" customHeight="1">
      <c r="A2306" s="11" t="str">
        <f t="array" ref="A2306">IFERROR(
  INDEX('Starlink Launches'!$A:$A, MATCH($E2306, 'Starlink Launches'!$B:$B, 0)),
  ""
)
</f>
        <v>6-98</v>
      </c>
      <c r="B2306" s="3" t="s">
        <v>25</v>
      </c>
      <c r="C2306" s="12" t="s">
        <v>2318</v>
      </c>
      <c r="D2306" s="13">
        <v>67458.0</v>
      </c>
      <c r="E2306" s="4">
        <v>46036.0</v>
      </c>
      <c r="F2306" s="4" t="str">
        <f>IF(D2306="","", IFNA(VLOOKUP(D2306, SATCAT_DECAY!A:B, 2, FALSE), ""))
</f>
        <v/>
      </c>
      <c r="G2306" s="3" t="str">
        <f t="shared" si="1"/>
        <v>ACTIVE</v>
      </c>
    </row>
    <row r="2307" ht="22.5" customHeight="1">
      <c r="A2307" s="11" t="str">
        <f t="array" ref="A2307">IFERROR(
  INDEX('Starlink Launches'!$A:$A, MATCH($E2307, 'Starlink Launches'!$B:$B, 0)),
  ""
)
</f>
        <v>6-98</v>
      </c>
      <c r="B2307" s="3" t="s">
        <v>25</v>
      </c>
      <c r="C2307" s="12" t="s">
        <v>2319</v>
      </c>
      <c r="D2307" s="13">
        <v>67459.0</v>
      </c>
      <c r="E2307" s="4">
        <v>46036.0</v>
      </c>
      <c r="F2307" s="4" t="str">
        <f>IF(D2307="","", IFNA(VLOOKUP(D2307, SATCAT_DECAY!A:B, 2, FALSE), ""))
</f>
        <v/>
      </c>
      <c r="G2307" s="3" t="str">
        <f t="shared" si="1"/>
        <v>ACTIVE</v>
      </c>
    </row>
    <row r="2308" ht="22.5" customHeight="1">
      <c r="A2308" s="11" t="str">
        <f t="array" ref="A2308">IFERROR(
  INDEX('Starlink Launches'!$A:$A, MATCH($E2308, 'Starlink Launches'!$B:$B, 0)),
  ""
)
</f>
        <v>6-98</v>
      </c>
      <c r="B2308" s="3" t="s">
        <v>25</v>
      </c>
      <c r="C2308" s="12" t="s">
        <v>2320</v>
      </c>
      <c r="D2308" s="13">
        <v>67460.0</v>
      </c>
      <c r="E2308" s="4">
        <v>46036.0</v>
      </c>
      <c r="F2308" s="4" t="str">
        <f>IF(D2308="","", IFNA(VLOOKUP(D2308, SATCAT_DECAY!A:B, 2, FALSE), ""))
</f>
        <v/>
      </c>
      <c r="G2308" s="3" t="str">
        <f t="shared" si="1"/>
        <v>ACTIVE</v>
      </c>
    </row>
    <row r="2309" ht="22.5" customHeight="1">
      <c r="A2309" s="11" t="str">
        <f t="array" ref="A2309">IFERROR(
  INDEX('Starlink Launches'!$A:$A, MATCH($E2309, 'Starlink Launches'!$B:$B, 0)),
  ""
)
</f>
        <v>6-98</v>
      </c>
      <c r="B2309" s="3" t="s">
        <v>25</v>
      </c>
      <c r="C2309" s="12" t="s">
        <v>2321</v>
      </c>
      <c r="D2309" s="13">
        <v>67461.0</v>
      </c>
      <c r="E2309" s="4">
        <v>46036.0</v>
      </c>
      <c r="F2309" s="4" t="str">
        <f>IF(D2309="","", IFNA(VLOOKUP(D2309, SATCAT_DECAY!A:B, 2, FALSE), ""))
</f>
        <v/>
      </c>
      <c r="G2309" s="3" t="str">
        <f t="shared" si="1"/>
        <v>ACTIVE</v>
      </c>
    </row>
    <row r="2310" ht="22.5" customHeight="1">
      <c r="A2310" s="11" t="str">
        <f t="array" ref="A2310">IFERROR(
  INDEX('Starlink Launches'!$A:$A, MATCH($E2310, 'Starlink Launches'!$B:$B, 0)),
  ""
)
</f>
        <v>6-98</v>
      </c>
      <c r="B2310" s="3" t="s">
        <v>25</v>
      </c>
      <c r="C2310" s="12" t="s">
        <v>2322</v>
      </c>
      <c r="D2310" s="13">
        <v>67462.0</v>
      </c>
      <c r="E2310" s="4">
        <v>46036.0</v>
      </c>
      <c r="F2310" s="4" t="str">
        <f>IF(D2310="","", IFNA(VLOOKUP(D2310, SATCAT_DECAY!A:B, 2, FALSE), ""))
</f>
        <v/>
      </c>
      <c r="G2310" s="3" t="str">
        <f t="shared" si="1"/>
        <v>ACTIVE</v>
      </c>
    </row>
    <row r="2311" ht="22.5" customHeight="1">
      <c r="A2311" s="11" t="str">
        <f t="array" ref="A2311">IFERROR(
  INDEX('Starlink Launches'!$A:$A, MATCH($E2311, 'Starlink Launches'!$B:$B, 0)),
  ""
)
</f>
        <v>6-98</v>
      </c>
      <c r="B2311" s="3" t="s">
        <v>25</v>
      </c>
      <c r="C2311" s="12" t="s">
        <v>2323</v>
      </c>
      <c r="D2311" s="13">
        <v>67463.0</v>
      </c>
      <c r="E2311" s="4">
        <v>46036.0</v>
      </c>
      <c r="F2311" s="4" t="str">
        <f>IF(D2311="","", IFNA(VLOOKUP(D2311, SATCAT_DECAY!A:B, 2, FALSE), ""))
</f>
        <v/>
      </c>
      <c r="G2311" s="3" t="str">
        <f t="shared" si="1"/>
        <v>ACTIVE</v>
      </c>
    </row>
    <row r="2312" ht="22.5" customHeight="1">
      <c r="A2312" s="11" t="str">
        <f t="array" ref="A2312">IFERROR(
  INDEX('Starlink Launches'!$A:$A, MATCH($E2312, 'Starlink Launches'!$B:$B, 0)),
  ""
)
</f>
        <v>6-98</v>
      </c>
      <c r="B2312" s="3" t="s">
        <v>25</v>
      </c>
      <c r="C2312" s="12" t="s">
        <v>2324</v>
      </c>
      <c r="D2312" s="13">
        <v>67464.0</v>
      </c>
      <c r="E2312" s="4">
        <v>46036.0</v>
      </c>
      <c r="F2312" s="4" t="str">
        <f>IF(D2312="","", IFNA(VLOOKUP(D2312, SATCAT_DECAY!A:B, 2, FALSE), ""))
</f>
        <v/>
      </c>
      <c r="G2312" s="3" t="str">
        <f t="shared" si="1"/>
        <v>ACTIVE</v>
      </c>
    </row>
    <row r="2313" ht="22.5" customHeight="1">
      <c r="A2313" s="11" t="str">
        <f t="array" ref="A2313">IFERROR(
  INDEX('Starlink Launches'!$A:$A, MATCH($E2313, 'Starlink Launches'!$B:$B, 0)),
  ""
)
</f>
        <v>6-98</v>
      </c>
      <c r="B2313" s="3" t="s">
        <v>25</v>
      </c>
      <c r="C2313" s="12" t="s">
        <v>2325</v>
      </c>
      <c r="D2313" s="13">
        <v>67465.0</v>
      </c>
      <c r="E2313" s="4">
        <v>46036.0</v>
      </c>
      <c r="F2313" s="4" t="str">
        <f>IF(D2313="","", IFNA(VLOOKUP(D2313, SATCAT_DECAY!A:B, 2, FALSE), ""))
</f>
        <v/>
      </c>
      <c r="G2313" s="3" t="str">
        <f t="shared" si="1"/>
        <v>ACTIVE</v>
      </c>
    </row>
    <row r="2314" ht="22.5" customHeight="1">
      <c r="A2314" s="11" t="str">
        <f t="array" ref="A2314">IFERROR(
  INDEX('Starlink Launches'!$A:$A, MATCH($E2314, 'Starlink Launches'!$B:$B, 0)),
  ""
)
</f>
        <v>6-98</v>
      </c>
      <c r="B2314" s="3" t="s">
        <v>25</v>
      </c>
      <c r="C2314" s="12" t="s">
        <v>2326</v>
      </c>
      <c r="D2314" s="13">
        <v>67466.0</v>
      </c>
      <c r="E2314" s="4">
        <v>46036.0</v>
      </c>
      <c r="F2314" s="4" t="str">
        <f>IF(D2314="","", IFNA(VLOOKUP(D2314, SATCAT_DECAY!A:B, 2, FALSE), ""))
</f>
        <v/>
      </c>
      <c r="G2314" s="3" t="str">
        <f t="shared" si="1"/>
        <v>ACTIVE</v>
      </c>
    </row>
    <row r="2315" ht="22.5" customHeight="1">
      <c r="A2315" s="11" t="str">
        <f t="array" ref="A2315">IFERROR(
  INDEX('Starlink Launches'!$A:$A, MATCH($E2315, 'Starlink Launches'!$B:$B, 0)),
  ""
)
</f>
        <v>6-98</v>
      </c>
      <c r="B2315" s="3" t="s">
        <v>25</v>
      </c>
      <c r="C2315" s="12" t="s">
        <v>2327</v>
      </c>
      <c r="D2315" s="13">
        <v>67467.0</v>
      </c>
      <c r="E2315" s="4">
        <v>46036.0</v>
      </c>
      <c r="F2315" s="4" t="str">
        <f>IF(D2315="","", IFNA(VLOOKUP(D2315, SATCAT_DECAY!A:B, 2, FALSE), ""))
</f>
        <v/>
      </c>
      <c r="G2315" s="3" t="str">
        <f t="shared" si="1"/>
        <v>ACTIVE</v>
      </c>
    </row>
    <row r="2316" ht="22.5" customHeight="1">
      <c r="A2316" s="11" t="str">
        <f t="array" ref="A2316">IFERROR(
  INDEX('Starlink Launches'!$A:$A, MATCH($E2316, 'Starlink Launches'!$B:$B, 0)),
  ""
)
</f>
        <v>6-98</v>
      </c>
      <c r="B2316" s="3" t="s">
        <v>25</v>
      </c>
      <c r="C2316" s="12" t="s">
        <v>2328</v>
      </c>
      <c r="D2316" s="13">
        <v>67468.0</v>
      </c>
      <c r="E2316" s="4">
        <v>46036.0</v>
      </c>
      <c r="F2316" s="4" t="str">
        <f>IF(D2316="","", IFNA(VLOOKUP(D2316, SATCAT_DECAY!A:B, 2, FALSE), ""))
</f>
        <v/>
      </c>
      <c r="G2316" s="3" t="str">
        <f t="shared" si="1"/>
        <v>ACTIVE</v>
      </c>
    </row>
    <row r="2317" ht="22.5" customHeight="1">
      <c r="A2317" s="11" t="str">
        <f t="array" ref="A2317">IFERROR(
  INDEX('Starlink Launches'!$A:$A, MATCH($E2317, 'Starlink Launches'!$B:$B, 0)),
  ""
)
</f>
        <v>6-98</v>
      </c>
      <c r="B2317" s="3" t="s">
        <v>25</v>
      </c>
      <c r="C2317" s="12" t="s">
        <v>2329</v>
      </c>
      <c r="D2317" s="13">
        <v>67469.0</v>
      </c>
      <c r="E2317" s="4">
        <v>46036.0</v>
      </c>
      <c r="F2317" s="4" t="str">
        <f>IF(D2317="","", IFNA(VLOOKUP(D2317, SATCAT_DECAY!A:B, 2, FALSE), ""))
</f>
        <v/>
      </c>
      <c r="G2317" s="3" t="str">
        <f t="shared" si="1"/>
        <v>ACTIVE</v>
      </c>
    </row>
    <row r="2318" ht="22.5" customHeight="1">
      <c r="A2318" s="11" t="str">
        <f t="array" ref="A2318">IFERROR(
  INDEX('Starlink Launches'!$A:$A, MATCH($E2318, 'Starlink Launches'!$B:$B, 0)),
  ""
)
</f>
        <v>6-98</v>
      </c>
      <c r="B2318" s="3" t="s">
        <v>25</v>
      </c>
      <c r="C2318" s="12" t="s">
        <v>2330</v>
      </c>
      <c r="D2318" s="13">
        <v>67470.0</v>
      </c>
      <c r="E2318" s="4">
        <v>46036.0</v>
      </c>
      <c r="F2318" s="4" t="str">
        <f>IF(D2318="","", IFNA(VLOOKUP(D2318, SATCAT_DECAY!A:B, 2, FALSE), ""))
</f>
        <v/>
      </c>
      <c r="G2318" s="3" t="str">
        <f t="shared" si="1"/>
        <v>ACTIVE</v>
      </c>
    </row>
    <row r="2319" ht="22.5" customHeight="1">
      <c r="A2319" s="11" t="str">
        <f t="array" ref="A2319">IFERROR(
  INDEX('Starlink Launches'!$A:$A, MATCH($E2319, 'Starlink Launches'!$B:$B, 0)),
  ""
)
</f>
        <v>6-98</v>
      </c>
      <c r="B2319" s="3" t="s">
        <v>25</v>
      </c>
      <c r="C2319" s="12" t="s">
        <v>2331</v>
      </c>
      <c r="D2319" s="13">
        <v>67471.0</v>
      </c>
      <c r="E2319" s="4">
        <v>46036.0</v>
      </c>
      <c r="F2319" s="4" t="str">
        <f>IF(D2319="","", IFNA(VLOOKUP(D2319, SATCAT_DECAY!A:B, 2, FALSE), ""))
</f>
        <v/>
      </c>
      <c r="G2319" s="3" t="str">
        <f t="shared" si="1"/>
        <v>ACTIVE</v>
      </c>
    </row>
    <row r="2320" ht="22.5" customHeight="1">
      <c r="A2320" s="11" t="str">
        <f t="array" ref="A2320">IFERROR(
  INDEX('Starlink Launches'!$A:$A, MATCH($E2320, 'Starlink Launches'!$B:$B, 0)),
  ""
)
</f>
        <v>6-98</v>
      </c>
      <c r="B2320" s="3" t="s">
        <v>25</v>
      </c>
      <c r="C2320" s="12" t="s">
        <v>2332</v>
      </c>
      <c r="D2320" s="13">
        <v>67472.0</v>
      </c>
      <c r="E2320" s="4">
        <v>46036.0</v>
      </c>
      <c r="F2320" s="4" t="str">
        <f>IF(D2320="","", IFNA(VLOOKUP(D2320, SATCAT_DECAY!A:B, 2, FALSE), ""))
</f>
        <v/>
      </c>
      <c r="G2320" s="3" t="str">
        <f t="shared" si="1"/>
        <v>ACTIVE</v>
      </c>
    </row>
    <row r="2321" ht="22.5" customHeight="1">
      <c r="A2321" s="11" t="str">
        <f t="array" ref="A2321">IFERROR(
  INDEX('Starlink Launches'!$A:$A, MATCH($E2321, 'Starlink Launches'!$B:$B, 0)),
  ""
)
</f>
        <v>6-98</v>
      </c>
      <c r="B2321" s="3" t="s">
        <v>25</v>
      </c>
      <c r="C2321" s="12" t="s">
        <v>2333</v>
      </c>
      <c r="D2321" s="13">
        <v>67473.0</v>
      </c>
      <c r="E2321" s="4">
        <v>46036.0</v>
      </c>
      <c r="F2321" s="4" t="str">
        <f>IF(D2321="","", IFNA(VLOOKUP(D2321, SATCAT_DECAY!A:B, 2, FALSE), ""))
</f>
        <v/>
      </c>
      <c r="G2321" s="3" t="str">
        <f t="shared" si="1"/>
        <v>ACTIVE</v>
      </c>
    </row>
    <row r="2322" ht="22.5" customHeight="1">
      <c r="A2322" s="11" t="str">
        <f t="array" ref="A2322">IFERROR(
  INDEX('Starlink Launches'!$A:$A, MATCH($E2322, 'Starlink Launches'!$B:$B, 0)),
  ""
)
</f>
        <v>6-100</v>
      </c>
      <c r="B2322" s="3" t="s">
        <v>25</v>
      </c>
      <c r="C2322" s="12" t="s">
        <v>2334</v>
      </c>
      <c r="D2322" s="13">
        <v>67493.0</v>
      </c>
      <c r="E2322" s="4">
        <v>46040.0</v>
      </c>
      <c r="F2322" s="4" t="str">
        <f>IF(D2322="","", IFNA(VLOOKUP(D2322, SATCAT_DECAY!A:B, 2, FALSE), ""))
</f>
        <v/>
      </c>
      <c r="G2322" s="3" t="str">
        <f t="shared" si="1"/>
        <v>ACTIVE</v>
      </c>
    </row>
    <row r="2323" ht="22.5" customHeight="1">
      <c r="A2323" s="11" t="str">
        <f t="array" ref="A2323">IFERROR(
  INDEX('Starlink Launches'!$A:$A, MATCH($E2323, 'Starlink Launches'!$B:$B, 0)),
  ""
)
</f>
        <v>6-100</v>
      </c>
      <c r="B2323" s="3" t="s">
        <v>25</v>
      </c>
      <c r="C2323" s="12" t="s">
        <v>2335</v>
      </c>
      <c r="D2323" s="13">
        <v>67494.0</v>
      </c>
      <c r="E2323" s="4">
        <v>46040.0</v>
      </c>
      <c r="F2323" s="4" t="str">
        <f>IF(D2323="","", IFNA(VLOOKUP(D2323, SATCAT_DECAY!A:B, 2, FALSE), ""))
</f>
        <v/>
      </c>
      <c r="G2323" s="3" t="str">
        <f t="shared" si="1"/>
        <v>ACTIVE</v>
      </c>
    </row>
    <row r="2324" ht="22.5" customHeight="1">
      <c r="A2324" s="11" t="str">
        <f t="array" ref="A2324">IFERROR(
  INDEX('Starlink Launches'!$A:$A, MATCH($E2324, 'Starlink Launches'!$B:$B, 0)),
  ""
)
</f>
        <v>6-100</v>
      </c>
      <c r="B2324" s="3" t="s">
        <v>25</v>
      </c>
      <c r="C2324" s="12" t="s">
        <v>2336</v>
      </c>
      <c r="D2324" s="13">
        <v>67495.0</v>
      </c>
      <c r="E2324" s="4">
        <v>46040.0</v>
      </c>
      <c r="F2324" s="4" t="str">
        <f>IF(D2324="","", IFNA(VLOOKUP(D2324, SATCAT_DECAY!A:B, 2, FALSE), ""))
</f>
        <v/>
      </c>
      <c r="G2324" s="3" t="str">
        <f t="shared" si="1"/>
        <v>ACTIVE</v>
      </c>
    </row>
    <row r="2325" ht="22.5" customHeight="1">
      <c r="A2325" s="11" t="str">
        <f t="array" ref="A2325">IFERROR(
  INDEX('Starlink Launches'!$A:$A, MATCH($E2325, 'Starlink Launches'!$B:$B, 0)),
  ""
)
</f>
        <v>6-100</v>
      </c>
      <c r="B2325" s="3" t="s">
        <v>25</v>
      </c>
      <c r="C2325" s="12" t="s">
        <v>2337</v>
      </c>
      <c r="D2325" s="13">
        <v>67496.0</v>
      </c>
      <c r="E2325" s="4">
        <v>46040.0</v>
      </c>
      <c r="F2325" s="4" t="str">
        <f>IF(D2325="","", IFNA(VLOOKUP(D2325, SATCAT_DECAY!A:B, 2, FALSE), ""))
</f>
        <v/>
      </c>
      <c r="G2325" s="3" t="str">
        <f t="shared" si="1"/>
        <v>ACTIVE</v>
      </c>
    </row>
    <row r="2326" ht="22.5" customHeight="1">
      <c r="A2326" s="11" t="str">
        <f t="array" ref="A2326">IFERROR(
  INDEX('Starlink Launches'!$A:$A, MATCH($E2326, 'Starlink Launches'!$B:$B, 0)),
  ""
)
</f>
        <v>6-100</v>
      </c>
      <c r="B2326" s="3" t="s">
        <v>25</v>
      </c>
      <c r="C2326" s="12" t="s">
        <v>2338</v>
      </c>
      <c r="D2326" s="13">
        <v>67497.0</v>
      </c>
      <c r="E2326" s="4">
        <v>46040.0</v>
      </c>
      <c r="F2326" s="4" t="str">
        <f>IF(D2326="","", IFNA(VLOOKUP(D2326, SATCAT_DECAY!A:B, 2, FALSE), ""))
</f>
        <v/>
      </c>
      <c r="G2326" s="3" t="str">
        <f t="shared" si="1"/>
        <v>ACTIVE</v>
      </c>
    </row>
    <row r="2327" ht="22.5" customHeight="1">
      <c r="A2327" s="11" t="str">
        <f t="array" ref="A2327">IFERROR(
  INDEX('Starlink Launches'!$A:$A, MATCH($E2327, 'Starlink Launches'!$B:$B, 0)),
  ""
)
</f>
        <v>6-100</v>
      </c>
      <c r="B2327" s="3" t="s">
        <v>25</v>
      </c>
      <c r="C2327" s="12" t="s">
        <v>2339</v>
      </c>
      <c r="D2327" s="13">
        <v>67498.0</v>
      </c>
      <c r="E2327" s="4">
        <v>46040.0</v>
      </c>
      <c r="F2327" s="4" t="str">
        <f>IF(D2327="","", IFNA(VLOOKUP(D2327, SATCAT_DECAY!A:B, 2, FALSE), ""))
</f>
        <v/>
      </c>
      <c r="G2327" s="3" t="str">
        <f t="shared" si="1"/>
        <v>ACTIVE</v>
      </c>
    </row>
    <row r="2328" ht="22.5" customHeight="1">
      <c r="A2328" s="11" t="str">
        <f t="array" ref="A2328">IFERROR(
  INDEX('Starlink Launches'!$A:$A, MATCH($E2328, 'Starlink Launches'!$B:$B, 0)),
  ""
)
</f>
        <v>6-100</v>
      </c>
      <c r="B2328" s="3" t="s">
        <v>25</v>
      </c>
      <c r="C2328" s="12" t="s">
        <v>2340</v>
      </c>
      <c r="D2328" s="13">
        <v>67499.0</v>
      </c>
      <c r="E2328" s="4">
        <v>46040.0</v>
      </c>
      <c r="F2328" s="4" t="str">
        <f>IF(D2328="","", IFNA(VLOOKUP(D2328, SATCAT_DECAY!A:B, 2, FALSE), ""))
</f>
        <v/>
      </c>
      <c r="G2328" s="3" t="str">
        <f t="shared" si="1"/>
        <v>ACTIVE</v>
      </c>
    </row>
    <row r="2329" ht="22.5" customHeight="1">
      <c r="A2329" s="11" t="str">
        <f t="array" ref="A2329">IFERROR(
  INDEX('Starlink Launches'!$A:$A, MATCH($E2329, 'Starlink Launches'!$B:$B, 0)),
  ""
)
</f>
        <v>6-100</v>
      </c>
      <c r="B2329" s="3" t="s">
        <v>25</v>
      </c>
      <c r="C2329" s="12" t="s">
        <v>2341</v>
      </c>
      <c r="D2329" s="13">
        <v>67500.0</v>
      </c>
      <c r="E2329" s="4">
        <v>46040.0</v>
      </c>
      <c r="F2329" s="4" t="str">
        <f>IF(D2329="","", IFNA(VLOOKUP(D2329, SATCAT_DECAY!A:B, 2, FALSE), ""))
</f>
        <v/>
      </c>
      <c r="G2329" s="3" t="str">
        <f t="shared" si="1"/>
        <v>ACTIVE</v>
      </c>
    </row>
    <row r="2330" ht="22.5" customHeight="1">
      <c r="A2330" s="11" t="str">
        <f t="array" ref="A2330">IFERROR(
  INDEX('Starlink Launches'!$A:$A, MATCH($E2330, 'Starlink Launches'!$B:$B, 0)),
  ""
)
</f>
        <v>6-100</v>
      </c>
      <c r="B2330" s="3" t="s">
        <v>25</v>
      </c>
      <c r="C2330" s="12" t="s">
        <v>2342</v>
      </c>
      <c r="D2330" s="13">
        <v>67501.0</v>
      </c>
      <c r="E2330" s="4">
        <v>46040.0</v>
      </c>
      <c r="F2330" s="4" t="str">
        <f>IF(D2330="","", IFNA(VLOOKUP(D2330, SATCAT_DECAY!A:B, 2, FALSE), ""))
</f>
        <v/>
      </c>
      <c r="G2330" s="3" t="str">
        <f t="shared" si="1"/>
        <v>ACTIVE</v>
      </c>
    </row>
    <row r="2331" ht="22.5" customHeight="1">
      <c r="A2331" s="11" t="str">
        <f t="array" ref="A2331">IFERROR(
  INDEX('Starlink Launches'!$A:$A, MATCH($E2331, 'Starlink Launches'!$B:$B, 0)),
  ""
)
</f>
        <v>6-100</v>
      </c>
      <c r="B2331" s="3" t="s">
        <v>25</v>
      </c>
      <c r="C2331" s="12" t="s">
        <v>2343</v>
      </c>
      <c r="D2331" s="13">
        <v>67502.0</v>
      </c>
      <c r="E2331" s="4">
        <v>46040.0</v>
      </c>
      <c r="F2331" s="4" t="str">
        <f>IF(D2331="","", IFNA(VLOOKUP(D2331, SATCAT_DECAY!A:B, 2, FALSE), ""))
</f>
        <v/>
      </c>
      <c r="G2331" s="3" t="str">
        <f t="shared" si="1"/>
        <v>ACTIVE</v>
      </c>
    </row>
    <row r="2332" ht="22.5" customHeight="1">
      <c r="A2332" s="11" t="str">
        <f t="array" ref="A2332">IFERROR(
  INDEX('Starlink Launches'!$A:$A, MATCH($E2332, 'Starlink Launches'!$B:$B, 0)),
  ""
)
</f>
        <v>6-100</v>
      </c>
      <c r="B2332" s="3" t="s">
        <v>25</v>
      </c>
      <c r="C2332" s="12" t="s">
        <v>2344</v>
      </c>
      <c r="D2332" s="13">
        <v>67503.0</v>
      </c>
      <c r="E2332" s="4">
        <v>46040.0</v>
      </c>
      <c r="F2332" s="4" t="str">
        <f>IF(D2332="","", IFNA(VLOOKUP(D2332, SATCAT_DECAY!A:B, 2, FALSE), ""))
</f>
        <v/>
      </c>
      <c r="G2332" s="3" t="str">
        <f t="shared" si="1"/>
        <v>ACTIVE</v>
      </c>
    </row>
    <row r="2333" ht="22.5" customHeight="1">
      <c r="A2333" s="11" t="str">
        <f t="array" ref="A2333">IFERROR(
  INDEX('Starlink Launches'!$A:$A, MATCH($E2333, 'Starlink Launches'!$B:$B, 0)),
  ""
)
</f>
        <v>6-100</v>
      </c>
      <c r="B2333" s="3" t="s">
        <v>25</v>
      </c>
      <c r="C2333" s="12" t="s">
        <v>2345</v>
      </c>
      <c r="D2333" s="13">
        <v>67504.0</v>
      </c>
      <c r="E2333" s="4">
        <v>46040.0</v>
      </c>
      <c r="F2333" s="4" t="str">
        <f>IF(D2333="","", IFNA(VLOOKUP(D2333, SATCAT_DECAY!A:B, 2, FALSE), ""))
</f>
        <v/>
      </c>
      <c r="G2333" s="3" t="str">
        <f t="shared" si="1"/>
        <v>ACTIVE</v>
      </c>
    </row>
    <row r="2334" ht="22.5" customHeight="1">
      <c r="A2334" s="11" t="str">
        <f t="array" ref="A2334">IFERROR(
  INDEX('Starlink Launches'!$A:$A, MATCH($E2334, 'Starlink Launches'!$B:$B, 0)),
  ""
)
</f>
        <v>6-100</v>
      </c>
      <c r="B2334" s="3" t="s">
        <v>25</v>
      </c>
      <c r="C2334" s="12" t="s">
        <v>2346</v>
      </c>
      <c r="D2334" s="13">
        <v>67505.0</v>
      </c>
      <c r="E2334" s="4">
        <v>46040.0</v>
      </c>
      <c r="F2334" s="4" t="str">
        <f>IF(D2334="","", IFNA(VLOOKUP(D2334, SATCAT_DECAY!A:B, 2, FALSE), ""))
</f>
        <v/>
      </c>
      <c r="G2334" s="3" t="str">
        <f t="shared" si="1"/>
        <v>ACTIVE</v>
      </c>
    </row>
    <row r="2335" ht="22.5" customHeight="1">
      <c r="A2335" s="11" t="str">
        <f t="array" ref="A2335">IFERROR(
  INDEX('Starlink Launches'!$A:$A, MATCH($E2335, 'Starlink Launches'!$B:$B, 0)),
  ""
)
</f>
        <v>6-100</v>
      </c>
      <c r="B2335" s="3" t="s">
        <v>25</v>
      </c>
      <c r="C2335" s="12" t="s">
        <v>2347</v>
      </c>
      <c r="D2335" s="13">
        <v>67506.0</v>
      </c>
      <c r="E2335" s="4">
        <v>46040.0</v>
      </c>
      <c r="F2335" s="4" t="str">
        <f>IF(D2335="","", IFNA(VLOOKUP(D2335, SATCAT_DECAY!A:B, 2, FALSE), ""))
</f>
        <v/>
      </c>
      <c r="G2335" s="3" t="str">
        <f t="shared" si="1"/>
        <v>ACTIVE</v>
      </c>
    </row>
    <row r="2336" ht="22.5" customHeight="1">
      <c r="A2336" s="11" t="str">
        <f t="array" ref="A2336">IFERROR(
  INDEX('Starlink Launches'!$A:$A, MATCH($E2336, 'Starlink Launches'!$B:$B, 0)),
  ""
)
</f>
        <v>6-100</v>
      </c>
      <c r="B2336" s="3" t="s">
        <v>25</v>
      </c>
      <c r="C2336" s="12" t="s">
        <v>2348</v>
      </c>
      <c r="D2336" s="13">
        <v>67507.0</v>
      </c>
      <c r="E2336" s="4">
        <v>46040.0</v>
      </c>
      <c r="F2336" s="4" t="str">
        <f>IF(D2336="","", IFNA(VLOOKUP(D2336, SATCAT_DECAY!A:B, 2, FALSE), ""))
</f>
        <v/>
      </c>
      <c r="G2336" s="3" t="str">
        <f t="shared" si="1"/>
        <v>ACTIVE</v>
      </c>
    </row>
    <row r="2337" ht="22.5" customHeight="1">
      <c r="A2337" s="11" t="str">
        <f t="array" ref="A2337">IFERROR(
  INDEX('Starlink Launches'!$A:$A, MATCH($E2337, 'Starlink Launches'!$B:$B, 0)),
  ""
)
</f>
        <v>6-100</v>
      </c>
      <c r="B2337" s="3" t="s">
        <v>25</v>
      </c>
      <c r="C2337" s="12" t="s">
        <v>2349</v>
      </c>
      <c r="D2337" s="13">
        <v>67508.0</v>
      </c>
      <c r="E2337" s="4">
        <v>46040.0</v>
      </c>
      <c r="F2337" s="4" t="str">
        <f>IF(D2337="","", IFNA(VLOOKUP(D2337, SATCAT_DECAY!A:B, 2, FALSE), ""))
</f>
        <v/>
      </c>
      <c r="G2337" s="3" t="str">
        <f t="shared" si="1"/>
        <v>ACTIVE</v>
      </c>
    </row>
    <row r="2338" ht="22.5" customHeight="1">
      <c r="A2338" s="11" t="str">
        <f t="array" ref="A2338">IFERROR(
  INDEX('Starlink Launches'!$A:$A, MATCH($E2338, 'Starlink Launches'!$B:$B, 0)),
  ""
)
</f>
        <v>6-100</v>
      </c>
      <c r="B2338" s="3" t="s">
        <v>25</v>
      </c>
      <c r="C2338" s="12" t="s">
        <v>2350</v>
      </c>
      <c r="D2338" s="13">
        <v>67509.0</v>
      </c>
      <c r="E2338" s="4">
        <v>46040.0</v>
      </c>
      <c r="F2338" s="4" t="str">
        <f>IF(D2338="","", IFNA(VLOOKUP(D2338, SATCAT_DECAY!A:B, 2, FALSE), ""))
</f>
        <v/>
      </c>
      <c r="G2338" s="3" t="str">
        <f t="shared" si="1"/>
        <v>ACTIVE</v>
      </c>
    </row>
    <row r="2339" ht="22.5" customHeight="1">
      <c r="A2339" s="11" t="str">
        <f t="array" ref="A2339">IFERROR(
  INDEX('Starlink Launches'!$A:$A, MATCH($E2339, 'Starlink Launches'!$B:$B, 0)),
  ""
)
</f>
        <v>6-100</v>
      </c>
      <c r="B2339" s="3" t="s">
        <v>25</v>
      </c>
      <c r="C2339" s="12" t="s">
        <v>2351</v>
      </c>
      <c r="D2339" s="13">
        <v>67510.0</v>
      </c>
      <c r="E2339" s="4">
        <v>46040.0</v>
      </c>
      <c r="F2339" s="4" t="str">
        <f>IF(D2339="","", IFNA(VLOOKUP(D2339, SATCAT_DECAY!A:B, 2, FALSE), ""))
</f>
        <v/>
      </c>
      <c r="G2339" s="3" t="str">
        <f t="shared" si="1"/>
        <v>ACTIVE</v>
      </c>
    </row>
    <row r="2340" ht="22.5" customHeight="1">
      <c r="A2340" s="11" t="str">
        <f t="array" ref="A2340">IFERROR(
  INDEX('Starlink Launches'!$A:$A, MATCH($E2340, 'Starlink Launches'!$B:$B, 0)),
  ""
)
</f>
        <v>6-100</v>
      </c>
      <c r="B2340" s="3" t="s">
        <v>25</v>
      </c>
      <c r="C2340" s="12" t="s">
        <v>2352</v>
      </c>
      <c r="D2340" s="13">
        <v>67511.0</v>
      </c>
      <c r="E2340" s="4">
        <v>46040.0</v>
      </c>
      <c r="F2340" s="4" t="str">
        <f>IF(D2340="","", IFNA(VLOOKUP(D2340, SATCAT_DECAY!A:B, 2, FALSE), ""))
</f>
        <v/>
      </c>
      <c r="G2340" s="3" t="str">
        <f t="shared" si="1"/>
        <v>ACTIVE</v>
      </c>
    </row>
    <row r="2341" ht="22.5" customHeight="1">
      <c r="A2341" s="11" t="str">
        <f t="array" ref="A2341">IFERROR(
  INDEX('Starlink Launches'!$A:$A, MATCH($E2341, 'Starlink Launches'!$B:$B, 0)),
  ""
)
</f>
        <v>6-100</v>
      </c>
      <c r="B2341" s="3" t="s">
        <v>25</v>
      </c>
      <c r="C2341" s="12" t="s">
        <v>2353</v>
      </c>
      <c r="D2341" s="13">
        <v>67512.0</v>
      </c>
      <c r="E2341" s="4">
        <v>46040.0</v>
      </c>
      <c r="F2341" s="4" t="str">
        <f>IF(D2341="","", IFNA(VLOOKUP(D2341, SATCAT_DECAY!A:B, 2, FALSE), ""))
</f>
        <v/>
      </c>
      <c r="G2341" s="3" t="str">
        <f t="shared" si="1"/>
        <v>ACTIVE</v>
      </c>
    </row>
    <row r="2342" ht="22.5" customHeight="1">
      <c r="A2342" s="11" t="str">
        <f t="array" ref="A2342">IFERROR(
  INDEX('Starlink Launches'!$A:$A, MATCH($E2342, 'Starlink Launches'!$B:$B, 0)),
  ""
)
</f>
        <v>6-100</v>
      </c>
      <c r="B2342" s="3" t="s">
        <v>25</v>
      </c>
      <c r="C2342" s="12" t="s">
        <v>2354</v>
      </c>
      <c r="D2342" s="13">
        <v>67513.0</v>
      </c>
      <c r="E2342" s="4">
        <v>46040.0</v>
      </c>
      <c r="F2342" s="4" t="str">
        <f>IF(D2342="","", IFNA(VLOOKUP(D2342, SATCAT_DECAY!A:B, 2, FALSE), ""))
</f>
        <v/>
      </c>
      <c r="G2342" s="3" t="str">
        <f t="shared" si="1"/>
        <v>ACTIVE</v>
      </c>
    </row>
    <row r="2343" ht="22.5" customHeight="1">
      <c r="A2343" s="11" t="str">
        <f t="array" ref="A2343">IFERROR(
  INDEX('Starlink Launches'!$A:$A, MATCH($E2343, 'Starlink Launches'!$B:$B, 0)),
  ""
)
</f>
        <v>6-100</v>
      </c>
      <c r="B2343" s="3" t="s">
        <v>25</v>
      </c>
      <c r="C2343" s="12" t="s">
        <v>2355</v>
      </c>
      <c r="D2343" s="13">
        <v>67514.0</v>
      </c>
      <c r="E2343" s="4">
        <v>46040.0</v>
      </c>
      <c r="F2343" s="4" t="str">
        <f>IF(D2343="","", IFNA(VLOOKUP(D2343, SATCAT_DECAY!A:B, 2, FALSE), ""))
</f>
        <v/>
      </c>
      <c r="G2343" s="3" t="str">
        <f t="shared" si="1"/>
        <v>ACTIVE</v>
      </c>
    </row>
    <row r="2344" ht="22.5" customHeight="1">
      <c r="A2344" s="11" t="str">
        <f t="array" ref="A2344">IFERROR(
  INDEX('Starlink Launches'!$A:$A, MATCH($E2344, 'Starlink Launches'!$B:$B, 0)),
  ""
)
</f>
        <v>6-100</v>
      </c>
      <c r="B2344" s="3" t="s">
        <v>25</v>
      </c>
      <c r="C2344" s="12" t="s">
        <v>2356</v>
      </c>
      <c r="D2344" s="13">
        <v>67515.0</v>
      </c>
      <c r="E2344" s="4">
        <v>46040.0</v>
      </c>
      <c r="F2344" s="4" t="str">
        <f>IF(D2344="","", IFNA(VLOOKUP(D2344, SATCAT_DECAY!A:B, 2, FALSE), ""))
</f>
        <v/>
      </c>
      <c r="G2344" s="3" t="str">
        <f t="shared" si="1"/>
        <v>ACTIVE</v>
      </c>
    </row>
    <row r="2345" ht="22.5" customHeight="1">
      <c r="A2345" s="11" t="str">
        <f t="array" ref="A2345">IFERROR(
  INDEX('Starlink Launches'!$A:$A, MATCH($E2345, 'Starlink Launches'!$B:$B, 0)),
  ""
)
</f>
        <v>6-100</v>
      </c>
      <c r="B2345" s="3" t="s">
        <v>25</v>
      </c>
      <c r="C2345" s="12" t="s">
        <v>2357</v>
      </c>
      <c r="D2345" s="13">
        <v>67516.0</v>
      </c>
      <c r="E2345" s="4">
        <v>46040.0</v>
      </c>
      <c r="F2345" s="4" t="str">
        <f>IF(D2345="","", IFNA(VLOOKUP(D2345, SATCAT_DECAY!A:B, 2, FALSE), ""))
</f>
        <v/>
      </c>
      <c r="G2345" s="3" t="str">
        <f t="shared" si="1"/>
        <v>ACTIVE</v>
      </c>
    </row>
    <row r="2346" ht="22.5" customHeight="1">
      <c r="A2346" s="11" t="str">
        <f t="array" ref="A2346">IFERROR(
  INDEX('Starlink Launches'!$A:$A, MATCH($E2346, 'Starlink Launches'!$B:$B, 0)),
  ""
)
</f>
        <v>6-100</v>
      </c>
      <c r="B2346" s="3" t="s">
        <v>25</v>
      </c>
      <c r="C2346" s="12" t="s">
        <v>2358</v>
      </c>
      <c r="D2346" s="13">
        <v>67517.0</v>
      </c>
      <c r="E2346" s="4">
        <v>46040.0</v>
      </c>
      <c r="F2346" s="4" t="str">
        <f>IF(D2346="","", IFNA(VLOOKUP(D2346, SATCAT_DECAY!A:B, 2, FALSE), ""))
</f>
        <v/>
      </c>
      <c r="G2346" s="3" t="str">
        <f t="shared" si="1"/>
        <v>ACTIVE</v>
      </c>
    </row>
    <row r="2347" ht="22.5" customHeight="1">
      <c r="A2347" s="11" t="str">
        <f t="array" ref="A2347">IFERROR(
  INDEX('Starlink Launches'!$A:$A, MATCH($E2347, 'Starlink Launches'!$B:$B, 0)),
  ""
)
</f>
        <v>6-100</v>
      </c>
      <c r="B2347" s="3" t="s">
        <v>25</v>
      </c>
      <c r="C2347" s="12" t="s">
        <v>2359</v>
      </c>
      <c r="D2347" s="13">
        <v>67518.0</v>
      </c>
      <c r="E2347" s="4">
        <v>46040.0</v>
      </c>
      <c r="F2347" s="4" t="str">
        <f>IF(D2347="","", IFNA(VLOOKUP(D2347, SATCAT_DECAY!A:B, 2, FALSE), ""))
</f>
        <v/>
      </c>
      <c r="G2347" s="3" t="str">
        <f t="shared" si="1"/>
        <v>ACTIVE</v>
      </c>
    </row>
    <row r="2348" ht="22.5" customHeight="1">
      <c r="A2348" s="11" t="str">
        <f t="array" ref="A2348">IFERROR(
  INDEX('Starlink Launches'!$A:$A, MATCH($E2348, 'Starlink Launches'!$B:$B, 0)),
  ""
)
</f>
        <v>6-100</v>
      </c>
      <c r="B2348" s="3" t="s">
        <v>25</v>
      </c>
      <c r="C2348" s="12" t="s">
        <v>2360</v>
      </c>
      <c r="D2348" s="13">
        <v>67519.0</v>
      </c>
      <c r="E2348" s="4">
        <v>46040.0</v>
      </c>
      <c r="F2348" s="4" t="str">
        <f>IF(D2348="","", IFNA(VLOOKUP(D2348, SATCAT_DECAY!A:B, 2, FALSE), ""))
</f>
        <v/>
      </c>
      <c r="G2348" s="3" t="str">
        <f t="shared" si="1"/>
        <v>ACTIVE</v>
      </c>
    </row>
    <row r="2349" ht="22.5" customHeight="1">
      <c r="A2349" s="11" t="str">
        <f t="array" ref="A2349">IFERROR(
  INDEX('Starlink Launches'!$A:$A, MATCH($E2349, 'Starlink Launches'!$B:$B, 0)),
  ""
)
</f>
        <v>6-100</v>
      </c>
      <c r="B2349" s="3" t="s">
        <v>25</v>
      </c>
      <c r="C2349" s="12" t="s">
        <v>2361</v>
      </c>
      <c r="D2349" s="13">
        <v>67520.0</v>
      </c>
      <c r="E2349" s="4">
        <v>46040.0</v>
      </c>
      <c r="F2349" s="4" t="str">
        <f>IF(D2349="","", IFNA(VLOOKUP(D2349, SATCAT_DECAY!A:B, 2, FALSE), ""))
</f>
        <v/>
      </c>
      <c r="G2349" s="3" t="str">
        <f t="shared" si="1"/>
        <v>ACTIVE</v>
      </c>
    </row>
    <row r="2350" ht="22.5" customHeight="1">
      <c r="A2350" s="11" t="str">
        <f t="array" ref="A2350">IFERROR(
  INDEX('Starlink Launches'!$A:$A, MATCH($E2350, 'Starlink Launches'!$B:$B, 0)),
  ""
)
</f>
        <v>6-100</v>
      </c>
      <c r="B2350" s="3" t="s">
        <v>25</v>
      </c>
      <c r="C2350" s="12" t="s">
        <v>2362</v>
      </c>
      <c r="D2350" s="13">
        <v>67521.0</v>
      </c>
      <c r="E2350" s="4">
        <v>46040.0</v>
      </c>
      <c r="F2350" s="4" t="str">
        <f>IF(D2350="","", IFNA(VLOOKUP(D2350, SATCAT_DECAY!A:B, 2, FALSE), ""))
</f>
        <v/>
      </c>
      <c r="G2350" s="16" t="str">
        <f t="shared" si="1"/>
        <v>ACTIVE</v>
      </c>
    </row>
    <row r="2351" ht="22.5" customHeight="1">
      <c r="A2351" s="11" t="str">
        <f t="array" ref="A2351">IFERROR(
  INDEX('Starlink Launches'!$A:$A, MATCH($E2351, 'Starlink Launches'!$B:$B, 0)),
  ""
)
</f>
        <v>6-101</v>
      </c>
      <c r="B2351" s="3" t="s">
        <v>25</v>
      </c>
      <c r="C2351" s="12" t="s">
        <v>2363</v>
      </c>
      <c r="D2351" s="13">
        <v>67617.0</v>
      </c>
      <c r="E2351" s="4">
        <v>46052.0</v>
      </c>
      <c r="F2351" s="4" t="str">
        <f>IF(D2351="","", IFNA(VLOOKUP(D2351, SATCAT_DECAY!A:B, 2, FALSE), ""))
</f>
        <v/>
      </c>
      <c r="G2351" s="16" t="str">
        <f t="shared" si="1"/>
        <v>ACTIVE</v>
      </c>
    </row>
    <row r="2352" ht="22.5" customHeight="1">
      <c r="A2352" s="11" t="str">
        <f t="array" ref="A2352">IFERROR(
  INDEX('Starlink Launches'!$A:$A, MATCH($E2352, 'Starlink Launches'!$B:$B, 0)),
  ""
)
</f>
        <v>6-101</v>
      </c>
      <c r="B2352" s="3" t="s">
        <v>25</v>
      </c>
      <c r="C2352" s="12" t="s">
        <v>2364</v>
      </c>
      <c r="D2352" s="13">
        <v>67618.0</v>
      </c>
      <c r="E2352" s="4">
        <v>46052.0</v>
      </c>
      <c r="F2352" s="4" t="str">
        <f>IF(D2352="","", IFNA(VLOOKUP(D2352, SATCAT_DECAY!A:B, 2, FALSE), ""))
</f>
        <v/>
      </c>
      <c r="G2352" s="3" t="str">
        <f t="shared" si="1"/>
        <v>ACTIVE</v>
      </c>
    </row>
    <row r="2353" ht="22.5" customHeight="1">
      <c r="A2353" s="11" t="str">
        <f t="array" ref="A2353">IFERROR(
  INDEX('Starlink Launches'!$A:$A, MATCH($E2353, 'Starlink Launches'!$B:$B, 0)),
  ""
)
</f>
        <v>6-101</v>
      </c>
      <c r="B2353" s="3" t="s">
        <v>25</v>
      </c>
      <c r="C2353" s="12" t="s">
        <v>2365</v>
      </c>
      <c r="D2353" s="13">
        <v>67619.0</v>
      </c>
      <c r="E2353" s="4">
        <v>46052.0</v>
      </c>
      <c r="F2353" s="4" t="str">
        <f>IF(D2353="","", IFNA(VLOOKUP(D2353, SATCAT_DECAY!A:B, 2, FALSE), ""))
</f>
        <v/>
      </c>
      <c r="G2353" s="3" t="str">
        <f t="shared" si="1"/>
        <v>ACTIVE</v>
      </c>
    </row>
    <row r="2354" ht="22.5" customHeight="1">
      <c r="A2354" s="11" t="str">
        <f t="array" ref="A2354">IFERROR(
  INDEX('Starlink Launches'!$A:$A, MATCH($E2354, 'Starlink Launches'!$B:$B, 0)),
  ""
)
</f>
        <v>6-101</v>
      </c>
      <c r="B2354" s="3" t="s">
        <v>25</v>
      </c>
      <c r="C2354" s="12" t="s">
        <v>2366</v>
      </c>
      <c r="D2354" s="13">
        <v>67620.0</v>
      </c>
      <c r="E2354" s="4">
        <v>46052.0</v>
      </c>
      <c r="F2354" s="4" t="str">
        <f>IF(D2354="","", IFNA(VLOOKUP(D2354, SATCAT_DECAY!A:B, 2, FALSE), ""))
</f>
        <v/>
      </c>
      <c r="G2354" s="3" t="str">
        <f t="shared" si="1"/>
        <v>ACTIVE</v>
      </c>
    </row>
    <row r="2355" ht="22.5" customHeight="1">
      <c r="A2355" s="11" t="str">
        <f t="array" ref="A2355">IFERROR(
  INDEX('Starlink Launches'!$A:$A, MATCH($E2355, 'Starlink Launches'!$B:$B, 0)),
  ""
)
</f>
        <v>6-101</v>
      </c>
      <c r="B2355" s="3" t="s">
        <v>25</v>
      </c>
      <c r="C2355" s="12" t="s">
        <v>2367</v>
      </c>
      <c r="D2355" s="13">
        <v>67621.0</v>
      </c>
      <c r="E2355" s="4">
        <v>46052.0</v>
      </c>
      <c r="F2355" s="4" t="str">
        <f>IF(D2355="","", IFNA(VLOOKUP(D2355, SATCAT_DECAY!A:B, 2, FALSE), ""))
</f>
        <v/>
      </c>
      <c r="G2355" s="3" t="str">
        <f t="shared" si="1"/>
        <v>ACTIVE</v>
      </c>
    </row>
    <row r="2356" ht="22.5" customHeight="1">
      <c r="A2356" s="11" t="str">
        <f t="array" ref="A2356">IFERROR(
  INDEX('Starlink Launches'!$A:$A, MATCH($E2356, 'Starlink Launches'!$B:$B, 0)),
  ""
)
</f>
        <v>6-101</v>
      </c>
      <c r="B2356" s="3" t="s">
        <v>25</v>
      </c>
      <c r="C2356" s="12" t="s">
        <v>2368</v>
      </c>
      <c r="D2356" s="13">
        <v>67622.0</v>
      </c>
      <c r="E2356" s="4">
        <v>46052.0</v>
      </c>
      <c r="F2356" s="4" t="str">
        <f>IF(D2356="","", IFNA(VLOOKUP(D2356, SATCAT_DECAY!A:B, 2, FALSE), ""))
</f>
        <v/>
      </c>
      <c r="G2356" s="3" t="str">
        <f t="shared" si="1"/>
        <v>ACTIVE</v>
      </c>
    </row>
    <row r="2357" ht="22.5" customHeight="1">
      <c r="A2357" s="11" t="str">
        <f t="array" ref="A2357">IFERROR(
  INDEX('Starlink Launches'!$A:$A, MATCH($E2357, 'Starlink Launches'!$B:$B, 0)),
  ""
)
</f>
        <v>6-101</v>
      </c>
      <c r="B2357" s="3" t="s">
        <v>25</v>
      </c>
      <c r="C2357" s="12" t="s">
        <v>2369</v>
      </c>
      <c r="D2357" s="13">
        <v>67623.0</v>
      </c>
      <c r="E2357" s="4">
        <v>46052.0</v>
      </c>
      <c r="F2357" s="4" t="str">
        <f>IF(D2357="","", IFNA(VLOOKUP(D2357, SATCAT_DECAY!A:B, 2, FALSE), ""))
</f>
        <v/>
      </c>
      <c r="G2357" s="3" t="str">
        <f t="shared" si="1"/>
        <v>ACTIVE</v>
      </c>
    </row>
    <row r="2358" ht="22.5" customHeight="1">
      <c r="A2358" s="11" t="str">
        <f t="array" ref="A2358">IFERROR(
  INDEX('Starlink Launches'!$A:$A, MATCH($E2358, 'Starlink Launches'!$B:$B, 0)),
  ""
)
</f>
        <v>6-101</v>
      </c>
      <c r="B2358" s="3" t="s">
        <v>25</v>
      </c>
      <c r="C2358" s="12" t="s">
        <v>2370</v>
      </c>
      <c r="D2358" s="13">
        <v>67624.0</v>
      </c>
      <c r="E2358" s="4">
        <v>46052.0</v>
      </c>
      <c r="F2358" s="4" t="str">
        <f>IF(D2358="","", IFNA(VLOOKUP(D2358, SATCAT_DECAY!A:B, 2, FALSE), ""))
</f>
        <v/>
      </c>
      <c r="G2358" s="3" t="str">
        <f t="shared" si="1"/>
        <v>ACTIVE</v>
      </c>
    </row>
    <row r="2359" ht="22.5" customHeight="1">
      <c r="A2359" s="11" t="str">
        <f t="array" ref="A2359">IFERROR(
  INDEX('Starlink Launches'!$A:$A, MATCH($E2359, 'Starlink Launches'!$B:$B, 0)),
  ""
)
</f>
        <v>6-101</v>
      </c>
      <c r="B2359" s="3" t="s">
        <v>25</v>
      </c>
      <c r="C2359" s="12" t="s">
        <v>2371</v>
      </c>
      <c r="D2359" s="13">
        <v>67625.0</v>
      </c>
      <c r="E2359" s="4">
        <v>46052.0</v>
      </c>
      <c r="F2359" s="4" t="str">
        <f>IF(D2359="","", IFNA(VLOOKUP(D2359, SATCAT_DECAY!A:B, 2, FALSE), ""))
</f>
        <v/>
      </c>
      <c r="G2359" s="3" t="str">
        <f t="shared" si="1"/>
        <v>ACTIVE</v>
      </c>
    </row>
    <row r="2360" ht="22.5" customHeight="1">
      <c r="A2360" s="11" t="str">
        <f t="array" ref="A2360">IFERROR(
  INDEX('Starlink Launches'!$A:$A, MATCH($E2360, 'Starlink Launches'!$B:$B, 0)),
  ""
)
</f>
        <v>6-101</v>
      </c>
      <c r="B2360" s="3" t="s">
        <v>25</v>
      </c>
      <c r="C2360" s="12" t="s">
        <v>2372</v>
      </c>
      <c r="D2360" s="13">
        <v>67626.0</v>
      </c>
      <c r="E2360" s="4">
        <v>46052.0</v>
      </c>
      <c r="F2360" s="4" t="str">
        <f>IF(D2360="","", IFNA(VLOOKUP(D2360, SATCAT_DECAY!A:B, 2, FALSE), ""))
</f>
        <v/>
      </c>
      <c r="G2360" s="3" t="str">
        <f t="shared" si="1"/>
        <v>ACTIVE</v>
      </c>
    </row>
    <row r="2361" ht="22.5" customHeight="1">
      <c r="A2361" s="11" t="str">
        <f t="array" ref="A2361">IFERROR(
  INDEX('Starlink Launches'!$A:$A, MATCH($E2361, 'Starlink Launches'!$B:$B, 0)),
  ""
)
</f>
        <v>6-101</v>
      </c>
      <c r="B2361" s="3" t="s">
        <v>25</v>
      </c>
      <c r="C2361" s="12" t="s">
        <v>2373</v>
      </c>
      <c r="D2361" s="13">
        <v>67627.0</v>
      </c>
      <c r="E2361" s="4">
        <v>46052.0</v>
      </c>
      <c r="F2361" s="4" t="str">
        <f>IF(D2361="","", IFNA(VLOOKUP(D2361, SATCAT_DECAY!A:B, 2, FALSE), ""))
</f>
        <v/>
      </c>
      <c r="G2361" s="3" t="str">
        <f t="shared" si="1"/>
        <v>ACTIVE</v>
      </c>
    </row>
    <row r="2362" ht="22.5" customHeight="1">
      <c r="A2362" s="11" t="str">
        <f t="array" ref="A2362">IFERROR(
  INDEX('Starlink Launches'!$A:$A, MATCH($E2362, 'Starlink Launches'!$B:$B, 0)),
  ""
)
</f>
        <v>6-101</v>
      </c>
      <c r="B2362" s="3" t="s">
        <v>25</v>
      </c>
      <c r="C2362" s="12" t="s">
        <v>2374</v>
      </c>
      <c r="D2362" s="13">
        <v>67628.0</v>
      </c>
      <c r="E2362" s="4">
        <v>46052.0</v>
      </c>
      <c r="F2362" s="4" t="str">
        <f>IF(D2362="","", IFNA(VLOOKUP(D2362, SATCAT_DECAY!A:B, 2, FALSE), ""))
</f>
        <v/>
      </c>
      <c r="G2362" s="3" t="str">
        <f t="shared" si="1"/>
        <v>ACTIVE</v>
      </c>
    </row>
    <row r="2363" ht="22.5" customHeight="1">
      <c r="A2363" s="11" t="str">
        <f t="array" ref="A2363">IFERROR(
  INDEX('Starlink Launches'!$A:$A, MATCH($E2363, 'Starlink Launches'!$B:$B, 0)),
  ""
)
</f>
        <v>6-101</v>
      </c>
      <c r="B2363" s="3" t="s">
        <v>25</v>
      </c>
      <c r="C2363" s="12" t="s">
        <v>2375</v>
      </c>
      <c r="D2363" s="13">
        <v>67629.0</v>
      </c>
      <c r="E2363" s="4">
        <v>46052.0</v>
      </c>
      <c r="F2363" s="4" t="str">
        <f>IF(D2363="","", IFNA(VLOOKUP(D2363, SATCAT_DECAY!A:B, 2, FALSE), ""))
</f>
        <v/>
      </c>
      <c r="G2363" s="3" t="str">
        <f t="shared" si="1"/>
        <v>ACTIVE</v>
      </c>
    </row>
    <row r="2364" ht="22.5" customHeight="1">
      <c r="A2364" s="11" t="str">
        <f t="array" ref="A2364">IFERROR(
  INDEX('Starlink Launches'!$A:$A, MATCH($E2364, 'Starlink Launches'!$B:$B, 0)),
  ""
)
</f>
        <v>6-101</v>
      </c>
      <c r="B2364" s="3" t="s">
        <v>25</v>
      </c>
      <c r="C2364" s="12" t="s">
        <v>2376</v>
      </c>
      <c r="D2364" s="13">
        <v>67630.0</v>
      </c>
      <c r="E2364" s="4">
        <v>46052.0</v>
      </c>
      <c r="F2364" s="4" t="str">
        <f>IF(D2364="","", IFNA(VLOOKUP(D2364, SATCAT_DECAY!A:B, 2, FALSE), ""))
</f>
        <v/>
      </c>
      <c r="G2364" s="3" t="str">
        <f t="shared" si="1"/>
        <v>ACTIVE</v>
      </c>
    </row>
    <row r="2365" ht="22.5" customHeight="1">
      <c r="A2365" s="11" t="str">
        <f t="array" ref="A2365">IFERROR(
  INDEX('Starlink Launches'!$A:$A, MATCH($E2365, 'Starlink Launches'!$B:$B, 0)),
  ""
)
</f>
        <v>6-101</v>
      </c>
      <c r="B2365" s="3" t="s">
        <v>25</v>
      </c>
      <c r="C2365" s="12" t="s">
        <v>2377</v>
      </c>
      <c r="D2365" s="13">
        <v>67631.0</v>
      </c>
      <c r="E2365" s="4">
        <v>46052.0</v>
      </c>
      <c r="F2365" s="4" t="str">
        <f>IF(D2365="","", IFNA(VLOOKUP(D2365, SATCAT_DECAY!A:B, 2, FALSE), ""))
</f>
        <v/>
      </c>
      <c r="G2365" s="3" t="str">
        <f t="shared" si="1"/>
        <v>ACTIVE</v>
      </c>
    </row>
    <row r="2366" ht="22.5" customHeight="1">
      <c r="A2366" s="11" t="str">
        <f t="array" ref="A2366">IFERROR(
  INDEX('Starlink Launches'!$A:$A, MATCH($E2366, 'Starlink Launches'!$B:$B, 0)),
  ""
)
</f>
        <v>6-101</v>
      </c>
      <c r="B2366" s="3" t="s">
        <v>25</v>
      </c>
      <c r="C2366" s="12" t="s">
        <v>2378</v>
      </c>
      <c r="D2366" s="13">
        <v>67632.0</v>
      </c>
      <c r="E2366" s="4">
        <v>46052.0</v>
      </c>
      <c r="F2366" s="4" t="str">
        <f>IF(D2366="","", IFNA(VLOOKUP(D2366, SATCAT_DECAY!A:B, 2, FALSE), ""))
</f>
        <v/>
      </c>
      <c r="G2366" s="3" t="str">
        <f t="shared" si="1"/>
        <v>ACTIVE</v>
      </c>
    </row>
    <row r="2367" ht="22.5" customHeight="1">
      <c r="A2367" s="11" t="str">
        <f t="array" ref="A2367">IFERROR(
  INDEX('Starlink Launches'!$A:$A, MATCH($E2367, 'Starlink Launches'!$B:$B, 0)),
  ""
)
</f>
        <v>6-101</v>
      </c>
      <c r="B2367" s="3" t="s">
        <v>25</v>
      </c>
      <c r="C2367" s="12" t="s">
        <v>2379</v>
      </c>
      <c r="D2367" s="13">
        <v>67633.0</v>
      </c>
      <c r="E2367" s="4">
        <v>46052.0</v>
      </c>
      <c r="F2367" s="4" t="str">
        <f>IF(D2367="","", IFNA(VLOOKUP(D2367, SATCAT_DECAY!A:B, 2, FALSE), ""))
</f>
        <v/>
      </c>
      <c r="G2367" s="3" t="str">
        <f t="shared" si="1"/>
        <v>ACTIVE</v>
      </c>
    </row>
    <row r="2368" ht="22.5" customHeight="1">
      <c r="A2368" s="11" t="str">
        <f t="array" ref="A2368">IFERROR(
  INDEX('Starlink Launches'!$A:$A, MATCH($E2368, 'Starlink Launches'!$B:$B, 0)),
  ""
)
</f>
        <v>6-101</v>
      </c>
      <c r="B2368" s="3" t="s">
        <v>25</v>
      </c>
      <c r="C2368" s="12" t="s">
        <v>2380</v>
      </c>
      <c r="D2368" s="13">
        <v>67634.0</v>
      </c>
      <c r="E2368" s="4">
        <v>46052.0</v>
      </c>
      <c r="F2368" s="4" t="str">
        <f>IF(D2368="","", IFNA(VLOOKUP(D2368, SATCAT_DECAY!A:B, 2, FALSE), ""))
</f>
        <v/>
      </c>
      <c r="G2368" s="3" t="str">
        <f t="shared" si="1"/>
        <v>ACTIVE</v>
      </c>
    </row>
    <row r="2369" ht="22.5" customHeight="1">
      <c r="A2369" s="11" t="str">
        <f t="array" ref="A2369">IFERROR(
  INDEX('Starlink Launches'!$A:$A, MATCH($E2369, 'Starlink Launches'!$B:$B, 0)),
  ""
)
</f>
        <v>6-101</v>
      </c>
      <c r="B2369" s="3" t="s">
        <v>25</v>
      </c>
      <c r="C2369" s="12" t="s">
        <v>2381</v>
      </c>
      <c r="D2369" s="13">
        <v>67635.0</v>
      </c>
      <c r="E2369" s="4">
        <v>46052.0</v>
      </c>
      <c r="F2369" s="4" t="str">
        <f>IF(D2369="","", IFNA(VLOOKUP(D2369, SATCAT_DECAY!A:B, 2, FALSE), ""))
</f>
        <v/>
      </c>
      <c r="G2369" s="3" t="str">
        <f t="shared" si="1"/>
        <v>ACTIVE</v>
      </c>
    </row>
    <row r="2370" ht="22.5" customHeight="1">
      <c r="A2370" s="11" t="str">
        <f t="array" ref="A2370">IFERROR(
  INDEX('Starlink Launches'!$A:$A, MATCH($E2370, 'Starlink Launches'!$B:$B, 0)),
  ""
)
</f>
        <v>6-101</v>
      </c>
      <c r="B2370" s="3" t="s">
        <v>25</v>
      </c>
      <c r="C2370" s="12" t="s">
        <v>2382</v>
      </c>
      <c r="D2370" s="13">
        <v>67636.0</v>
      </c>
      <c r="E2370" s="4">
        <v>46052.0</v>
      </c>
      <c r="F2370" s="4" t="str">
        <f>IF(D2370="","", IFNA(VLOOKUP(D2370, SATCAT_DECAY!A:B, 2, FALSE), ""))
</f>
        <v/>
      </c>
      <c r="G2370" s="3" t="str">
        <f t="shared" si="1"/>
        <v>ACTIVE</v>
      </c>
    </row>
    <row r="2371" ht="22.5" customHeight="1">
      <c r="A2371" s="11" t="str">
        <f t="array" ref="A2371">IFERROR(
  INDEX('Starlink Launches'!$A:$A, MATCH($E2371, 'Starlink Launches'!$B:$B, 0)),
  ""
)
</f>
        <v>6-101</v>
      </c>
      <c r="B2371" s="3" t="s">
        <v>25</v>
      </c>
      <c r="C2371" s="12" t="s">
        <v>2383</v>
      </c>
      <c r="D2371" s="13">
        <v>67637.0</v>
      </c>
      <c r="E2371" s="4">
        <v>46052.0</v>
      </c>
      <c r="F2371" s="4" t="str">
        <f>IF(D2371="","", IFNA(VLOOKUP(D2371, SATCAT_DECAY!A:B, 2, FALSE), ""))
</f>
        <v/>
      </c>
      <c r="G2371" s="3" t="str">
        <f t="shared" si="1"/>
        <v>ACTIVE</v>
      </c>
    </row>
    <row r="2372" ht="22.5" customHeight="1">
      <c r="A2372" s="11" t="str">
        <f t="array" ref="A2372">IFERROR(
  INDEX('Starlink Launches'!$A:$A, MATCH($E2372, 'Starlink Launches'!$B:$B, 0)),
  ""
)
</f>
        <v>6-101</v>
      </c>
      <c r="B2372" s="3" t="s">
        <v>25</v>
      </c>
      <c r="C2372" s="12" t="s">
        <v>2384</v>
      </c>
      <c r="D2372" s="13">
        <v>67638.0</v>
      </c>
      <c r="E2372" s="4">
        <v>46052.0</v>
      </c>
      <c r="F2372" s="4" t="str">
        <f>IF(D2372="","", IFNA(VLOOKUP(D2372, SATCAT_DECAY!A:B, 2, FALSE), ""))
</f>
        <v/>
      </c>
      <c r="G2372" s="3" t="str">
        <f t="shared" si="1"/>
        <v>ACTIVE</v>
      </c>
    </row>
    <row r="2373" ht="22.5" customHeight="1">
      <c r="A2373" s="11" t="str">
        <f t="array" ref="A2373">IFERROR(
  INDEX('Starlink Launches'!$A:$A, MATCH($E2373, 'Starlink Launches'!$B:$B, 0)),
  ""
)
</f>
        <v>6-101</v>
      </c>
      <c r="B2373" s="3" t="s">
        <v>25</v>
      </c>
      <c r="C2373" s="12" t="s">
        <v>2385</v>
      </c>
      <c r="D2373" s="13">
        <v>67639.0</v>
      </c>
      <c r="E2373" s="4">
        <v>46052.0</v>
      </c>
      <c r="F2373" s="4" t="str">
        <f>IF(D2373="","", IFNA(VLOOKUP(D2373, SATCAT_DECAY!A:B, 2, FALSE), ""))
</f>
        <v/>
      </c>
      <c r="G2373" s="3" t="str">
        <f t="shared" si="1"/>
        <v>ACTIVE</v>
      </c>
    </row>
    <row r="2374" ht="22.5" customHeight="1">
      <c r="A2374" s="11" t="str">
        <f t="array" ref="A2374">IFERROR(
  INDEX('Starlink Launches'!$A:$A, MATCH($E2374, 'Starlink Launches'!$B:$B, 0)),
  ""
)
</f>
        <v>6-101</v>
      </c>
      <c r="B2374" s="3" t="s">
        <v>25</v>
      </c>
      <c r="C2374" s="12" t="s">
        <v>2386</v>
      </c>
      <c r="D2374" s="13">
        <v>67640.0</v>
      </c>
      <c r="E2374" s="4">
        <v>46052.0</v>
      </c>
      <c r="F2374" s="4" t="str">
        <f>IF(D2374="","", IFNA(VLOOKUP(D2374, SATCAT_DECAY!A:B, 2, FALSE), ""))
</f>
        <v/>
      </c>
      <c r="G2374" s="3" t="str">
        <f t="shared" si="1"/>
        <v>ACTIVE</v>
      </c>
    </row>
    <row r="2375" ht="22.5" customHeight="1">
      <c r="A2375" s="11" t="str">
        <f t="array" ref="A2375">IFERROR(
  INDEX('Starlink Launches'!$A:$A, MATCH($E2375, 'Starlink Launches'!$B:$B, 0)),
  ""
)
</f>
        <v>6-101</v>
      </c>
      <c r="B2375" s="3" t="s">
        <v>25</v>
      </c>
      <c r="C2375" s="12" t="s">
        <v>2387</v>
      </c>
      <c r="D2375" s="13">
        <v>67641.0</v>
      </c>
      <c r="E2375" s="4">
        <v>46052.0</v>
      </c>
      <c r="F2375" s="4" t="str">
        <f>IF(D2375="","", IFNA(VLOOKUP(D2375, SATCAT_DECAY!A:B, 2, FALSE), ""))
</f>
        <v/>
      </c>
      <c r="G2375" s="3" t="str">
        <f t="shared" si="1"/>
        <v>ACTIVE</v>
      </c>
    </row>
    <row r="2376" ht="22.5" customHeight="1">
      <c r="A2376" s="11" t="str">
        <f t="array" ref="A2376">IFERROR(
  INDEX('Starlink Launches'!$A:$A, MATCH($E2376, 'Starlink Launches'!$B:$B, 0)),
  ""
)
</f>
        <v>6-101</v>
      </c>
      <c r="B2376" s="3" t="s">
        <v>25</v>
      </c>
      <c r="C2376" s="12" t="s">
        <v>2388</v>
      </c>
      <c r="D2376" s="13">
        <v>67642.0</v>
      </c>
      <c r="E2376" s="4">
        <v>46052.0</v>
      </c>
      <c r="F2376" s="4" t="str">
        <f>IF(D2376="","", IFNA(VLOOKUP(D2376, SATCAT_DECAY!A:B, 2, FALSE), ""))
</f>
        <v/>
      </c>
      <c r="G2376" s="3" t="str">
        <f t="shared" si="1"/>
        <v>ACTIVE</v>
      </c>
    </row>
    <row r="2377" ht="22.5" customHeight="1">
      <c r="A2377" s="11" t="str">
        <f t="array" ref="A2377">IFERROR(
  INDEX('Starlink Launches'!$A:$A, MATCH($E2377, 'Starlink Launches'!$B:$B, 0)),
  ""
)
</f>
        <v>6-101</v>
      </c>
      <c r="B2377" s="3" t="s">
        <v>25</v>
      </c>
      <c r="C2377" s="12" t="s">
        <v>2389</v>
      </c>
      <c r="D2377" s="13">
        <v>67643.0</v>
      </c>
      <c r="E2377" s="4">
        <v>46052.0</v>
      </c>
      <c r="F2377" s="4" t="str">
        <f>IF(D2377="","", IFNA(VLOOKUP(D2377, SATCAT_DECAY!A:B, 2, FALSE), ""))
</f>
        <v/>
      </c>
      <c r="G2377" s="3" t="str">
        <f t="shared" si="1"/>
        <v>ACTIVE</v>
      </c>
    </row>
    <row r="2378" ht="22.5" customHeight="1">
      <c r="A2378" s="11" t="str">
        <f t="array" ref="A2378">IFERROR(
  INDEX('Starlink Launches'!$A:$A, MATCH($E2378, 'Starlink Launches'!$B:$B, 0)),
  ""
)
</f>
        <v>6-101</v>
      </c>
      <c r="B2378" s="3" t="s">
        <v>25</v>
      </c>
      <c r="C2378" s="12" t="s">
        <v>2390</v>
      </c>
      <c r="D2378" s="13">
        <v>67644.0</v>
      </c>
      <c r="E2378" s="4">
        <v>46052.0</v>
      </c>
      <c r="F2378" s="4" t="str">
        <f>IF(D2378="","", IFNA(VLOOKUP(D2378, SATCAT_DECAY!A:B, 2, FALSE), ""))
</f>
        <v/>
      </c>
      <c r="G2378" s="3" t="str">
        <f t="shared" si="1"/>
        <v>ACTIVE</v>
      </c>
    </row>
    <row r="2379" ht="22.5" customHeight="1">
      <c r="A2379" s="17" t="str">
        <f t="array" ref="A2379">IFERROR(
  INDEX('Starlink Launches'!$A:$A, MATCH($E2379, 'Starlink Launches'!$B:$B, 0)),
  ""
)
</f>
        <v>6-101</v>
      </c>
      <c r="B2379" s="9" t="s">
        <v>25</v>
      </c>
      <c r="C2379" s="18" t="s">
        <v>2391</v>
      </c>
      <c r="D2379" s="19">
        <v>67645.0</v>
      </c>
      <c r="E2379" s="10">
        <v>46052.0</v>
      </c>
      <c r="F2379" s="10" t="str">
        <f>IF(D2379="","", IFNA(VLOOKUP(D2379, SATCAT_DECAY!A:B, 2, FALSE), ""))
</f>
        <v/>
      </c>
      <c r="G2379" s="9" t="str">
        <f t="shared" si="1"/>
        <v>ACTIVE</v>
      </c>
    </row>
    <row r="2380" ht="22.5" customHeight="1">
      <c r="A2380" s="11" t="str">
        <f t="array" ref="A2380">IFERROR(
  INDEX('Starlink Launches'!$A:$A, MATCH($E2380, 'Starlink Launches'!$B:$B, 0)),
  ""
)
</f>
        <v>7-1</v>
      </c>
      <c r="B2380" s="3" t="s">
        <v>25</v>
      </c>
      <c r="C2380" s="12" t="s">
        <v>2392</v>
      </c>
      <c r="D2380" s="13">
        <v>57663.0</v>
      </c>
      <c r="E2380" s="4">
        <v>45160.0</v>
      </c>
      <c r="F2380" s="4" t="str">
        <f>IF(D2380="","", IFNA(VLOOKUP(D2380, SATCAT_DECAY!A:B, 2, FALSE), ""))
</f>
        <v/>
      </c>
      <c r="G2380" s="3" t="str">
        <f t="shared" si="1"/>
        <v>ACTIVE</v>
      </c>
    </row>
    <row r="2381" ht="22.5" customHeight="1">
      <c r="A2381" s="11" t="str">
        <f t="array" ref="A2381">IFERROR(
  INDEX('Starlink Launches'!$A:$A, MATCH($E2381, 'Starlink Launches'!$B:$B, 0)),
  ""
)
</f>
        <v>7-1</v>
      </c>
      <c r="B2381" s="3" t="s">
        <v>25</v>
      </c>
      <c r="C2381" s="12" t="s">
        <v>2393</v>
      </c>
      <c r="D2381" s="13">
        <v>57665.0</v>
      </c>
      <c r="E2381" s="4">
        <v>45160.0</v>
      </c>
      <c r="F2381" s="4" t="str">
        <f>IF(D2381="","", IFNA(VLOOKUP(D2381, SATCAT_DECAY!A:B, 2, FALSE), ""))
</f>
        <v/>
      </c>
      <c r="G2381" s="3" t="str">
        <f t="shared" si="1"/>
        <v>ACTIVE</v>
      </c>
    </row>
    <row r="2382" ht="22.5" customHeight="1">
      <c r="A2382" s="11" t="str">
        <f t="array" ref="A2382">IFERROR(
  INDEX('Starlink Launches'!$A:$A, MATCH($E2382, 'Starlink Launches'!$B:$B, 0)),
  ""
)
</f>
        <v>7-1</v>
      </c>
      <c r="B2382" s="3" t="s">
        <v>25</v>
      </c>
      <c r="C2382" s="12" t="s">
        <v>2394</v>
      </c>
      <c r="D2382" s="13">
        <v>57666.0</v>
      </c>
      <c r="E2382" s="4">
        <v>45160.0</v>
      </c>
      <c r="F2382" s="4" t="str">
        <f>IF(D2382="","", IFNA(VLOOKUP(D2382, SATCAT_DECAY!A:B, 2, FALSE), ""))
</f>
        <v/>
      </c>
      <c r="G2382" s="3" t="str">
        <f t="shared" si="1"/>
        <v>ACTIVE</v>
      </c>
    </row>
    <row r="2383" ht="22.5" customHeight="1">
      <c r="A2383" s="11" t="str">
        <f t="array" ref="A2383">IFERROR(
  INDEX('Starlink Launches'!$A:$A, MATCH($E2383, 'Starlink Launches'!$B:$B, 0)),
  ""
)
</f>
        <v>7-1</v>
      </c>
      <c r="B2383" s="3" t="s">
        <v>25</v>
      </c>
      <c r="C2383" s="12" t="s">
        <v>2395</v>
      </c>
      <c r="D2383" s="13">
        <v>57667.0</v>
      </c>
      <c r="E2383" s="4">
        <v>45160.0</v>
      </c>
      <c r="F2383" s="4" t="str">
        <f>IF(D2383="","", IFNA(VLOOKUP(D2383, SATCAT_DECAY!A:B, 2, FALSE), ""))
</f>
        <v/>
      </c>
      <c r="G2383" s="3" t="str">
        <f t="shared" si="1"/>
        <v>ACTIVE</v>
      </c>
    </row>
    <row r="2384" ht="22.5" customHeight="1">
      <c r="A2384" s="11" t="str">
        <f t="array" ref="A2384">IFERROR(
  INDEX('Starlink Launches'!$A:$A, MATCH($E2384, 'Starlink Launches'!$B:$B, 0)),
  ""
)
</f>
        <v>7-1</v>
      </c>
      <c r="B2384" s="3" t="s">
        <v>25</v>
      </c>
      <c r="C2384" s="12" t="s">
        <v>2396</v>
      </c>
      <c r="D2384" s="13">
        <v>57668.0</v>
      </c>
      <c r="E2384" s="4">
        <v>45160.0</v>
      </c>
      <c r="F2384" s="4" t="str">
        <f>IF(D2384="","", IFNA(VLOOKUP(D2384, SATCAT_DECAY!A:B, 2, FALSE), ""))
</f>
        <v/>
      </c>
      <c r="G2384" s="3" t="str">
        <f t="shared" si="1"/>
        <v>ACTIVE</v>
      </c>
    </row>
    <row r="2385" ht="22.5" customHeight="1">
      <c r="A2385" s="11" t="str">
        <f t="array" ref="A2385">IFERROR(
  INDEX('Starlink Launches'!$A:$A, MATCH($E2385, 'Starlink Launches'!$B:$B, 0)),
  ""
)
</f>
        <v>7-1</v>
      </c>
      <c r="B2385" s="3" t="s">
        <v>25</v>
      </c>
      <c r="C2385" s="12" t="s">
        <v>2397</v>
      </c>
      <c r="D2385" s="13">
        <v>57669.0</v>
      </c>
      <c r="E2385" s="4">
        <v>45160.0</v>
      </c>
      <c r="F2385" s="4" t="str">
        <f>IF(D2385="","", IFNA(VLOOKUP(D2385, SATCAT_DECAY!A:B, 2, FALSE), ""))
</f>
        <v/>
      </c>
      <c r="G2385" s="3" t="str">
        <f t="shared" si="1"/>
        <v>ACTIVE</v>
      </c>
    </row>
    <row r="2386" ht="22.5" customHeight="1">
      <c r="A2386" s="11" t="str">
        <f t="array" ref="A2386">IFERROR(
  INDEX('Starlink Launches'!$A:$A, MATCH($E2386, 'Starlink Launches'!$B:$B, 0)),
  ""
)
</f>
        <v>7-1</v>
      </c>
      <c r="B2386" s="3" t="s">
        <v>25</v>
      </c>
      <c r="C2386" s="12" t="s">
        <v>2398</v>
      </c>
      <c r="D2386" s="13">
        <v>57670.0</v>
      </c>
      <c r="E2386" s="4">
        <v>45160.0</v>
      </c>
      <c r="F2386" s="4" t="str">
        <f>IF(D2386="","", IFNA(VLOOKUP(D2386, SATCAT_DECAY!A:B, 2, FALSE), ""))
</f>
        <v/>
      </c>
      <c r="G2386" s="3" t="str">
        <f t="shared" si="1"/>
        <v>ACTIVE</v>
      </c>
    </row>
    <row r="2387" ht="22.5" customHeight="1">
      <c r="A2387" s="11" t="str">
        <f t="array" ref="A2387">IFERROR(
  INDEX('Starlink Launches'!$A:$A, MATCH($E2387, 'Starlink Launches'!$B:$B, 0)),
  ""
)
</f>
        <v>7-1</v>
      </c>
      <c r="B2387" s="3" t="s">
        <v>25</v>
      </c>
      <c r="C2387" s="12" t="s">
        <v>2399</v>
      </c>
      <c r="D2387" s="13">
        <v>57671.0</v>
      </c>
      <c r="E2387" s="4">
        <v>45160.0</v>
      </c>
      <c r="F2387" s="4" t="str">
        <f>IF(D2387="","", IFNA(VLOOKUP(D2387, SATCAT_DECAY!A:B, 2, FALSE), ""))
</f>
        <v/>
      </c>
      <c r="G2387" s="3" t="str">
        <f t="shared" si="1"/>
        <v>ACTIVE</v>
      </c>
    </row>
    <row r="2388" ht="22.5" customHeight="1">
      <c r="A2388" s="11" t="str">
        <f t="array" ref="A2388">IFERROR(
  INDEX('Starlink Launches'!$A:$A, MATCH($E2388, 'Starlink Launches'!$B:$B, 0)),
  ""
)
</f>
        <v>7-1</v>
      </c>
      <c r="B2388" s="3" t="s">
        <v>25</v>
      </c>
      <c r="C2388" s="12" t="s">
        <v>2400</v>
      </c>
      <c r="D2388" s="13">
        <v>57672.0</v>
      </c>
      <c r="E2388" s="4">
        <v>45160.0</v>
      </c>
      <c r="F2388" s="4" t="str">
        <f>IF(D2388="","", IFNA(VLOOKUP(D2388, SATCAT_DECAY!A:B, 2, FALSE), ""))
</f>
        <v/>
      </c>
      <c r="G2388" s="3" t="str">
        <f t="shared" si="1"/>
        <v>ACTIVE</v>
      </c>
    </row>
    <row r="2389" ht="22.5" customHeight="1">
      <c r="A2389" s="11" t="str">
        <f t="array" ref="A2389">IFERROR(
  INDEX('Starlink Launches'!$A:$A, MATCH($E2389, 'Starlink Launches'!$B:$B, 0)),
  ""
)
</f>
        <v>7-1</v>
      </c>
      <c r="B2389" s="3" t="s">
        <v>25</v>
      </c>
      <c r="C2389" s="12" t="s">
        <v>2401</v>
      </c>
      <c r="D2389" s="13">
        <v>57673.0</v>
      </c>
      <c r="E2389" s="4">
        <v>45160.0</v>
      </c>
      <c r="F2389" s="4" t="str">
        <f>IF(D2389="","", IFNA(VLOOKUP(D2389, SATCAT_DECAY!A:B, 2, FALSE), ""))
</f>
        <v/>
      </c>
      <c r="G2389" s="3" t="str">
        <f t="shared" si="1"/>
        <v>ACTIVE</v>
      </c>
    </row>
    <row r="2390" ht="22.5" customHeight="1">
      <c r="A2390" s="11" t="str">
        <f t="array" ref="A2390">IFERROR(
  INDEX('Starlink Launches'!$A:$A, MATCH($E2390, 'Starlink Launches'!$B:$B, 0)),
  ""
)
</f>
        <v>7-1</v>
      </c>
      <c r="B2390" s="3" t="s">
        <v>25</v>
      </c>
      <c r="C2390" s="12" t="s">
        <v>2402</v>
      </c>
      <c r="D2390" s="13">
        <v>57676.0</v>
      </c>
      <c r="E2390" s="4">
        <v>45160.0</v>
      </c>
      <c r="F2390" s="4" t="str">
        <f>IF(D2390="","", IFNA(VLOOKUP(D2390, SATCAT_DECAY!A:B, 2, FALSE), ""))
</f>
        <v/>
      </c>
      <c r="G2390" s="3" t="str">
        <f t="shared" si="1"/>
        <v>ACTIVE</v>
      </c>
    </row>
    <row r="2391" ht="22.5" customHeight="1">
      <c r="A2391" s="11" t="str">
        <f t="array" ref="A2391">IFERROR(
  INDEX('Starlink Launches'!$A:$A, MATCH($E2391, 'Starlink Launches'!$B:$B, 0)),
  ""
)
</f>
        <v>7-1</v>
      </c>
      <c r="B2391" s="3" t="s">
        <v>25</v>
      </c>
      <c r="C2391" s="12" t="s">
        <v>2403</v>
      </c>
      <c r="D2391" s="13">
        <v>57677.0</v>
      </c>
      <c r="E2391" s="4">
        <v>45160.0</v>
      </c>
      <c r="F2391" s="4" t="str">
        <f>IF(D2391="","", IFNA(VLOOKUP(D2391, SATCAT_DECAY!A:B, 2, FALSE), ""))
</f>
        <v/>
      </c>
      <c r="G2391" s="3" t="str">
        <f t="shared" si="1"/>
        <v>ACTIVE</v>
      </c>
    </row>
    <row r="2392" ht="22.5" customHeight="1">
      <c r="A2392" s="11" t="str">
        <f t="array" ref="A2392">IFERROR(
  INDEX('Starlink Launches'!$A:$A, MATCH($E2392, 'Starlink Launches'!$B:$B, 0)),
  ""
)
</f>
        <v>7-1</v>
      </c>
      <c r="B2392" s="3" t="s">
        <v>25</v>
      </c>
      <c r="C2392" s="12" t="s">
        <v>2404</v>
      </c>
      <c r="D2392" s="13">
        <v>57678.0</v>
      </c>
      <c r="E2392" s="4">
        <v>45160.0</v>
      </c>
      <c r="F2392" s="4" t="str">
        <f>IF(D2392="","", IFNA(VLOOKUP(D2392, SATCAT_DECAY!A:B, 2, FALSE), ""))
</f>
        <v/>
      </c>
      <c r="G2392" s="3" t="str">
        <f t="shared" si="1"/>
        <v>ACTIVE</v>
      </c>
    </row>
    <row r="2393" ht="22.5" customHeight="1">
      <c r="A2393" s="11" t="str">
        <f t="array" ref="A2393">IFERROR(
  INDEX('Starlink Launches'!$A:$A, MATCH($E2393, 'Starlink Launches'!$B:$B, 0)),
  ""
)
</f>
        <v>7-1</v>
      </c>
      <c r="B2393" s="3" t="s">
        <v>25</v>
      </c>
      <c r="C2393" s="12" t="s">
        <v>2405</v>
      </c>
      <c r="D2393" s="13">
        <v>57679.0</v>
      </c>
      <c r="E2393" s="4">
        <v>45160.0</v>
      </c>
      <c r="F2393" s="4" t="str">
        <f>IF(D2393="","", IFNA(VLOOKUP(D2393, SATCAT_DECAY!A:B, 2, FALSE), ""))
</f>
        <v/>
      </c>
      <c r="G2393" s="3" t="str">
        <f t="shared" si="1"/>
        <v>ACTIVE</v>
      </c>
    </row>
    <row r="2394" ht="22.5" customHeight="1">
      <c r="A2394" s="11" t="str">
        <f t="array" ref="A2394">IFERROR(
  INDEX('Starlink Launches'!$A:$A, MATCH($E2394, 'Starlink Launches'!$B:$B, 0)),
  ""
)
</f>
        <v>7-1</v>
      </c>
      <c r="B2394" s="3" t="s">
        <v>25</v>
      </c>
      <c r="C2394" s="12" t="s">
        <v>2406</v>
      </c>
      <c r="D2394" s="13">
        <v>57680.0</v>
      </c>
      <c r="E2394" s="4">
        <v>45160.0</v>
      </c>
      <c r="F2394" s="4" t="str">
        <f>IF(D2394="","", IFNA(VLOOKUP(D2394, SATCAT_DECAY!A:B, 2, FALSE), ""))
</f>
        <v/>
      </c>
      <c r="G2394" s="3" t="str">
        <f t="shared" si="1"/>
        <v>ACTIVE</v>
      </c>
    </row>
    <row r="2395" ht="22.5" customHeight="1">
      <c r="A2395" s="11" t="str">
        <f t="array" ref="A2395">IFERROR(
  INDEX('Starlink Launches'!$A:$A, MATCH($E2395, 'Starlink Launches'!$B:$B, 0)),
  ""
)
</f>
        <v>7-1</v>
      </c>
      <c r="B2395" s="3" t="s">
        <v>25</v>
      </c>
      <c r="C2395" s="12" t="s">
        <v>2407</v>
      </c>
      <c r="D2395" s="13">
        <v>57681.0</v>
      </c>
      <c r="E2395" s="4">
        <v>45160.0</v>
      </c>
      <c r="F2395" s="4" t="str">
        <f>IF(D2395="","", IFNA(VLOOKUP(D2395, SATCAT_DECAY!A:B, 2, FALSE), ""))
</f>
        <v/>
      </c>
      <c r="G2395" s="3" t="str">
        <f t="shared" si="1"/>
        <v>ACTIVE</v>
      </c>
    </row>
    <row r="2396" ht="22.5" customHeight="1">
      <c r="A2396" s="11" t="str">
        <f t="array" ref="A2396">IFERROR(
  INDEX('Starlink Launches'!$A:$A, MATCH($E2396, 'Starlink Launches'!$B:$B, 0)),
  ""
)
</f>
        <v>7-1</v>
      </c>
      <c r="B2396" s="3" t="s">
        <v>25</v>
      </c>
      <c r="C2396" s="12" t="s">
        <v>2408</v>
      </c>
      <c r="D2396" s="13">
        <v>57682.0</v>
      </c>
      <c r="E2396" s="4">
        <v>45160.0</v>
      </c>
      <c r="F2396" s="4" t="str">
        <f>IF(D2396="","", IFNA(VLOOKUP(D2396, SATCAT_DECAY!A:B, 2, FALSE), ""))
</f>
        <v/>
      </c>
      <c r="G2396" s="3" t="str">
        <f t="shared" si="1"/>
        <v>ACTIVE</v>
      </c>
    </row>
    <row r="2397" ht="22.5" customHeight="1">
      <c r="A2397" s="11" t="str">
        <f t="array" ref="A2397">IFERROR(
  INDEX('Starlink Launches'!$A:$A, MATCH($E2397, 'Starlink Launches'!$B:$B, 0)),
  ""
)
</f>
        <v>7-1</v>
      </c>
      <c r="B2397" s="3" t="s">
        <v>25</v>
      </c>
      <c r="C2397" s="12" t="s">
        <v>2409</v>
      </c>
      <c r="D2397" s="13">
        <v>57683.0</v>
      </c>
      <c r="E2397" s="4">
        <v>45160.0</v>
      </c>
      <c r="F2397" s="4" t="str">
        <f>IF(D2397="","", IFNA(VLOOKUP(D2397, SATCAT_DECAY!A:B, 2, FALSE), ""))
</f>
        <v/>
      </c>
      <c r="G2397" s="3" t="str">
        <f t="shared" si="1"/>
        <v>ACTIVE</v>
      </c>
    </row>
    <row r="2398" ht="22.5" customHeight="1">
      <c r="A2398" s="11" t="str">
        <f t="array" ref="A2398">IFERROR(
  INDEX('Starlink Launches'!$A:$A, MATCH($E2398, 'Starlink Launches'!$B:$B, 0)),
  ""
)
</f>
        <v>7-2</v>
      </c>
      <c r="B2398" s="3" t="s">
        <v>25</v>
      </c>
      <c r="C2398" s="12" t="s">
        <v>2410</v>
      </c>
      <c r="D2398" s="13">
        <v>57840.0</v>
      </c>
      <c r="E2398" s="4">
        <v>45181.0</v>
      </c>
      <c r="F2398" s="4" t="str">
        <f>IF(D2398="","", IFNA(VLOOKUP(D2398, SATCAT_DECAY!A:B, 2, FALSE), ""))
</f>
        <v/>
      </c>
      <c r="G2398" s="3" t="str">
        <f t="shared" si="1"/>
        <v>ACTIVE</v>
      </c>
    </row>
    <row r="2399" ht="22.5" customHeight="1">
      <c r="A2399" s="11" t="str">
        <f t="array" ref="A2399">IFERROR(
  INDEX('Starlink Launches'!$A:$A, MATCH($E2399, 'Starlink Launches'!$B:$B, 0)),
  ""
)
</f>
        <v>7-2</v>
      </c>
      <c r="B2399" s="3" t="s">
        <v>25</v>
      </c>
      <c r="C2399" s="12" t="s">
        <v>2411</v>
      </c>
      <c r="D2399" s="13">
        <v>57841.0</v>
      </c>
      <c r="E2399" s="4">
        <v>45181.0</v>
      </c>
      <c r="F2399" s="4" t="str">
        <f>IF(D2399="","", IFNA(VLOOKUP(D2399, SATCAT_DECAY!A:B, 2, FALSE), ""))
</f>
        <v/>
      </c>
      <c r="G2399" s="3" t="str">
        <f t="shared" si="1"/>
        <v>ACTIVE</v>
      </c>
    </row>
    <row r="2400" ht="22.5" customHeight="1">
      <c r="A2400" s="11" t="str">
        <f t="array" ref="A2400">IFERROR(
  INDEX('Starlink Launches'!$A:$A, MATCH($E2400, 'Starlink Launches'!$B:$B, 0)),
  ""
)
</f>
        <v>7-2</v>
      </c>
      <c r="B2400" s="3" t="s">
        <v>25</v>
      </c>
      <c r="C2400" s="12" t="s">
        <v>2412</v>
      </c>
      <c r="D2400" s="13">
        <v>57842.0</v>
      </c>
      <c r="E2400" s="4">
        <v>45181.0</v>
      </c>
      <c r="F2400" s="4" t="str">
        <f>IF(D2400="","", IFNA(VLOOKUP(D2400, SATCAT_DECAY!A:B, 2, FALSE), ""))
</f>
        <v/>
      </c>
      <c r="G2400" s="3" t="str">
        <f t="shared" si="1"/>
        <v>ACTIVE</v>
      </c>
    </row>
    <row r="2401" ht="22.5" customHeight="1">
      <c r="A2401" s="11" t="str">
        <f t="array" ref="A2401">IFERROR(
  INDEX('Starlink Launches'!$A:$A, MATCH($E2401, 'Starlink Launches'!$B:$B, 0)),
  ""
)
</f>
        <v>7-2</v>
      </c>
      <c r="B2401" s="3" t="s">
        <v>25</v>
      </c>
      <c r="C2401" s="12" t="s">
        <v>2413</v>
      </c>
      <c r="D2401" s="13">
        <v>57843.0</v>
      </c>
      <c r="E2401" s="4">
        <v>45181.0</v>
      </c>
      <c r="F2401" s="4" t="str">
        <f>IF(D2401="","", IFNA(VLOOKUP(D2401, SATCAT_DECAY!A:B, 2, FALSE), ""))
</f>
        <v/>
      </c>
      <c r="G2401" s="3" t="str">
        <f t="shared" si="1"/>
        <v>ACTIVE</v>
      </c>
    </row>
    <row r="2402" ht="22.5" customHeight="1">
      <c r="A2402" s="11" t="str">
        <f t="array" ref="A2402">IFERROR(
  INDEX('Starlink Launches'!$A:$A, MATCH($E2402, 'Starlink Launches'!$B:$B, 0)),
  ""
)
</f>
        <v>7-2</v>
      </c>
      <c r="B2402" s="3" t="s">
        <v>25</v>
      </c>
      <c r="C2402" s="12" t="s">
        <v>2414</v>
      </c>
      <c r="D2402" s="13">
        <v>57844.0</v>
      </c>
      <c r="E2402" s="4">
        <v>45181.0</v>
      </c>
      <c r="F2402" s="4" t="str">
        <f>IF(D2402="","", IFNA(VLOOKUP(D2402, SATCAT_DECAY!A:B, 2, FALSE), ""))
</f>
        <v/>
      </c>
      <c r="G2402" s="3" t="str">
        <f t="shared" si="1"/>
        <v>ACTIVE</v>
      </c>
    </row>
    <row r="2403" ht="22.5" customHeight="1">
      <c r="A2403" s="11" t="str">
        <f t="array" ref="A2403">IFERROR(
  INDEX('Starlink Launches'!$A:$A, MATCH($E2403, 'Starlink Launches'!$B:$B, 0)),
  ""
)
</f>
        <v>7-2</v>
      </c>
      <c r="B2403" s="3" t="s">
        <v>25</v>
      </c>
      <c r="C2403" s="12" t="s">
        <v>2415</v>
      </c>
      <c r="D2403" s="13">
        <v>57847.0</v>
      </c>
      <c r="E2403" s="4">
        <v>45181.0</v>
      </c>
      <c r="F2403" s="4" t="str">
        <f>IF(D2403="","", IFNA(VLOOKUP(D2403, SATCAT_DECAY!A:B, 2, FALSE), ""))
</f>
        <v/>
      </c>
      <c r="G2403" s="3" t="str">
        <f t="shared" si="1"/>
        <v>ACTIVE</v>
      </c>
    </row>
    <row r="2404" ht="22.5" customHeight="1">
      <c r="A2404" s="11" t="str">
        <f t="array" ref="A2404">IFERROR(
  INDEX('Starlink Launches'!$A:$A, MATCH($E2404, 'Starlink Launches'!$B:$B, 0)),
  ""
)
</f>
        <v>7-2</v>
      </c>
      <c r="B2404" s="3" t="s">
        <v>25</v>
      </c>
      <c r="C2404" s="12" t="s">
        <v>2416</v>
      </c>
      <c r="D2404" s="13">
        <v>57848.0</v>
      </c>
      <c r="E2404" s="4">
        <v>45181.0</v>
      </c>
      <c r="F2404" s="4" t="str">
        <f>IF(D2404="","", IFNA(VLOOKUP(D2404, SATCAT_DECAY!A:B, 2, FALSE), ""))
</f>
        <v/>
      </c>
      <c r="G2404" s="3" t="str">
        <f t="shared" si="1"/>
        <v>ACTIVE</v>
      </c>
    </row>
    <row r="2405" ht="22.5" customHeight="1">
      <c r="A2405" s="11" t="str">
        <f t="array" ref="A2405">IFERROR(
  INDEX('Starlink Launches'!$A:$A, MATCH($E2405, 'Starlink Launches'!$B:$B, 0)),
  ""
)
</f>
        <v>7-2</v>
      </c>
      <c r="B2405" s="3" t="s">
        <v>25</v>
      </c>
      <c r="C2405" s="12" t="s">
        <v>2417</v>
      </c>
      <c r="D2405" s="13">
        <v>57849.0</v>
      </c>
      <c r="E2405" s="4">
        <v>45181.0</v>
      </c>
      <c r="F2405" s="4" t="str">
        <f>IF(D2405="","", IFNA(VLOOKUP(D2405, SATCAT_DECAY!A:B, 2, FALSE), ""))
</f>
        <v/>
      </c>
      <c r="G2405" s="3" t="str">
        <f t="shared" si="1"/>
        <v>ACTIVE</v>
      </c>
    </row>
    <row r="2406" ht="22.5" customHeight="1">
      <c r="A2406" s="11" t="str">
        <f t="array" ref="A2406">IFERROR(
  INDEX('Starlink Launches'!$A:$A, MATCH($E2406, 'Starlink Launches'!$B:$B, 0)),
  ""
)
</f>
        <v>7-2</v>
      </c>
      <c r="B2406" s="3" t="s">
        <v>25</v>
      </c>
      <c r="C2406" s="12" t="s">
        <v>2418</v>
      </c>
      <c r="D2406" s="13">
        <v>57850.0</v>
      </c>
      <c r="E2406" s="4">
        <v>45181.0</v>
      </c>
      <c r="F2406" s="4" t="str">
        <f>IF(D2406="","", IFNA(VLOOKUP(D2406, SATCAT_DECAY!A:B, 2, FALSE), ""))
</f>
        <v/>
      </c>
      <c r="G2406" s="3" t="str">
        <f t="shared" si="1"/>
        <v>ACTIVE</v>
      </c>
    </row>
    <row r="2407" ht="22.5" customHeight="1">
      <c r="A2407" s="11" t="str">
        <f t="array" ref="A2407">IFERROR(
  INDEX('Starlink Launches'!$A:$A, MATCH($E2407, 'Starlink Launches'!$B:$B, 0)),
  ""
)
</f>
        <v>7-2</v>
      </c>
      <c r="B2407" s="3" t="s">
        <v>25</v>
      </c>
      <c r="C2407" s="12" t="s">
        <v>2419</v>
      </c>
      <c r="D2407" s="13">
        <v>57851.0</v>
      </c>
      <c r="E2407" s="4">
        <v>45181.0</v>
      </c>
      <c r="F2407" s="4" t="str">
        <f>IF(D2407="","", IFNA(VLOOKUP(D2407, SATCAT_DECAY!A:B, 2, FALSE), ""))
</f>
        <v/>
      </c>
      <c r="G2407" s="3" t="str">
        <f t="shared" si="1"/>
        <v>ACTIVE</v>
      </c>
    </row>
    <row r="2408" ht="22.5" customHeight="1">
      <c r="A2408" s="11" t="str">
        <f t="array" ref="A2408">IFERROR(
  INDEX('Starlink Launches'!$A:$A, MATCH($E2408, 'Starlink Launches'!$B:$B, 0)),
  ""
)
</f>
        <v>7-2</v>
      </c>
      <c r="B2408" s="3" t="s">
        <v>25</v>
      </c>
      <c r="C2408" s="12" t="s">
        <v>2420</v>
      </c>
      <c r="D2408" s="13">
        <v>57852.0</v>
      </c>
      <c r="E2408" s="4">
        <v>45181.0</v>
      </c>
      <c r="F2408" s="4" t="str">
        <f>IF(D2408="","", IFNA(VLOOKUP(D2408, SATCAT_DECAY!A:B, 2, FALSE), ""))
</f>
        <v/>
      </c>
      <c r="G2408" s="3" t="str">
        <f t="shared" si="1"/>
        <v>ACTIVE</v>
      </c>
    </row>
    <row r="2409" ht="22.5" customHeight="1">
      <c r="A2409" s="11" t="str">
        <f t="array" ref="A2409">IFERROR(
  INDEX('Starlink Launches'!$A:$A, MATCH($E2409, 'Starlink Launches'!$B:$B, 0)),
  ""
)
</f>
        <v>7-2</v>
      </c>
      <c r="B2409" s="3" t="s">
        <v>25</v>
      </c>
      <c r="C2409" s="12" t="s">
        <v>2421</v>
      </c>
      <c r="D2409" s="13">
        <v>57853.0</v>
      </c>
      <c r="E2409" s="4">
        <v>45181.0</v>
      </c>
      <c r="F2409" s="4" t="str">
        <f>IF(D2409="","", IFNA(VLOOKUP(D2409, SATCAT_DECAY!A:B, 2, FALSE), ""))
</f>
        <v/>
      </c>
      <c r="G2409" s="3" t="str">
        <f t="shared" si="1"/>
        <v>ACTIVE</v>
      </c>
    </row>
    <row r="2410" ht="22.5" customHeight="1">
      <c r="A2410" s="11" t="str">
        <f t="array" ref="A2410">IFERROR(
  INDEX('Starlink Launches'!$A:$A, MATCH($E2410, 'Starlink Launches'!$B:$B, 0)),
  ""
)
</f>
        <v>7-2</v>
      </c>
      <c r="B2410" s="3" t="s">
        <v>25</v>
      </c>
      <c r="C2410" s="12" t="s">
        <v>2422</v>
      </c>
      <c r="D2410" s="13">
        <v>57854.0</v>
      </c>
      <c r="E2410" s="4">
        <v>45181.0</v>
      </c>
      <c r="F2410" s="4" t="str">
        <f>IF(D2410="","", IFNA(VLOOKUP(D2410, SATCAT_DECAY!A:B, 2, FALSE), ""))
</f>
        <v/>
      </c>
      <c r="G2410" s="3" t="str">
        <f t="shared" si="1"/>
        <v>ACTIVE</v>
      </c>
    </row>
    <row r="2411" ht="22.5" customHeight="1">
      <c r="A2411" s="11" t="str">
        <f t="array" ref="A2411">IFERROR(
  INDEX('Starlink Launches'!$A:$A, MATCH($E2411, 'Starlink Launches'!$B:$B, 0)),
  ""
)
</f>
        <v>7-2</v>
      </c>
      <c r="B2411" s="3" t="s">
        <v>25</v>
      </c>
      <c r="C2411" s="12" t="s">
        <v>2423</v>
      </c>
      <c r="D2411" s="13">
        <v>57855.0</v>
      </c>
      <c r="E2411" s="4">
        <v>45181.0</v>
      </c>
      <c r="F2411" s="4" t="str">
        <f>IF(D2411="","", IFNA(VLOOKUP(D2411, SATCAT_DECAY!A:B, 2, FALSE), ""))
</f>
        <v/>
      </c>
      <c r="G2411" s="3" t="str">
        <f t="shared" si="1"/>
        <v>ACTIVE</v>
      </c>
    </row>
    <row r="2412" ht="22.5" customHeight="1">
      <c r="A2412" s="11" t="str">
        <f t="array" ref="A2412">IFERROR(
  INDEX('Starlink Launches'!$A:$A, MATCH($E2412, 'Starlink Launches'!$B:$B, 0)),
  ""
)
</f>
        <v>7-2</v>
      </c>
      <c r="B2412" s="3" t="s">
        <v>25</v>
      </c>
      <c r="C2412" s="12" t="s">
        <v>2424</v>
      </c>
      <c r="D2412" s="13">
        <v>57856.0</v>
      </c>
      <c r="E2412" s="4">
        <v>45181.0</v>
      </c>
      <c r="F2412" s="4" t="str">
        <f>IF(D2412="","", IFNA(VLOOKUP(D2412, SATCAT_DECAY!A:B, 2, FALSE), ""))
</f>
        <v/>
      </c>
      <c r="G2412" s="3" t="str">
        <f t="shared" si="1"/>
        <v>ACTIVE</v>
      </c>
    </row>
    <row r="2413" ht="22.5" customHeight="1">
      <c r="A2413" s="11" t="str">
        <f t="array" ref="A2413">IFERROR(
  INDEX('Starlink Launches'!$A:$A, MATCH($E2413, 'Starlink Launches'!$B:$B, 0)),
  ""
)
</f>
        <v>7-2</v>
      </c>
      <c r="B2413" s="3" t="s">
        <v>25</v>
      </c>
      <c r="C2413" s="12" t="s">
        <v>2425</v>
      </c>
      <c r="D2413" s="13">
        <v>57857.0</v>
      </c>
      <c r="E2413" s="4">
        <v>45181.0</v>
      </c>
      <c r="F2413" s="4" t="str">
        <f>IF(D2413="","", IFNA(VLOOKUP(D2413, SATCAT_DECAY!A:B, 2, FALSE), ""))
</f>
        <v/>
      </c>
      <c r="G2413" s="3" t="str">
        <f t="shared" si="1"/>
        <v>ACTIVE</v>
      </c>
    </row>
    <row r="2414" ht="22.5" customHeight="1">
      <c r="A2414" s="11" t="str">
        <f t="array" ref="A2414">IFERROR(
  INDEX('Starlink Launches'!$A:$A, MATCH($E2414, 'Starlink Launches'!$B:$B, 0)),
  ""
)
</f>
        <v>7-2</v>
      </c>
      <c r="B2414" s="3" t="s">
        <v>25</v>
      </c>
      <c r="C2414" s="12" t="s">
        <v>2426</v>
      </c>
      <c r="D2414" s="13">
        <v>57858.0</v>
      </c>
      <c r="E2414" s="4">
        <v>45181.0</v>
      </c>
      <c r="F2414" s="4" t="str">
        <f>IF(D2414="","", IFNA(VLOOKUP(D2414, SATCAT_DECAY!A:B, 2, FALSE), ""))
</f>
        <v/>
      </c>
      <c r="G2414" s="3" t="str">
        <f t="shared" si="1"/>
        <v>ACTIVE</v>
      </c>
    </row>
    <row r="2415" ht="22.5" customHeight="1">
      <c r="A2415" s="11" t="str">
        <f t="array" ref="A2415">IFERROR(
  INDEX('Starlink Launches'!$A:$A, MATCH($E2415, 'Starlink Launches'!$B:$B, 0)),
  ""
)
</f>
        <v>7-2</v>
      </c>
      <c r="B2415" s="3" t="s">
        <v>25</v>
      </c>
      <c r="C2415" s="12" t="s">
        <v>2427</v>
      </c>
      <c r="D2415" s="13">
        <v>57859.0</v>
      </c>
      <c r="E2415" s="4">
        <v>45181.0</v>
      </c>
      <c r="F2415" s="4" t="str">
        <f>IF(D2415="","", IFNA(VLOOKUP(D2415, SATCAT_DECAY!A:B, 2, FALSE), ""))
</f>
        <v/>
      </c>
      <c r="G2415" s="3" t="str">
        <f t="shared" si="1"/>
        <v>ACTIVE</v>
      </c>
    </row>
    <row r="2416" ht="22.5" customHeight="1">
      <c r="A2416" s="11" t="str">
        <f t="array" ref="A2416">IFERROR(
  INDEX('Starlink Launches'!$A:$A, MATCH($E2416, 'Starlink Launches'!$B:$B, 0)),
  ""
)
</f>
        <v>7-2</v>
      </c>
      <c r="B2416" s="3" t="s">
        <v>25</v>
      </c>
      <c r="C2416" s="12" t="s">
        <v>2428</v>
      </c>
      <c r="D2416" s="13">
        <v>57860.0</v>
      </c>
      <c r="E2416" s="4">
        <v>45181.0</v>
      </c>
      <c r="F2416" s="4" t="str">
        <f>IF(D2416="","", IFNA(VLOOKUP(D2416, SATCAT_DECAY!A:B, 2, FALSE), ""))
</f>
        <v/>
      </c>
      <c r="G2416" s="3" t="str">
        <f t="shared" si="1"/>
        <v>ACTIVE</v>
      </c>
    </row>
    <row r="2417" ht="22.5" customHeight="1">
      <c r="A2417" s="11" t="str">
        <f t="array" ref="A2417">IFERROR(
  INDEX('Starlink Launches'!$A:$A, MATCH($E2417, 'Starlink Launches'!$B:$B, 0)),
  ""
)
</f>
        <v>7-3</v>
      </c>
      <c r="B2417" s="3" t="s">
        <v>25</v>
      </c>
      <c r="C2417" s="12" t="s">
        <v>2429</v>
      </c>
      <c r="D2417" s="13">
        <v>57935.0</v>
      </c>
      <c r="E2417" s="4">
        <v>45194.0</v>
      </c>
      <c r="F2417" s="4" t="str">
        <f>IF(D2417="","", IFNA(VLOOKUP(D2417, SATCAT_DECAY!A:B, 2, FALSE), ""))
</f>
        <v/>
      </c>
      <c r="G2417" s="3" t="str">
        <f t="shared" si="1"/>
        <v>ACTIVE</v>
      </c>
    </row>
    <row r="2418" ht="22.5" customHeight="1">
      <c r="A2418" s="11" t="str">
        <f t="array" ref="A2418">IFERROR(
  INDEX('Starlink Launches'!$A:$A, MATCH($E2418, 'Starlink Launches'!$B:$B, 0)),
  ""
)
</f>
        <v>7-3</v>
      </c>
      <c r="B2418" s="3" t="s">
        <v>25</v>
      </c>
      <c r="C2418" s="12" t="s">
        <v>2430</v>
      </c>
      <c r="D2418" s="13">
        <v>57936.0</v>
      </c>
      <c r="E2418" s="4">
        <v>45194.0</v>
      </c>
      <c r="F2418" s="4" t="str">
        <f>IF(D2418="","", IFNA(VLOOKUP(D2418, SATCAT_DECAY!A:B, 2, FALSE), ""))
</f>
        <v/>
      </c>
      <c r="G2418" s="3" t="str">
        <f t="shared" si="1"/>
        <v>ACTIVE</v>
      </c>
    </row>
    <row r="2419" ht="22.5" customHeight="1">
      <c r="A2419" s="11" t="str">
        <f t="array" ref="A2419">IFERROR(
  INDEX('Starlink Launches'!$A:$A, MATCH($E2419, 'Starlink Launches'!$B:$B, 0)),
  ""
)
</f>
        <v>7-3</v>
      </c>
      <c r="B2419" s="3" t="s">
        <v>25</v>
      </c>
      <c r="C2419" s="12" t="s">
        <v>2431</v>
      </c>
      <c r="D2419" s="13">
        <v>57937.0</v>
      </c>
      <c r="E2419" s="4">
        <v>45194.0</v>
      </c>
      <c r="F2419" s="4" t="str">
        <f>IF(D2419="","", IFNA(VLOOKUP(D2419, SATCAT_DECAY!A:B, 2, FALSE), ""))
</f>
        <v/>
      </c>
      <c r="G2419" s="3" t="str">
        <f t="shared" si="1"/>
        <v>ACTIVE</v>
      </c>
    </row>
    <row r="2420" ht="22.5" customHeight="1">
      <c r="A2420" s="11" t="str">
        <f t="array" ref="A2420">IFERROR(
  INDEX('Starlink Launches'!$A:$A, MATCH($E2420, 'Starlink Launches'!$B:$B, 0)),
  ""
)
</f>
        <v>7-3</v>
      </c>
      <c r="B2420" s="3" t="s">
        <v>25</v>
      </c>
      <c r="C2420" s="12" t="s">
        <v>2432</v>
      </c>
      <c r="D2420" s="13">
        <v>57938.0</v>
      </c>
      <c r="E2420" s="4">
        <v>45194.0</v>
      </c>
      <c r="F2420" s="4" t="str">
        <f>IF(D2420="","", IFNA(VLOOKUP(D2420, SATCAT_DECAY!A:B, 2, FALSE), ""))
</f>
        <v/>
      </c>
      <c r="G2420" s="3" t="str">
        <f t="shared" si="1"/>
        <v>ACTIVE</v>
      </c>
    </row>
    <row r="2421" ht="22.5" customHeight="1">
      <c r="A2421" s="11" t="str">
        <f t="array" ref="A2421">IFERROR(
  INDEX('Starlink Launches'!$A:$A, MATCH($E2421, 'Starlink Launches'!$B:$B, 0)),
  ""
)
</f>
        <v>7-3</v>
      </c>
      <c r="B2421" s="3" t="s">
        <v>25</v>
      </c>
      <c r="C2421" s="12" t="s">
        <v>2433</v>
      </c>
      <c r="D2421" s="13">
        <v>57939.0</v>
      </c>
      <c r="E2421" s="4">
        <v>45194.0</v>
      </c>
      <c r="F2421" s="4" t="str">
        <f>IF(D2421="","", IFNA(VLOOKUP(D2421, SATCAT_DECAY!A:B, 2, FALSE), ""))
</f>
        <v/>
      </c>
      <c r="G2421" s="3" t="str">
        <f t="shared" si="1"/>
        <v>ACTIVE</v>
      </c>
    </row>
    <row r="2422" ht="22.5" customHeight="1">
      <c r="A2422" s="11" t="str">
        <f t="array" ref="A2422">IFERROR(
  INDEX('Starlink Launches'!$A:$A, MATCH($E2422, 'Starlink Launches'!$B:$B, 0)),
  ""
)
</f>
        <v>7-3</v>
      </c>
      <c r="B2422" s="3" t="s">
        <v>25</v>
      </c>
      <c r="C2422" s="12" t="s">
        <v>2434</v>
      </c>
      <c r="D2422" s="13">
        <v>57940.0</v>
      </c>
      <c r="E2422" s="4">
        <v>45194.0</v>
      </c>
      <c r="F2422" s="4" t="str">
        <f>IF(D2422="","", IFNA(VLOOKUP(D2422, SATCAT_DECAY!A:B, 2, FALSE), ""))
</f>
        <v/>
      </c>
      <c r="G2422" s="3" t="str">
        <f t="shared" si="1"/>
        <v>ACTIVE</v>
      </c>
    </row>
    <row r="2423" ht="22.5" customHeight="1">
      <c r="A2423" s="11" t="str">
        <f t="array" ref="A2423">IFERROR(
  INDEX('Starlink Launches'!$A:$A, MATCH($E2423, 'Starlink Launches'!$B:$B, 0)),
  ""
)
</f>
        <v>7-3</v>
      </c>
      <c r="B2423" s="3" t="s">
        <v>25</v>
      </c>
      <c r="C2423" s="12" t="s">
        <v>2435</v>
      </c>
      <c r="D2423" s="13">
        <v>57941.0</v>
      </c>
      <c r="E2423" s="4">
        <v>45194.0</v>
      </c>
      <c r="F2423" s="4" t="str">
        <f>IF(D2423="","", IFNA(VLOOKUP(D2423, SATCAT_DECAY!A:B, 2, FALSE), ""))
</f>
        <v/>
      </c>
      <c r="G2423" s="3" t="str">
        <f t="shared" si="1"/>
        <v>ACTIVE</v>
      </c>
    </row>
    <row r="2424" ht="22.5" customHeight="1">
      <c r="A2424" s="11" t="str">
        <f t="array" ref="A2424">IFERROR(
  INDEX('Starlink Launches'!$A:$A, MATCH($E2424, 'Starlink Launches'!$B:$B, 0)),
  ""
)
</f>
        <v>7-3</v>
      </c>
      <c r="B2424" s="3" t="s">
        <v>25</v>
      </c>
      <c r="C2424" s="12" t="s">
        <v>2436</v>
      </c>
      <c r="D2424" s="13">
        <v>57942.0</v>
      </c>
      <c r="E2424" s="4">
        <v>45194.0</v>
      </c>
      <c r="F2424" s="4" t="str">
        <f>IF(D2424="","", IFNA(VLOOKUP(D2424, SATCAT_DECAY!A:B, 2, FALSE), ""))
</f>
        <v/>
      </c>
      <c r="G2424" s="3" t="str">
        <f t="shared" si="1"/>
        <v>ACTIVE</v>
      </c>
    </row>
    <row r="2425" ht="22.5" customHeight="1">
      <c r="A2425" s="11" t="str">
        <f t="array" ref="A2425">IFERROR(
  INDEX('Starlink Launches'!$A:$A, MATCH($E2425, 'Starlink Launches'!$B:$B, 0)),
  ""
)
</f>
        <v>7-3</v>
      </c>
      <c r="B2425" s="3" t="s">
        <v>25</v>
      </c>
      <c r="C2425" s="12" t="s">
        <v>2437</v>
      </c>
      <c r="D2425" s="13">
        <v>57943.0</v>
      </c>
      <c r="E2425" s="4">
        <v>45194.0</v>
      </c>
      <c r="F2425" s="4" t="str">
        <f>IF(D2425="","", IFNA(VLOOKUP(D2425, SATCAT_DECAY!A:B, 2, FALSE), ""))
</f>
        <v/>
      </c>
      <c r="G2425" s="3" t="str">
        <f t="shared" si="1"/>
        <v>ACTIVE</v>
      </c>
    </row>
    <row r="2426" ht="22.5" customHeight="1">
      <c r="A2426" s="11" t="str">
        <f t="array" ref="A2426">IFERROR(
  INDEX('Starlink Launches'!$A:$A, MATCH($E2426, 'Starlink Launches'!$B:$B, 0)),
  ""
)
</f>
        <v>7-3</v>
      </c>
      <c r="B2426" s="3" t="s">
        <v>25</v>
      </c>
      <c r="C2426" s="12" t="s">
        <v>2438</v>
      </c>
      <c r="D2426" s="13">
        <v>57944.0</v>
      </c>
      <c r="E2426" s="4">
        <v>45194.0</v>
      </c>
      <c r="F2426" s="4" t="str">
        <f>IF(D2426="","", IFNA(VLOOKUP(D2426, SATCAT_DECAY!A:B, 2, FALSE), ""))
</f>
        <v/>
      </c>
      <c r="G2426" s="3" t="str">
        <f t="shared" si="1"/>
        <v>ACTIVE</v>
      </c>
    </row>
    <row r="2427" ht="22.5" customHeight="1">
      <c r="A2427" s="11" t="str">
        <f t="array" ref="A2427">IFERROR(
  INDEX('Starlink Launches'!$A:$A, MATCH($E2427, 'Starlink Launches'!$B:$B, 0)),
  ""
)
</f>
        <v>7-3</v>
      </c>
      <c r="B2427" s="3" t="s">
        <v>25</v>
      </c>
      <c r="C2427" s="12" t="s">
        <v>2439</v>
      </c>
      <c r="D2427" s="13">
        <v>57945.0</v>
      </c>
      <c r="E2427" s="4">
        <v>45194.0</v>
      </c>
      <c r="F2427" s="4" t="str">
        <f>IF(D2427="","", IFNA(VLOOKUP(D2427, SATCAT_DECAY!A:B, 2, FALSE), ""))
</f>
        <v/>
      </c>
      <c r="G2427" s="3" t="str">
        <f t="shared" si="1"/>
        <v>ACTIVE</v>
      </c>
    </row>
    <row r="2428" ht="22.5" customHeight="1">
      <c r="A2428" s="11" t="str">
        <f t="array" ref="A2428">IFERROR(
  INDEX('Starlink Launches'!$A:$A, MATCH($E2428, 'Starlink Launches'!$B:$B, 0)),
  ""
)
</f>
        <v>7-3</v>
      </c>
      <c r="B2428" s="3" t="s">
        <v>25</v>
      </c>
      <c r="C2428" s="12" t="s">
        <v>2440</v>
      </c>
      <c r="D2428" s="13">
        <v>57946.0</v>
      </c>
      <c r="E2428" s="4">
        <v>45194.0</v>
      </c>
      <c r="F2428" s="4" t="str">
        <f>IF(D2428="","", IFNA(VLOOKUP(D2428, SATCAT_DECAY!A:B, 2, FALSE), ""))
</f>
        <v/>
      </c>
      <c r="G2428" s="3" t="str">
        <f t="shared" si="1"/>
        <v>ACTIVE</v>
      </c>
    </row>
    <row r="2429" ht="22.5" customHeight="1">
      <c r="A2429" s="11" t="str">
        <f t="array" ref="A2429">IFERROR(
  INDEX('Starlink Launches'!$A:$A, MATCH($E2429, 'Starlink Launches'!$B:$B, 0)),
  ""
)
</f>
        <v>7-3</v>
      </c>
      <c r="B2429" s="3" t="s">
        <v>25</v>
      </c>
      <c r="C2429" s="12" t="s">
        <v>2441</v>
      </c>
      <c r="D2429" s="13">
        <v>57947.0</v>
      </c>
      <c r="E2429" s="4">
        <v>45194.0</v>
      </c>
      <c r="F2429" s="4" t="str">
        <f>IF(D2429="","", IFNA(VLOOKUP(D2429, SATCAT_DECAY!A:B, 2, FALSE), ""))
</f>
        <v/>
      </c>
      <c r="G2429" s="3" t="str">
        <f t="shared" si="1"/>
        <v>ACTIVE</v>
      </c>
    </row>
    <row r="2430" ht="22.5" customHeight="1">
      <c r="A2430" s="11" t="str">
        <f t="array" ref="A2430">IFERROR(
  INDEX('Starlink Launches'!$A:$A, MATCH($E2430, 'Starlink Launches'!$B:$B, 0)),
  ""
)
</f>
        <v>7-3</v>
      </c>
      <c r="B2430" s="3" t="s">
        <v>25</v>
      </c>
      <c r="C2430" s="12" t="s">
        <v>2442</v>
      </c>
      <c r="D2430" s="13">
        <v>57949.0</v>
      </c>
      <c r="E2430" s="4">
        <v>45194.0</v>
      </c>
      <c r="F2430" s="4" t="str">
        <f>IF(D2430="","", IFNA(VLOOKUP(D2430, SATCAT_DECAY!A:B, 2, FALSE), ""))
</f>
        <v/>
      </c>
      <c r="G2430" s="3" t="str">
        <f t="shared" si="1"/>
        <v>ACTIVE</v>
      </c>
    </row>
    <row r="2431" ht="22.5" customHeight="1">
      <c r="A2431" s="11" t="str">
        <f t="array" ref="A2431">IFERROR(
  INDEX('Starlink Launches'!$A:$A, MATCH($E2431, 'Starlink Launches'!$B:$B, 0)),
  ""
)
</f>
        <v>7-3</v>
      </c>
      <c r="B2431" s="3" t="s">
        <v>25</v>
      </c>
      <c r="C2431" s="12" t="s">
        <v>2443</v>
      </c>
      <c r="D2431" s="13">
        <v>57950.0</v>
      </c>
      <c r="E2431" s="4">
        <v>45194.0</v>
      </c>
      <c r="F2431" s="4" t="str">
        <f>IF(D2431="","", IFNA(VLOOKUP(D2431, SATCAT_DECAY!A:B, 2, FALSE), ""))
</f>
        <v/>
      </c>
      <c r="G2431" s="3" t="str">
        <f t="shared" si="1"/>
        <v>ACTIVE</v>
      </c>
    </row>
    <row r="2432" ht="22.5" customHeight="1">
      <c r="A2432" s="11" t="str">
        <f t="array" ref="A2432">IFERROR(
  INDEX('Starlink Launches'!$A:$A, MATCH($E2432, 'Starlink Launches'!$B:$B, 0)),
  ""
)
</f>
        <v>7-3</v>
      </c>
      <c r="B2432" s="3" t="s">
        <v>25</v>
      </c>
      <c r="C2432" s="12" t="s">
        <v>2444</v>
      </c>
      <c r="D2432" s="13">
        <v>57951.0</v>
      </c>
      <c r="E2432" s="4">
        <v>45194.0</v>
      </c>
      <c r="F2432" s="4" t="str">
        <f>IF(D2432="","", IFNA(VLOOKUP(D2432, SATCAT_DECAY!A:B, 2, FALSE), ""))
</f>
        <v/>
      </c>
      <c r="G2432" s="3" t="str">
        <f t="shared" si="1"/>
        <v>ACTIVE</v>
      </c>
    </row>
    <row r="2433" ht="22.5" customHeight="1">
      <c r="A2433" s="11" t="str">
        <f t="array" ref="A2433">IFERROR(
  INDEX('Starlink Launches'!$A:$A, MATCH($E2433, 'Starlink Launches'!$B:$B, 0)),
  ""
)
</f>
        <v>7-3</v>
      </c>
      <c r="B2433" s="3" t="s">
        <v>25</v>
      </c>
      <c r="C2433" s="12" t="s">
        <v>2445</v>
      </c>
      <c r="D2433" s="13">
        <v>57952.0</v>
      </c>
      <c r="E2433" s="4">
        <v>45194.0</v>
      </c>
      <c r="F2433" s="4" t="str">
        <f>IF(D2433="","", IFNA(VLOOKUP(D2433, SATCAT_DECAY!A:B, 2, FALSE), ""))
</f>
        <v/>
      </c>
      <c r="G2433" s="3" t="str">
        <f t="shared" si="1"/>
        <v>ACTIVE</v>
      </c>
    </row>
    <row r="2434" ht="22.5" customHeight="1">
      <c r="A2434" s="11" t="str">
        <f t="array" ref="A2434">IFERROR(
  INDEX('Starlink Launches'!$A:$A, MATCH($E2434, 'Starlink Launches'!$B:$B, 0)),
  ""
)
</f>
        <v>7-3</v>
      </c>
      <c r="B2434" s="3" t="s">
        <v>25</v>
      </c>
      <c r="C2434" s="12" t="s">
        <v>2446</v>
      </c>
      <c r="D2434" s="13">
        <v>57953.0</v>
      </c>
      <c r="E2434" s="4">
        <v>45194.0</v>
      </c>
      <c r="F2434" s="4" t="str">
        <f>IF(D2434="","", IFNA(VLOOKUP(D2434, SATCAT_DECAY!A:B, 2, FALSE), ""))
</f>
        <v/>
      </c>
      <c r="G2434" s="3" t="str">
        <f t="shared" si="1"/>
        <v>ACTIVE</v>
      </c>
    </row>
    <row r="2435" ht="22.5" customHeight="1">
      <c r="A2435" s="11" t="str">
        <f t="array" ref="A2435">IFERROR(
  INDEX('Starlink Launches'!$A:$A, MATCH($E2435, 'Starlink Launches'!$B:$B, 0)),
  ""
)
</f>
        <v>7-3</v>
      </c>
      <c r="B2435" s="3" t="s">
        <v>25</v>
      </c>
      <c r="C2435" s="12" t="s">
        <v>2447</v>
      </c>
      <c r="D2435" s="13">
        <v>57954.0</v>
      </c>
      <c r="E2435" s="4">
        <v>45194.0</v>
      </c>
      <c r="F2435" s="4" t="str">
        <f>IF(D2435="","", IFNA(VLOOKUP(D2435, SATCAT_DECAY!A:B, 2, FALSE), ""))
</f>
        <v/>
      </c>
      <c r="G2435" s="3" t="str">
        <f t="shared" si="1"/>
        <v>ACTIVE</v>
      </c>
    </row>
    <row r="2436" ht="22.5" customHeight="1">
      <c r="A2436" s="11" t="str">
        <f t="array" ref="A2436">IFERROR(
  INDEX('Starlink Launches'!$A:$A, MATCH($E2436, 'Starlink Launches'!$B:$B, 0)),
  ""
)
</f>
        <v>7-3</v>
      </c>
      <c r="B2436" s="3" t="s">
        <v>25</v>
      </c>
      <c r="C2436" s="12" t="s">
        <v>2448</v>
      </c>
      <c r="D2436" s="13">
        <v>57955.0</v>
      </c>
      <c r="E2436" s="4">
        <v>45194.0</v>
      </c>
      <c r="F2436" s="4" t="str">
        <f>IF(D2436="","", IFNA(VLOOKUP(D2436, SATCAT_DECAY!A:B, 2, FALSE), ""))
</f>
        <v/>
      </c>
      <c r="G2436" s="3" t="str">
        <f t="shared" si="1"/>
        <v>ACTIVE</v>
      </c>
    </row>
    <row r="2437" ht="22.5" customHeight="1">
      <c r="A2437" s="11" t="str">
        <f t="array" ref="A2437">IFERROR(
  INDEX('Starlink Launches'!$A:$A, MATCH($E2437, 'Starlink Launches'!$B:$B, 0)),
  ""
)
</f>
        <v>7-4</v>
      </c>
      <c r="B2437" s="3" t="s">
        <v>25</v>
      </c>
      <c r="C2437" s="12" t="s">
        <v>2449</v>
      </c>
      <c r="D2437" s="13">
        <v>58028.0</v>
      </c>
      <c r="E2437" s="4">
        <v>45208.0</v>
      </c>
      <c r="F2437" s="4" t="str">
        <f>IF(D2437="","", IFNA(VLOOKUP(D2437, SATCAT_DECAY!A:B, 2, FALSE), ""))
</f>
        <v/>
      </c>
      <c r="G2437" s="3" t="str">
        <f t="shared" si="1"/>
        <v>ACTIVE</v>
      </c>
    </row>
    <row r="2438" ht="22.5" customHeight="1">
      <c r="A2438" s="11" t="str">
        <f t="array" ref="A2438">IFERROR(
  INDEX('Starlink Launches'!$A:$A, MATCH($E2438, 'Starlink Launches'!$B:$B, 0)),
  ""
)
</f>
        <v>7-4</v>
      </c>
      <c r="B2438" s="3" t="s">
        <v>25</v>
      </c>
      <c r="C2438" s="12" t="s">
        <v>2450</v>
      </c>
      <c r="D2438" s="13">
        <v>58029.0</v>
      </c>
      <c r="E2438" s="4">
        <v>45208.0</v>
      </c>
      <c r="F2438" s="4" t="str">
        <f>IF(D2438="","", IFNA(VLOOKUP(D2438, SATCAT_DECAY!A:B, 2, FALSE), ""))
</f>
        <v/>
      </c>
      <c r="G2438" s="3" t="str">
        <f t="shared" si="1"/>
        <v>ACTIVE</v>
      </c>
    </row>
    <row r="2439" ht="22.5" customHeight="1">
      <c r="A2439" s="11" t="str">
        <f t="array" ref="A2439">IFERROR(
  INDEX('Starlink Launches'!$A:$A, MATCH($E2439, 'Starlink Launches'!$B:$B, 0)),
  ""
)
</f>
        <v>7-4</v>
      </c>
      <c r="B2439" s="3" t="s">
        <v>25</v>
      </c>
      <c r="C2439" s="12" t="s">
        <v>2451</v>
      </c>
      <c r="D2439" s="13">
        <v>58030.0</v>
      </c>
      <c r="E2439" s="4">
        <v>45208.0</v>
      </c>
      <c r="F2439" s="4" t="str">
        <f>IF(D2439="","", IFNA(VLOOKUP(D2439, SATCAT_DECAY!A:B, 2, FALSE), ""))
</f>
        <v/>
      </c>
      <c r="G2439" s="3" t="str">
        <f t="shared" si="1"/>
        <v>ACTIVE</v>
      </c>
    </row>
    <row r="2440" ht="22.5" customHeight="1">
      <c r="A2440" s="11" t="str">
        <f t="array" ref="A2440">IFERROR(
  INDEX('Starlink Launches'!$A:$A, MATCH($E2440, 'Starlink Launches'!$B:$B, 0)),
  ""
)
</f>
        <v>7-4</v>
      </c>
      <c r="B2440" s="3" t="s">
        <v>25</v>
      </c>
      <c r="C2440" s="12" t="s">
        <v>2452</v>
      </c>
      <c r="D2440" s="13">
        <v>58031.0</v>
      </c>
      <c r="E2440" s="4">
        <v>45208.0</v>
      </c>
      <c r="F2440" s="4" t="str">
        <f>IF(D2440="","", IFNA(VLOOKUP(D2440, SATCAT_DECAY!A:B, 2, FALSE), ""))
</f>
        <v/>
      </c>
      <c r="G2440" s="3" t="str">
        <f t="shared" si="1"/>
        <v>ACTIVE</v>
      </c>
    </row>
    <row r="2441" ht="22.5" customHeight="1">
      <c r="A2441" s="11" t="str">
        <f t="array" ref="A2441">IFERROR(
  INDEX('Starlink Launches'!$A:$A, MATCH($E2441, 'Starlink Launches'!$B:$B, 0)),
  ""
)
</f>
        <v>7-4</v>
      </c>
      <c r="B2441" s="3" t="s">
        <v>25</v>
      </c>
      <c r="C2441" s="12" t="s">
        <v>2453</v>
      </c>
      <c r="D2441" s="13">
        <v>58032.0</v>
      </c>
      <c r="E2441" s="4">
        <v>45208.0</v>
      </c>
      <c r="F2441" s="4" t="str">
        <f>IF(D2441="","", IFNA(VLOOKUP(D2441, SATCAT_DECAY!A:B, 2, FALSE), ""))
</f>
        <v/>
      </c>
      <c r="G2441" s="3" t="str">
        <f t="shared" si="1"/>
        <v>ACTIVE</v>
      </c>
    </row>
    <row r="2442" ht="22.5" customHeight="1">
      <c r="A2442" s="11" t="str">
        <f t="array" ref="A2442">IFERROR(
  INDEX('Starlink Launches'!$A:$A, MATCH($E2442, 'Starlink Launches'!$B:$B, 0)),
  ""
)
</f>
        <v>7-4</v>
      </c>
      <c r="B2442" s="3" t="s">
        <v>25</v>
      </c>
      <c r="C2442" s="12" t="s">
        <v>2454</v>
      </c>
      <c r="D2442" s="13">
        <v>58033.0</v>
      </c>
      <c r="E2442" s="4">
        <v>45208.0</v>
      </c>
      <c r="F2442" s="4" t="str">
        <f>IF(D2442="","", IFNA(VLOOKUP(D2442, SATCAT_DECAY!A:B, 2, FALSE), ""))
</f>
        <v/>
      </c>
      <c r="G2442" s="3" t="str">
        <f t="shared" si="1"/>
        <v>ACTIVE</v>
      </c>
    </row>
    <row r="2443" ht="22.5" customHeight="1">
      <c r="A2443" s="11" t="str">
        <f t="array" ref="A2443">IFERROR(
  INDEX('Starlink Launches'!$A:$A, MATCH($E2443, 'Starlink Launches'!$B:$B, 0)),
  ""
)
</f>
        <v>7-4</v>
      </c>
      <c r="B2443" s="3" t="s">
        <v>25</v>
      </c>
      <c r="C2443" s="12" t="s">
        <v>2455</v>
      </c>
      <c r="D2443" s="13">
        <v>58034.0</v>
      </c>
      <c r="E2443" s="4">
        <v>45208.0</v>
      </c>
      <c r="F2443" s="4" t="str">
        <f>IF(D2443="","", IFNA(VLOOKUP(D2443, SATCAT_DECAY!A:B, 2, FALSE), ""))
</f>
        <v/>
      </c>
      <c r="G2443" s="3" t="str">
        <f t="shared" si="1"/>
        <v>ACTIVE</v>
      </c>
    </row>
    <row r="2444" ht="22.5" customHeight="1">
      <c r="A2444" s="11" t="str">
        <f t="array" ref="A2444">IFERROR(
  INDEX('Starlink Launches'!$A:$A, MATCH($E2444, 'Starlink Launches'!$B:$B, 0)),
  ""
)
</f>
        <v>7-4</v>
      </c>
      <c r="B2444" s="3" t="s">
        <v>25</v>
      </c>
      <c r="C2444" s="12" t="s">
        <v>2456</v>
      </c>
      <c r="D2444" s="13">
        <v>58035.0</v>
      </c>
      <c r="E2444" s="4">
        <v>45208.0</v>
      </c>
      <c r="F2444" s="4" t="str">
        <f>IF(D2444="","", IFNA(VLOOKUP(D2444, SATCAT_DECAY!A:B, 2, FALSE), ""))
</f>
        <v/>
      </c>
      <c r="G2444" s="3" t="str">
        <f t="shared" si="1"/>
        <v>ACTIVE</v>
      </c>
    </row>
    <row r="2445" ht="22.5" customHeight="1">
      <c r="A2445" s="11" t="str">
        <f t="array" ref="A2445">IFERROR(
  INDEX('Starlink Launches'!$A:$A, MATCH($E2445, 'Starlink Launches'!$B:$B, 0)),
  ""
)
</f>
        <v>7-4</v>
      </c>
      <c r="B2445" s="3" t="s">
        <v>25</v>
      </c>
      <c r="C2445" s="12" t="s">
        <v>2457</v>
      </c>
      <c r="D2445" s="13">
        <v>58036.0</v>
      </c>
      <c r="E2445" s="4">
        <v>45208.0</v>
      </c>
      <c r="F2445" s="4" t="str">
        <f>IF(D2445="","", IFNA(VLOOKUP(D2445, SATCAT_DECAY!A:B, 2, FALSE), ""))
</f>
        <v/>
      </c>
      <c r="G2445" s="3" t="str">
        <f t="shared" si="1"/>
        <v>ACTIVE</v>
      </c>
    </row>
    <row r="2446" ht="22.5" customHeight="1">
      <c r="A2446" s="11" t="str">
        <f t="array" ref="A2446">IFERROR(
  INDEX('Starlink Launches'!$A:$A, MATCH($E2446, 'Starlink Launches'!$B:$B, 0)),
  ""
)
</f>
        <v>7-4</v>
      </c>
      <c r="B2446" s="3" t="s">
        <v>25</v>
      </c>
      <c r="C2446" s="12" t="s">
        <v>2458</v>
      </c>
      <c r="D2446" s="13">
        <v>58037.0</v>
      </c>
      <c r="E2446" s="4">
        <v>45208.0</v>
      </c>
      <c r="F2446" s="4" t="str">
        <f>IF(D2446="","", IFNA(VLOOKUP(D2446, SATCAT_DECAY!A:B, 2, FALSE), ""))
</f>
        <v/>
      </c>
      <c r="G2446" s="3" t="str">
        <f t="shared" si="1"/>
        <v>ACTIVE</v>
      </c>
    </row>
    <row r="2447" ht="22.5" customHeight="1">
      <c r="A2447" s="11" t="str">
        <f t="array" ref="A2447">IFERROR(
  INDEX('Starlink Launches'!$A:$A, MATCH($E2447, 'Starlink Launches'!$B:$B, 0)),
  ""
)
</f>
        <v>7-4</v>
      </c>
      <c r="B2447" s="3" t="s">
        <v>25</v>
      </c>
      <c r="C2447" s="12" t="s">
        <v>2459</v>
      </c>
      <c r="D2447" s="13">
        <v>58038.0</v>
      </c>
      <c r="E2447" s="4">
        <v>45208.0</v>
      </c>
      <c r="F2447" s="4" t="str">
        <f>IF(D2447="","", IFNA(VLOOKUP(D2447, SATCAT_DECAY!A:B, 2, FALSE), ""))
</f>
        <v/>
      </c>
      <c r="G2447" s="3" t="str">
        <f t="shared" si="1"/>
        <v>ACTIVE</v>
      </c>
    </row>
    <row r="2448" ht="22.5" customHeight="1">
      <c r="A2448" s="11" t="str">
        <f t="array" ref="A2448">IFERROR(
  INDEX('Starlink Launches'!$A:$A, MATCH($E2448, 'Starlink Launches'!$B:$B, 0)),
  ""
)
</f>
        <v>7-4</v>
      </c>
      <c r="B2448" s="3" t="s">
        <v>25</v>
      </c>
      <c r="C2448" s="12" t="s">
        <v>2460</v>
      </c>
      <c r="D2448" s="13">
        <v>58039.0</v>
      </c>
      <c r="E2448" s="4">
        <v>45208.0</v>
      </c>
      <c r="F2448" s="4" t="str">
        <f>IF(D2448="","", IFNA(VLOOKUP(D2448, SATCAT_DECAY!A:B, 2, FALSE), ""))
</f>
        <v/>
      </c>
      <c r="G2448" s="3" t="str">
        <f t="shared" si="1"/>
        <v>ACTIVE</v>
      </c>
    </row>
    <row r="2449" ht="22.5" customHeight="1">
      <c r="A2449" s="11" t="str">
        <f t="array" ref="A2449">IFERROR(
  INDEX('Starlink Launches'!$A:$A, MATCH($E2449, 'Starlink Launches'!$B:$B, 0)),
  ""
)
</f>
        <v>7-4</v>
      </c>
      <c r="B2449" s="3" t="s">
        <v>25</v>
      </c>
      <c r="C2449" s="12" t="s">
        <v>2461</v>
      </c>
      <c r="D2449" s="13">
        <v>58040.0</v>
      </c>
      <c r="E2449" s="4">
        <v>45208.0</v>
      </c>
      <c r="F2449" s="4" t="str">
        <f>IF(D2449="","", IFNA(VLOOKUP(D2449, SATCAT_DECAY!A:B, 2, FALSE), ""))
</f>
        <v/>
      </c>
      <c r="G2449" s="3" t="str">
        <f t="shared" si="1"/>
        <v>ACTIVE</v>
      </c>
    </row>
    <row r="2450" ht="22.5" customHeight="1">
      <c r="A2450" s="11" t="str">
        <f t="array" ref="A2450">IFERROR(
  INDEX('Starlink Launches'!$A:$A, MATCH($E2450, 'Starlink Launches'!$B:$B, 0)),
  ""
)
</f>
        <v>7-4</v>
      </c>
      <c r="B2450" s="3" t="s">
        <v>25</v>
      </c>
      <c r="C2450" s="12" t="s">
        <v>2462</v>
      </c>
      <c r="D2450" s="13">
        <v>58041.0</v>
      </c>
      <c r="E2450" s="4">
        <v>45208.0</v>
      </c>
      <c r="F2450" s="4" t="str">
        <f>IF(D2450="","", IFNA(VLOOKUP(D2450, SATCAT_DECAY!A:B, 2, FALSE), ""))
</f>
        <v/>
      </c>
      <c r="G2450" s="3" t="str">
        <f t="shared" si="1"/>
        <v>ACTIVE</v>
      </c>
    </row>
    <row r="2451" ht="22.5" customHeight="1">
      <c r="A2451" s="11" t="str">
        <f t="array" ref="A2451">IFERROR(
  INDEX('Starlink Launches'!$A:$A, MATCH($E2451, 'Starlink Launches'!$B:$B, 0)),
  ""
)
</f>
        <v>7-4</v>
      </c>
      <c r="B2451" s="3" t="s">
        <v>25</v>
      </c>
      <c r="C2451" s="12" t="s">
        <v>2463</v>
      </c>
      <c r="D2451" s="13">
        <v>58042.0</v>
      </c>
      <c r="E2451" s="4">
        <v>45208.0</v>
      </c>
      <c r="F2451" s="4" t="str">
        <f>IF(D2451="","", IFNA(VLOOKUP(D2451, SATCAT_DECAY!A:B, 2, FALSE), ""))
</f>
        <v/>
      </c>
      <c r="G2451" s="3" t="str">
        <f t="shared" si="1"/>
        <v>ACTIVE</v>
      </c>
    </row>
    <row r="2452" ht="22.5" customHeight="1">
      <c r="A2452" s="11" t="str">
        <f t="array" ref="A2452">IFERROR(
  INDEX('Starlink Launches'!$A:$A, MATCH($E2452, 'Starlink Launches'!$B:$B, 0)),
  ""
)
</f>
        <v>7-4</v>
      </c>
      <c r="B2452" s="3" t="s">
        <v>25</v>
      </c>
      <c r="C2452" s="12" t="s">
        <v>2464</v>
      </c>
      <c r="D2452" s="13">
        <v>58043.0</v>
      </c>
      <c r="E2452" s="4">
        <v>45208.0</v>
      </c>
      <c r="F2452" s="4" t="str">
        <f>IF(D2452="","", IFNA(VLOOKUP(D2452, SATCAT_DECAY!A:B, 2, FALSE), ""))
</f>
        <v/>
      </c>
      <c r="G2452" s="3" t="str">
        <f t="shared" si="1"/>
        <v>ACTIVE</v>
      </c>
    </row>
    <row r="2453" ht="22.5" customHeight="1">
      <c r="A2453" s="11" t="str">
        <f t="array" ref="A2453">IFERROR(
  INDEX('Starlink Launches'!$A:$A, MATCH($E2453, 'Starlink Launches'!$B:$B, 0)),
  ""
)
</f>
        <v>7-4</v>
      </c>
      <c r="B2453" s="3" t="s">
        <v>25</v>
      </c>
      <c r="C2453" s="12" t="s">
        <v>2465</v>
      </c>
      <c r="D2453" s="13">
        <v>58044.0</v>
      </c>
      <c r="E2453" s="4">
        <v>45208.0</v>
      </c>
      <c r="F2453" s="4" t="str">
        <f>IF(D2453="","", IFNA(VLOOKUP(D2453, SATCAT_DECAY!A:B, 2, FALSE), ""))
</f>
        <v/>
      </c>
      <c r="G2453" s="3" t="str">
        <f t="shared" si="1"/>
        <v>ACTIVE</v>
      </c>
    </row>
    <row r="2454" ht="22.5" customHeight="1">
      <c r="A2454" s="11" t="str">
        <f t="array" ref="A2454">IFERROR(
  INDEX('Starlink Launches'!$A:$A, MATCH($E2454, 'Starlink Launches'!$B:$B, 0)),
  ""
)
</f>
        <v>7-4</v>
      </c>
      <c r="B2454" s="3" t="s">
        <v>25</v>
      </c>
      <c r="C2454" s="12" t="s">
        <v>2466</v>
      </c>
      <c r="D2454" s="13">
        <v>58045.0</v>
      </c>
      <c r="E2454" s="4">
        <v>45208.0</v>
      </c>
      <c r="F2454" s="4" t="str">
        <f>IF(D2454="","", IFNA(VLOOKUP(D2454, SATCAT_DECAY!A:B, 2, FALSE), ""))
</f>
        <v/>
      </c>
      <c r="G2454" s="3" t="str">
        <f t="shared" si="1"/>
        <v>ACTIVE</v>
      </c>
    </row>
    <row r="2455" ht="22.5" customHeight="1">
      <c r="A2455" s="11" t="str">
        <f t="array" ref="A2455">IFERROR(
  INDEX('Starlink Launches'!$A:$A, MATCH($E2455, 'Starlink Launches'!$B:$B, 0)),
  ""
)
</f>
        <v>7-4</v>
      </c>
      <c r="B2455" s="3" t="s">
        <v>25</v>
      </c>
      <c r="C2455" s="12" t="s">
        <v>2467</v>
      </c>
      <c r="D2455" s="13">
        <v>58046.0</v>
      </c>
      <c r="E2455" s="4">
        <v>45208.0</v>
      </c>
      <c r="F2455" s="4" t="str">
        <f>IF(D2455="","", IFNA(VLOOKUP(D2455, SATCAT_DECAY!A:B, 2, FALSE), ""))
</f>
        <v/>
      </c>
      <c r="G2455" s="3" t="str">
        <f t="shared" si="1"/>
        <v>ACTIVE</v>
      </c>
    </row>
    <row r="2456" ht="22.5" customHeight="1">
      <c r="A2456" s="11" t="str">
        <f t="array" ref="A2456">IFERROR(
  INDEX('Starlink Launches'!$A:$A, MATCH($E2456, 'Starlink Launches'!$B:$B, 0)),
  ""
)
</f>
        <v>7-4</v>
      </c>
      <c r="B2456" s="3" t="s">
        <v>25</v>
      </c>
      <c r="C2456" s="12" t="s">
        <v>2468</v>
      </c>
      <c r="D2456" s="13">
        <v>58047.0</v>
      </c>
      <c r="E2456" s="4">
        <v>45208.0</v>
      </c>
      <c r="F2456" s="4" t="str">
        <f>IF(D2456="","", IFNA(VLOOKUP(D2456, SATCAT_DECAY!A:B, 2, FALSE), ""))
</f>
        <v/>
      </c>
      <c r="G2456" s="3" t="str">
        <f t="shared" si="1"/>
        <v>ACTIVE</v>
      </c>
    </row>
    <row r="2457" ht="22.5" customHeight="1">
      <c r="A2457" s="11" t="str">
        <f t="array" ref="A2457">IFERROR(
  INDEX('Starlink Launches'!$A:$A, MATCH($E2457, 'Starlink Launches'!$B:$B, 0)),
  ""
)
</f>
        <v>7-4</v>
      </c>
      <c r="B2457" s="3" t="s">
        <v>25</v>
      </c>
      <c r="C2457" s="12" t="s">
        <v>2469</v>
      </c>
      <c r="D2457" s="13">
        <v>58048.0</v>
      </c>
      <c r="E2457" s="4">
        <v>45208.0</v>
      </c>
      <c r="F2457" s="4" t="str">
        <f>IF(D2457="","", IFNA(VLOOKUP(D2457, SATCAT_DECAY!A:B, 2, FALSE), ""))
</f>
        <v/>
      </c>
      <c r="G2457" s="3" t="str">
        <f t="shared" si="1"/>
        <v>ACTIVE</v>
      </c>
    </row>
    <row r="2458" ht="22.5" customHeight="1">
      <c r="A2458" s="11" t="str">
        <f t="array" ref="A2458">IFERROR(
  INDEX('Starlink Launches'!$A:$A, MATCH($E2458, 'Starlink Launches'!$B:$B, 0)),
  ""
)
</f>
        <v>7-5</v>
      </c>
      <c r="B2458" s="3" t="s">
        <v>25</v>
      </c>
      <c r="C2458" s="12" t="s">
        <v>2470</v>
      </c>
      <c r="D2458" s="13">
        <v>58097.0</v>
      </c>
      <c r="E2458" s="4">
        <v>45220.0</v>
      </c>
      <c r="F2458" s="4" t="str">
        <f>IF(D2458="","", IFNA(VLOOKUP(D2458, SATCAT_DECAY!A:B, 2, FALSE), ""))
</f>
        <v/>
      </c>
      <c r="G2458" s="3" t="str">
        <f t="shared" si="1"/>
        <v>ACTIVE</v>
      </c>
    </row>
    <row r="2459" ht="22.5" customHeight="1">
      <c r="A2459" s="11" t="str">
        <f t="array" ref="A2459">IFERROR(
  INDEX('Starlink Launches'!$A:$A, MATCH($E2459, 'Starlink Launches'!$B:$B, 0)),
  ""
)
</f>
        <v>7-5</v>
      </c>
      <c r="B2459" s="3" t="s">
        <v>25</v>
      </c>
      <c r="C2459" s="12" t="s">
        <v>2471</v>
      </c>
      <c r="D2459" s="13">
        <v>58098.0</v>
      </c>
      <c r="E2459" s="4">
        <v>45220.0</v>
      </c>
      <c r="F2459" s="4" t="str">
        <f>IF(D2459="","", IFNA(VLOOKUP(D2459, SATCAT_DECAY!A:B, 2, FALSE), ""))
</f>
        <v/>
      </c>
      <c r="G2459" s="3" t="str">
        <f t="shared" si="1"/>
        <v>ACTIVE</v>
      </c>
    </row>
    <row r="2460" ht="22.5" customHeight="1">
      <c r="A2460" s="11" t="str">
        <f t="array" ref="A2460">IFERROR(
  INDEX('Starlink Launches'!$A:$A, MATCH($E2460, 'Starlink Launches'!$B:$B, 0)),
  ""
)
</f>
        <v>7-5</v>
      </c>
      <c r="B2460" s="3" t="s">
        <v>25</v>
      </c>
      <c r="C2460" s="12" t="s">
        <v>2472</v>
      </c>
      <c r="D2460" s="13">
        <v>58099.0</v>
      </c>
      <c r="E2460" s="4">
        <v>45220.0</v>
      </c>
      <c r="F2460" s="4" t="str">
        <f>IF(D2460="","", IFNA(VLOOKUP(D2460, SATCAT_DECAY!A:B, 2, FALSE), ""))
</f>
        <v/>
      </c>
      <c r="G2460" s="3" t="str">
        <f t="shared" si="1"/>
        <v>ACTIVE</v>
      </c>
    </row>
    <row r="2461" ht="22.5" customHeight="1">
      <c r="A2461" s="11" t="str">
        <f t="array" ref="A2461">IFERROR(
  INDEX('Starlink Launches'!$A:$A, MATCH($E2461, 'Starlink Launches'!$B:$B, 0)),
  ""
)
</f>
        <v>7-5</v>
      </c>
      <c r="B2461" s="3" t="s">
        <v>25</v>
      </c>
      <c r="C2461" s="12" t="s">
        <v>2473</v>
      </c>
      <c r="D2461" s="13">
        <v>58100.0</v>
      </c>
      <c r="E2461" s="4">
        <v>45220.0</v>
      </c>
      <c r="F2461" s="4" t="str">
        <f>IF(D2461="","", IFNA(VLOOKUP(D2461, SATCAT_DECAY!A:B, 2, FALSE), ""))
</f>
        <v/>
      </c>
      <c r="G2461" s="3" t="str">
        <f t="shared" si="1"/>
        <v>ACTIVE</v>
      </c>
    </row>
    <row r="2462" ht="22.5" customHeight="1">
      <c r="A2462" s="11" t="str">
        <f t="array" ref="A2462">IFERROR(
  INDEX('Starlink Launches'!$A:$A, MATCH($E2462, 'Starlink Launches'!$B:$B, 0)),
  ""
)
</f>
        <v>7-5</v>
      </c>
      <c r="B2462" s="3" t="s">
        <v>25</v>
      </c>
      <c r="C2462" s="12" t="s">
        <v>2474</v>
      </c>
      <c r="D2462" s="13">
        <v>58101.0</v>
      </c>
      <c r="E2462" s="4">
        <v>45220.0</v>
      </c>
      <c r="F2462" s="4" t="str">
        <f>IF(D2462="","", IFNA(VLOOKUP(D2462, SATCAT_DECAY!A:B, 2, FALSE), ""))
</f>
        <v/>
      </c>
      <c r="G2462" s="3" t="str">
        <f t="shared" si="1"/>
        <v>ACTIVE</v>
      </c>
    </row>
    <row r="2463" ht="22.5" customHeight="1">
      <c r="A2463" s="11" t="str">
        <f t="array" ref="A2463">IFERROR(
  INDEX('Starlink Launches'!$A:$A, MATCH($E2463, 'Starlink Launches'!$B:$B, 0)),
  ""
)
</f>
        <v>7-5</v>
      </c>
      <c r="B2463" s="3" t="s">
        <v>25</v>
      </c>
      <c r="C2463" s="12" t="s">
        <v>2475</v>
      </c>
      <c r="D2463" s="13">
        <v>58102.0</v>
      </c>
      <c r="E2463" s="4">
        <v>45220.0</v>
      </c>
      <c r="F2463" s="4" t="str">
        <f>IF(D2463="","", IFNA(VLOOKUP(D2463, SATCAT_DECAY!A:B, 2, FALSE), ""))
</f>
        <v/>
      </c>
      <c r="G2463" s="3" t="str">
        <f t="shared" si="1"/>
        <v>ACTIVE</v>
      </c>
    </row>
    <row r="2464" ht="22.5" customHeight="1">
      <c r="A2464" s="11" t="str">
        <f t="array" ref="A2464">IFERROR(
  INDEX('Starlink Launches'!$A:$A, MATCH($E2464, 'Starlink Launches'!$B:$B, 0)),
  ""
)
</f>
        <v>7-5</v>
      </c>
      <c r="B2464" s="3" t="s">
        <v>25</v>
      </c>
      <c r="C2464" s="12" t="s">
        <v>2476</v>
      </c>
      <c r="D2464" s="13">
        <v>58103.0</v>
      </c>
      <c r="E2464" s="4">
        <v>45220.0</v>
      </c>
      <c r="F2464" s="4" t="str">
        <f>IF(D2464="","", IFNA(VLOOKUP(D2464, SATCAT_DECAY!A:B, 2, FALSE), ""))
</f>
        <v/>
      </c>
      <c r="G2464" s="3" t="str">
        <f t="shared" si="1"/>
        <v>ACTIVE</v>
      </c>
    </row>
    <row r="2465" ht="22.5" customHeight="1">
      <c r="A2465" s="11" t="str">
        <f t="array" ref="A2465">IFERROR(
  INDEX('Starlink Launches'!$A:$A, MATCH($E2465, 'Starlink Launches'!$B:$B, 0)),
  ""
)
</f>
        <v>7-5</v>
      </c>
      <c r="B2465" s="3" t="s">
        <v>25</v>
      </c>
      <c r="C2465" s="12" t="s">
        <v>2477</v>
      </c>
      <c r="D2465" s="13">
        <v>58104.0</v>
      </c>
      <c r="E2465" s="4">
        <v>45220.0</v>
      </c>
      <c r="F2465" s="4" t="str">
        <f>IF(D2465="","", IFNA(VLOOKUP(D2465, SATCAT_DECAY!A:B, 2, FALSE), ""))
</f>
        <v/>
      </c>
      <c r="G2465" s="3" t="str">
        <f t="shared" si="1"/>
        <v>ACTIVE</v>
      </c>
    </row>
    <row r="2466" ht="22.5" customHeight="1">
      <c r="A2466" s="11" t="str">
        <f t="array" ref="A2466">IFERROR(
  INDEX('Starlink Launches'!$A:$A, MATCH($E2466, 'Starlink Launches'!$B:$B, 0)),
  ""
)
</f>
        <v>7-5</v>
      </c>
      <c r="B2466" s="3" t="s">
        <v>25</v>
      </c>
      <c r="C2466" s="12" t="s">
        <v>2478</v>
      </c>
      <c r="D2466" s="13">
        <v>58105.0</v>
      </c>
      <c r="E2466" s="4">
        <v>45220.0</v>
      </c>
      <c r="F2466" s="4" t="str">
        <f>IF(D2466="","", IFNA(VLOOKUP(D2466, SATCAT_DECAY!A:B, 2, FALSE), ""))
</f>
        <v/>
      </c>
      <c r="G2466" s="3" t="str">
        <f t="shared" si="1"/>
        <v>ACTIVE</v>
      </c>
    </row>
    <row r="2467" ht="22.5" customHeight="1">
      <c r="A2467" s="11" t="str">
        <f t="array" ref="A2467">IFERROR(
  INDEX('Starlink Launches'!$A:$A, MATCH($E2467, 'Starlink Launches'!$B:$B, 0)),
  ""
)
</f>
        <v>7-5</v>
      </c>
      <c r="B2467" s="3" t="s">
        <v>25</v>
      </c>
      <c r="C2467" s="12" t="s">
        <v>2479</v>
      </c>
      <c r="D2467" s="13">
        <v>58106.0</v>
      </c>
      <c r="E2467" s="4">
        <v>45220.0</v>
      </c>
      <c r="F2467" s="4" t="str">
        <f>IF(D2467="","", IFNA(VLOOKUP(D2467, SATCAT_DECAY!A:B, 2, FALSE), ""))
</f>
        <v/>
      </c>
      <c r="G2467" s="3" t="str">
        <f t="shared" si="1"/>
        <v>ACTIVE</v>
      </c>
    </row>
    <row r="2468" ht="22.5" customHeight="1">
      <c r="A2468" s="11" t="str">
        <f t="array" ref="A2468">IFERROR(
  INDEX('Starlink Launches'!$A:$A, MATCH($E2468, 'Starlink Launches'!$B:$B, 0)),
  ""
)
</f>
        <v>7-5</v>
      </c>
      <c r="B2468" s="3" t="s">
        <v>25</v>
      </c>
      <c r="C2468" s="12" t="s">
        <v>2480</v>
      </c>
      <c r="D2468" s="13">
        <v>58107.0</v>
      </c>
      <c r="E2468" s="4">
        <v>45220.0</v>
      </c>
      <c r="F2468" s="4" t="str">
        <f>IF(D2468="","", IFNA(VLOOKUP(D2468, SATCAT_DECAY!A:B, 2, FALSE), ""))
</f>
        <v/>
      </c>
      <c r="G2468" s="3" t="str">
        <f t="shared" si="1"/>
        <v>ACTIVE</v>
      </c>
    </row>
    <row r="2469" ht="22.5" customHeight="1">
      <c r="A2469" s="11" t="str">
        <f t="array" ref="A2469">IFERROR(
  INDEX('Starlink Launches'!$A:$A, MATCH($E2469, 'Starlink Launches'!$B:$B, 0)),
  ""
)
</f>
        <v>7-5</v>
      </c>
      <c r="B2469" s="3" t="s">
        <v>25</v>
      </c>
      <c r="C2469" s="12" t="s">
        <v>2481</v>
      </c>
      <c r="D2469" s="13">
        <v>58108.0</v>
      </c>
      <c r="E2469" s="4">
        <v>45220.0</v>
      </c>
      <c r="F2469" s="4" t="str">
        <f>IF(D2469="","", IFNA(VLOOKUP(D2469, SATCAT_DECAY!A:B, 2, FALSE), ""))
</f>
        <v/>
      </c>
      <c r="G2469" s="3" t="str">
        <f t="shared" si="1"/>
        <v>ACTIVE</v>
      </c>
    </row>
    <row r="2470" ht="22.5" customHeight="1">
      <c r="A2470" s="11" t="str">
        <f t="array" ref="A2470">IFERROR(
  INDEX('Starlink Launches'!$A:$A, MATCH($E2470, 'Starlink Launches'!$B:$B, 0)),
  ""
)
</f>
        <v>7-5</v>
      </c>
      <c r="B2470" s="3" t="s">
        <v>25</v>
      </c>
      <c r="C2470" s="12" t="s">
        <v>2482</v>
      </c>
      <c r="D2470" s="13">
        <v>58109.0</v>
      </c>
      <c r="E2470" s="4">
        <v>45220.0</v>
      </c>
      <c r="F2470" s="4" t="str">
        <f>IF(D2470="","", IFNA(VLOOKUP(D2470, SATCAT_DECAY!A:B, 2, FALSE), ""))
</f>
        <v/>
      </c>
      <c r="G2470" s="3" t="str">
        <f t="shared" si="1"/>
        <v>ACTIVE</v>
      </c>
    </row>
    <row r="2471" ht="22.5" customHeight="1">
      <c r="A2471" s="11" t="str">
        <f t="array" ref="A2471">IFERROR(
  INDEX('Starlink Launches'!$A:$A, MATCH($E2471, 'Starlink Launches'!$B:$B, 0)),
  ""
)
</f>
        <v>7-5</v>
      </c>
      <c r="B2471" s="3" t="s">
        <v>25</v>
      </c>
      <c r="C2471" s="12" t="s">
        <v>2483</v>
      </c>
      <c r="D2471" s="13">
        <v>58110.0</v>
      </c>
      <c r="E2471" s="4">
        <v>45220.0</v>
      </c>
      <c r="F2471" s="4" t="str">
        <f>IF(D2471="","", IFNA(VLOOKUP(D2471, SATCAT_DECAY!A:B, 2, FALSE), ""))
</f>
        <v/>
      </c>
      <c r="G2471" s="3" t="str">
        <f t="shared" si="1"/>
        <v>ACTIVE</v>
      </c>
    </row>
    <row r="2472" ht="22.5" customHeight="1">
      <c r="A2472" s="11" t="str">
        <f t="array" ref="A2472">IFERROR(
  INDEX('Starlink Launches'!$A:$A, MATCH($E2472, 'Starlink Launches'!$B:$B, 0)),
  ""
)
</f>
        <v>7-5</v>
      </c>
      <c r="B2472" s="3" t="s">
        <v>25</v>
      </c>
      <c r="C2472" s="12" t="s">
        <v>2484</v>
      </c>
      <c r="D2472" s="13">
        <v>58111.0</v>
      </c>
      <c r="E2472" s="4">
        <v>45220.0</v>
      </c>
      <c r="F2472" s="4" t="str">
        <f>IF(D2472="","", IFNA(VLOOKUP(D2472, SATCAT_DECAY!A:B, 2, FALSE), ""))
</f>
        <v/>
      </c>
      <c r="G2472" s="3" t="str">
        <f t="shared" si="1"/>
        <v>ACTIVE</v>
      </c>
    </row>
    <row r="2473" ht="22.5" customHeight="1">
      <c r="A2473" s="11" t="str">
        <f t="array" ref="A2473">IFERROR(
  INDEX('Starlink Launches'!$A:$A, MATCH($E2473, 'Starlink Launches'!$B:$B, 0)),
  ""
)
</f>
        <v>7-5</v>
      </c>
      <c r="B2473" s="3" t="s">
        <v>25</v>
      </c>
      <c r="C2473" s="12" t="s">
        <v>2485</v>
      </c>
      <c r="D2473" s="13">
        <v>58112.0</v>
      </c>
      <c r="E2473" s="4">
        <v>45220.0</v>
      </c>
      <c r="F2473" s="4" t="str">
        <f>IF(D2473="","", IFNA(VLOOKUP(D2473, SATCAT_DECAY!A:B, 2, FALSE), ""))
</f>
        <v/>
      </c>
      <c r="G2473" s="3" t="str">
        <f t="shared" si="1"/>
        <v>ACTIVE</v>
      </c>
    </row>
    <row r="2474" ht="22.5" customHeight="1">
      <c r="A2474" s="11" t="str">
        <f t="array" ref="A2474">IFERROR(
  INDEX('Starlink Launches'!$A:$A, MATCH($E2474, 'Starlink Launches'!$B:$B, 0)),
  ""
)
</f>
        <v>7-5</v>
      </c>
      <c r="B2474" s="3" t="s">
        <v>25</v>
      </c>
      <c r="C2474" s="12" t="s">
        <v>2486</v>
      </c>
      <c r="D2474" s="13">
        <v>58113.0</v>
      </c>
      <c r="E2474" s="4">
        <v>45220.0</v>
      </c>
      <c r="F2474" s="4" t="str">
        <f>IF(D2474="","", IFNA(VLOOKUP(D2474, SATCAT_DECAY!A:B, 2, FALSE), ""))
</f>
        <v/>
      </c>
      <c r="G2474" s="3" t="str">
        <f t="shared" si="1"/>
        <v>ACTIVE</v>
      </c>
    </row>
    <row r="2475" ht="22.5" customHeight="1">
      <c r="A2475" s="11" t="str">
        <f t="array" ref="A2475">IFERROR(
  INDEX('Starlink Launches'!$A:$A, MATCH($E2475, 'Starlink Launches'!$B:$B, 0)),
  ""
)
</f>
        <v>7-5</v>
      </c>
      <c r="B2475" s="3" t="s">
        <v>25</v>
      </c>
      <c r="C2475" s="12" t="s">
        <v>2487</v>
      </c>
      <c r="D2475" s="13">
        <v>58114.0</v>
      </c>
      <c r="E2475" s="4">
        <v>45220.0</v>
      </c>
      <c r="F2475" s="4" t="str">
        <f>IF(D2475="","", IFNA(VLOOKUP(D2475, SATCAT_DECAY!A:B, 2, FALSE), ""))
</f>
        <v/>
      </c>
      <c r="G2475" s="3" t="str">
        <f t="shared" si="1"/>
        <v>ACTIVE</v>
      </c>
    </row>
    <row r="2476" ht="22.5" customHeight="1">
      <c r="A2476" s="11" t="str">
        <f t="array" ref="A2476">IFERROR(
  INDEX('Starlink Launches'!$A:$A, MATCH($E2476, 'Starlink Launches'!$B:$B, 0)),
  ""
)
</f>
        <v>7-5</v>
      </c>
      <c r="B2476" s="3" t="s">
        <v>25</v>
      </c>
      <c r="C2476" s="12" t="s">
        <v>2488</v>
      </c>
      <c r="D2476" s="13">
        <v>58115.0</v>
      </c>
      <c r="E2476" s="4">
        <v>45220.0</v>
      </c>
      <c r="F2476" s="4" t="str">
        <f>IF(D2476="","", IFNA(VLOOKUP(D2476, SATCAT_DECAY!A:B, 2, FALSE), ""))
</f>
        <v/>
      </c>
      <c r="G2476" s="3" t="str">
        <f t="shared" si="1"/>
        <v>ACTIVE</v>
      </c>
    </row>
    <row r="2477" ht="22.5" customHeight="1">
      <c r="A2477" s="11" t="str">
        <f t="array" ref="A2477">IFERROR(
  INDEX('Starlink Launches'!$A:$A, MATCH($E2477, 'Starlink Launches'!$B:$B, 0)),
  ""
)
</f>
        <v>7-5</v>
      </c>
      <c r="B2477" s="3" t="s">
        <v>25</v>
      </c>
      <c r="C2477" s="12" t="s">
        <v>2489</v>
      </c>
      <c r="D2477" s="13">
        <v>58116.0</v>
      </c>
      <c r="E2477" s="4">
        <v>45220.0</v>
      </c>
      <c r="F2477" s="4" t="str">
        <f>IF(D2477="","", IFNA(VLOOKUP(D2477, SATCAT_DECAY!A:B, 2, FALSE), ""))
</f>
        <v/>
      </c>
      <c r="G2477" s="3" t="str">
        <f t="shared" si="1"/>
        <v>ACTIVE</v>
      </c>
    </row>
    <row r="2478" ht="22.5" customHeight="1">
      <c r="A2478" s="11" t="str">
        <f t="array" ref="A2478">IFERROR(
  INDEX('Starlink Launches'!$A:$A, MATCH($E2478, 'Starlink Launches'!$B:$B, 0)),
  ""
)
</f>
        <v>7-5</v>
      </c>
      <c r="B2478" s="3" t="s">
        <v>25</v>
      </c>
      <c r="C2478" s="12" t="s">
        <v>2490</v>
      </c>
      <c r="D2478" s="13">
        <v>58117.0</v>
      </c>
      <c r="E2478" s="4">
        <v>45220.0</v>
      </c>
      <c r="F2478" s="4" t="str">
        <f>IF(D2478="","", IFNA(VLOOKUP(D2478, SATCAT_DECAY!A:B, 2, FALSE), ""))
</f>
        <v/>
      </c>
      <c r="G2478" s="3" t="str">
        <f t="shared" si="1"/>
        <v>ACTIVE</v>
      </c>
    </row>
    <row r="2479" ht="22.5" customHeight="1">
      <c r="A2479" s="11" t="str">
        <f t="array" ref="A2479">IFERROR(
  INDEX('Starlink Launches'!$A:$A, MATCH($E2479, 'Starlink Launches'!$B:$B, 0)),
  ""
)
</f>
        <v>7-6</v>
      </c>
      <c r="B2479" s="3" t="s">
        <v>25</v>
      </c>
      <c r="C2479" s="12" t="s">
        <v>2491</v>
      </c>
      <c r="D2479" s="13">
        <v>58150.0</v>
      </c>
      <c r="E2479" s="4">
        <v>45228.0</v>
      </c>
      <c r="F2479" s="4" t="str">
        <f>IF(D2479="","", IFNA(VLOOKUP(D2479, SATCAT_DECAY!A:B, 2, FALSE), ""))
</f>
        <v/>
      </c>
      <c r="G2479" s="3" t="str">
        <f t="shared" si="1"/>
        <v>ACTIVE</v>
      </c>
    </row>
    <row r="2480" ht="22.5" customHeight="1">
      <c r="A2480" s="11" t="str">
        <f t="array" ref="A2480">IFERROR(
  INDEX('Starlink Launches'!$A:$A, MATCH($E2480, 'Starlink Launches'!$B:$B, 0)),
  ""
)
</f>
        <v>7-6</v>
      </c>
      <c r="B2480" s="3" t="s">
        <v>25</v>
      </c>
      <c r="C2480" s="12" t="s">
        <v>2492</v>
      </c>
      <c r="D2480" s="13">
        <v>58151.0</v>
      </c>
      <c r="E2480" s="4">
        <v>45228.0</v>
      </c>
      <c r="F2480" s="4" t="str">
        <f>IF(D2480="","", IFNA(VLOOKUP(D2480, SATCAT_DECAY!A:B, 2, FALSE), ""))
</f>
        <v/>
      </c>
      <c r="G2480" s="3" t="str">
        <f t="shared" si="1"/>
        <v>ACTIVE</v>
      </c>
    </row>
    <row r="2481" ht="22.5" customHeight="1">
      <c r="A2481" s="11" t="str">
        <f t="array" ref="A2481">IFERROR(
  INDEX('Starlink Launches'!$A:$A, MATCH($E2481, 'Starlink Launches'!$B:$B, 0)),
  ""
)
</f>
        <v>7-6</v>
      </c>
      <c r="B2481" s="3" t="s">
        <v>25</v>
      </c>
      <c r="C2481" s="12" t="s">
        <v>2493</v>
      </c>
      <c r="D2481" s="13">
        <v>58152.0</v>
      </c>
      <c r="E2481" s="4">
        <v>45228.0</v>
      </c>
      <c r="F2481" s="4" t="str">
        <f>IF(D2481="","", IFNA(VLOOKUP(D2481, SATCAT_DECAY!A:B, 2, FALSE), ""))
</f>
        <v/>
      </c>
      <c r="G2481" s="3" t="str">
        <f t="shared" si="1"/>
        <v>ACTIVE</v>
      </c>
    </row>
    <row r="2482" ht="22.5" customHeight="1">
      <c r="A2482" s="11" t="str">
        <f t="array" ref="A2482">IFERROR(
  INDEX('Starlink Launches'!$A:$A, MATCH($E2482, 'Starlink Launches'!$B:$B, 0)),
  ""
)
</f>
        <v>7-6</v>
      </c>
      <c r="B2482" s="3" t="s">
        <v>25</v>
      </c>
      <c r="C2482" s="12" t="s">
        <v>2494</v>
      </c>
      <c r="D2482" s="13">
        <v>58153.0</v>
      </c>
      <c r="E2482" s="4">
        <v>45228.0</v>
      </c>
      <c r="F2482" s="4" t="str">
        <f>IF(D2482="","", IFNA(VLOOKUP(D2482, SATCAT_DECAY!A:B, 2, FALSE), ""))
</f>
        <v/>
      </c>
      <c r="G2482" s="3" t="str">
        <f t="shared" si="1"/>
        <v>ACTIVE</v>
      </c>
    </row>
    <row r="2483" ht="22.5" customHeight="1">
      <c r="A2483" s="11" t="str">
        <f t="array" ref="A2483">IFERROR(
  INDEX('Starlink Launches'!$A:$A, MATCH($E2483, 'Starlink Launches'!$B:$B, 0)),
  ""
)
</f>
        <v>7-6</v>
      </c>
      <c r="B2483" s="3" t="s">
        <v>25</v>
      </c>
      <c r="C2483" s="12" t="s">
        <v>2495</v>
      </c>
      <c r="D2483" s="13">
        <v>58154.0</v>
      </c>
      <c r="E2483" s="4">
        <v>45228.0</v>
      </c>
      <c r="F2483" s="4" t="str">
        <f>IF(D2483="","", IFNA(VLOOKUP(D2483, SATCAT_DECAY!A:B, 2, FALSE), ""))
</f>
        <v/>
      </c>
      <c r="G2483" s="3" t="str">
        <f t="shared" si="1"/>
        <v>ACTIVE</v>
      </c>
    </row>
    <row r="2484" ht="22.5" customHeight="1">
      <c r="A2484" s="11" t="str">
        <f t="array" ref="A2484">IFERROR(
  INDEX('Starlink Launches'!$A:$A, MATCH($E2484, 'Starlink Launches'!$B:$B, 0)),
  ""
)
</f>
        <v>7-6</v>
      </c>
      <c r="B2484" s="3" t="s">
        <v>25</v>
      </c>
      <c r="C2484" s="12" t="s">
        <v>2496</v>
      </c>
      <c r="D2484" s="13">
        <v>58155.0</v>
      </c>
      <c r="E2484" s="4">
        <v>45228.0</v>
      </c>
      <c r="F2484" s="4" t="str">
        <f>IF(D2484="","", IFNA(VLOOKUP(D2484, SATCAT_DECAY!A:B, 2, FALSE), ""))
</f>
        <v/>
      </c>
      <c r="G2484" s="3" t="str">
        <f t="shared" si="1"/>
        <v>ACTIVE</v>
      </c>
    </row>
    <row r="2485" ht="22.5" customHeight="1">
      <c r="A2485" s="11" t="str">
        <f t="array" ref="A2485">IFERROR(
  INDEX('Starlink Launches'!$A:$A, MATCH($E2485, 'Starlink Launches'!$B:$B, 0)),
  ""
)
</f>
        <v>7-6</v>
      </c>
      <c r="B2485" s="3" t="s">
        <v>25</v>
      </c>
      <c r="C2485" s="12" t="s">
        <v>2497</v>
      </c>
      <c r="D2485" s="13">
        <v>58156.0</v>
      </c>
      <c r="E2485" s="4">
        <v>45228.0</v>
      </c>
      <c r="F2485" s="4" t="str">
        <f>IF(D2485="","", IFNA(VLOOKUP(D2485, SATCAT_DECAY!A:B, 2, FALSE), ""))
</f>
        <v/>
      </c>
      <c r="G2485" s="3" t="str">
        <f t="shared" si="1"/>
        <v>ACTIVE</v>
      </c>
    </row>
    <row r="2486" ht="22.5" customHeight="1">
      <c r="A2486" s="11" t="str">
        <f t="array" ref="A2486">IFERROR(
  INDEX('Starlink Launches'!$A:$A, MATCH($E2486, 'Starlink Launches'!$B:$B, 0)),
  ""
)
</f>
        <v>7-6</v>
      </c>
      <c r="B2486" s="3" t="s">
        <v>25</v>
      </c>
      <c r="C2486" s="12" t="s">
        <v>2498</v>
      </c>
      <c r="D2486" s="13">
        <v>58157.0</v>
      </c>
      <c r="E2486" s="4">
        <v>45228.0</v>
      </c>
      <c r="F2486" s="4" t="str">
        <f>IF(D2486="","", IFNA(VLOOKUP(D2486, SATCAT_DECAY!A:B, 2, FALSE), ""))
</f>
        <v/>
      </c>
      <c r="G2486" s="3" t="str">
        <f t="shared" si="1"/>
        <v>ACTIVE</v>
      </c>
    </row>
    <row r="2487" ht="22.5" customHeight="1">
      <c r="A2487" s="11" t="str">
        <f t="array" ref="A2487">IFERROR(
  INDEX('Starlink Launches'!$A:$A, MATCH($E2487, 'Starlink Launches'!$B:$B, 0)),
  ""
)
</f>
        <v>7-6</v>
      </c>
      <c r="B2487" s="3" t="s">
        <v>25</v>
      </c>
      <c r="C2487" s="12" t="s">
        <v>2499</v>
      </c>
      <c r="D2487" s="13">
        <v>58158.0</v>
      </c>
      <c r="E2487" s="4">
        <v>45228.0</v>
      </c>
      <c r="F2487" s="4" t="str">
        <f>IF(D2487="","", IFNA(VLOOKUP(D2487, SATCAT_DECAY!A:B, 2, FALSE), ""))
</f>
        <v/>
      </c>
      <c r="G2487" s="3" t="str">
        <f t="shared" si="1"/>
        <v>ACTIVE</v>
      </c>
    </row>
    <row r="2488" ht="22.5" customHeight="1">
      <c r="A2488" s="11" t="str">
        <f t="array" ref="A2488">IFERROR(
  INDEX('Starlink Launches'!$A:$A, MATCH($E2488, 'Starlink Launches'!$B:$B, 0)),
  ""
)
</f>
        <v>7-6</v>
      </c>
      <c r="B2488" s="3" t="s">
        <v>25</v>
      </c>
      <c r="C2488" s="12" t="s">
        <v>2500</v>
      </c>
      <c r="D2488" s="13">
        <v>58159.0</v>
      </c>
      <c r="E2488" s="4">
        <v>45228.0</v>
      </c>
      <c r="F2488" s="4" t="str">
        <f>IF(D2488="","", IFNA(VLOOKUP(D2488, SATCAT_DECAY!A:B, 2, FALSE), ""))
</f>
        <v/>
      </c>
      <c r="G2488" s="3" t="str">
        <f t="shared" si="1"/>
        <v>ACTIVE</v>
      </c>
    </row>
    <row r="2489" ht="22.5" customHeight="1">
      <c r="A2489" s="11" t="str">
        <f t="array" ref="A2489">IFERROR(
  INDEX('Starlink Launches'!$A:$A, MATCH($E2489, 'Starlink Launches'!$B:$B, 0)),
  ""
)
</f>
        <v>7-6</v>
      </c>
      <c r="B2489" s="3" t="s">
        <v>25</v>
      </c>
      <c r="C2489" s="12" t="s">
        <v>2501</v>
      </c>
      <c r="D2489" s="13">
        <v>58160.0</v>
      </c>
      <c r="E2489" s="4">
        <v>45228.0</v>
      </c>
      <c r="F2489" s="4" t="str">
        <f>IF(D2489="","", IFNA(VLOOKUP(D2489, SATCAT_DECAY!A:B, 2, FALSE), ""))
</f>
        <v/>
      </c>
      <c r="G2489" s="3" t="str">
        <f t="shared" si="1"/>
        <v>ACTIVE</v>
      </c>
    </row>
    <row r="2490" ht="22.5" customHeight="1">
      <c r="A2490" s="11" t="str">
        <f t="array" ref="A2490">IFERROR(
  INDEX('Starlink Launches'!$A:$A, MATCH($E2490, 'Starlink Launches'!$B:$B, 0)),
  ""
)
</f>
        <v>7-6</v>
      </c>
      <c r="B2490" s="3" t="s">
        <v>25</v>
      </c>
      <c r="C2490" s="12" t="s">
        <v>2502</v>
      </c>
      <c r="D2490" s="13">
        <v>58161.0</v>
      </c>
      <c r="E2490" s="4">
        <v>45228.0</v>
      </c>
      <c r="F2490" s="4" t="str">
        <f>IF(D2490="","", IFNA(VLOOKUP(D2490, SATCAT_DECAY!A:B, 2, FALSE), ""))
</f>
        <v/>
      </c>
      <c r="G2490" s="3" t="str">
        <f t="shared" si="1"/>
        <v>ACTIVE</v>
      </c>
    </row>
    <row r="2491" ht="22.5" customHeight="1">
      <c r="A2491" s="11" t="str">
        <f t="array" ref="A2491">IFERROR(
  INDEX('Starlink Launches'!$A:$A, MATCH($E2491, 'Starlink Launches'!$B:$B, 0)),
  ""
)
</f>
        <v>7-6</v>
      </c>
      <c r="B2491" s="3" t="s">
        <v>25</v>
      </c>
      <c r="C2491" s="12" t="s">
        <v>2503</v>
      </c>
      <c r="D2491" s="13">
        <v>58162.0</v>
      </c>
      <c r="E2491" s="4">
        <v>45228.0</v>
      </c>
      <c r="F2491" s="4" t="str">
        <f>IF(D2491="","", IFNA(VLOOKUP(D2491, SATCAT_DECAY!A:B, 2, FALSE), ""))
</f>
        <v/>
      </c>
      <c r="G2491" s="3" t="str">
        <f t="shared" si="1"/>
        <v>ACTIVE</v>
      </c>
    </row>
    <row r="2492" ht="22.5" customHeight="1">
      <c r="A2492" s="11" t="str">
        <f t="array" ref="A2492">IFERROR(
  INDEX('Starlink Launches'!$A:$A, MATCH($E2492, 'Starlink Launches'!$B:$B, 0)),
  ""
)
</f>
        <v>7-6</v>
      </c>
      <c r="B2492" s="3" t="s">
        <v>25</v>
      </c>
      <c r="C2492" s="12" t="s">
        <v>2504</v>
      </c>
      <c r="D2492" s="13">
        <v>58163.0</v>
      </c>
      <c r="E2492" s="4">
        <v>45228.0</v>
      </c>
      <c r="F2492" s="4" t="str">
        <f>IF(D2492="","", IFNA(VLOOKUP(D2492, SATCAT_DECAY!A:B, 2, FALSE), ""))
</f>
        <v/>
      </c>
      <c r="G2492" s="3" t="str">
        <f t="shared" si="1"/>
        <v>ACTIVE</v>
      </c>
    </row>
    <row r="2493" ht="22.5" customHeight="1">
      <c r="A2493" s="11" t="str">
        <f t="array" ref="A2493">IFERROR(
  INDEX('Starlink Launches'!$A:$A, MATCH($E2493, 'Starlink Launches'!$B:$B, 0)),
  ""
)
</f>
        <v>7-6</v>
      </c>
      <c r="B2493" s="3" t="s">
        <v>25</v>
      </c>
      <c r="C2493" s="12" t="s">
        <v>2505</v>
      </c>
      <c r="D2493" s="13">
        <v>58164.0</v>
      </c>
      <c r="E2493" s="4">
        <v>45228.0</v>
      </c>
      <c r="F2493" s="4" t="str">
        <f>IF(D2493="","", IFNA(VLOOKUP(D2493, SATCAT_DECAY!A:B, 2, FALSE), ""))
</f>
        <v/>
      </c>
      <c r="G2493" s="3" t="str">
        <f t="shared" si="1"/>
        <v>ACTIVE</v>
      </c>
    </row>
    <row r="2494" ht="22.5" customHeight="1">
      <c r="A2494" s="11" t="str">
        <f t="array" ref="A2494">IFERROR(
  INDEX('Starlink Launches'!$A:$A, MATCH($E2494, 'Starlink Launches'!$B:$B, 0)),
  ""
)
</f>
        <v>7-6</v>
      </c>
      <c r="B2494" s="3" t="s">
        <v>25</v>
      </c>
      <c r="C2494" s="12" t="s">
        <v>2506</v>
      </c>
      <c r="D2494" s="13">
        <v>58165.0</v>
      </c>
      <c r="E2494" s="4">
        <v>45228.0</v>
      </c>
      <c r="F2494" s="4" t="str">
        <f>IF(D2494="","", IFNA(VLOOKUP(D2494, SATCAT_DECAY!A:B, 2, FALSE), ""))
</f>
        <v/>
      </c>
      <c r="G2494" s="3" t="str">
        <f t="shared" si="1"/>
        <v>ACTIVE</v>
      </c>
    </row>
    <row r="2495" ht="22.5" customHeight="1">
      <c r="A2495" s="11" t="str">
        <f t="array" ref="A2495">IFERROR(
  INDEX('Starlink Launches'!$A:$A, MATCH($E2495, 'Starlink Launches'!$B:$B, 0)),
  ""
)
</f>
        <v>7-6</v>
      </c>
      <c r="B2495" s="3" t="s">
        <v>25</v>
      </c>
      <c r="C2495" s="12" t="s">
        <v>2507</v>
      </c>
      <c r="D2495" s="13">
        <v>58166.0</v>
      </c>
      <c r="E2495" s="4">
        <v>45228.0</v>
      </c>
      <c r="F2495" s="4" t="str">
        <f>IF(D2495="","", IFNA(VLOOKUP(D2495, SATCAT_DECAY!A:B, 2, FALSE), ""))
</f>
        <v/>
      </c>
      <c r="G2495" s="3" t="str">
        <f t="shared" si="1"/>
        <v>ACTIVE</v>
      </c>
    </row>
    <row r="2496" ht="22.5" customHeight="1">
      <c r="A2496" s="11" t="str">
        <f t="array" ref="A2496">IFERROR(
  INDEX('Starlink Launches'!$A:$A, MATCH($E2496, 'Starlink Launches'!$B:$B, 0)),
  ""
)
</f>
        <v>7-6</v>
      </c>
      <c r="B2496" s="3" t="s">
        <v>25</v>
      </c>
      <c r="C2496" s="12" t="s">
        <v>2508</v>
      </c>
      <c r="D2496" s="13">
        <v>58167.0</v>
      </c>
      <c r="E2496" s="4">
        <v>45228.0</v>
      </c>
      <c r="F2496" s="4" t="str">
        <f>IF(D2496="","", IFNA(VLOOKUP(D2496, SATCAT_DECAY!A:B, 2, FALSE), ""))
</f>
        <v/>
      </c>
      <c r="G2496" s="3" t="str">
        <f t="shared" si="1"/>
        <v>ACTIVE</v>
      </c>
    </row>
    <row r="2497" ht="22.5" customHeight="1">
      <c r="A2497" s="11" t="str">
        <f t="array" ref="A2497">IFERROR(
  INDEX('Starlink Launches'!$A:$A, MATCH($E2497, 'Starlink Launches'!$B:$B, 0)),
  ""
)
</f>
        <v>7-6</v>
      </c>
      <c r="B2497" s="3" t="s">
        <v>25</v>
      </c>
      <c r="C2497" s="12" t="s">
        <v>2509</v>
      </c>
      <c r="D2497" s="13">
        <v>58168.0</v>
      </c>
      <c r="E2497" s="4">
        <v>45228.0</v>
      </c>
      <c r="F2497" s="4" t="str">
        <f>IF(D2497="","", IFNA(VLOOKUP(D2497, SATCAT_DECAY!A:B, 2, FALSE), ""))
</f>
        <v/>
      </c>
      <c r="G2497" s="3" t="str">
        <f t="shared" si="1"/>
        <v>ACTIVE</v>
      </c>
    </row>
    <row r="2498" ht="22.5" customHeight="1">
      <c r="A2498" s="11" t="str">
        <f t="array" ref="A2498">IFERROR(
  INDEX('Starlink Launches'!$A:$A, MATCH($E2498, 'Starlink Launches'!$B:$B, 0)),
  ""
)
</f>
        <v>7-6</v>
      </c>
      <c r="B2498" s="3" t="s">
        <v>25</v>
      </c>
      <c r="C2498" s="12" t="s">
        <v>2510</v>
      </c>
      <c r="D2498" s="13">
        <v>58169.0</v>
      </c>
      <c r="E2498" s="4">
        <v>45228.0</v>
      </c>
      <c r="F2498" s="4" t="str">
        <f>IF(D2498="","", IFNA(VLOOKUP(D2498, SATCAT_DECAY!A:B, 2, FALSE), ""))
</f>
        <v/>
      </c>
      <c r="G2498" s="3" t="str">
        <f t="shared" si="1"/>
        <v>ACTIVE</v>
      </c>
    </row>
    <row r="2499" ht="22.5" customHeight="1">
      <c r="A2499" s="11" t="str">
        <f t="array" ref="A2499">IFERROR(
  INDEX('Starlink Launches'!$A:$A, MATCH($E2499, 'Starlink Launches'!$B:$B, 0)),
  ""
)
</f>
        <v>7-6</v>
      </c>
      <c r="B2499" s="3" t="s">
        <v>25</v>
      </c>
      <c r="C2499" s="12" t="s">
        <v>2511</v>
      </c>
      <c r="D2499" s="13">
        <v>58170.0</v>
      </c>
      <c r="E2499" s="4">
        <v>45228.0</v>
      </c>
      <c r="F2499" s="4" t="str">
        <f>IF(D2499="","", IFNA(VLOOKUP(D2499, SATCAT_DECAY!A:B, 2, FALSE), ""))
</f>
        <v/>
      </c>
      <c r="G2499" s="3" t="str">
        <f t="shared" si="1"/>
        <v>ACTIVE</v>
      </c>
    </row>
    <row r="2500" ht="22.5" customHeight="1">
      <c r="A2500" s="11" t="str">
        <f t="array" ref="A2500">IFERROR(
  INDEX('Starlink Launches'!$A:$A, MATCH($E2500, 'Starlink Launches'!$B:$B, 0)),
  ""
)
</f>
        <v>7-6</v>
      </c>
      <c r="B2500" s="3" t="s">
        <v>25</v>
      </c>
      <c r="C2500" s="12" t="s">
        <v>2512</v>
      </c>
      <c r="D2500" s="13">
        <v>58171.0</v>
      </c>
      <c r="E2500" s="4">
        <v>45228.0</v>
      </c>
      <c r="F2500" s="4" t="str">
        <f>IF(D2500="","", IFNA(VLOOKUP(D2500, SATCAT_DECAY!A:B, 2, FALSE), ""))
</f>
        <v/>
      </c>
      <c r="G2500" s="3" t="str">
        <f t="shared" si="1"/>
        <v>ACTIVE</v>
      </c>
    </row>
    <row r="2501" ht="22.5" customHeight="1">
      <c r="A2501" s="11" t="str">
        <f t="array" ref="A2501">IFERROR(
  INDEX('Starlink Launches'!$A:$A, MATCH($E2501, 'Starlink Launches'!$B:$B, 0)),
  ""
)
</f>
        <v>7-7</v>
      </c>
      <c r="B2501" s="3" t="s">
        <v>25</v>
      </c>
      <c r="C2501" s="12" t="s">
        <v>2513</v>
      </c>
      <c r="D2501" s="13">
        <v>58374.0</v>
      </c>
      <c r="E2501" s="4">
        <v>45250.0</v>
      </c>
      <c r="F2501" s="4" t="str">
        <f>IF(D2501="","", IFNA(VLOOKUP(D2501, SATCAT_DECAY!A:B, 2, FALSE), ""))
</f>
        <v/>
      </c>
      <c r="G2501" s="3" t="str">
        <f t="shared" si="1"/>
        <v>ACTIVE</v>
      </c>
    </row>
    <row r="2502" ht="22.5" customHeight="1">
      <c r="A2502" s="11" t="str">
        <f t="array" ref="A2502">IFERROR(
  INDEX('Starlink Launches'!$A:$A, MATCH($E2502, 'Starlink Launches'!$B:$B, 0)),
  ""
)
</f>
        <v>7-7</v>
      </c>
      <c r="B2502" s="3" t="s">
        <v>25</v>
      </c>
      <c r="C2502" s="12" t="s">
        <v>2514</v>
      </c>
      <c r="D2502" s="13">
        <v>58375.0</v>
      </c>
      <c r="E2502" s="4">
        <v>45250.0</v>
      </c>
      <c r="F2502" s="4" t="str">
        <f>IF(D2502="","", IFNA(VLOOKUP(D2502, SATCAT_DECAY!A:B, 2, FALSE), ""))
</f>
        <v/>
      </c>
      <c r="G2502" s="3" t="str">
        <f t="shared" si="1"/>
        <v>ACTIVE</v>
      </c>
    </row>
    <row r="2503" ht="22.5" customHeight="1">
      <c r="A2503" s="11" t="str">
        <f t="array" ref="A2503">IFERROR(
  INDEX('Starlink Launches'!$A:$A, MATCH($E2503, 'Starlink Launches'!$B:$B, 0)),
  ""
)
</f>
        <v>7-7</v>
      </c>
      <c r="B2503" s="3" t="s">
        <v>25</v>
      </c>
      <c r="C2503" s="12" t="s">
        <v>2515</v>
      </c>
      <c r="D2503" s="13">
        <v>58376.0</v>
      </c>
      <c r="E2503" s="4">
        <v>45250.0</v>
      </c>
      <c r="F2503" s="4" t="str">
        <f>IF(D2503="","", IFNA(VLOOKUP(D2503, SATCAT_DECAY!A:B, 2, FALSE), ""))
</f>
        <v/>
      </c>
      <c r="G2503" s="3" t="str">
        <f t="shared" si="1"/>
        <v>ACTIVE</v>
      </c>
    </row>
    <row r="2504" ht="22.5" customHeight="1">
      <c r="A2504" s="11" t="str">
        <f t="array" ref="A2504">IFERROR(
  INDEX('Starlink Launches'!$A:$A, MATCH($E2504, 'Starlink Launches'!$B:$B, 0)),
  ""
)
</f>
        <v>7-7</v>
      </c>
      <c r="B2504" s="3" t="s">
        <v>25</v>
      </c>
      <c r="C2504" s="12" t="s">
        <v>2516</v>
      </c>
      <c r="D2504" s="13">
        <v>58377.0</v>
      </c>
      <c r="E2504" s="4">
        <v>45250.0</v>
      </c>
      <c r="F2504" s="4" t="str">
        <f>IF(D2504="","", IFNA(VLOOKUP(D2504, SATCAT_DECAY!A:B, 2, FALSE), ""))
</f>
        <v/>
      </c>
      <c r="G2504" s="3" t="str">
        <f t="shared" si="1"/>
        <v>ACTIVE</v>
      </c>
    </row>
    <row r="2505" ht="22.5" customHeight="1">
      <c r="A2505" s="11" t="str">
        <f t="array" ref="A2505">IFERROR(
  INDEX('Starlink Launches'!$A:$A, MATCH($E2505, 'Starlink Launches'!$B:$B, 0)),
  ""
)
</f>
        <v>7-7</v>
      </c>
      <c r="B2505" s="3" t="s">
        <v>25</v>
      </c>
      <c r="C2505" s="12" t="s">
        <v>2517</v>
      </c>
      <c r="D2505" s="13">
        <v>58378.0</v>
      </c>
      <c r="E2505" s="4">
        <v>45250.0</v>
      </c>
      <c r="F2505" s="4" t="str">
        <f>IF(D2505="","", IFNA(VLOOKUP(D2505, SATCAT_DECAY!A:B, 2, FALSE), ""))
</f>
        <v/>
      </c>
      <c r="G2505" s="3" t="str">
        <f t="shared" si="1"/>
        <v>ACTIVE</v>
      </c>
    </row>
    <row r="2506" ht="22.5" customHeight="1">
      <c r="A2506" s="11" t="str">
        <f t="array" ref="A2506">IFERROR(
  INDEX('Starlink Launches'!$A:$A, MATCH($E2506, 'Starlink Launches'!$B:$B, 0)),
  ""
)
</f>
        <v>7-7</v>
      </c>
      <c r="B2506" s="3" t="s">
        <v>25</v>
      </c>
      <c r="C2506" s="12" t="s">
        <v>2518</v>
      </c>
      <c r="D2506" s="13">
        <v>58379.0</v>
      </c>
      <c r="E2506" s="4">
        <v>45250.0</v>
      </c>
      <c r="F2506" s="4" t="str">
        <f>IF(D2506="","", IFNA(VLOOKUP(D2506, SATCAT_DECAY!A:B, 2, FALSE), ""))
</f>
        <v/>
      </c>
      <c r="G2506" s="3" t="str">
        <f t="shared" si="1"/>
        <v>ACTIVE</v>
      </c>
    </row>
    <row r="2507" ht="22.5" customHeight="1">
      <c r="A2507" s="11" t="str">
        <f t="array" ref="A2507">IFERROR(
  INDEX('Starlink Launches'!$A:$A, MATCH($E2507, 'Starlink Launches'!$B:$B, 0)),
  ""
)
</f>
        <v>7-7</v>
      </c>
      <c r="B2507" s="3" t="s">
        <v>25</v>
      </c>
      <c r="C2507" s="12" t="s">
        <v>2519</v>
      </c>
      <c r="D2507" s="13">
        <v>58380.0</v>
      </c>
      <c r="E2507" s="4">
        <v>45250.0</v>
      </c>
      <c r="F2507" s="4" t="str">
        <f>IF(D2507="","", IFNA(VLOOKUP(D2507, SATCAT_DECAY!A:B, 2, FALSE), ""))
</f>
        <v/>
      </c>
      <c r="G2507" s="3" t="str">
        <f t="shared" si="1"/>
        <v>ACTIVE</v>
      </c>
    </row>
    <row r="2508" ht="22.5" customHeight="1">
      <c r="A2508" s="11" t="str">
        <f t="array" ref="A2508">IFERROR(
  INDEX('Starlink Launches'!$A:$A, MATCH($E2508, 'Starlink Launches'!$B:$B, 0)),
  ""
)
</f>
        <v>7-7</v>
      </c>
      <c r="B2508" s="3" t="s">
        <v>25</v>
      </c>
      <c r="C2508" s="12" t="s">
        <v>2520</v>
      </c>
      <c r="D2508" s="13">
        <v>58381.0</v>
      </c>
      <c r="E2508" s="4">
        <v>45250.0</v>
      </c>
      <c r="F2508" s="4" t="str">
        <f>IF(D2508="","", IFNA(VLOOKUP(D2508, SATCAT_DECAY!A:B, 2, FALSE), ""))
</f>
        <v/>
      </c>
      <c r="G2508" s="3" t="str">
        <f t="shared" si="1"/>
        <v>ACTIVE</v>
      </c>
    </row>
    <row r="2509" ht="22.5" customHeight="1">
      <c r="A2509" s="11" t="str">
        <f t="array" ref="A2509">IFERROR(
  INDEX('Starlink Launches'!$A:$A, MATCH($E2509, 'Starlink Launches'!$B:$B, 0)),
  ""
)
</f>
        <v>7-7</v>
      </c>
      <c r="B2509" s="3" t="s">
        <v>25</v>
      </c>
      <c r="C2509" s="12" t="s">
        <v>2521</v>
      </c>
      <c r="D2509" s="13">
        <v>58382.0</v>
      </c>
      <c r="E2509" s="4">
        <v>45250.0</v>
      </c>
      <c r="F2509" s="4" t="str">
        <f>IF(D2509="","", IFNA(VLOOKUP(D2509, SATCAT_DECAY!A:B, 2, FALSE), ""))
</f>
        <v/>
      </c>
      <c r="G2509" s="3" t="str">
        <f t="shared" si="1"/>
        <v>ACTIVE</v>
      </c>
    </row>
    <row r="2510" ht="22.5" customHeight="1">
      <c r="A2510" s="11" t="str">
        <f t="array" ref="A2510">IFERROR(
  INDEX('Starlink Launches'!$A:$A, MATCH($E2510, 'Starlink Launches'!$B:$B, 0)),
  ""
)
</f>
        <v>7-7</v>
      </c>
      <c r="B2510" s="3" t="s">
        <v>25</v>
      </c>
      <c r="C2510" s="12" t="s">
        <v>2522</v>
      </c>
      <c r="D2510" s="13">
        <v>58383.0</v>
      </c>
      <c r="E2510" s="4">
        <v>45250.0</v>
      </c>
      <c r="F2510" s="4" t="str">
        <f>IF(D2510="","", IFNA(VLOOKUP(D2510, SATCAT_DECAY!A:B, 2, FALSE), ""))
</f>
        <v/>
      </c>
      <c r="G2510" s="3" t="str">
        <f t="shared" si="1"/>
        <v>ACTIVE</v>
      </c>
    </row>
    <row r="2511" ht="22.5" customHeight="1">
      <c r="A2511" s="11" t="str">
        <f t="array" ref="A2511">IFERROR(
  INDEX('Starlink Launches'!$A:$A, MATCH($E2511, 'Starlink Launches'!$B:$B, 0)),
  ""
)
</f>
        <v>7-7</v>
      </c>
      <c r="B2511" s="3" t="s">
        <v>25</v>
      </c>
      <c r="C2511" s="12" t="s">
        <v>2523</v>
      </c>
      <c r="D2511" s="13">
        <v>58384.0</v>
      </c>
      <c r="E2511" s="4">
        <v>45250.0</v>
      </c>
      <c r="F2511" s="4" t="str">
        <f>IF(D2511="","", IFNA(VLOOKUP(D2511, SATCAT_DECAY!A:B, 2, FALSE), ""))
</f>
        <v/>
      </c>
      <c r="G2511" s="3" t="str">
        <f t="shared" si="1"/>
        <v>ACTIVE</v>
      </c>
    </row>
    <row r="2512" ht="22.5" customHeight="1">
      <c r="A2512" s="11" t="str">
        <f t="array" ref="A2512">IFERROR(
  INDEX('Starlink Launches'!$A:$A, MATCH($E2512, 'Starlink Launches'!$B:$B, 0)),
  ""
)
</f>
        <v>7-7</v>
      </c>
      <c r="B2512" s="3" t="s">
        <v>25</v>
      </c>
      <c r="C2512" s="12" t="s">
        <v>2524</v>
      </c>
      <c r="D2512" s="13">
        <v>58385.0</v>
      </c>
      <c r="E2512" s="4">
        <v>45250.0</v>
      </c>
      <c r="F2512" s="4" t="str">
        <f>IF(D2512="","", IFNA(VLOOKUP(D2512, SATCAT_DECAY!A:B, 2, FALSE), ""))
</f>
        <v/>
      </c>
      <c r="G2512" s="3" t="str">
        <f t="shared" si="1"/>
        <v>ACTIVE</v>
      </c>
    </row>
    <row r="2513" ht="22.5" customHeight="1">
      <c r="A2513" s="11" t="str">
        <f t="array" ref="A2513">IFERROR(
  INDEX('Starlink Launches'!$A:$A, MATCH($E2513, 'Starlink Launches'!$B:$B, 0)),
  ""
)
</f>
        <v>7-7</v>
      </c>
      <c r="B2513" s="3" t="s">
        <v>25</v>
      </c>
      <c r="C2513" s="12" t="s">
        <v>2525</v>
      </c>
      <c r="D2513" s="13">
        <v>58386.0</v>
      </c>
      <c r="E2513" s="4">
        <v>45250.0</v>
      </c>
      <c r="F2513" s="4" t="str">
        <f>IF(D2513="","", IFNA(VLOOKUP(D2513, SATCAT_DECAY!A:B, 2, FALSE), ""))
</f>
        <v/>
      </c>
      <c r="G2513" s="3" t="str">
        <f t="shared" si="1"/>
        <v>ACTIVE</v>
      </c>
    </row>
    <row r="2514" ht="22.5" customHeight="1">
      <c r="A2514" s="11" t="str">
        <f t="array" ref="A2514">IFERROR(
  INDEX('Starlink Launches'!$A:$A, MATCH($E2514, 'Starlink Launches'!$B:$B, 0)),
  ""
)
</f>
        <v>7-7</v>
      </c>
      <c r="B2514" s="3" t="s">
        <v>25</v>
      </c>
      <c r="C2514" s="12" t="s">
        <v>2526</v>
      </c>
      <c r="D2514" s="13">
        <v>58387.0</v>
      </c>
      <c r="E2514" s="4">
        <v>45250.0</v>
      </c>
      <c r="F2514" s="4" t="str">
        <f>IF(D2514="","", IFNA(VLOOKUP(D2514, SATCAT_DECAY!A:B, 2, FALSE), ""))
</f>
        <v/>
      </c>
      <c r="G2514" s="3" t="str">
        <f t="shared" si="1"/>
        <v>ACTIVE</v>
      </c>
    </row>
    <row r="2515" ht="22.5" customHeight="1">
      <c r="A2515" s="11" t="str">
        <f t="array" ref="A2515">IFERROR(
  INDEX('Starlink Launches'!$A:$A, MATCH($E2515, 'Starlink Launches'!$B:$B, 0)),
  ""
)
</f>
        <v>7-7</v>
      </c>
      <c r="B2515" s="3" t="s">
        <v>25</v>
      </c>
      <c r="C2515" s="12" t="s">
        <v>2527</v>
      </c>
      <c r="D2515" s="13">
        <v>58388.0</v>
      </c>
      <c r="E2515" s="4">
        <v>45250.0</v>
      </c>
      <c r="F2515" s="4" t="str">
        <f>IF(D2515="","", IFNA(VLOOKUP(D2515, SATCAT_DECAY!A:B, 2, FALSE), ""))
</f>
        <v/>
      </c>
      <c r="G2515" s="3" t="str">
        <f t="shared" si="1"/>
        <v>ACTIVE</v>
      </c>
    </row>
    <row r="2516" ht="22.5" customHeight="1">
      <c r="A2516" s="11" t="str">
        <f t="array" ref="A2516">IFERROR(
  INDEX('Starlink Launches'!$A:$A, MATCH($E2516, 'Starlink Launches'!$B:$B, 0)),
  ""
)
</f>
        <v>7-7</v>
      </c>
      <c r="B2516" s="3" t="s">
        <v>25</v>
      </c>
      <c r="C2516" s="12" t="s">
        <v>2528</v>
      </c>
      <c r="D2516" s="13">
        <v>58389.0</v>
      </c>
      <c r="E2516" s="4">
        <v>45250.0</v>
      </c>
      <c r="F2516" s="4" t="str">
        <f>IF(D2516="","", IFNA(VLOOKUP(D2516, SATCAT_DECAY!A:B, 2, FALSE), ""))
</f>
        <v/>
      </c>
      <c r="G2516" s="3" t="str">
        <f t="shared" si="1"/>
        <v>ACTIVE</v>
      </c>
    </row>
    <row r="2517" ht="22.5" customHeight="1">
      <c r="A2517" s="11" t="str">
        <f t="array" ref="A2517">IFERROR(
  INDEX('Starlink Launches'!$A:$A, MATCH($E2517, 'Starlink Launches'!$B:$B, 0)),
  ""
)
</f>
        <v>7-7</v>
      </c>
      <c r="B2517" s="3" t="s">
        <v>25</v>
      </c>
      <c r="C2517" s="12" t="s">
        <v>2529</v>
      </c>
      <c r="D2517" s="13">
        <v>58390.0</v>
      </c>
      <c r="E2517" s="4">
        <v>45250.0</v>
      </c>
      <c r="F2517" s="4" t="str">
        <f>IF(D2517="","", IFNA(VLOOKUP(D2517, SATCAT_DECAY!A:B, 2, FALSE), ""))
</f>
        <v/>
      </c>
      <c r="G2517" s="3" t="str">
        <f t="shared" si="1"/>
        <v>ACTIVE</v>
      </c>
    </row>
    <row r="2518" ht="22.5" customHeight="1">
      <c r="A2518" s="11" t="str">
        <f t="array" ref="A2518">IFERROR(
  INDEX('Starlink Launches'!$A:$A, MATCH($E2518, 'Starlink Launches'!$B:$B, 0)),
  ""
)
</f>
        <v>7-7</v>
      </c>
      <c r="B2518" s="3" t="s">
        <v>25</v>
      </c>
      <c r="C2518" s="12" t="s">
        <v>2530</v>
      </c>
      <c r="D2518" s="13">
        <v>58391.0</v>
      </c>
      <c r="E2518" s="4">
        <v>45250.0</v>
      </c>
      <c r="F2518" s="4" t="str">
        <f>IF(D2518="","", IFNA(VLOOKUP(D2518, SATCAT_DECAY!A:B, 2, FALSE), ""))
</f>
        <v/>
      </c>
      <c r="G2518" s="3" t="str">
        <f t="shared" si="1"/>
        <v>ACTIVE</v>
      </c>
    </row>
    <row r="2519" ht="22.5" customHeight="1">
      <c r="A2519" s="11" t="str">
        <f t="array" ref="A2519">IFERROR(
  INDEX('Starlink Launches'!$A:$A, MATCH($E2519, 'Starlink Launches'!$B:$B, 0)),
  ""
)
</f>
        <v>7-7</v>
      </c>
      <c r="B2519" s="3" t="s">
        <v>25</v>
      </c>
      <c r="C2519" s="12" t="s">
        <v>2531</v>
      </c>
      <c r="D2519" s="13">
        <v>58393.0</v>
      </c>
      <c r="E2519" s="4">
        <v>45250.0</v>
      </c>
      <c r="F2519" s="4" t="str">
        <f>IF(D2519="","", IFNA(VLOOKUP(D2519, SATCAT_DECAY!A:B, 2, FALSE), ""))
</f>
        <v/>
      </c>
      <c r="G2519" s="3" t="str">
        <f t="shared" si="1"/>
        <v>ACTIVE</v>
      </c>
    </row>
    <row r="2520" ht="22.5" customHeight="1">
      <c r="A2520" s="11" t="str">
        <f t="array" ref="A2520">IFERROR(
  INDEX('Starlink Launches'!$A:$A, MATCH($E2520, 'Starlink Launches'!$B:$B, 0)),
  ""
)
</f>
        <v>7-7</v>
      </c>
      <c r="B2520" s="3" t="s">
        <v>25</v>
      </c>
      <c r="C2520" s="12" t="s">
        <v>2532</v>
      </c>
      <c r="D2520" s="13">
        <v>58394.0</v>
      </c>
      <c r="E2520" s="4">
        <v>45250.0</v>
      </c>
      <c r="F2520" s="4" t="str">
        <f>IF(D2520="","", IFNA(VLOOKUP(D2520, SATCAT_DECAY!A:B, 2, FALSE), ""))
</f>
        <v/>
      </c>
      <c r="G2520" s="3" t="str">
        <f t="shared" si="1"/>
        <v>ACTIVE</v>
      </c>
    </row>
    <row r="2521" ht="22.5" customHeight="1">
      <c r="A2521" s="11" t="str">
        <f t="array" ref="A2521">IFERROR(
  INDEX('Starlink Launches'!$A:$A, MATCH($E2521, 'Starlink Launches'!$B:$B, 0)),
  ""
)
</f>
        <v>7-7</v>
      </c>
      <c r="B2521" s="3" t="s">
        <v>25</v>
      </c>
      <c r="C2521" s="12" t="s">
        <v>2533</v>
      </c>
      <c r="D2521" s="13">
        <v>58395.0</v>
      </c>
      <c r="E2521" s="4">
        <v>45250.0</v>
      </c>
      <c r="F2521" s="4" t="str">
        <f>IF(D2521="","", IFNA(VLOOKUP(D2521, SATCAT_DECAY!A:B, 2, FALSE), ""))
</f>
        <v/>
      </c>
      <c r="G2521" s="3" t="str">
        <f t="shared" si="1"/>
        <v>ACTIVE</v>
      </c>
    </row>
    <row r="2522" ht="22.5" customHeight="1">
      <c r="A2522" s="11" t="str">
        <f t="array" ref="A2522">IFERROR(
  INDEX('Starlink Launches'!$A:$A, MATCH($E2522, 'Starlink Launches'!$B:$B, 0)),
  ""
)
</f>
        <v>7-8</v>
      </c>
      <c r="B2522" s="3" t="s">
        <v>25</v>
      </c>
      <c r="C2522" s="12" t="s">
        <v>2534</v>
      </c>
      <c r="D2522" s="13">
        <v>58531.0</v>
      </c>
      <c r="E2522" s="4">
        <v>45268.0</v>
      </c>
      <c r="F2522" s="4" t="str">
        <f>IF(D2522="","", IFNA(VLOOKUP(D2522, SATCAT_DECAY!A:B, 2, FALSE), ""))
</f>
        <v/>
      </c>
      <c r="G2522" s="3" t="str">
        <f t="shared" si="1"/>
        <v>ACTIVE</v>
      </c>
    </row>
    <row r="2523" ht="22.5" customHeight="1">
      <c r="A2523" s="11" t="str">
        <f t="array" ref="A2523">IFERROR(
  INDEX('Starlink Launches'!$A:$A, MATCH($E2523, 'Starlink Launches'!$B:$B, 0)),
  ""
)
</f>
        <v>7-8</v>
      </c>
      <c r="B2523" s="3" t="s">
        <v>25</v>
      </c>
      <c r="C2523" s="12" t="s">
        <v>2535</v>
      </c>
      <c r="D2523" s="13">
        <v>58532.0</v>
      </c>
      <c r="E2523" s="4">
        <v>45268.0</v>
      </c>
      <c r="F2523" s="4" t="str">
        <f>IF(D2523="","", IFNA(VLOOKUP(D2523, SATCAT_DECAY!A:B, 2, FALSE), ""))
</f>
        <v/>
      </c>
      <c r="G2523" s="3" t="str">
        <f t="shared" si="1"/>
        <v>ACTIVE</v>
      </c>
    </row>
    <row r="2524" ht="22.5" customHeight="1">
      <c r="A2524" s="11" t="str">
        <f t="array" ref="A2524">IFERROR(
  INDEX('Starlink Launches'!$A:$A, MATCH($E2524, 'Starlink Launches'!$B:$B, 0)),
  ""
)
</f>
        <v>7-8</v>
      </c>
      <c r="B2524" s="3" t="s">
        <v>25</v>
      </c>
      <c r="C2524" s="12" t="s">
        <v>2536</v>
      </c>
      <c r="D2524" s="13">
        <v>58533.0</v>
      </c>
      <c r="E2524" s="4">
        <v>45268.0</v>
      </c>
      <c r="F2524" s="4" t="str">
        <f>IF(D2524="","", IFNA(VLOOKUP(D2524, SATCAT_DECAY!A:B, 2, FALSE), ""))
</f>
        <v/>
      </c>
      <c r="G2524" s="3" t="str">
        <f t="shared" si="1"/>
        <v>ACTIVE</v>
      </c>
    </row>
    <row r="2525" ht="22.5" customHeight="1">
      <c r="A2525" s="11" t="str">
        <f t="array" ref="A2525">IFERROR(
  INDEX('Starlink Launches'!$A:$A, MATCH($E2525, 'Starlink Launches'!$B:$B, 0)),
  ""
)
</f>
        <v>7-8</v>
      </c>
      <c r="B2525" s="3" t="s">
        <v>25</v>
      </c>
      <c r="C2525" s="12" t="s">
        <v>2537</v>
      </c>
      <c r="D2525" s="13">
        <v>58534.0</v>
      </c>
      <c r="E2525" s="4">
        <v>45268.0</v>
      </c>
      <c r="F2525" s="4" t="str">
        <f>IF(D2525="","", IFNA(VLOOKUP(D2525, SATCAT_DECAY!A:B, 2, FALSE), ""))
</f>
        <v/>
      </c>
      <c r="G2525" s="3" t="str">
        <f t="shared" si="1"/>
        <v>ACTIVE</v>
      </c>
    </row>
    <row r="2526" ht="22.5" customHeight="1">
      <c r="A2526" s="11" t="str">
        <f t="array" ref="A2526">IFERROR(
  INDEX('Starlink Launches'!$A:$A, MATCH($E2526, 'Starlink Launches'!$B:$B, 0)),
  ""
)
</f>
        <v>7-8</v>
      </c>
      <c r="B2526" s="3" t="s">
        <v>25</v>
      </c>
      <c r="C2526" s="12" t="s">
        <v>2538</v>
      </c>
      <c r="D2526" s="13">
        <v>58535.0</v>
      </c>
      <c r="E2526" s="4">
        <v>45268.0</v>
      </c>
      <c r="F2526" s="4" t="str">
        <f>IF(D2526="","", IFNA(VLOOKUP(D2526, SATCAT_DECAY!A:B, 2, FALSE), ""))
</f>
        <v/>
      </c>
      <c r="G2526" s="3" t="str">
        <f t="shared" si="1"/>
        <v>ACTIVE</v>
      </c>
    </row>
    <row r="2527" ht="22.5" customHeight="1">
      <c r="A2527" s="11" t="str">
        <f t="array" ref="A2527">IFERROR(
  INDEX('Starlink Launches'!$A:$A, MATCH($E2527, 'Starlink Launches'!$B:$B, 0)),
  ""
)
</f>
        <v>7-8</v>
      </c>
      <c r="B2527" s="3" t="s">
        <v>25</v>
      </c>
      <c r="C2527" s="12" t="s">
        <v>2539</v>
      </c>
      <c r="D2527" s="13">
        <v>58536.0</v>
      </c>
      <c r="E2527" s="4">
        <v>45268.0</v>
      </c>
      <c r="F2527" s="4" t="str">
        <f>IF(D2527="","", IFNA(VLOOKUP(D2527, SATCAT_DECAY!A:B, 2, FALSE), ""))
</f>
        <v/>
      </c>
      <c r="G2527" s="3" t="str">
        <f t="shared" si="1"/>
        <v>ACTIVE</v>
      </c>
    </row>
    <row r="2528" ht="22.5" customHeight="1">
      <c r="A2528" s="11" t="str">
        <f t="array" ref="A2528">IFERROR(
  INDEX('Starlink Launches'!$A:$A, MATCH($E2528, 'Starlink Launches'!$B:$B, 0)),
  ""
)
</f>
        <v>7-8</v>
      </c>
      <c r="B2528" s="3" t="s">
        <v>25</v>
      </c>
      <c r="C2528" s="12" t="s">
        <v>2540</v>
      </c>
      <c r="D2528" s="13">
        <v>58537.0</v>
      </c>
      <c r="E2528" s="4">
        <v>45268.0</v>
      </c>
      <c r="F2528" s="4" t="str">
        <f>IF(D2528="","", IFNA(VLOOKUP(D2528, SATCAT_DECAY!A:B, 2, FALSE), ""))
</f>
        <v/>
      </c>
      <c r="G2528" s="3" t="str">
        <f t="shared" si="1"/>
        <v>ACTIVE</v>
      </c>
    </row>
    <row r="2529" ht="22.5" customHeight="1">
      <c r="A2529" s="11" t="str">
        <f t="array" ref="A2529">IFERROR(
  INDEX('Starlink Launches'!$A:$A, MATCH($E2529, 'Starlink Launches'!$B:$B, 0)),
  ""
)
</f>
        <v>7-8</v>
      </c>
      <c r="B2529" s="3" t="s">
        <v>25</v>
      </c>
      <c r="C2529" s="12" t="s">
        <v>2541</v>
      </c>
      <c r="D2529" s="13">
        <v>58538.0</v>
      </c>
      <c r="E2529" s="4">
        <v>45268.0</v>
      </c>
      <c r="F2529" s="4" t="str">
        <f>IF(D2529="","", IFNA(VLOOKUP(D2529, SATCAT_DECAY!A:B, 2, FALSE), ""))
</f>
        <v/>
      </c>
      <c r="G2529" s="3" t="str">
        <f t="shared" si="1"/>
        <v>ACTIVE</v>
      </c>
    </row>
    <row r="2530" ht="22.5" customHeight="1">
      <c r="A2530" s="11" t="str">
        <f t="array" ref="A2530">IFERROR(
  INDEX('Starlink Launches'!$A:$A, MATCH($E2530, 'Starlink Launches'!$B:$B, 0)),
  ""
)
</f>
        <v>7-8</v>
      </c>
      <c r="B2530" s="3" t="s">
        <v>25</v>
      </c>
      <c r="C2530" s="12" t="s">
        <v>2542</v>
      </c>
      <c r="D2530" s="13">
        <v>58539.0</v>
      </c>
      <c r="E2530" s="4">
        <v>45268.0</v>
      </c>
      <c r="F2530" s="4" t="str">
        <f>IF(D2530="","", IFNA(VLOOKUP(D2530, SATCAT_DECAY!A:B, 2, FALSE), ""))
</f>
        <v/>
      </c>
      <c r="G2530" s="3" t="str">
        <f t="shared" si="1"/>
        <v>ACTIVE</v>
      </c>
    </row>
    <row r="2531" ht="22.5" customHeight="1">
      <c r="A2531" s="11" t="str">
        <f t="array" ref="A2531">IFERROR(
  INDEX('Starlink Launches'!$A:$A, MATCH($E2531, 'Starlink Launches'!$B:$B, 0)),
  ""
)
</f>
        <v>7-8</v>
      </c>
      <c r="B2531" s="3" t="s">
        <v>25</v>
      </c>
      <c r="C2531" s="12" t="s">
        <v>2543</v>
      </c>
      <c r="D2531" s="13">
        <v>58540.0</v>
      </c>
      <c r="E2531" s="4">
        <v>45268.0</v>
      </c>
      <c r="F2531" s="4" t="str">
        <f>IF(D2531="","", IFNA(VLOOKUP(D2531, SATCAT_DECAY!A:B, 2, FALSE), ""))
</f>
        <v/>
      </c>
      <c r="G2531" s="3" t="str">
        <f t="shared" si="1"/>
        <v>ACTIVE</v>
      </c>
    </row>
    <row r="2532" ht="22.5" customHeight="1">
      <c r="A2532" s="11" t="str">
        <f t="array" ref="A2532">IFERROR(
  INDEX('Starlink Launches'!$A:$A, MATCH($E2532, 'Starlink Launches'!$B:$B, 0)),
  ""
)
</f>
        <v>7-8</v>
      </c>
      <c r="B2532" s="3" t="s">
        <v>25</v>
      </c>
      <c r="C2532" s="12" t="s">
        <v>2544</v>
      </c>
      <c r="D2532" s="13">
        <v>58541.0</v>
      </c>
      <c r="E2532" s="4">
        <v>45268.0</v>
      </c>
      <c r="F2532" s="4" t="str">
        <f>IF(D2532="","", IFNA(VLOOKUP(D2532, SATCAT_DECAY!A:B, 2, FALSE), ""))
</f>
        <v/>
      </c>
      <c r="G2532" s="3" t="str">
        <f t="shared" si="1"/>
        <v>ACTIVE</v>
      </c>
    </row>
    <row r="2533" ht="22.5" customHeight="1">
      <c r="A2533" s="11" t="str">
        <f t="array" ref="A2533">IFERROR(
  INDEX('Starlink Launches'!$A:$A, MATCH($E2533, 'Starlink Launches'!$B:$B, 0)),
  ""
)
</f>
        <v>7-8</v>
      </c>
      <c r="B2533" s="3" t="s">
        <v>25</v>
      </c>
      <c r="C2533" s="12" t="s">
        <v>2545</v>
      </c>
      <c r="D2533" s="13">
        <v>58542.0</v>
      </c>
      <c r="E2533" s="4">
        <v>45268.0</v>
      </c>
      <c r="F2533" s="4" t="str">
        <f>IF(D2533="","", IFNA(VLOOKUP(D2533, SATCAT_DECAY!A:B, 2, FALSE), ""))
</f>
        <v/>
      </c>
      <c r="G2533" s="3" t="str">
        <f t="shared" si="1"/>
        <v>ACTIVE</v>
      </c>
    </row>
    <row r="2534" ht="22.5" customHeight="1">
      <c r="A2534" s="11" t="str">
        <f t="array" ref="A2534">IFERROR(
  INDEX('Starlink Launches'!$A:$A, MATCH($E2534, 'Starlink Launches'!$B:$B, 0)),
  ""
)
</f>
        <v>7-8</v>
      </c>
      <c r="B2534" s="3" t="s">
        <v>25</v>
      </c>
      <c r="C2534" s="12" t="s">
        <v>2546</v>
      </c>
      <c r="D2534" s="13">
        <v>58543.0</v>
      </c>
      <c r="E2534" s="4">
        <v>45268.0</v>
      </c>
      <c r="F2534" s="4" t="str">
        <f>IF(D2534="","", IFNA(VLOOKUP(D2534, SATCAT_DECAY!A:B, 2, FALSE), ""))
</f>
        <v/>
      </c>
      <c r="G2534" s="3" t="str">
        <f t="shared" si="1"/>
        <v>ACTIVE</v>
      </c>
    </row>
    <row r="2535" ht="22.5" customHeight="1">
      <c r="A2535" s="11" t="str">
        <f t="array" ref="A2535">IFERROR(
  INDEX('Starlink Launches'!$A:$A, MATCH($E2535, 'Starlink Launches'!$B:$B, 0)),
  ""
)
</f>
        <v>7-8</v>
      </c>
      <c r="B2535" s="3" t="s">
        <v>25</v>
      </c>
      <c r="C2535" s="12" t="s">
        <v>2547</v>
      </c>
      <c r="D2535" s="13">
        <v>58544.0</v>
      </c>
      <c r="E2535" s="4">
        <v>45268.0</v>
      </c>
      <c r="F2535" s="4" t="str">
        <f>IF(D2535="","", IFNA(VLOOKUP(D2535, SATCAT_DECAY!A:B, 2, FALSE), ""))
</f>
        <v/>
      </c>
      <c r="G2535" s="3" t="str">
        <f t="shared" si="1"/>
        <v>ACTIVE</v>
      </c>
    </row>
    <row r="2536" ht="22.5" customHeight="1">
      <c r="A2536" s="11" t="str">
        <f t="array" ref="A2536">IFERROR(
  INDEX('Starlink Launches'!$A:$A, MATCH($E2536, 'Starlink Launches'!$B:$B, 0)),
  ""
)
</f>
        <v>7-8</v>
      </c>
      <c r="B2536" s="3" t="s">
        <v>25</v>
      </c>
      <c r="C2536" s="12" t="s">
        <v>2548</v>
      </c>
      <c r="D2536" s="13">
        <v>58545.0</v>
      </c>
      <c r="E2536" s="4">
        <v>45268.0</v>
      </c>
      <c r="F2536" s="4" t="str">
        <f>IF(D2536="","", IFNA(VLOOKUP(D2536, SATCAT_DECAY!A:B, 2, FALSE), ""))
</f>
        <v/>
      </c>
      <c r="G2536" s="3" t="str">
        <f t="shared" si="1"/>
        <v>ACTIVE</v>
      </c>
    </row>
    <row r="2537" ht="22.5" customHeight="1">
      <c r="A2537" s="11" t="str">
        <f t="array" ref="A2537">IFERROR(
  INDEX('Starlink Launches'!$A:$A, MATCH($E2537, 'Starlink Launches'!$B:$B, 0)),
  ""
)
</f>
        <v>7-8</v>
      </c>
      <c r="B2537" s="3" t="s">
        <v>25</v>
      </c>
      <c r="C2537" s="12" t="s">
        <v>2549</v>
      </c>
      <c r="D2537" s="13">
        <v>58546.0</v>
      </c>
      <c r="E2537" s="4">
        <v>45268.0</v>
      </c>
      <c r="F2537" s="4" t="str">
        <f>IF(D2537="","", IFNA(VLOOKUP(D2537, SATCAT_DECAY!A:B, 2, FALSE), ""))
</f>
        <v/>
      </c>
      <c r="G2537" s="3" t="str">
        <f t="shared" si="1"/>
        <v>ACTIVE</v>
      </c>
    </row>
    <row r="2538" ht="22.5" customHeight="1">
      <c r="A2538" s="11" t="str">
        <f t="array" ref="A2538">IFERROR(
  INDEX('Starlink Launches'!$A:$A, MATCH($E2538, 'Starlink Launches'!$B:$B, 0)),
  ""
)
</f>
        <v>7-8</v>
      </c>
      <c r="B2538" s="3" t="s">
        <v>25</v>
      </c>
      <c r="C2538" s="12" t="s">
        <v>2550</v>
      </c>
      <c r="D2538" s="13">
        <v>58547.0</v>
      </c>
      <c r="E2538" s="4">
        <v>45268.0</v>
      </c>
      <c r="F2538" s="4" t="str">
        <f>IF(D2538="","", IFNA(VLOOKUP(D2538, SATCAT_DECAY!A:B, 2, FALSE), ""))
</f>
        <v/>
      </c>
      <c r="G2538" s="3" t="str">
        <f t="shared" si="1"/>
        <v>ACTIVE</v>
      </c>
    </row>
    <row r="2539" ht="22.5" customHeight="1">
      <c r="A2539" s="11" t="str">
        <f t="array" ref="A2539">IFERROR(
  INDEX('Starlink Launches'!$A:$A, MATCH($E2539, 'Starlink Launches'!$B:$B, 0)),
  ""
)
</f>
        <v>7-8</v>
      </c>
      <c r="B2539" s="3" t="s">
        <v>25</v>
      </c>
      <c r="C2539" s="12" t="s">
        <v>2551</v>
      </c>
      <c r="D2539" s="13">
        <v>58548.0</v>
      </c>
      <c r="E2539" s="4">
        <v>45268.0</v>
      </c>
      <c r="F2539" s="4" t="str">
        <f>IF(D2539="","", IFNA(VLOOKUP(D2539, SATCAT_DECAY!A:B, 2, FALSE), ""))
</f>
        <v/>
      </c>
      <c r="G2539" s="3" t="str">
        <f t="shared" si="1"/>
        <v>ACTIVE</v>
      </c>
    </row>
    <row r="2540" ht="22.5" customHeight="1">
      <c r="A2540" s="11" t="str">
        <f t="array" ref="A2540">IFERROR(
  INDEX('Starlink Launches'!$A:$A, MATCH($E2540, 'Starlink Launches'!$B:$B, 0)),
  ""
)
</f>
        <v>7-8</v>
      </c>
      <c r="B2540" s="3" t="s">
        <v>25</v>
      </c>
      <c r="C2540" s="12" t="s">
        <v>2552</v>
      </c>
      <c r="D2540" s="13">
        <v>58549.0</v>
      </c>
      <c r="E2540" s="4">
        <v>45268.0</v>
      </c>
      <c r="F2540" s="4" t="str">
        <f>IF(D2540="","", IFNA(VLOOKUP(D2540, SATCAT_DECAY!A:B, 2, FALSE), ""))
</f>
        <v/>
      </c>
      <c r="G2540" s="3" t="str">
        <f t="shared" si="1"/>
        <v>ACTIVE</v>
      </c>
    </row>
    <row r="2541" ht="22.5" customHeight="1">
      <c r="A2541" s="11" t="str">
        <f t="array" ref="A2541">IFERROR(
  INDEX('Starlink Launches'!$A:$A, MATCH($E2541, 'Starlink Launches'!$B:$B, 0)),
  ""
)
</f>
        <v>7-8</v>
      </c>
      <c r="B2541" s="3" t="s">
        <v>25</v>
      </c>
      <c r="C2541" s="12" t="s">
        <v>2553</v>
      </c>
      <c r="D2541" s="13">
        <v>58550.0</v>
      </c>
      <c r="E2541" s="4">
        <v>45268.0</v>
      </c>
      <c r="F2541" s="4" t="str">
        <f>IF(D2541="","", IFNA(VLOOKUP(D2541, SATCAT_DECAY!A:B, 2, FALSE), ""))
</f>
        <v/>
      </c>
      <c r="G2541" s="3" t="str">
        <f t="shared" si="1"/>
        <v>ACTIVE</v>
      </c>
    </row>
    <row r="2542" ht="22.5" customHeight="1">
      <c r="A2542" s="11" t="str">
        <f t="array" ref="A2542">IFERROR(
  INDEX('Starlink Launches'!$A:$A, MATCH($E2542, 'Starlink Launches'!$B:$B, 0)),
  ""
)
</f>
        <v>7-8</v>
      </c>
      <c r="B2542" s="3" t="s">
        <v>25</v>
      </c>
      <c r="C2542" s="12" t="s">
        <v>2554</v>
      </c>
      <c r="D2542" s="13">
        <v>58551.0</v>
      </c>
      <c r="E2542" s="4">
        <v>45268.0</v>
      </c>
      <c r="F2542" s="4" t="str">
        <f>IF(D2542="","", IFNA(VLOOKUP(D2542, SATCAT_DECAY!A:B, 2, FALSE), ""))
</f>
        <v/>
      </c>
      <c r="G2542" s="3" t="str">
        <f t="shared" si="1"/>
        <v>ACTIVE</v>
      </c>
    </row>
    <row r="2543" ht="22.5" customHeight="1">
      <c r="A2543" s="11" t="str">
        <f t="array" ref="A2543">IFERROR(
  INDEX('Starlink Launches'!$A:$A, MATCH($E2543, 'Starlink Launches'!$B:$B, 0)),
  ""
)
</f>
        <v>7-8</v>
      </c>
      <c r="B2543" s="3" t="s">
        <v>25</v>
      </c>
      <c r="C2543" s="12" t="s">
        <v>2555</v>
      </c>
      <c r="D2543" s="13">
        <v>58552.0</v>
      </c>
      <c r="E2543" s="4">
        <v>45268.0</v>
      </c>
      <c r="F2543" s="4" t="str">
        <f>IF(D2543="","", IFNA(VLOOKUP(D2543, SATCAT_DECAY!A:B, 2, FALSE), ""))
</f>
        <v/>
      </c>
      <c r="G2543" s="3" t="str">
        <f t="shared" si="1"/>
        <v>ACTIVE</v>
      </c>
    </row>
    <row r="2544" ht="22.5" customHeight="1">
      <c r="A2544" s="11" t="str">
        <f t="array" ref="A2544">IFERROR(
  INDEX('Starlink Launches'!$A:$A, MATCH($E2544, 'Starlink Launches'!$B:$B, 0)),
  ""
)
</f>
        <v>7-9</v>
      </c>
      <c r="B2544" s="3" t="s">
        <v>25</v>
      </c>
      <c r="C2544" s="12" t="s">
        <v>2556</v>
      </c>
      <c r="D2544" s="13">
        <v>58705.0</v>
      </c>
      <c r="E2544" s="4">
        <v>45294.0</v>
      </c>
      <c r="F2544" s="4" t="str">
        <f>IF(D2544="","", IFNA(VLOOKUP(D2544, SATCAT_DECAY!A:B, 2, FALSE), ""))
</f>
        <v/>
      </c>
      <c r="G2544" s="3" t="str">
        <f t="shared" si="1"/>
        <v>ACTIVE</v>
      </c>
    </row>
    <row r="2545" ht="22.5" customHeight="1">
      <c r="A2545" s="11" t="str">
        <f t="array" ref="A2545">IFERROR(
  INDEX('Starlink Launches'!$A:$A, MATCH($E2545, 'Starlink Launches'!$B:$B, 0)),
  ""
)
</f>
        <v>7-9</v>
      </c>
      <c r="B2545" s="3" t="s">
        <v>25</v>
      </c>
      <c r="C2545" s="12" t="s">
        <v>2557</v>
      </c>
      <c r="D2545" s="13">
        <v>58706.0</v>
      </c>
      <c r="E2545" s="4">
        <v>45294.0</v>
      </c>
      <c r="F2545" s="4" t="str">
        <f>IF(D2545="","", IFNA(VLOOKUP(D2545, SATCAT_DECAY!A:B, 2, FALSE), ""))
</f>
        <v/>
      </c>
      <c r="G2545" s="3" t="str">
        <f t="shared" si="1"/>
        <v>ACTIVE</v>
      </c>
    </row>
    <row r="2546" ht="22.5" customHeight="1">
      <c r="A2546" s="11" t="str">
        <f t="array" ref="A2546">IFERROR(
  INDEX('Starlink Launches'!$A:$A, MATCH($E2546, 'Starlink Launches'!$B:$B, 0)),
  ""
)
</f>
        <v>7-9</v>
      </c>
      <c r="B2546" s="3" t="s">
        <v>25</v>
      </c>
      <c r="C2546" s="12" t="s">
        <v>2558</v>
      </c>
      <c r="D2546" s="13">
        <v>58707.0</v>
      </c>
      <c r="E2546" s="4">
        <v>45294.0</v>
      </c>
      <c r="F2546" s="4" t="str">
        <f>IF(D2546="","", IFNA(VLOOKUP(D2546, SATCAT_DECAY!A:B, 2, FALSE), ""))
</f>
        <v/>
      </c>
      <c r="G2546" s="3" t="str">
        <f t="shared" si="1"/>
        <v>ACTIVE</v>
      </c>
    </row>
    <row r="2547" ht="22.5" customHeight="1">
      <c r="A2547" s="11" t="str">
        <f t="array" ref="A2547">IFERROR(
  INDEX('Starlink Launches'!$A:$A, MATCH($E2547, 'Starlink Launches'!$B:$B, 0)),
  ""
)
</f>
        <v>7-9</v>
      </c>
      <c r="B2547" s="3" t="s">
        <v>25</v>
      </c>
      <c r="C2547" s="12" t="s">
        <v>2559</v>
      </c>
      <c r="D2547" s="13">
        <v>58708.0</v>
      </c>
      <c r="E2547" s="4">
        <v>45294.0</v>
      </c>
      <c r="F2547" s="4" t="str">
        <f>IF(D2547="","", IFNA(VLOOKUP(D2547, SATCAT_DECAY!A:B, 2, FALSE), ""))
</f>
        <v/>
      </c>
      <c r="G2547" s="3" t="str">
        <f t="shared" si="1"/>
        <v>ACTIVE</v>
      </c>
    </row>
    <row r="2548" ht="22.5" customHeight="1">
      <c r="A2548" s="11" t="str">
        <f t="array" ref="A2548">IFERROR(
  INDEX('Starlink Launches'!$A:$A, MATCH($E2548, 'Starlink Launches'!$B:$B, 0)),
  ""
)
</f>
        <v>7-9</v>
      </c>
      <c r="B2548" s="3" t="s">
        <v>25</v>
      </c>
      <c r="C2548" s="12" t="s">
        <v>2560</v>
      </c>
      <c r="D2548" s="13">
        <v>58709.0</v>
      </c>
      <c r="E2548" s="4">
        <v>45294.0</v>
      </c>
      <c r="F2548" s="4" t="str">
        <f>IF(D2548="","", IFNA(VLOOKUP(D2548, SATCAT_DECAY!A:B, 2, FALSE), ""))
</f>
        <v/>
      </c>
      <c r="G2548" s="3" t="str">
        <f t="shared" si="1"/>
        <v>ACTIVE</v>
      </c>
    </row>
    <row r="2549" ht="22.5" customHeight="1">
      <c r="A2549" s="11" t="str">
        <f t="array" ref="A2549">IFERROR(
  INDEX('Starlink Launches'!$A:$A, MATCH($E2549, 'Starlink Launches'!$B:$B, 0)),
  ""
)
</f>
        <v>7-9</v>
      </c>
      <c r="B2549" s="3" t="s">
        <v>25</v>
      </c>
      <c r="C2549" s="12" t="s">
        <v>2561</v>
      </c>
      <c r="D2549" s="13">
        <v>58710.0</v>
      </c>
      <c r="E2549" s="4">
        <v>45294.0</v>
      </c>
      <c r="F2549" s="4" t="str">
        <f>IF(D2549="","", IFNA(VLOOKUP(D2549, SATCAT_DECAY!A:B, 2, FALSE), ""))
</f>
        <v/>
      </c>
      <c r="G2549" s="3" t="str">
        <f t="shared" si="1"/>
        <v>ACTIVE</v>
      </c>
    </row>
    <row r="2550" ht="22.5" customHeight="1">
      <c r="A2550" s="11" t="str">
        <f t="array" ref="A2550">IFERROR(
  INDEX('Starlink Launches'!$A:$A, MATCH($E2550, 'Starlink Launches'!$B:$B, 0)),
  ""
)
</f>
        <v>7-9</v>
      </c>
      <c r="B2550" s="3" t="s">
        <v>25</v>
      </c>
      <c r="C2550" s="12" t="s">
        <v>2562</v>
      </c>
      <c r="D2550" s="13">
        <v>58711.0</v>
      </c>
      <c r="E2550" s="4">
        <v>45294.0</v>
      </c>
      <c r="F2550" s="4" t="str">
        <f>IF(D2550="","", IFNA(VLOOKUP(D2550, SATCAT_DECAY!A:B, 2, FALSE), ""))
</f>
        <v/>
      </c>
      <c r="G2550" s="3" t="str">
        <f t="shared" si="1"/>
        <v>ACTIVE</v>
      </c>
    </row>
    <row r="2551" ht="22.5" customHeight="1">
      <c r="A2551" s="11" t="str">
        <f t="array" ref="A2551">IFERROR(
  INDEX('Starlink Launches'!$A:$A, MATCH($E2551, 'Starlink Launches'!$B:$B, 0)),
  ""
)
</f>
        <v>7-9</v>
      </c>
      <c r="B2551" s="3" t="s">
        <v>25</v>
      </c>
      <c r="C2551" s="12" t="s">
        <v>2563</v>
      </c>
      <c r="D2551" s="13">
        <v>58712.0</v>
      </c>
      <c r="E2551" s="4">
        <v>45294.0</v>
      </c>
      <c r="F2551" s="4" t="str">
        <f>IF(D2551="","", IFNA(VLOOKUP(D2551, SATCAT_DECAY!A:B, 2, FALSE), ""))
</f>
        <v/>
      </c>
      <c r="G2551" s="3" t="str">
        <f t="shared" si="1"/>
        <v>ACTIVE</v>
      </c>
    </row>
    <row r="2552" ht="22.5" customHeight="1">
      <c r="A2552" s="11" t="str">
        <f t="array" ref="A2552">IFERROR(
  INDEX('Starlink Launches'!$A:$A, MATCH($E2552, 'Starlink Launches'!$B:$B, 0)),
  ""
)
</f>
        <v>7-9</v>
      </c>
      <c r="B2552" s="3" t="s">
        <v>25</v>
      </c>
      <c r="C2552" s="12" t="s">
        <v>2564</v>
      </c>
      <c r="D2552" s="13">
        <v>58713.0</v>
      </c>
      <c r="E2552" s="4">
        <v>45294.0</v>
      </c>
      <c r="F2552" s="4" t="str">
        <f>IF(D2552="","", IFNA(VLOOKUP(D2552, SATCAT_DECAY!A:B, 2, FALSE), ""))
</f>
        <v/>
      </c>
      <c r="G2552" s="3" t="str">
        <f t="shared" si="1"/>
        <v>ACTIVE</v>
      </c>
    </row>
    <row r="2553" ht="22.5" customHeight="1">
      <c r="A2553" s="11" t="str">
        <f t="array" ref="A2553">IFERROR(
  INDEX('Starlink Launches'!$A:$A, MATCH($E2553, 'Starlink Launches'!$B:$B, 0)),
  ""
)
</f>
        <v>7-9</v>
      </c>
      <c r="B2553" s="3" t="s">
        <v>25</v>
      </c>
      <c r="C2553" s="12" t="s">
        <v>2565</v>
      </c>
      <c r="D2553" s="13">
        <v>58714.0</v>
      </c>
      <c r="E2553" s="4">
        <v>45294.0</v>
      </c>
      <c r="F2553" s="4" t="str">
        <f>IF(D2553="","", IFNA(VLOOKUP(D2553, SATCAT_DECAY!A:B, 2, FALSE), ""))
</f>
        <v/>
      </c>
      <c r="G2553" s="3" t="str">
        <f t="shared" si="1"/>
        <v>ACTIVE</v>
      </c>
    </row>
    <row r="2554" ht="22.5" customHeight="1">
      <c r="A2554" s="11" t="str">
        <f t="array" ref="A2554">IFERROR(
  INDEX('Starlink Launches'!$A:$A, MATCH($E2554, 'Starlink Launches'!$B:$B, 0)),
  ""
)
</f>
        <v>7-9</v>
      </c>
      <c r="B2554" s="3" t="s">
        <v>25</v>
      </c>
      <c r="C2554" s="12" t="s">
        <v>2566</v>
      </c>
      <c r="D2554" s="13">
        <v>58715.0</v>
      </c>
      <c r="E2554" s="4">
        <v>45294.0</v>
      </c>
      <c r="F2554" s="4" t="str">
        <f>IF(D2554="","", IFNA(VLOOKUP(D2554, SATCAT_DECAY!A:B, 2, FALSE), ""))
</f>
        <v/>
      </c>
      <c r="G2554" s="3" t="str">
        <f t="shared" si="1"/>
        <v>ACTIVE</v>
      </c>
    </row>
    <row r="2555" ht="22.5" customHeight="1">
      <c r="A2555" s="11" t="str">
        <f t="array" ref="A2555">IFERROR(
  INDEX('Starlink Launches'!$A:$A, MATCH($E2555, 'Starlink Launches'!$B:$B, 0)),
  ""
)
</f>
        <v>7-9</v>
      </c>
      <c r="B2555" s="3" t="s">
        <v>25</v>
      </c>
      <c r="C2555" s="12" t="s">
        <v>2567</v>
      </c>
      <c r="D2555" s="13">
        <v>58716.0</v>
      </c>
      <c r="E2555" s="4">
        <v>45294.0</v>
      </c>
      <c r="F2555" s="4" t="str">
        <f>IF(D2555="","", IFNA(VLOOKUP(D2555, SATCAT_DECAY!A:B, 2, FALSE), ""))
</f>
        <v/>
      </c>
      <c r="G2555" s="3" t="str">
        <f t="shared" si="1"/>
        <v>ACTIVE</v>
      </c>
    </row>
    <row r="2556" ht="22.5" customHeight="1">
      <c r="A2556" s="11" t="str">
        <f t="array" ref="A2556">IFERROR(
  INDEX('Starlink Launches'!$A:$A, MATCH($E2556, 'Starlink Launches'!$B:$B, 0)),
  ""
)
</f>
        <v>7-9</v>
      </c>
      <c r="B2556" s="3" t="s">
        <v>25</v>
      </c>
      <c r="C2556" s="12" t="s">
        <v>2568</v>
      </c>
      <c r="D2556" s="13">
        <v>58717.0</v>
      </c>
      <c r="E2556" s="4">
        <v>45294.0</v>
      </c>
      <c r="F2556" s="4" t="str">
        <f>IF(D2556="","", IFNA(VLOOKUP(D2556, SATCAT_DECAY!A:B, 2, FALSE), ""))
</f>
        <v/>
      </c>
      <c r="G2556" s="3" t="str">
        <f t="shared" si="1"/>
        <v>ACTIVE</v>
      </c>
    </row>
    <row r="2557" ht="22.5" customHeight="1">
      <c r="A2557" s="11" t="str">
        <f t="array" ref="A2557">IFERROR(
  INDEX('Starlink Launches'!$A:$A, MATCH($E2557, 'Starlink Launches'!$B:$B, 0)),
  ""
)
</f>
        <v>7-9</v>
      </c>
      <c r="B2557" s="3" t="s">
        <v>25</v>
      </c>
      <c r="C2557" s="12" t="s">
        <v>2569</v>
      </c>
      <c r="D2557" s="13">
        <v>58718.0</v>
      </c>
      <c r="E2557" s="4">
        <v>45294.0</v>
      </c>
      <c r="F2557" s="4" t="str">
        <f>IF(D2557="","", IFNA(VLOOKUP(D2557, SATCAT_DECAY!A:B, 2, FALSE), ""))
</f>
        <v/>
      </c>
      <c r="G2557" s="3" t="str">
        <f t="shared" si="1"/>
        <v>ACTIVE</v>
      </c>
    </row>
    <row r="2558" ht="22.5" customHeight="1">
      <c r="A2558" s="11" t="str">
        <f t="array" ref="A2558">IFERROR(
  INDEX('Starlink Launches'!$A:$A, MATCH($E2558, 'Starlink Launches'!$B:$B, 0)),
  ""
)
</f>
        <v>7-9</v>
      </c>
      <c r="B2558" s="3" t="s">
        <v>25</v>
      </c>
      <c r="C2558" s="12" t="s">
        <v>2570</v>
      </c>
      <c r="D2558" s="13">
        <v>58719.0</v>
      </c>
      <c r="E2558" s="4">
        <v>45294.0</v>
      </c>
      <c r="F2558" s="4" t="str">
        <f>IF(D2558="","", IFNA(VLOOKUP(D2558, SATCAT_DECAY!A:B, 2, FALSE), ""))
</f>
        <v/>
      </c>
      <c r="G2558" s="3" t="str">
        <f t="shared" si="1"/>
        <v>ACTIVE</v>
      </c>
    </row>
    <row r="2559" ht="22.5" customHeight="1">
      <c r="A2559" s="11" t="str">
        <f t="array" ref="A2559">IFERROR(
  INDEX('Starlink Launches'!$A:$A, MATCH($E2559, 'Starlink Launches'!$B:$B, 0)),
  ""
)
</f>
        <v>7-9</v>
      </c>
      <c r="B2559" s="3" t="s">
        <v>25</v>
      </c>
      <c r="C2559" s="12" t="s">
        <v>2571</v>
      </c>
      <c r="D2559" s="13">
        <v>58720.0</v>
      </c>
      <c r="E2559" s="4">
        <v>45294.0</v>
      </c>
      <c r="F2559" s="4" t="str">
        <f>IF(D2559="","", IFNA(VLOOKUP(D2559, SATCAT_DECAY!A:B, 2, FALSE), ""))
</f>
        <v/>
      </c>
      <c r="G2559" s="3" t="str">
        <f t="shared" si="1"/>
        <v>ACTIVE</v>
      </c>
    </row>
    <row r="2560" ht="22.5" customHeight="1">
      <c r="A2560" s="11" t="str">
        <f t="array" ref="A2560">IFERROR(
  INDEX('Starlink Launches'!$A:$A, MATCH($E2560, 'Starlink Launches'!$B:$B, 0)),
  ""
)
</f>
        <v>7-9</v>
      </c>
      <c r="B2560" s="3" t="s">
        <v>25</v>
      </c>
      <c r="C2560" s="12" t="s">
        <v>2572</v>
      </c>
      <c r="D2560" s="13">
        <v>58721.0</v>
      </c>
      <c r="E2560" s="4">
        <v>45294.0</v>
      </c>
      <c r="F2560" s="4" t="str">
        <f>IF(D2560="","", IFNA(VLOOKUP(D2560, SATCAT_DECAY!A:B, 2, FALSE), ""))
</f>
        <v/>
      </c>
      <c r="G2560" s="3" t="str">
        <f t="shared" si="1"/>
        <v>ACTIVE</v>
      </c>
    </row>
    <row r="2561" ht="22.5" customHeight="1">
      <c r="A2561" s="11" t="str">
        <f t="array" ref="A2561">IFERROR(
  INDEX('Starlink Launches'!$A:$A, MATCH($E2561, 'Starlink Launches'!$B:$B, 0)),
  ""
)
</f>
        <v>7-9</v>
      </c>
      <c r="B2561" s="3" t="s">
        <v>25</v>
      </c>
      <c r="C2561" s="12" t="s">
        <v>2573</v>
      </c>
      <c r="D2561" s="13">
        <v>58722.0</v>
      </c>
      <c r="E2561" s="4">
        <v>45294.0</v>
      </c>
      <c r="F2561" s="4" t="str">
        <f>IF(D2561="","", IFNA(VLOOKUP(D2561, SATCAT_DECAY!A:B, 2, FALSE), ""))
</f>
        <v/>
      </c>
      <c r="G2561" s="3" t="str">
        <f t="shared" si="1"/>
        <v>ACTIVE</v>
      </c>
    </row>
    <row r="2562" ht="22.5" customHeight="1">
      <c r="A2562" s="11" t="str">
        <f t="array" ref="A2562">IFERROR(
  INDEX('Starlink Launches'!$A:$A, MATCH($E2562, 'Starlink Launches'!$B:$B, 0)),
  ""
)
</f>
        <v>7-9</v>
      </c>
      <c r="B2562" s="3" t="s">
        <v>25</v>
      </c>
      <c r="C2562" s="12" t="s">
        <v>2574</v>
      </c>
      <c r="D2562" s="13">
        <v>58723.0</v>
      </c>
      <c r="E2562" s="4">
        <v>45294.0</v>
      </c>
      <c r="F2562" s="4" t="str">
        <f>IF(D2562="","", IFNA(VLOOKUP(D2562, SATCAT_DECAY!A:B, 2, FALSE), ""))
</f>
        <v/>
      </c>
      <c r="G2562" s="3" t="str">
        <f t="shared" si="1"/>
        <v>ACTIVE</v>
      </c>
    </row>
    <row r="2563" ht="22.5" customHeight="1">
      <c r="A2563" s="11" t="str">
        <f t="array" ref="A2563">IFERROR(
  INDEX('Starlink Launches'!$A:$A, MATCH($E2563, 'Starlink Launches'!$B:$B, 0)),
  ""
)
</f>
        <v>7-9</v>
      </c>
      <c r="B2563" s="3" t="s">
        <v>25</v>
      </c>
      <c r="C2563" s="12" t="s">
        <v>2575</v>
      </c>
      <c r="D2563" s="13">
        <v>58724.0</v>
      </c>
      <c r="E2563" s="4">
        <v>45294.0</v>
      </c>
      <c r="F2563" s="4" t="str">
        <f>IF(D2563="","", IFNA(VLOOKUP(D2563, SATCAT_DECAY!A:B, 2, FALSE), ""))
</f>
        <v/>
      </c>
      <c r="G2563" s="3" t="str">
        <f t="shared" si="1"/>
        <v>ACTIVE</v>
      </c>
    </row>
    <row r="2564" ht="22.5" customHeight="1">
      <c r="A2564" s="11" t="str">
        <f t="array" ref="A2564">IFERROR(
  INDEX('Starlink Launches'!$A:$A, MATCH($E2564, 'Starlink Launches'!$B:$B, 0)),
  ""
)
</f>
        <v>7-9</v>
      </c>
      <c r="B2564" s="3" t="s">
        <v>25</v>
      </c>
      <c r="C2564" s="12" t="s">
        <v>2576</v>
      </c>
      <c r="D2564" s="13">
        <v>58725.0</v>
      </c>
      <c r="E2564" s="4">
        <v>45294.0</v>
      </c>
      <c r="F2564" s="4" t="str">
        <f>IF(D2564="","", IFNA(VLOOKUP(D2564, SATCAT_DECAY!A:B, 2, FALSE), ""))
</f>
        <v/>
      </c>
      <c r="G2564" s="3" t="str">
        <f t="shared" si="1"/>
        <v>ACTIVE</v>
      </c>
    </row>
    <row r="2565" ht="22.5" customHeight="1">
      <c r="A2565" s="11" t="str">
        <f t="array" ref="A2565">IFERROR(
  INDEX('Starlink Launches'!$A:$A, MATCH($E2565, 'Starlink Launches'!$B:$B, 0)),
  ""
)
</f>
        <v>7-10</v>
      </c>
      <c r="B2565" s="3" t="s">
        <v>25</v>
      </c>
      <c r="C2565" s="12" t="s">
        <v>2577</v>
      </c>
      <c r="D2565" s="13">
        <v>58765.0</v>
      </c>
      <c r="E2565" s="4">
        <v>45305.0</v>
      </c>
      <c r="F2565" s="4" t="str">
        <f>IF(D2565="","", IFNA(VLOOKUP(D2565, SATCAT_DECAY!A:B, 2, FALSE), ""))
</f>
        <v/>
      </c>
      <c r="G2565" s="3" t="str">
        <f t="shared" si="1"/>
        <v>ACTIVE</v>
      </c>
    </row>
    <row r="2566" ht="22.5" customHeight="1">
      <c r="A2566" s="11" t="str">
        <f t="array" ref="A2566">IFERROR(
  INDEX('Starlink Launches'!$A:$A, MATCH($E2566, 'Starlink Launches'!$B:$B, 0)),
  ""
)
</f>
        <v>7-10</v>
      </c>
      <c r="B2566" s="3" t="s">
        <v>25</v>
      </c>
      <c r="C2566" s="12" t="s">
        <v>2578</v>
      </c>
      <c r="D2566" s="13">
        <v>58766.0</v>
      </c>
      <c r="E2566" s="4">
        <v>45305.0</v>
      </c>
      <c r="F2566" s="4" t="str">
        <f>IF(D2566="","", IFNA(VLOOKUP(D2566, SATCAT_DECAY!A:B, 2, FALSE), ""))
</f>
        <v/>
      </c>
      <c r="G2566" s="3" t="str">
        <f t="shared" si="1"/>
        <v>ACTIVE</v>
      </c>
    </row>
    <row r="2567" ht="22.5" customHeight="1">
      <c r="A2567" s="11" t="str">
        <f t="array" ref="A2567">IFERROR(
  INDEX('Starlink Launches'!$A:$A, MATCH($E2567, 'Starlink Launches'!$B:$B, 0)),
  ""
)
</f>
        <v>7-10</v>
      </c>
      <c r="B2567" s="3" t="s">
        <v>25</v>
      </c>
      <c r="C2567" s="12" t="s">
        <v>2579</v>
      </c>
      <c r="D2567" s="13">
        <v>58767.0</v>
      </c>
      <c r="E2567" s="4">
        <v>45305.0</v>
      </c>
      <c r="F2567" s="4" t="str">
        <f>IF(D2567="","", IFNA(VLOOKUP(D2567, SATCAT_DECAY!A:B, 2, FALSE), ""))
</f>
        <v/>
      </c>
      <c r="G2567" s="3" t="str">
        <f t="shared" si="1"/>
        <v>ACTIVE</v>
      </c>
    </row>
    <row r="2568" ht="22.5" customHeight="1">
      <c r="A2568" s="11" t="str">
        <f t="array" ref="A2568">IFERROR(
  INDEX('Starlink Launches'!$A:$A, MATCH($E2568, 'Starlink Launches'!$B:$B, 0)),
  ""
)
</f>
        <v>7-10</v>
      </c>
      <c r="B2568" s="3" t="s">
        <v>25</v>
      </c>
      <c r="C2568" s="12" t="s">
        <v>2580</v>
      </c>
      <c r="D2568" s="13">
        <v>58768.0</v>
      </c>
      <c r="E2568" s="4">
        <v>45305.0</v>
      </c>
      <c r="F2568" s="4" t="str">
        <f>IF(D2568="","", IFNA(VLOOKUP(D2568, SATCAT_DECAY!A:B, 2, FALSE), ""))
</f>
        <v/>
      </c>
      <c r="G2568" s="3" t="str">
        <f t="shared" si="1"/>
        <v>ACTIVE</v>
      </c>
    </row>
    <row r="2569" ht="22.5" customHeight="1">
      <c r="A2569" s="11" t="str">
        <f t="array" ref="A2569">IFERROR(
  INDEX('Starlink Launches'!$A:$A, MATCH($E2569, 'Starlink Launches'!$B:$B, 0)),
  ""
)
</f>
        <v>7-10</v>
      </c>
      <c r="B2569" s="3" t="s">
        <v>25</v>
      </c>
      <c r="C2569" s="12" t="s">
        <v>2581</v>
      </c>
      <c r="D2569" s="13">
        <v>58769.0</v>
      </c>
      <c r="E2569" s="4">
        <v>45305.0</v>
      </c>
      <c r="F2569" s="4" t="str">
        <f>IF(D2569="","", IFNA(VLOOKUP(D2569, SATCAT_DECAY!A:B, 2, FALSE), ""))
</f>
        <v/>
      </c>
      <c r="G2569" s="3" t="str">
        <f t="shared" si="1"/>
        <v>ACTIVE</v>
      </c>
    </row>
    <row r="2570" ht="22.5" customHeight="1">
      <c r="A2570" s="11" t="str">
        <f t="array" ref="A2570">IFERROR(
  INDEX('Starlink Launches'!$A:$A, MATCH($E2570, 'Starlink Launches'!$B:$B, 0)),
  ""
)
</f>
        <v>7-10</v>
      </c>
      <c r="B2570" s="3" t="s">
        <v>25</v>
      </c>
      <c r="C2570" s="12" t="s">
        <v>2582</v>
      </c>
      <c r="D2570" s="13">
        <v>58770.0</v>
      </c>
      <c r="E2570" s="4">
        <v>45305.0</v>
      </c>
      <c r="F2570" s="4" t="str">
        <f>IF(D2570="","", IFNA(VLOOKUP(D2570, SATCAT_DECAY!A:B, 2, FALSE), ""))
</f>
        <v/>
      </c>
      <c r="G2570" s="3" t="str">
        <f t="shared" si="1"/>
        <v>ACTIVE</v>
      </c>
    </row>
    <row r="2571" ht="22.5" customHeight="1">
      <c r="A2571" s="11" t="str">
        <f t="array" ref="A2571">IFERROR(
  INDEX('Starlink Launches'!$A:$A, MATCH($E2571, 'Starlink Launches'!$B:$B, 0)),
  ""
)
</f>
        <v>7-10</v>
      </c>
      <c r="B2571" s="3" t="s">
        <v>25</v>
      </c>
      <c r="C2571" s="12" t="s">
        <v>2583</v>
      </c>
      <c r="D2571" s="13">
        <v>58771.0</v>
      </c>
      <c r="E2571" s="4">
        <v>45305.0</v>
      </c>
      <c r="F2571" s="4" t="str">
        <f>IF(D2571="","", IFNA(VLOOKUP(D2571, SATCAT_DECAY!A:B, 2, FALSE), ""))
</f>
        <v/>
      </c>
      <c r="G2571" s="3" t="str">
        <f t="shared" si="1"/>
        <v>ACTIVE</v>
      </c>
    </row>
    <row r="2572" ht="22.5" customHeight="1">
      <c r="A2572" s="11" t="str">
        <f t="array" ref="A2572">IFERROR(
  INDEX('Starlink Launches'!$A:$A, MATCH($E2572, 'Starlink Launches'!$B:$B, 0)),
  ""
)
</f>
        <v>7-10</v>
      </c>
      <c r="B2572" s="3" t="s">
        <v>25</v>
      </c>
      <c r="C2572" s="12" t="s">
        <v>2584</v>
      </c>
      <c r="D2572" s="13">
        <v>58772.0</v>
      </c>
      <c r="E2572" s="4">
        <v>45305.0</v>
      </c>
      <c r="F2572" s="4" t="str">
        <f>IF(D2572="","", IFNA(VLOOKUP(D2572, SATCAT_DECAY!A:B, 2, FALSE), ""))
</f>
        <v/>
      </c>
      <c r="G2572" s="3" t="str">
        <f t="shared" si="1"/>
        <v>ACTIVE</v>
      </c>
    </row>
    <row r="2573" ht="22.5" customHeight="1">
      <c r="A2573" s="11" t="str">
        <f t="array" ref="A2573">IFERROR(
  INDEX('Starlink Launches'!$A:$A, MATCH($E2573, 'Starlink Launches'!$B:$B, 0)),
  ""
)
</f>
        <v>7-10</v>
      </c>
      <c r="B2573" s="3" t="s">
        <v>25</v>
      </c>
      <c r="C2573" s="12" t="s">
        <v>2585</v>
      </c>
      <c r="D2573" s="13">
        <v>58773.0</v>
      </c>
      <c r="E2573" s="4">
        <v>45305.0</v>
      </c>
      <c r="F2573" s="4" t="str">
        <f>IF(D2573="","", IFNA(VLOOKUP(D2573, SATCAT_DECAY!A:B, 2, FALSE), ""))
</f>
        <v/>
      </c>
      <c r="G2573" s="3" t="str">
        <f t="shared" si="1"/>
        <v>ACTIVE</v>
      </c>
    </row>
    <row r="2574" ht="22.5" customHeight="1">
      <c r="A2574" s="11" t="str">
        <f t="array" ref="A2574">IFERROR(
  INDEX('Starlink Launches'!$A:$A, MATCH($E2574, 'Starlink Launches'!$B:$B, 0)),
  ""
)
</f>
        <v>7-10</v>
      </c>
      <c r="B2574" s="3" t="s">
        <v>25</v>
      </c>
      <c r="C2574" s="12" t="s">
        <v>2586</v>
      </c>
      <c r="D2574" s="13">
        <v>58774.0</v>
      </c>
      <c r="E2574" s="4">
        <v>45305.0</v>
      </c>
      <c r="F2574" s="4" t="str">
        <f>IF(D2574="","", IFNA(VLOOKUP(D2574, SATCAT_DECAY!A:B, 2, FALSE), ""))
</f>
        <v/>
      </c>
      <c r="G2574" s="3" t="str">
        <f t="shared" si="1"/>
        <v>ACTIVE</v>
      </c>
    </row>
    <row r="2575" ht="22.5" customHeight="1">
      <c r="A2575" s="11" t="str">
        <f t="array" ref="A2575">IFERROR(
  INDEX('Starlink Launches'!$A:$A, MATCH($E2575, 'Starlink Launches'!$B:$B, 0)),
  ""
)
</f>
        <v>7-10</v>
      </c>
      <c r="B2575" s="3" t="s">
        <v>25</v>
      </c>
      <c r="C2575" s="12" t="s">
        <v>2587</v>
      </c>
      <c r="D2575" s="13">
        <v>58775.0</v>
      </c>
      <c r="E2575" s="4">
        <v>45305.0</v>
      </c>
      <c r="F2575" s="4" t="str">
        <f>IF(D2575="","", IFNA(VLOOKUP(D2575, SATCAT_DECAY!A:B, 2, FALSE), ""))
</f>
        <v/>
      </c>
      <c r="G2575" s="3" t="str">
        <f t="shared" si="1"/>
        <v>ACTIVE</v>
      </c>
    </row>
    <row r="2576" ht="22.5" customHeight="1">
      <c r="A2576" s="11" t="str">
        <f t="array" ref="A2576">IFERROR(
  INDEX('Starlink Launches'!$A:$A, MATCH($E2576, 'Starlink Launches'!$B:$B, 0)),
  ""
)
</f>
        <v>7-10</v>
      </c>
      <c r="B2576" s="3" t="s">
        <v>25</v>
      </c>
      <c r="C2576" s="12" t="s">
        <v>2588</v>
      </c>
      <c r="D2576" s="13">
        <v>58776.0</v>
      </c>
      <c r="E2576" s="4">
        <v>45305.0</v>
      </c>
      <c r="F2576" s="4" t="str">
        <f>IF(D2576="","", IFNA(VLOOKUP(D2576, SATCAT_DECAY!A:B, 2, FALSE), ""))
</f>
        <v/>
      </c>
      <c r="G2576" s="3" t="str">
        <f t="shared" si="1"/>
        <v>ACTIVE</v>
      </c>
    </row>
    <row r="2577" ht="22.5" customHeight="1">
      <c r="A2577" s="11" t="str">
        <f t="array" ref="A2577">IFERROR(
  INDEX('Starlink Launches'!$A:$A, MATCH($E2577, 'Starlink Launches'!$B:$B, 0)),
  ""
)
</f>
        <v>7-10</v>
      </c>
      <c r="B2577" s="3" t="s">
        <v>25</v>
      </c>
      <c r="C2577" s="12" t="s">
        <v>2589</v>
      </c>
      <c r="D2577" s="13">
        <v>58777.0</v>
      </c>
      <c r="E2577" s="4">
        <v>45305.0</v>
      </c>
      <c r="F2577" s="4" t="str">
        <f>IF(D2577="","", IFNA(VLOOKUP(D2577, SATCAT_DECAY!A:B, 2, FALSE), ""))
</f>
        <v/>
      </c>
      <c r="G2577" s="3" t="str">
        <f t="shared" si="1"/>
        <v>ACTIVE</v>
      </c>
    </row>
    <row r="2578" ht="22.5" customHeight="1">
      <c r="A2578" s="11" t="str">
        <f t="array" ref="A2578">IFERROR(
  INDEX('Starlink Launches'!$A:$A, MATCH($E2578, 'Starlink Launches'!$B:$B, 0)),
  ""
)
</f>
        <v>7-10</v>
      </c>
      <c r="B2578" s="3" t="s">
        <v>25</v>
      </c>
      <c r="C2578" s="12" t="s">
        <v>2590</v>
      </c>
      <c r="D2578" s="13">
        <v>58778.0</v>
      </c>
      <c r="E2578" s="4">
        <v>45305.0</v>
      </c>
      <c r="F2578" s="4" t="str">
        <f>IF(D2578="","", IFNA(VLOOKUP(D2578, SATCAT_DECAY!A:B, 2, FALSE), ""))
</f>
        <v/>
      </c>
      <c r="G2578" s="3" t="str">
        <f t="shared" si="1"/>
        <v>ACTIVE</v>
      </c>
    </row>
    <row r="2579" ht="22.5" customHeight="1">
      <c r="A2579" s="11" t="str">
        <f t="array" ref="A2579">IFERROR(
  INDEX('Starlink Launches'!$A:$A, MATCH($E2579, 'Starlink Launches'!$B:$B, 0)),
  ""
)
</f>
        <v>7-10</v>
      </c>
      <c r="B2579" s="3" t="s">
        <v>25</v>
      </c>
      <c r="C2579" s="12" t="s">
        <v>2591</v>
      </c>
      <c r="D2579" s="13">
        <v>58779.0</v>
      </c>
      <c r="E2579" s="4">
        <v>45305.0</v>
      </c>
      <c r="F2579" s="4" t="str">
        <f>IF(D2579="","", IFNA(VLOOKUP(D2579, SATCAT_DECAY!A:B, 2, FALSE), ""))
</f>
        <v/>
      </c>
      <c r="G2579" s="3" t="str">
        <f t="shared" si="1"/>
        <v>ACTIVE</v>
      </c>
    </row>
    <row r="2580" ht="22.5" customHeight="1">
      <c r="A2580" s="11" t="str">
        <f t="array" ref="A2580">IFERROR(
  INDEX('Starlink Launches'!$A:$A, MATCH($E2580, 'Starlink Launches'!$B:$B, 0)),
  ""
)
</f>
        <v>7-10</v>
      </c>
      <c r="B2580" s="3" t="s">
        <v>25</v>
      </c>
      <c r="C2580" s="12" t="s">
        <v>2592</v>
      </c>
      <c r="D2580" s="13">
        <v>58781.0</v>
      </c>
      <c r="E2580" s="4">
        <v>45305.0</v>
      </c>
      <c r="F2580" s="4" t="str">
        <f>IF(D2580="","", IFNA(VLOOKUP(D2580, SATCAT_DECAY!A:B, 2, FALSE), ""))
</f>
        <v/>
      </c>
      <c r="G2580" s="3" t="str">
        <f t="shared" si="1"/>
        <v>ACTIVE</v>
      </c>
    </row>
    <row r="2581" ht="22.5" customHeight="1">
      <c r="A2581" s="11" t="str">
        <f t="array" ref="A2581">IFERROR(
  INDEX('Starlink Launches'!$A:$A, MATCH($E2581, 'Starlink Launches'!$B:$B, 0)),
  ""
)
</f>
        <v>7-10</v>
      </c>
      <c r="B2581" s="3" t="s">
        <v>25</v>
      </c>
      <c r="C2581" s="12" t="s">
        <v>2593</v>
      </c>
      <c r="D2581" s="13">
        <v>58783.0</v>
      </c>
      <c r="E2581" s="4">
        <v>45305.0</v>
      </c>
      <c r="F2581" s="4" t="str">
        <f>IF(D2581="","", IFNA(VLOOKUP(D2581, SATCAT_DECAY!A:B, 2, FALSE), ""))
</f>
        <v/>
      </c>
      <c r="G2581" s="3" t="str">
        <f t="shared" si="1"/>
        <v>ACTIVE</v>
      </c>
    </row>
    <row r="2582" ht="22.5" customHeight="1">
      <c r="A2582" s="11" t="str">
        <f t="array" ref="A2582">IFERROR(
  INDEX('Starlink Launches'!$A:$A, MATCH($E2582, 'Starlink Launches'!$B:$B, 0)),
  ""
)
</f>
        <v>7-10</v>
      </c>
      <c r="B2582" s="3" t="s">
        <v>25</v>
      </c>
      <c r="C2582" s="12" t="s">
        <v>2594</v>
      </c>
      <c r="D2582" s="13">
        <v>58784.0</v>
      </c>
      <c r="E2582" s="4">
        <v>45305.0</v>
      </c>
      <c r="F2582" s="4" t="str">
        <f>IF(D2582="","", IFNA(VLOOKUP(D2582, SATCAT_DECAY!A:B, 2, FALSE), ""))
</f>
        <v/>
      </c>
      <c r="G2582" s="3" t="str">
        <f t="shared" si="1"/>
        <v>ACTIVE</v>
      </c>
    </row>
    <row r="2583" ht="22.5" customHeight="1">
      <c r="A2583" s="11" t="str">
        <f t="array" ref="A2583">IFERROR(
  INDEX('Starlink Launches'!$A:$A, MATCH($E2583, 'Starlink Launches'!$B:$B, 0)),
  ""
)
</f>
        <v>7-10</v>
      </c>
      <c r="B2583" s="3" t="s">
        <v>25</v>
      </c>
      <c r="C2583" s="12" t="s">
        <v>2595</v>
      </c>
      <c r="D2583" s="13">
        <v>58785.0</v>
      </c>
      <c r="E2583" s="4">
        <v>45305.0</v>
      </c>
      <c r="F2583" s="4" t="str">
        <f>IF(D2583="","", IFNA(VLOOKUP(D2583, SATCAT_DECAY!A:B, 2, FALSE), ""))
</f>
        <v/>
      </c>
      <c r="G2583" s="3" t="str">
        <f t="shared" si="1"/>
        <v>ACTIVE</v>
      </c>
    </row>
    <row r="2584" ht="22.5" customHeight="1">
      <c r="A2584" s="11" t="str">
        <f t="array" ref="A2584">IFERROR(
  INDEX('Starlink Launches'!$A:$A, MATCH($E2584, 'Starlink Launches'!$B:$B, 0)),
  ""
)
</f>
        <v>7-10</v>
      </c>
      <c r="B2584" s="3" t="s">
        <v>25</v>
      </c>
      <c r="C2584" s="12" t="s">
        <v>2596</v>
      </c>
      <c r="D2584" s="13">
        <v>58786.0</v>
      </c>
      <c r="E2584" s="4">
        <v>45305.0</v>
      </c>
      <c r="F2584" s="4" t="str">
        <f>IF(D2584="","", IFNA(VLOOKUP(D2584, SATCAT_DECAY!A:B, 2, FALSE), ""))
</f>
        <v/>
      </c>
      <c r="G2584" s="3" t="str">
        <f t="shared" si="1"/>
        <v>ACTIVE</v>
      </c>
    </row>
    <row r="2585" ht="22.5" customHeight="1">
      <c r="A2585" s="11" t="str">
        <f t="array" ref="A2585">IFERROR(
  INDEX('Starlink Launches'!$A:$A, MATCH($E2585, 'Starlink Launches'!$B:$B, 0)),
  ""
)
</f>
        <v>7-11</v>
      </c>
      <c r="B2585" s="3" t="s">
        <v>25</v>
      </c>
      <c r="C2585" s="12" t="s">
        <v>2597</v>
      </c>
      <c r="D2585" s="13">
        <v>58826.0</v>
      </c>
      <c r="E2585" s="4">
        <v>45315.0</v>
      </c>
      <c r="F2585" s="4" t="str">
        <f>IF(D2585="","", IFNA(VLOOKUP(D2585, SATCAT_DECAY!A:B, 2, FALSE), ""))
</f>
        <v/>
      </c>
      <c r="G2585" s="3" t="str">
        <f t="shared" si="1"/>
        <v>ACTIVE</v>
      </c>
    </row>
    <row r="2586" ht="22.5" customHeight="1">
      <c r="A2586" s="11" t="str">
        <f t="array" ref="A2586">IFERROR(
  INDEX('Starlink Launches'!$A:$A, MATCH($E2586, 'Starlink Launches'!$B:$B, 0)),
  ""
)
</f>
        <v>7-11</v>
      </c>
      <c r="B2586" s="3" t="s">
        <v>25</v>
      </c>
      <c r="C2586" s="12" t="s">
        <v>2598</v>
      </c>
      <c r="D2586" s="13">
        <v>58827.0</v>
      </c>
      <c r="E2586" s="4">
        <v>45315.0</v>
      </c>
      <c r="F2586" s="4" t="str">
        <f>IF(D2586="","", IFNA(VLOOKUP(D2586, SATCAT_DECAY!A:B, 2, FALSE), ""))
</f>
        <v/>
      </c>
      <c r="G2586" s="3" t="str">
        <f t="shared" si="1"/>
        <v>ACTIVE</v>
      </c>
    </row>
    <row r="2587" ht="22.5" customHeight="1">
      <c r="A2587" s="11" t="str">
        <f t="array" ref="A2587">IFERROR(
  INDEX('Starlink Launches'!$A:$A, MATCH($E2587, 'Starlink Launches'!$B:$B, 0)),
  ""
)
</f>
        <v>7-11</v>
      </c>
      <c r="B2587" s="3" t="s">
        <v>25</v>
      </c>
      <c r="C2587" s="12" t="s">
        <v>2599</v>
      </c>
      <c r="D2587" s="13">
        <v>58828.0</v>
      </c>
      <c r="E2587" s="4">
        <v>45315.0</v>
      </c>
      <c r="F2587" s="4" t="str">
        <f>IF(D2587="","", IFNA(VLOOKUP(D2587, SATCAT_DECAY!A:B, 2, FALSE), ""))
</f>
        <v/>
      </c>
      <c r="G2587" s="3" t="str">
        <f t="shared" si="1"/>
        <v>ACTIVE</v>
      </c>
    </row>
    <row r="2588" ht="22.5" customHeight="1">
      <c r="A2588" s="11" t="str">
        <f t="array" ref="A2588">IFERROR(
  INDEX('Starlink Launches'!$A:$A, MATCH($E2588, 'Starlink Launches'!$B:$B, 0)),
  ""
)
</f>
        <v>7-11</v>
      </c>
      <c r="B2588" s="3" t="s">
        <v>25</v>
      </c>
      <c r="C2588" s="12" t="s">
        <v>2600</v>
      </c>
      <c r="D2588" s="13">
        <v>58829.0</v>
      </c>
      <c r="E2588" s="4">
        <v>45315.0</v>
      </c>
      <c r="F2588" s="4" t="str">
        <f>IF(D2588="","", IFNA(VLOOKUP(D2588, SATCAT_DECAY!A:B, 2, FALSE), ""))
</f>
        <v/>
      </c>
      <c r="G2588" s="3" t="str">
        <f t="shared" si="1"/>
        <v>ACTIVE</v>
      </c>
    </row>
    <row r="2589" ht="22.5" customHeight="1">
      <c r="A2589" s="11" t="str">
        <f t="array" ref="A2589">IFERROR(
  INDEX('Starlink Launches'!$A:$A, MATCH($E2589, 'Starlink Launches'!$B:$B, 0)),
  ""
)
</f>
        <v>7-11</v>
      </c>
      <c r="B2589" s="3" t="s">
        <v>25</v>
      </c>
      <c r="C2589" s="12" t="s">
        <v>2601</v>
      </c>
      <c r="D2589" s="13">
        <v>58830.0</v>
      </c>
      <c r="E2589" s="4">
        <v>45315.0</v>
      </c>
      <c r="F2589" s="4" t="str">
        <f>IF(D2589="","", IFNA(VLOOKUP(D2589, SATCAT_DECAY!A:B, 2, FALSE), ""))
</f>
        <v/>
      </c>
      <c r="G2589" s="3" t="str">
        <f t="shared" si="1"/>
        <v>ACTIVE</v>
      </c>
    </row>
    <row r="2590" ht="22.5" customHeight="1">
      <c r="A2590" s="11" t="str">
        <f t="array" ref="A2590">IFERROR(
  INDEX('Starlink Launches'!$A:$A, MATCH($E2590, 'Starlink Launches'!$B:$B, 0)),
  ""
)
</f>
        <v>7-11</v>
      </c>
      <c r="B2590" s="3" t="s">
        <v>25</v>
      </c>
      <c r="C2590" s="12" t="s">
        <v>2602</v>
      </c>
      <c r="D2590" s="13">
        <v>58831.0</v>
      </c>
      <c r="E2590" s="4">
        <v>45315.0</v>
      </c>
      <c r="F2590" s="4" t="str">
        <f>IF(D2590="","", IFNA(VLOOKUP(D2590, SATCAT_DECAY!A:B, 2, FALSE), ""))
</f>
        <v/>
      </c>
      <c r="G2590" s="3" t="str">
        <f t="shared" si="1"/>
        <v>ACTIVE</v>
      </c>
    </row>
    <row r="2591" ht="22.5" customHeight="1">
      <c r="A2591" s="11" t="str">
        <f t="array" ref="A2591">IFERROR(
  INDEX('Starlink Launches'!$A:$A, MATCH($E2591, 'Starlink Launches'!$B:$B, 0)),
  ""
)
</f>
        <v>7-11</v>
      </c>
      <c r="B2591" s="3" t="s">
        <v>25</v>
      </c>
      <c r="C2591" s="12" t="s">
        <v>2603</v>
      </c>
      <c r="D2591" s="13">
        <v>58832.0</v>
      </c>
      <c r="E2591" s="4">
        <v>45315.0</v>
      </c>
      <c r="F2591" s="4" t="str">
        <f>IF(D2591="","", IFNA(VLOOKUP(D2591, SATCAT_DECAY!A:B, 2, FALSE), ""))
</f>
        <v/>
      </c>
      <c r="G2591" s="3" t="str">
        <f t="shared" si="1"/>
        <v>ACTIVE</v>
      </c>
    </row>
    <row r="2592" ht="22.5" customHeight="1">
      <c r="A2592" s="11" t="str">
        <f t="array" ref="A2592">IFERROR(
  INDEX('Starlink Launches'!$A:$A, MATCH($E2592, 'Starlink Launches'!$B:$B, 0)),
  ""
)
</f>
        <v>7-11</v>
      </c>
      <c r="B2592" s="3" t="s">
        <v>25</v>
      </c>
      <c r="C2592" s="12" t="s">
        <v>2604</v>
      </c>
      <c r="D2592" s="13">
        <v>58834.0</v>
      </c>
      <c r="E2592" s="4">
        <v>45315.0</v>
      </c>
      <c r="F2592" s="4" t="str">
        <f>IF(D2592="","", IFNA(VLOOKUP(D2592, SATCAT_DECAY!A:B, 2, FALSE), ""))
</f>
        <v/>
      </c>
      <c r="G2592" s="3" t="str">
        <f t="shared" si="1"/>
        <v>ACTIVE</v>
      </c>
    </row>
    <row r="2593" ht="22.5" customHeight="1">
      <c r="A2593" s="11" t="str">
        <f t="array" ref="A2593">IFERROR(
  INDEX('Starlink Launches'!$A:$A, MATCH($E2593, 'Starlink Launches'!$B:$B, 0)),
  ""
)
</f>
        <v>7-11</v>
      </c>
      <c r="B2593" s="3" t="s">
        <v>25</v>
      </c>
      <c r="C2593" s="12" t="s">
        <v>2605</v>
      </c>
      <c r="D2593" s="13">
        <v>58835.0</v>
      </c>
      <c r="E2593" s="4">
        <v>45315.0</v>
      </c>
      <c r="F2593" s="4" t="str">
        <f>IF(D2593="","", IFNA(VLOOKUP(D2593, SATCAT_DECAY!A:B, 2, FALSE), ""))
</f>
        <v/>
      </c>
      <c r="G2593" s="3" t="str">
        <f t="shared" si="1"/>
        <v>ACTIVE</v>
      </c>
    </row>
    <row r="2594" ht="22.5" customHeight="1">
      <c r="A2594" s="11" t="str">
        <f t="array" ref="A2594">IFERROR(
  INDEX('Starlink Launches'!$A:$A, MATCH($E2594, 'Starlink Launches'!$B:$B, 0)),
  ""
)
</f>
        <v>7-11</v>
      </c>
      <c r="B2594" s="3" t="s">
        <v>25</v>
      </c>
      <c r="C2594" s="12" t="s">
        <v>2606</v>
      </c>
      <c r="D2594" s="13">
        <v>58836.0</v>
      </c>
      <c r="E2594" s="4">
        <v>45315.0</v>
      </c>
      <c r="F2594" s="4" t="str">
        <f>IF(D2594="","", IFNA(VLOOKUP(D2594, SATCAT_DECAY!A:B, 2, FALSE), ""))
</f>
        <v/>
      </c>
      <c r="G2594" s="3" t="str">
        <f t="shared" si="1"/>
        <v>ACTIVE</v>
      </c>
    </row>
    <row r="2595" ht="22.5" customHeight="1">
      <c r="A2595" s="11" t="str">
        <f t="array" ref="A2595">IFERROR(
  INDEX('Starlink Launches'!$A:$A, MATCH($E2595, 'Starlink Launches'!$B:$B, 0)),
  ""
)
</f>
        <v>7-11</v>
      </c>
      <c r="B2595" s="3" t="s">
        <v>25</v>
      </c>
      <c r="C2595" s="12" t="s">
        <v>2607</v>
      </c>
      <c r="D2595" s="13">
        <v>58838.0</v>
      </c>
      <c r="E2595" s="4">
        <v>45315.0</v>
      </c>
      <c r="F2595" s="4" t="str">
        <f>IF(D2595="","", IFNA(VLOOKUP(D2595, SATCAT_DECAY!A:B, 2, FALSE), ""))
</f>
        <v/>
      </c>
      <c r="G2595" s="3" t="str">
        <f t="shared" si="1"/>
        <v>ACTIVE</v>
      </c>
    </row>
    <row r="2596" ht="22.5" customHeight="1">
      <c r="A2596" s="11" t="str">
        <f t="array" ref="A2596">IFERROR(
  INDEX('Starlink Launches'!$A:$A, MATCH($E2596, 'Starlink Launches'!$B:$B, 0)),
  ""
)
</f>
        <v>7-11</v>
      </c>
      <c r="B2596" s="3" t="s">
        <v>25</v>
      </c>
      <c r="C2596" s="12" t="s">
        <v>2608</v>
      </c>
      <c r="D2596" s="13">
        <v>58839.0</v>
      </c>
      <c r="E2596" s="4">
        <v>45315.0</v>
      </c>
      <c r="F2596" s="4" t="str">
        <f>IF(D2596="","", IFNA(VLOOKUP(D2596, SATCAT_DECAY!A:B, 2, FALSE), ""))
</f>
        <v/>
      </c>
      <c r="G2596" s="3" t="str">
        <f t="shared" si="1"/>
        <v>ACTIVE</v>
      </c>
    </row>
    <row r="2597" ht="22.5" customHeight="1">
      <c r="A2597" s="11" t="str">
        <f t="array" ref="A2597">IFERROR(
  INDEX('Starlink Launches'!$A:$A, MATCH($E2597, 'Starlink Launches'!$B:$B, 0)),
  ""
)
</f>
        <v>7-11</v>
      </c>
      <c r="B2597" s="3" t="s">
        <v>25</v>
      </c>
      <c r="C2597" s="12" t="s">
        <v>2609</v>
      </c>
      <c r="D2597" s="13">
        <v>58840.0</v>
      </c>
      <c r="E2597" s="4">
        <v>45315.0</v>
      </c>
      <c r="F2597" s="4" t="str">
        <f>IF(D2597="","", IFNA(VLOOKUP(D2597, SATCAT_DECAY!A:B, 2, FALSE), ""))
</f>
        <v/>
      </c>
      <c r="G2597" s="3" t="str">
        <f t="shared" si="1"/>
        <v>ACTIVE</v>
      </c>
    </row>
    <row r="2598" ht="22.5" customHeight="1">
      <c r="A2598" s="11" t="str">
        <f t="array" ref="A2598">IFERROR(
  INDEX('Starlink Launches'!$A:$A, MATCH($E2598, 'Starlink Launches'!$B:$B, 0)),
  ""
)
</f>
        <v>7-11</v>
      </c>
      <c r="B2598" s="3" t="s">
        <v>25</v>
      </c>
      <c r="C2598" s="12" t="s">
        <v>2610</v>
      </c>
      <c r="D2598" s="13">
        <v>58841.0</v>
      </c>
      <c r="E2598" s="4">
        <v>45315.0</v>
      </c>
      <c r="F2598" s="4" t="str">
        <f>IF(D2598="","", IFNA(VLOOKUP(D2598, SATCAT_DECAY!A:B, 2, FALSE), ""))
</f>
        <v/>
      </c>
      <c r="G2598" s="3" t="str">
        <f t="shared" si="1"/>
        <v>ACTIVE</v>
      </c>
    </row>
    <row r="2599" ht="22.5" customHeight="1">
      <c r="A2599" s="11" t="str">
        <f t="array" ref="A2599">IFERROR(
  INDEX('Starlink Launches'!$A:$A, MATCH($E2599, 'Starlink Launches'!$B:$B, 0)),
  ""
)
</f>
        <v>7-11</v>
      </c>
      <c r="B2599" s="3" t="s">
        <v>25</v>
      </c>
      <c r="C2599" s="12" t="s">
        <v>2611</v>
      </c>
      <c r="D2599" s="13">
        <v>58842.0</v>
      </c>
      <c r="E2599" s="4">
        <v>45315.0</v>
      </c>
      <c r="F2599" s="4" t="str">
        <f>IF(D2599="","", IFNA(VLOOKUP(D2599, SATCAT_DECAY!A:B, 2, FALSE), ""))
</f>
        <v/>
      </c>
      <c r="G2599" s="3" t="str">
        <f t="shared" si="1"/>
        <v>ACTIVE</v>
      </c>
    </row>
    <row r="2600" ht="22.5" customHeight="1">
      <c r="A2600" s="11" t="str">
        <f t="array" ref="A2600">IFERROR(
  INDEX('Starlink Launches'!$A:$A, MATCH($E2600, 'Starlink Launches'!$B:$B, 0)),
  ""
)
</f>
        <v>7-11</v>
      </c>
      <c r="B2600" s="3" t="s">
        <v>25</v>
      </c>
      <c r="C2600" s="12" t="s">
        <v>2612</v>
      </c>
      <c r="D2600" s="13">
        <v>58843.0</v>
      </c>
      <c r="E2600" s="4">
        <v>45315.0</v>
      </c>
      <c r="F2600" s="4" t="str">
        <f>IF(D2600="","", IFNA(VLOOKUP(D2600, SATCAT_DECAY!A:B, 2, FALSE), ""))
</f>
        <v/>
      </c>
      <c r="G2600" s="3" t="str">
        <f t="shared" si="1"/>
        <v>ACTIVE</v>
      </c>
    </row>
    <row r="2601" ht="22.5" customHeight="1">
      <c r="A2601" s="11" t="str">
        <f t="array" ref="A2601">IFERROR(
  INDEX('Starlink Launches'!$A:$A, MATCH($E2601, 'Starlink Launches'!$B:$B, 0)),
  ""
)
</f>
        <v>7-11</v>
      </c>
      <c r="B2601" s="3" t="s">
        <v>25</v>
      </c>
      <c r="C2601" s="12" t="s">
        <v>2613</v>
      </c>
      <c r="D2601" s="13">
        <v>58844.0</v>
      </c>
      <c r="E2601" s="4">
        <v>45315.0</v>
      </c>
      <c r="F2601" s="4" t="str">
        <f>IF(D2601="","", IFNA(VLOOKUP(D2601, SATCAT_DECAY!A:B, 2, FALSE), ""))
</f>
        <v/>
      </c>
      <c r="G2601" s="3" t="str">
        <f t="shared" si="1"/>
        <v>ACTIVE</v>
      </c>
    </row>
    <row r="2602" ht="22.5" customHeight="1">
      <c r="A2602" s="11" t="str">
        <f t="array" ref="A2602">IFERROR(
  INDEX('Starlink Launches'!$A:$A, MATCH($E2602, 'Starlink Launches'!$B:$B, 0)),
  ""
)
</f>
        <v>7-11</v>
      </c>
      <c r="B2602" s="3" t="s">
        <v>25</v>
      </c>
      <c r="C2602" s="12" t="s">
        <v>2614</v>
      </c>
      <c r="D2602" s="13">
        <v>58845.0</v>
      </c>
      <c r="E2602" s="4">
        <v>45315.0</v>
      </c>
      <c r="F2602" s="4" t="str">
        <f>IF(D2602="","", IFNA(VLOOKUP(D2602, SATCAT_DECAY!A:B, 2, FALSE), ""))
</f>
        <v/>
      </c>
      <c r="G2602" s="3" t="str">
        <f t="shared" si="1"/>
        <v>ACTIVE</v>
      </c>
    </row>
    <row r="2603" ht="22.5" customHeight="1">
      <c r="A2603" s="11" t="str">
        <f t="array" ref="A2603">IFERROR(
  INDEX('Starlink Launches'!$A:$A, MATCH($E2603, 'Starlink Launches'!$B:$B, 0)),
  ""
)
</f>
        <v>7-11</v>
      </c>
      <c r="B2603" s="3" t="s">
        <v>25</v>
      </c>
      <c r="C2603" s="12" t="s">
        <v>2615</v>
      </c>
      <c r="D2603" s="13">
        <v>58846.0</v>
      </c>
      <c r="E2603" s="4">
        <v>45315.0</v>
      </c>
      <c r="F2603" s="4" t="str">
        <f>IF(D2603="","", IFNA(VLOOKUP(D2603, SATCAT_DECAY!A:B, 2, FALSE), ""))
</f>
        <v/>
      </c>
      <c r="G2603" s="3" t="str">
        <f t="shared" si="1"/>
        <v>ACTIVE</v>
      </c>
    </row>
    <row r="2604" ht="22.5" customHeight="1">
      <c r="A2604" s="11" t="str">
        <f t="array" ref="A2604">IFERROR(
  INDEX('Starlink Launches'!$A:$A, MATCH($E2604, 'Starlink Launches'!$B:$B, 0)),
  ""
)
</f>
        <v>7-11</v>
      </c>
      <c r="B2604" s="3" t="s">
        <v>25</v>
      </c>
      <c r="C2604" s="12" t="s">
        <v>2616</v>
      </c>
      <c r="D2604" s="13">
        <v>58847.0</v>
      </c>
      <c r="E2604" s="4">
        <v>45315.0</v>
      </c>
      <c r="F2604" s="4" t="str">
        <f>IF(D2604="","", IFNA(VLOOKUP(D2604, SATCAT_DECAY!A:B, 2, FALSE), ""))
</f>
        <v/>
      </c>
      <c r="G2604" s="3" t="str">
        <f t="shared" si="1"/>
        <v>ACTIVE</v>
      </c>
    </row>
    <row r="2605" ht="22.5" customHeight="1">
      <c r="A2605" s="20" t="s">
        <v>2617</v>
      </c>
      <c r="B2605" s="3" t="s">
        <v>25</v>
      </c>
      <c r="C2605" s="12" t="s">
        <v>2618</v>
      </c>
      <c r="D2605" s="13">
        <v>58876.0</v>
      </c>
      <c r="E2605" s="4">
        <v>45320.0</v>
      </c>
      <c r="F2605" s="4" t="str">
        <f>IF(D2605="","", IFNA(VLOOKUP(D2605, SATCAT_DECAY!A:B, 2, FALSE), ""))
</f>
        <v/>
      </c>
      <c r="G2605" s="3" t="str">
        <f t="shared" si="1"/>
        <v>ACTIVE</v>
      </c>
    </row>
    <row r="2606" ht="22.5" customHeight="1">
      <c r="A2606" s="20" t="s">
        <v>2617</v>
      </c>
      <c r="B2606" s="3" t="s">
        <v>25</v>
      </c>
      <c r="C2606" s="12" t="s">
        <v>2619</v>
      </c>
      <c r="D2606" s="13">
        <v>58877.0</v>
      </c>
      <c r="E2606" s="4">
        <v>45320.0</v>
      </c>
      <c r="F2606" s="4" t="str">
        <f>IF(D2606="","", IFNA(VLOOKUP(D2606, SATCAT_DECAY!A:B, 2, FALSE), ""))
</f>
        <v/>
      </c>
      <c r="G2606" s="3" t="str">
        <f t="shared" si="1"/>
        <v>ACTIVE</v>
      </c>
    </row>
    <row r="2607" ht="22.5" customHeight="1">
      <c r="A2607" s="20" t="s">
        <v>2617</v>
      </c>
      <c r="B2607" s="3" t="s">
        <v>25</v>
      </c>
      <c r="C2607" s="12" t="s">
        <v>2620</v>
      </c>
      <c r="D2607" s="13">
        <v>58878.0</v>
      </c>
      <c r="E2607" s="4">
        <v>45320.0</v>
      </c>
      <c r="F2607" s="4" t="str">
        <f>IF(D2607="","", IFNA(VLOOKUP(D2607, SATCAT_DECAY!A:B, 2, FALSE), ""))
</f>
        <v/>
      </c>
      <c r="G2607" s="3" t="str">
        <f t="shared" si="1"/>
        <v>ACTIVE</v>
      </c>
    </row>
    <row r="2608" ht="22.5" customHeight="1">
      <c r="A2608" s="20" t="s">
        <v>2617</v>
      </c>
      <c r="B2608" s="3" t="s">
        <v>25</v>
      </c>
      <c r="C2608" s="12" t="s">
        <v>2621</v>
      </c>
      <c r="D2608" s="13">
        <v>58879.0</v>
      </c>
      <c r="E2608" s="4">
        <v>45320.0</v>
      </c>
      <c r="F2608" s="4" t="str">
        <f>IF(D2608="","", IFNA(VLOOKUP(D2608, SATCAT_DECAY!A:B, 2, FALSE), ""))
</f>
        <v/>
      </c>
      <c r="G2608" s="3" t="str">
        <f t="shared" si="1"/>
        <v>ACTIVE</v>
      </c>
    </row>
    <row r="2609" ht="22.5" customHeight="1">
      <c r="A2609" s="20" t="s">
        <v>2617</v>
      </c>
      <c r="B2609" s="3" t="s">
        <v>25</v>
      </c>
      <c r="C2609" s="12" t="s">
        <v>2622</v>
      </c>
      <c r="D2609" s="13">
        <v>58880.0</v>
      </c>
      <c r="E2609" s="4">
        <v>45320.0</v>
      </c>
      <c r="F2609" s="4" t="str">
        <f>IF(D2609="","", IFNA(VLOOKUP(D2609, SATCAT_DECAY!A:B, 2, FALSE), ""))
</f>
        <v/>
      </c>
      <c r="G2609" s="3" t="str">
        <f t="shared" si="1"/>
        <v>ACTIVE</v>
      </c>
    </row>
    <row r="2610" ht="22.5" customHeight="1">
      <c r="A2610" s="20" t="s">
        <v>2617</v>
      </c>
      <c r="B2610" s="3" t="s">
        <v>25</v>
      </c>
      <c r="C2610" s="12" t="s">
        <v>2623</v>
      </c>
      <c r="D2610" s="13">
        <v>58881.0</v>
      </c>
      <c r="E2610" s="4">
        <v>45320.0</v>
      </c>
      <c r="F2610" s="4" t="str">
        <f>IF(D2610="","", IFNA(VLOOKUP(D2610, SATCAT_DECAY!A:B, 2, FALSE), ""))
</f>
        <v/>
      </c>
      <c r="G2610" s="3" t="str">
        <f t="shared" si="1"/>
        <v>ACTIVE</v>
      </c>
    </row>
    <row r="2611" ht="22.5" customHeight="1">
      <c r="A2611" s="20" t="s">
        <v>2617</v>
      </c>
      <c r="B2611" s="3" t="s">
        <v>25</v>
      </c>
      <c r="C2611" s="12" t="s">
        <v>2624</v>
      </c>
      <c r="D2611" s="13">
        <v>58882.0</v>
      </c>
      <c r="E2611" s="4">
        <v>45320.0</v>
      </c>
      <c r="F2611" s="4" t="str">
        <f>IF(D2611="","", IFNA(VLOOKUP(D2611, SATCAT_DECAY!A:B, 2, FALSE), ""))
</f>
        <v/>
      </c>
      <c r="G2611" s="3" t="str">
        <f t="shared" si="1"/>
        <v>ACTIVE</v>
      </c>
    </row>
    <row r="2612" ht="22.5" customHeight="1">
      <c r="A2612" s="20" t="s">
        <v>2617</v>
      </c>
      <c r="B2612" s="3" t="s">
        <v>25</v>
      </c>
      <c r="C2612" s="12" t="s">
        <v>2625</v>
      </c>
      <c r="D2612" s="13">
        <v>58883.0</v>
      </c>
      <c r="E2612" s="4">
        <v>45320.0</v>
      </c>
      <c r="F2612" s="4" t="str">
        <f>IF(D2612="","", IFNA(VLOOKUP(D2612, SATCAT_DECAY!A:B, 2, FALSE), ""))
</f>
        <v/>
      </c>
      <c r="G2612" s="3" t="str">
        <f t="shared" si="1"/>
        <v>ACTIVE</v>
      </c>
    </row>
    <row r="2613" ht="22.5" customHeight="1">
      <c r="A2613" s="20" t="s">
        <v>2617</v>
      </c>
      <c r="B2613" s="3" t="s">
        <v>25</v>
      </c>
      <c r="C2613" s="12" t="s">
        <v>2626</v>
      </c>
      <c r="D2613" s="13">
        <v>58884.0</v>
      </c>
      <c r="E2613" s="4">
        <v>45320.0</v>
      </c>
      <c r="F2613" s="4" t="str">
        <f>IF(D2613="","", IFNA(VLOOKUP(D2613, SATCAT_DECAY!A:B, 2, FALSE), ""))
</f>
        <v/>
      </c>
      <c r="G2613" s="3" t="str">
        <f t="shared" si="1"/>
        <v>ACTIVE</v>
      </c>
    </row>
    <row r="2614" ht="22.5" customHeight="1">
      <c r="A2614" s="20" t="s">
        <v>2617</v>
      </c>
      <c r="B2614" s="3" t="s">
        <v>25</v>
      </c>
      <c r="C2614" s="12" t="s">
        <v>2627</v>
      </c>
      <c r="D2614" s="13">
        <v>58885.0</v>
      </c>
      <c r="E2614" s="4">
        <v>45320.0</v>
      </c>
      <c r="F2614" s="4" t="str">
        <f>IF(D2614="","", IFNA(VLOOKUP(D2614, SATCAT_DECAY!A:B, 2, FALSE), ""))
</f>
        <v/>
      </c>
      <c r="G2614" s="3" t="str">
        <f t="shared" si="1"/>
        <v>ACTIVE</v>
      </c>
    </row>
    <row r="2615" ht="22.5" customHeight="1">
      <c r="A2615" s="20" t="s">
        <v>2617</v>
      </c>
      <c r="B2615" s="3" t="s">
        <v>25</v>
      </c>
      <c r="C2615" s="12" t="s">
        <v>2628</v>
      </c>
      <c r="D2615" s="13">
        <v>58886.0</v>
      </c>
      <c r="E2615" s="4">
        <v>45320.0</v>
      </c>
      <c r="F2615" s="4" t="str">
        <f>IF(D2615="","", IFNA(VLOOKUP(D2615, SATCAT_DECAY!A:B, 2, FALSE), ""))
</f>
        <v/>
      </c>
      <c r="G2615" s="3" t="str">
        <f t="shared" si="1"/>
        <v>ACTIVE</v>
      </c>
    </row>
    <row r="2616" ht="22.5" customHeight="1">
      <c r="A2616" s="20" t="s">
        <v>2617</v>
      </c>
      <c r="B2616" s="3" t="s">
        <v>25</v>
      </c>
      <c r="C2616" s="12" t="s">
        <v>2629</v>
      </c>
      <c r="D2616" s="13">
        <v>58887.0</v>
      </c>
      <c r="E2616" s="4">
        <v>45320.0</v>
      </c>
      <c r="F2616" s="4" t="str">
        <f>IF(D2616="","", IFNA(VLOOKUP(D2616, SATCAT_DECAY!A:B, 2, FALSE), ""))
</f>
        <v/>
      </c>
      <c r="G2616" s="3" t="str">
        <f t="shared" si="1"/>
        <v>ACTIVE</v>
      </c>
    </row>
    <row r="2617" ht="22.5" hidden="1" customHeight="1">
      <c r="A2617" s="20" t="s">
        <v>2617</v>
      </c>
      <c r="B2617" s="3" t="s">
        <v>25</v>
      </c>
      <c r="C2617" s="12" t="s">
        <v>2630</v>
      </c>
      <c r="D2617" s="13">
        <v>58888.0</v>
      </c>
      <c r="E2617" s="4">
        <v>45320.0</v>
      </c>
      <c r="F2617" s="4">
        <f>IF(D2617="","", IFNA(VLOOKUP(D2617, SATCAT_DECAY!A:B, 2, FALSE), ""))
</f>
        <v>45544</v>
      </c>
      <c r="G2617" s="3" t="str">
        <f t="shared" si="1"/>
        <v>DECAYED</v>
      </c>
    </row>
    <row r="2618" ht="22.5" customHeight="1">
      <c r="A2618" s="20" t="s">
        <v>2617</v>
      </c>
      <c r="B2618" s="3" t="s">
        <v>25</v>
      </c>
      <c r="C2618" s="12" t="s">
        <v>2631</v>
      </c>
      <c r="D2618" s="13">
        <v>58889.0</v>
      </c>
      <c r="E2618" s="4">
        <v>45320.0</v>
      </c>
      <c r="F2618" s="4" t="str">
        <f>IF(D2618="","", IFNA(VLOOKUP(D2618, SATCAT_DECAY!A:B, 2, FALSE), ""))
</f>
        <v/>
      </c>
      <c r="G2618" s="3" t="str">
        <f t="shared" si="1"/>
        <v>ACTIVE</v>
      </c>
    </row>
    <row r="2619" ht="22.5" customHeight="1">
      <c r="A2619" s="20" t="s">
        <v>2617</v>
      </c>
      <c r="B2619" s="3" t="s">
        <v>25</v>
      </c>
      <c r="C2619" s="12" t="s">
        <v>2632</v>
      </c>
      <c r="D2619" s="13">
        <v>58890.0</v>
      </c>
      <c r="E2619" s="4">
        <v>45320.0</v>
      </c>
      <c r="F2619" s="4" t="str">
        <f>IF(D2619="","", IFNA(VLOOKUP(D2619, SATCAT_DECAY!A:B, 2, FALSE), ""))
</f>
        <v/>
      </c>
      <c r="G2619" s="3" t="str">
        <f t="shared" si="1"/>
        <v>ACTIVE</v>
      </c>
    </row>
    <row r="2620" ht="22.5" customHeight="1">
      <c r="A2620" s="20" t="s">
        <v>2617</v>
      </c>
      <c r="B2620" s="3" t="s">
        <v>25</v>
      </c>
      <c r="C2620" s="12" t="s">
        <v>2633</v>
      </c>
      <c r="D2620" s="13">
        <v>58891.0</v>
      </c>
      <c r="E2620" s="4">
        <v>45320.0</v>
      </c>
      <c r="F2620" s="4" t="str">
        <f>IF(D2620="","", IFNA(VLOOKUP(D2620, SATCAT_DECAY!A:B, 2, FALSE), ""))
</f>
        <v/>
      </c>
      <c r="G2620" s="3" t="str">
        <f t="shared" si="1"/>
        <v>ACTIVE</v>
      </c>
    </row>
    <row r="2621" ht="22.5" hidden="1" customHeight="1">
      <c r="A2621" s="20" t="s">
        <v>2617</v>
      </c>
      <c r="B2621" s="3" t="s">
        <v>25</v>
      </c>
      <c r="C2621" s="12" t="s">
        <v>2634</v>
      </c>
      <c r="D2621" s="13">
        <v>58892.0</v>
      </c>
      <c r="E2621" s="4">
        <v>45320.0</v>
      </c>
      <c r="F2621" s="4">
        <f>IF(D2621="","", IFNA(VLOOKUP(D2621, SATCAT_DECAY!A:B, 2, FALSE), ""))
</f>
        <v>46041</v>
      </c>
      <c r="G2621" s="3" t="str">
        <f t="shared" si="1"/>
        <v>DECAYED</v>
      </c>
    </row>
    <row r="2622" ht="22.5" customHeight="1">
      <c r="A2622" s="20" t="s">
        <v>2617</v>
      </c>
      <c r="B2622" s="3" t="s">
        <v>25</v>
      </c>
      <c r="C2622" s="12" t="s">
        <v>2635</v>
      </c>
      <c r="D2622" s="13">
        <v>58893.0</v>
      </c>
      <c r="E2622" s="4">
        <v>45320.0</v>
      </c>
      <c r="F2622" s="4" t="str">
        <f>IF(D2622="","", IFNA(VLOOKUP(D2622, SATCAT_DECAY!A:B, 2, FALSE), ""))
</f>
        <v/>
      </c>
      <c r="G2622" s="3" t="str">
        <f t="shared" si="1"/>
        <v>ACTIVE</v>
      </c>
    </row>
    <row r="2623" ht="22.5" customHeight="1">
      <c r="A2623" s="20" t="s">
        <v>2617</v>
      </c>
      <c r="B2623" s="3" t="s">
        <v>25</v>
      </c>
      <c r="C2623" s="12" t="s">
        <v>2636</v>
      </c>
      <c r="D2623" s="13">
        <v>58894.0</v>
      </c>
      <c r="E2623" s="4">
        <v>45320.0</v>
      </c>
      <c r="F2623" s="4" t="str">
        <f>IF(D2623="","", IFNA(VLOOKUP(D2623, SATCAT_DECAY!A:B, 2, FALSE), ""))
</f>
        <v/>
      </c>
      <c r="G2623" s="3" t="str">
        <f t="shared" si="1"/>
        <v>ACTIVE</v>
      </c>
    </row>
    <row r="2624" ht="22.5" customHeight="1">
      <c r="A2624" s="20" t="s">
        <v>2617</v>
      </c>
      <c r="B2624" s="3" t="s">
        <v>25</v>
      </c>
      <c r="C2624" s="12" t="s">
        <v>2637</v>
      </c>
      <c r="D2624" s="13">
        <v>58895.0</v>
      </c>
      <c r="E2624" s="4">
        <v>45320.0</v>
      </c>
      <c r="F2624" s="4" t="str">
        <f>IF(D2624="","", IFNA(VLOOKUP(D2624, SATCAT_DECAY!A:B, 2, FALSE), ""))
</f>
        <v/>
      </c>
      <c r="G2624" s="3" t="str">
        <f t="shared" si="1"/>
        <v>ACTIVE</v>
      </c>
    </row>
    <row r="2625" ht="22.5" hidden="1" customHeight="1">
      <c r="A2625" s="20" t="s">
        <v>2617</v>
      </c>
      <c r="B2625" s="3" t="s">
        <v>25</v>
      </c>
      <c r="C2625" s="12" t="s">
        <v>2638</v>
      </c>
      <c r="D2625" s="13">
        <v>58896.0</v>
      </c>
      <c r="E2625" s="4">
        <v>45320.0</v>
      </c>
      <c r="F2625" s="4">
        <f>IF(D2625="","", IFNA(VLOOKUP(D2625, SATCAT_DECAY!A:B, 2, FALSE), ""))
</f>
        <v>45938</v>
      </c>
      <c r="G2625" s="3" t="str">
        <f t="shared" si="1"/>
        <v>DECAYED</v>
      </c>
    </row>
    <row r="2626" ht="22.5" customHeight="1">
      <c r="A2626" s="20" t="s">
        <v>2617</v>
      </c>
      <c r="B2626" s="3" t="s">
        <v>25</v>
      </c>
      <c r="C2626" s="12" t="s">
        <v>2639</v>
      </c>
      <c r="D2626" s="13">
        <v>58897.0</v>
      </c>
      <c r="E2626" s="4">
        <v>45320.0</v>
      </c>
      <c r="F2626" s="4" t="str">
        <f>IF(D2626="","", IFNA(VLOOKUP(D2626, SATCAT_DECAY!A:B, 2, FALSE), ""))
</f>
        <v/>
      </c>
      <c r="G2626" s="3" t="str">
        <f t="shared" si="1"/>
        <v>ACTIVE</v>
      </c>
    </row>
    <row r="2627" ht="22.5" customHeight="1">
      <c r="A2627" s="11" t="str">
        <f t="array" ref="A2627">IFERROR(
  INDEX('Starlink Launches'!$A:$A, MATCH($E2627, 'Starlink Launches'!$B:$B, 0)),
  ""
)
</f>
        <v>7-13</v>
      </c>
      <c r="B2627" s="3" t="s">
        <v>25</v>
      </c>
      <c r="C2627" s="12" t="s">
        <v>2640</v>
      </c>
      <c r="D2627" s="13">
        <v>58931.0</v>
      </c>
      <c r="E2627" s="4">
        <v>45332.0</v>
      </c>
      <c r="F2627" s="4" t="str">
        <f>IF(D2627="","", IFNA(VLOOKUP(D2627, SATCAT_DECAY!A:B, 2, FALSE), ""))
</f>
        <v/>
      </c>
      <c r="G2627" s="3" t="str">
        <f t="shared" si="1"/>
        <v>ACTIVE</v>
      </c>
    </row>
    <row r="2628" ht="22.5" customHeight="1">
      <c r="A2628" s="11" t="str">
        <f t="array" ref="A2628">IFERROR(
  INDEX('Starlink Launches'!$A:$A, MATCH($E2628, 'Starlink Launches'!$B:$B, 0)),
  ""
)
</f>
        <v>7-13</v>
      </c>
      <c r="B2628" s="3" t="s">
        <v>25</v>
      </c>
      <c r="C2628" s="12" t="s">
        <v>2641</v>
      </c>
      <c r="D2628" s="13">
        <v>58932.0</v>
      </c>
      <c r="E2628" s="4">
        <v>45332.0</v>
      </c>
      <c r="F2628" s="4" t="str">
        <f>IF(D2628="","", IFNA(VLOOKUP(D2628, SATCAT_DECAY!A:B, 2, FALSE), ""))
</f>
        <v/>
      </c>
      <c r="G2628" s="3" t="str">
        <f t="shared" si="1"/>
        <v>ACTIVE</v>
      </c>
    </row>
    <row r="2629" ht="22.5" customHeight="1">
      <c r="A2629" s="11" t="str">
        <f t="array" ref="A2629">IFERROR(
  INDEX('Starlink Launches'!$A:$A, MATCH($E2629, 'Starlink Launches'!$B:$B, 0)),
  ""
)
</f>
        <v>7-13</v>
      </c>
      <c r="B2629" s="3" t="s">
        <v>25</v>
      </c>
      <c r="C2629" s="12" t="s">
        <v>2642</v>
      </c>
      <c r="D2629" s="13">
        <v>58933.0</v>
      </c>
      <c r="E2629" s="4">
        <v>45332.0</v>
      </c>
      <c r="F2629" s="4" t="str">
        <f>IF(D2629="","", IFNA(VLOOKUP(D2629, SATCAT_DECAY!A:B, 2, FALSE), ""))
</f>
        <v/>
      </c>
      <c r="G2629" s="3" t="str">
        <f t="shared" si="1"/>
        <v>ACTIVE</v>
      </c>
    </row>
    <row r="2630" ht="22.5" customHeight="1">
      <c r="A2630" s="11" t="str">
        <f t="array" ref="A2630">IFERROR(
  INDEX('Starlink Launches'!$A:$A, MATCH($E2630, 'Starlink Launches'!$B:$B, 0)),
  ""
)
</f>
        <v>7-13</v>
      </c>
      <c r="B2630" s="3" t="s">
        <v>25</v>
      </c>
      <c r="C2630" s="12" t="s">
        <v>2643</v>
      </c>
      <c r="D2630" s="13">
        <v>58934.0</v>
      </c>
      <c r="E2630" s="4">
        <v>45332.0</v>
      </c>
      <c r="F2630" s="4" t="str">
        <f>IF(D2630="","", IFNA(VLOOKUP(D2630, SATCAT_DECAY!A:B, 2, FALSE), ""))
</f>
        <v/>
      </c>
      <c r="G2630" s="3" t="str">
        <f t="shared" si="1"/>
        <v>ACTIVE</v>
      </c>
    </row>
    <row r="2631" ht="22.5" customHeight="1">
      <c r="A2631" s="11" t="str">
        <f t="array" ref="A2631">IFERROR(
  INDEX('Starlink Launches'!$A:$A, MATCH($E2631, 'Starlink Launches'!$B:$B, 0)),
  ""
)
</f>
        <v>7-13</v>
      </c>
      <c r="B2631" s="3" t="s">
        <v>25</v>
      </c>
      <c r="C2631" s="12" t="s">
        <v>2644</v>
      </c>
      <c r="D2631" s="13">
        <v>58935.0</v>
      </c>
      <c r="E2631" s="4">
        <v>45332.0</v>
      </c>
      <c r="F2631" s="4" t="str">
        <f>IF(D2631="","", IFNA(VLOOKUP(D2631, SATCAT_DECAY!A:B, 2, FALSE), ""))
</f>
        <v/>
      </c>
      <c r="G2631" s="3" t="str">
        <f t="shared" si="1"/>
        <v>ACTIVE</v>
      </c>
    </row>
    <row r="2632" ht="22.5" customHeight="1">
      <c r="A2632" s="11" t="str">
        <f t="array" ref="A2632">IFERROR(
  INDEX('Starlink Launches'!$A:$A, MATCH($E2632, 'Starlink Launches'!$B:$B, 0)),
  ""
)
</f>
        <v>7-13</v>
      </c>
      <c r="B2632" s="3" t="s">
        <v>25</v>
      </c>
      <c r="C2632" s="12" t="s">
        <v>2645</v>
      </c>
      <c r="D2632" s="13">
        <v>58936.0</v>
      </c>
      <c r="E2632" s="4">
        <v>45332.0</v>
      </c>
      <c r="F2632" s="4" t="str">
        <f>IF(D2632="","", IFNA(VLOOKUP(D2632, SATCAT_DECAY!A:B, 2, FALSE), ""))
</f>
        <v/>
      </c>
      <c r="G2632" s="3" t="str">
        <f t="shared" si="1"/>
        <v>ACTIVE</v>
      </c>
    </row>
    <row r="2633" ht="22.5" customHeight="1">
      <c r="A2633" s="11" t="str">
        <f t="array" ref="A2633">IFERROR(
  INDEX('Starlink Launches'!$A:$A, MATCH($E2633, 'Starlink Launches'!$B:$B, 0)),
  ""
)
</f>
        <v>7-13</v>
      </c>
      <c r="B2633" s="3" t="s">
        <v>25</v>
      </c>
      <c r="C2633" s="12" t="s">
        <v>2646</v>
      </c>
      <c r="D2633" s="13">
        <v>58937.0</v>
      </c>
      <c r="E2633" s="4">
        <v>45332.0</v>
      </c>
      <c r="F2633" s="4" t="str">
        <f>IF(D2633="","", IFNA(VLOOKUP(D2633, SATCAT_DECAY!A:B, 2, FALSE), ""))
</f>
        <v/>
      </c>
      <c r="G2633" s="3" t="str">
        <f t="shared" si="1"/>
        <v>ACTIVE</v>
      </c>
    </row>
    <row r="2634" ht="22.5" customHeight="1">
      <c r="A2634" s="11" t="str">
        <f t="array" ref="A2634">IFERROR(
  INDEX('Starlink Launches'!$A:$A, MATCH($E2634, 'Starlink Launches'!$B:$B, 0)),
  ""
)
</f>
        <v>7-13</v>
      </c>
      <c r="B2634" s="3" t="s">
        <v>25</v>
      </c>
      <c r="C2634" s="12" t="s">
        <v>2647</v>
      </c>
      <c r="D2634" s="13">
        <v>58938.0</v>
      </c>
      <c r="E2634" s="4">
        <v>45332.0</v>
      </c>
      <c r="F2634" s="4" t="str">
        <f>IF(D2634="","", IFNA(VLOOKUP(D2634, SATCAT_DECAY!A:B, 2, FALSE), ""))
</f>
        <v/>
      </c>
      <c r="G2634" s="3" t="str">
        <f t="shared" si="1"/>
        <v>ACTIVE</v>
      </c>
    </row>
    <row r="2635" ht="22.5" customHeight="1">
      <c r="A2635" s="11" t="str">
        <f t="array" ref="A2635">IFERROR(
  INDEX('Starlink Launches'!$A:$A, MATCH($E2635, 'Starlink Launches'!$B:$B, 0)),
  ""
)
</f>
        <v>7-13</v>
      </c>
      <c r="B2635" s="3" t="s">
        <v>25</v>
      </c>
      <c r="C2635" s="12" t="s">
        <v>2648</v>
      </c>
      <c r="D2635" s="13">
        <v>58939.0</v>
      </c>
      <c r="E2635" s="4">
        <v>45332.0</v>
      </c>
      <c r="F2635" s="4" t="str">
        <f>IF(D2635="","", IFNA(VLOOKUP(D2635, SATCAT_DECAY!A:B, 2, FALSE), ""))
</f>
        <v/>
      </c>
      <c r="G2635" s="3" t="str">
        <f t="shared" si="1"/>
        <v>ACTIVE</v>
      </c>
    </row>
    <row r="2636" ht="22.5" customHeight="1">
      <c r="A2636" s="11" t="str">
        <f t="array" ref="A2636">IFERROR(
  INDEX('Starlink Launches'!$A:$A, MATCH($E2636, 'Starlink Launches'!$B:$B, 0)),
  ""
)
</f>
        <v>7-13</v>
      </c>
      <c r="B2636" s="3" t="s">
        <v>25</v>
      </c>
      <c r="C2636" s="12" t="s">
        <v>2649</v>
      </c>
      <c r="D2636" s="13">
        <v>58940.0</v>
      </c>
      <c r="E2636" s="4">
        <v>45332.0</v>
      </c>
      <c r="F2636" s="4" t="str">
        <f>IF(D2636="","", IFNA(VLOOKUP(D2636, SATCAT_DECAY!A:B, 2, FALSE), ""))
</f>
        <v/>
      </c>
      <c r="G2636" s="3" t="str">
        <f t="shared" si="1"/>
        <v>ACTIVE</v>
      </c>
    </row>
    <row r="2637" ht="22.5" customHeight="1">
      <c r="A2637" s="11" t="str">
        <f t="array" ref="A2637">IFERROR(
  INDEX('Starlink Launches'!$A:$A, MATCH($E2637, 'Starlink Launches'!$B:$B, 0)),
  ""
)
</f>
        <v>7-13</v>
      </c>
      <c r="B2637" s="3" t="s">
        <v>25</v>
      </c>
      <c r="C2637" s="12" t="s">
        <v>2650</v>
      </c>
      <c r="D2637" s="13">
        <v>58941.0</v>
      </c>
      <c r="E2637" s="4">
        <v>45332.0</v>
      </c>
      <c r="F2637" s="4" t="str">
        <f>IF(D2637="","", IFNA(VLOOKUP(D2637, SATCAT_DECAY!A:B, 2, FALSE), ""))
</f>
        <v/>
      </c>
      <c r="G2637" s="3" t="str">
        <f t="shared" si="1"/>
        <v>ACTIVE</v>
      </c>
    </row>
    <row r="2638" ht="22.5" customHeight="1">
      <c r="A2638" s="11" t="str">
        <f t="array" ref="A2638">IFERROR(
  INDEX('Starlink Launches'!$A:$A, MATCH($E2638, 'Starlink Launches'!$B:$B, 0)),
  ""
)
</f>
        <v>7-13</v>
      </c>
      <c r="B2638" s="3" t="s">
        <v>25</v>
      </c>
      <c r="C2638" s="12" t="s">
        <v>2651</v>
      </c>
      <c r="D2638" s="13">
        <v>58942.0</v>
      </c>
      <c r="E2638" s="4">
        <v>45332.0</v>
      </c>
      <c r="F2638" s="4" t="str">
        <f>IF(D2638="","", IFNA(VLOOKUP(D2638, SATCAT_DECAY!A:B, 2, FALSE), ""))
</f>
        <v/>
      </c>
      <c r="G2638" s="3" t="str">
        <f t="shared" si="1"/>
        <v>ACTIVE</v>
      </c>
    </row>
    <row r="2639" ht="22.5" customHeight="1">
      <c r="A2639" s="11" t="str">
        <f t="array" ref="A2639">IFERROR(
  INDEX('Starlink Launches'!$A:$A, MATCH($E2639, 'Starlink Launches'!$B:$B, 0)),
  ""
)
</f>
        <v>7-13</v>
      </c>
      <c r="B2639" s="3" t="s">
        <v>25</v>
      </c>
      <c r="C2639" s="12" t="s">
        <v>2652</v>
      </c>
      <c r="D2639" s="13">
        <v>58943.0</v>
      </c>
      <c r="E2639" s="4">
        <v>45332.0</v>
      </c>
      <c r="F2639" s="4" t="str">
        <f>IF(D2639="","", IFNA(VLOOKUP(D2639, SATCAT_DECAY!A:B, 2, FALSE), ""))
</f>
        <v/>
      </c>
      <c r="G2639" s="3" t="str">
        <f t="shared" si="1"/>
        <v>ACTIVE</v>
      </c>
    </row>
    <row r="2640" ht="22.5" customHeight="1">
      <c r="A2640" s="11" t="str">
        <f t="array" ref="A2640">IFERROR(
  INDEX('Starlink Launches'!$A:$A, MATCH($E2640, 'Starlink Launches'!$B:$B, 0)),
  ""
)
</f>
        <v>7-13</v>
      </c>
      <c r="B2640" s="3" t="s">
        <v>25</v>
      </c>
      <c r="C2640" s="12" t="s">
        <v>2653</v>
      </c>
      <c r="D2640" s="13">
        <v>58944.0</v>
      </c>
      <c r="E2640" s="4">
        <v>45332.0</v>
      </c>
      <c r="F2640" s="4" t="str">
        <f>IF(D2640="","", IFNA(VLOOKUP(D2640, SATCAT_DECAY!A:B, 2, FALSE), ""))
</f>
        <v/>
      </c>
      <c r="G2640" s="3" t="str">
        <f t="shared" si="1"/>
        <v>ACTIVE</v>
      </c>
    </row>
    <row r="2641" ht="22.5" customHeight="1">
      <c r="A2641" s="11" t="str">
        <f t="array" ref="A2641">IFERROR(
  INDEX('Starlink Launches'!$A:$A, MATCH($E2641, 'Starlink Launches'!$B:$B, 0)),
  ""
)
</f>
        <v>7-13</v>
      </c>
      <c r="B2641" s="3" t="s">
        <v>25</v>
      </c>
      <c r="C2641" s="12" t="s">
        <v>2654</v>
      </c>
      <c r="D2641" s="13">
        <v>58945.0</v>
      </c>
      <c r="E2641" s="4">
        <v>45332.0</v>
      </c>
      <c r="F2641" s="4" t="str">
        <f>IF(D2641="","", IFNA(VLOOKUP(D2641, SATCAT_DECAY!A:B, 2, FALSE), ""))
</f>
        <v/>
      </c>
      <c r="G2641" s="3" t="str">
        <f t="shared" si="1"/>
        <v>ACTIVE</v>
      </c>
    </row>
    <row r="2642" ht="22.5" customHeight="1">
      <c r="A2642" s="11" t="str">
        <f t="array" ref="A2642">IFERROR(
  INDEX('Starlink Launches'!$A:$A, MATCH($E2642, 'Starlink Launches'!$B:$B, 0)),
  ""
)
</f>
        <v>7-13</v>
      </c>
      <c r="B2642" s="3" t="s">
        <v>25</v>
      </c>
      <c r="C2642" s="12" t="s">
        <v>2655</v>
      </c>
      <c r="D2642" s="13">
        <v>58946.0</v>
      </c>
      <c r="E2642" s="4">
        <v>45332.0</v>
      </c>
      <c r="F2642" s="4" t="str">
        <f>IF(D2642="","", IFNA(VLOOKUP(D2642, SATCAT_DECAY!A:B, 2, FALSE), ""))
</f>
        <v/>
      </c>
      <c r="G2642" s="3" t="str">
        <f t="shared" si="1"/>
        <v>ACTIVE</v>
      </c>
    </row>
    <row r="2643" ht="22.5" customHeight="1">
      <c r="A2643" s="11" t="str">
        <f t="array" ref="A2643">IFERROR(
  INDEX('Starlink Launches'!$A:$A, MATCH($E2643, 'Starlink Launches'!$B:$B, 0)),
  ""
)
</f>
        <v>7-13</v>
      </c>
      <c r="B2643" s="3" t="s">
        <v>25</v>
      </c>
      <c r="C2643" s="12" t="s">
        <v>2656</v>
      </c>
      <c r="D2643" s="13">
        <v>58947.0</v>
      </c>
      <c r="E2643" s="4">
        <v>45332.0</v>
      </c>
      <c r="F2643" s="4" t="str">
        <f>IF(D2643="","", IFNA(VLOOKUP(D2643, SATCAT_DECAY!A:B, 2, FALSE), ""))
</f>
        <v/>
      </c>
      <c r="G2643" s="3" t="str">
        <f t="shared" si="1"/>
        <v>ACTIVE</v>
      </c>
    </row>
    <row r="2644" ht="22.5" customHeight="1">
      <c r="A2644" s="11" t="str">
        <f t="array" ref="A2644">IFERROR(
  INDEX('Starlink Launches'!$A:$A, MATCH($E2644, 'Starlink Launches'!$B:$B, 0)),
  ""
)
</f>
        <v>7-13</v>
      </c>
      <c r="B2644" s="3" t="s">
        <v>25</v>
      </c>
      <c r="C2644" s="12" t="s">
        <v>2657</v>
      </c>
      <c r="D2644" s="13">
        <v>58948.0</v>
      </c>
      <c r="E2644" s="4">
        <v>45332.0</v>
      </c>
      <c r="F2644" s="4" t="str">
        <f>IF(D2644="","", IFNA(VLOOKUP(D2644, SATCAT_DECAY!A:B, 2, FALSE), ""))
</f>
        <v/>
      </c>
      <c r="G2644" s="3" t="str">
        <f t="shared" si="1"/>
        <v>ACTIVE</v>
      </c>
    </row>
    <row r="2645" ht="22.5" customHeight="1">
      <c r="A2645" s="11" t="str">
        <f t="array" ref="A2645">IFERROR(
  INDEX('Starlink Launches'!$A:$A, MATCH($E2645, 'Starlink Launches'!$B:$B, 0)),
  ""
)
</f>
        <v>7-13</v>
      </c>
      <c r="B2645" s="3" t="s">
        <v>25</v>
      </c>
      <c r="C2645" s="12" t="s">
        <v>2658</v>
      </c>
      <c r="D2645" s="13">
        <v>58949.0</v>
      </c>
      <c r="E2645" s="4">
        <v>45332.0</v>
      </c>
      <c r="F2645" s="4" t="str">
        <f>IF(D2645="","", IFNA(VLOOKUP(D2645, SATCAT_DECAY!A:B, 2, FALSE), ""))
</f>
        <v/>
      </c>
      <c r="G2645" s="3" t="str">
        <f t="shared" si="1"/>
        <v>ACTIVE</v>
      </c>
    </row>
    <row r="2646" ht="22.5" hidden="1" customHeight="1">
      <c r="A2646" s="11" t="str">
        <f t="array" ref="A2646">IFERROR(
  INDEX('Starlink Launches'!$A:$A, MATCH($E2646, 'Starlink Launches'!$B:$B, 0)),
  ""
)
</f>
        <v>7-13</v>
      </c>
      <c r="B2646" s="3" t="s">
        <v>25</v>
      </c>
      <c r="C2646" s="12" t="s">
        <v>2659</v>
      </c>
      <c r="D2646" s="13">
        <v>58950.0</v>
      </c>
      <c r="E2646" s="4">
        <v>45332.0</v>
      </c>
      <c r="F2646" s="4">
        <f>IF(D2646="","", IFNA(VLOOKUP(D2646, SATCAT_DECAY!A:B, 2, FALSE), ""))
</f>
        <v>45355</v>
      </c>
      <c r="G2646" s="3" t="str">
        <f t="shared" si="1"/>
        <v>DECAYED</v>
      </c>
    </row>
    <row r="2647" ht="22.5" customHeight="1">
      <c r="A2647" s="11" t="str">
        <f t="array" ref="A2647">IFERROR(
  INDEX('Starlink Launches'!$A:$A, MATCH($E2647, 'Starlink Launches'!$B:$B, 0)),
  ""
)
</f>
        <v>7-13</v>
      </c>
      <c r="B2647" s="3" t="s">
        <v>25</v>
      </c>
      <c r="C2647" s="12" t="s">
        <v>2660</v>
      </c>
      <c r="D2647" s="13">
        <v>58951.0</v>
      </c>
      <c r="E2647" s="4">
        <v>45332.0</v>
      </c>
      <c r="F2647" s="4" t="str">
        <f>IF(D2647="","", IFNA(VLOOKUP(D2647, SATCAT_DECAY!A:B, 2, FALSE), ""))
</f>
        <v/>
      </c>
      <c r="G2647" s="3" t="str">
        <f t="shared" si="1"/>
        <v>ACTIVE</v>
      </c>
    </row>
    <row r="2648" ht="22.5" customHeight="1">
      <c r="A2648" s="11" t="str">
        <f t="array" ref="A2648">IFERROR(
  INDEX('Starlink Launches'!$A:$A, MATCH($E2648, 'Starlink Launches'!$B:$B, 0)),
  ""
)
</f>
        <v>7-13</v>
      </c>
      <c r="B2648" s="3" t="s">
        <v>25</v>
      </c>
      <c r="C2648" s="12" t="s">
        <v>2661</v>
      </c>
      <c r="D2648" s="13">
        <v>58952.0</v>
      </c>
      <c r="E2648" s="4">
        <v>45332.0</v>
      </c>
      <c r="F2648" s="4" t="str">
        <f>IF(D2648="","", IFNA(VLOOKUP(D2648, SATCAT_DECAY!A:B, 2, FALSE), ""))
</f>
        <v/>
      </c>
      <c r="G2648" s="3" t="str">
        <f t="shared" si="1"/>
        <v>ACTIVE</v>
      </c>
    </row>
    <row r="2649" ht="22.5" customHeight="1">
      <c r="A2649" s="11" t="str">
        <f t="array" ref="A2649">IFERROR(
  INDEX('Starlink Launches'!$A:$A, MATCH($E2649, 'Starlink Launches'!$B:$B, 0)),
  ""
)
</f>
        <v>7-14</v>
      </c>
      <c r="B2649" s="3" t="s">
        <v>25</v>
      </c>
      <c r="C2649" s="12" t="s">
        <v>2662</v>
      </c>
      <c r="D2649" s="13">
        <v>58965.0</v>
      </c>
      <c r="E2649" s="4">
        <v>45337.0</v>
      </c>
      <c r="F2649" s="4" t="str">
        <f>IF(D2649="","", IFNA(VLOOKUP(D2649, SATCAT_DECAY!A:B, 2, FALSE), ""))
</f>
        <v/>
      </c>
      <c r="G2649" s="3" t="str">
        <f t="shared" si="1"/>
        <v>ACTIVE</v>
      </c>
    </row>
    <row r="2650" ht="22.5" customHeight="1">
      <c r="A2650" s="11" t="str">
        <f t="array" ref="A2650">IFERROR(
  INDEX('Starlink Launches'!$A:$A, MATCH($E2650, 'Starlink Launches'!$B:$B, 0)),
  ""
)
</f>
        <v>7-14</v>
      </c>
      <c r="B2650" s="3" t="s">
        <v>25</v>
      </c>
      <c r="C2650" s="12" t="s">
        <v>2663</v>
      </c>
      <c r="D2650" s="13">
        <v>58966.0</v>
      </c>
      <c r="E2650" s="4">
        <v>45337.0</v>
      </c>
      <c r="F2650" s="4" t="str">
        <f>IF(D2650="","", IFNA(VLOOKUP(D2650, SATCAT_DECAY!A:B, 2, FALSE), ""))
</f>
        <v/>
      </c>
      <c r="G2650" s="3" t="str">
        <f t="shared" si="1"/>
        <v>ACTIVE</v>
      </c>
    </row>
    <row r="2651" ht="22.5" customHeight="1">
      <c r="A2651" s="11" t="str">
        <f t="array" ref="A2651">IFERROR(
  INDEX('Starlink Launches'!$A:$A, MATCH($E2651, 'Starlink Launches'!$B:$B, 0)),
  ""
)
</f>
        <v>7-14</v>
      </c>
      <c r="B2651" s="3" t="s">
        <v>25</v>
      </c>
      <c r="C2651" s="12" t="s">
        <v>2664</v>
      </c>
      <c r="D2651" s="13">
        <v>58967.0</v>
      </c>
      <c r="E2651" s="4">
        <v>45337.0</v>
      </c>
      <c r="F2651" s="4" t="str">
        <f>IF(D2651="","", IFNA(VLOOKUP(D2651, SATCAT_DECAY!A:B, 2, FALSE), ""))
</f>
        <v/>
      </c>
      <c r="G2651" s="3" t="str">
        <f t="shared" si="1"/>
        <v>ACTIVE</v>
      </c>
    </row>
    <row r="2652" ht="22.5" customHeight="1">
      <c r="A2652" s="11" t="str">
        <f t="array" ref="A2652">IFERROR(
  INDEX('Starlink Launches'!$A:$A, MATCH($E2652, 'Starlink Launches'!$B:$B, 0)),
  ""
)
</f>
        <v>7-14</v>
      </c>
      <c r="B2652" s="3" t="s">
        <v>25</v>
      </c>
      <c r="C2652" s="12" t="s">
        <v>2665</v>
      </c>
      <c r="D2652" s="13">
        <v>58968.0</v>
      </c>
      <c r="E2652" s="4">
        <v>45337.0</v>
      </c>
      <c r="F2652" s="4" t="str">
        <f>IF(D2652="","", IFNA(VLOOKUP(D2652, SATCAT_DECAY!A:B, 2, FALSE), ""))
</f>
        <v/>
      </c>
      <c r="G2652" s="3" t="str">
        <f t="shared" si="1"/>
        <v>ACTIVE</v>
      </c>
    </row>
    <row r="2653" ht="22.5" customHeight="1">
      <c r="A2653" s="11" t="str">
        <f t="array" ref="A2653">IFERROR(
  INDEX('Starlink Launches'!$A:$A, MATCH($E2653, 'Starlink Launches'!$B:$B, 0)),
  ""
)
</f>
        <v>7-14</v>
      </c>
      <c r="B2653" s="3" t="s">
        <v>25</v>
      </c>
      <c r="C2653" s="12" t="s">
        <v>2666</v>
      </c>
      <c r="D2653" s="13">
        <v>58969.0</v>
      </c>
      <c r="E2653" s="4">
        <v>45337.0</v>
      </c>
      <c r="F2653" s="4" t="str">
        <f>IF(D2653="","", IFNA(VLOOKUP(D2653, SATCAT_DECAY!A:B, 2, FALSE), ""))
</f>
        <v/>
      </c>
      <c r="G2653" s="3" t="str">
        <f t="shared" si="1"/>
        <v>ACTIVE</v>
      </c>
    </row>
    <row r="2654" ht="22.5" customHeight="1">
      <c r="A2654" s="11" t="str">
        <f t="array" ref="A2654">IFERROR(
  INDEX('Starlink Launches'!$A:$A, MATCH($E2654, 'Starlink Launches'!$B:$B, 0)),
  ""
)
</f>
        <v>7-14</v>
      </c>
      <c r="B2654" s="3" t="s">
        <v>25</v>
      </c>
      <c r="C2654" s="12" t="s">
        <v>2667</v>
      </c>
      <c r="D2654" s="13">
        <v>58970.0</v>
      </c>
      <c r="E2654" s="4">
        <v>45337.0</v>
      </c>
      <c r="F2654" s="4" t="str">
        <f>IF(D2654="","", IFNA(VLOOKUP(D2654, SATCAT_DECAY!A:B, 2, FALSE), ""))
</f>
        <v/>
      </c>
      <c r="G2654" s="3" t="str">
        <f t="shared" si="1"/>
        <v>ACTIVE</v>
      </c>
    </row>
    <row r="2655" ht="22.5" customHeight="1">
      <c r="A2655" s="11" t="str">
        <f t="array" ref="A2655">IFERROR(
  INDEX('Starlink Launches'!$A:$A, MATCH($E2655, 'Starlink Launches'!$B:$B, 0)),
  ""
)
</f>
        <v>7-14</v>
      </c>
      <c r="B2655" s="3" t="s">
        <v>25</v>
      </c>
      <c r="C2655" s="12" t="s">
        <v>2668</v>
      </c>
      <c r="D2655" s="13">
        <v>58971.0</v>
      </c>
      <c r="E2655" s="4">
        <v>45337.0</v>
      </c>
      <c r="F2655" s="4" t="str">
        <f>IF(D2655="","", IFNA(VLOOKUP(D2655, SATCAT_DECAY!A:B, 2, FALSE), ""))
</f>
        <v/>
      </c>
      <c r="G2655" s="3" t="str">
        <f t="shared" si="1"/>
        <v>ACTIVE</v>
      </c>
    </row>
    <row r="2656" ht="22.5" customHeight="1">
      <c r="A2656" s="11" t="str">
        <f t="array" ref="A2656">IFERROR(
  INDEX('Starlink Launches'!$A:$A, MATCH($E2656, 'Starlink Launches'!$B:$B, 0)),
  ""
)
</f>
        <v>7-14</v>
      </c>
      <c r="B2656" s="3" t="s">
        <v>25</v>
      </c>
      <c r="C2656" s="12" t="s">
        <v>2669</v>
      </c>
      <c r="D2656" s="13">
        <v>58972.0</v>
      </c>
      <c r="E2656" s="4">
        <v>45337.0</v>
      </c>
      <c r="F2656" s="4" t="str">
        <f>IF(D2656="","", IFNA(VLOOKUP(D2656, SATCAT_DECAY!A:B, 2, FALSE), ""))
</f>
        <v/>
      </c>
      <c r="G2656" s="3" t="str">
        <f t="shared" si="1"/>
        <v>ACTIVE</v>
      </c>
    </row>
    <row r="2657" ht="22.5" customHeight="1">
      <c r="A2657" s="11" t="str">
        <f t="array" ref="A2657">IFERROR(
  INDEX('Starlink Launches'!$A:$A, MATCH($E2657, 'Starlink Launches'!$B:$B, 0)),
  ""
)
</f>
        <v>7-14</v>
      </c>
      <c r="B2657" s="3" t="s">
        <v>25</v>
      </c>
      <c r="C2657" s="12" t="s">
        <v>2670</v>
      </c>
      <c r="D2657" s="13">
        <v>58973.0</v>
      </c>
      <c r="E2657" s="4">
        <v>45337.0</v>
      </c>
      <c r="F2657" s="4" t="str">
        <f>IF(D2657="","", IFNA(VLOOKUP(D2657, SATCAT_DECAY!A:B, 2, FALSE), ""))
</f>
        <v/>
      </c>
      <c r="G2657" s="3" t="str">
        <f t="shared" si="1"/>
        <v>ACTIVE</v>
      </c>
    </row>
    <row r="2658" ht="22.5" customHeight="1">
      <c r="A2658" s="11" t="str">
        <f t="array" ref="A2658">IFERROR(
  INDEX('Starlink Launches'!$A:$A, MATCH($E2658, 'Starlink Launches'!$B:$B, 0)),
  ""
)
</f>
        <v>7-14</v>
      </c>
      <c r="B2658" s="3" t="s">
        <v>25</v>
      </c>
      <c r="C2658" s="12" t="s">
        <v>2671</v>
      </c>
      <c r="D2658" s="13">
        <v>58974.0</v>
      </c>
      <c r="E2658" s="4">
        <v>45337.0</v>
      </c>
      <c r="F2658" s="4" t="str">
        <f>IF(D2658="","", IFNA(VLOOKUP(D2658, SATCAT_DECAY!A:B, 2, FALSE), ""))
</f>
        <v/>
      </c>
      <c r="G2658" s="3" t="str">
        <f t="shared" si="1"/>
        <v>ACTIVE</v>
      </c>
    </row>
    <row r="2659" ht="22.5" customHeight="1">
      <c r="A2659" s="11" t="str">
        <f t="array" ref="A2659">IFERROR(
  INDEX('Starlink Launches'!$A:$A, MATCH($E2659, 'Starlink Launches'!$B:$B, 0)),
  ""
)
</f>
        <v>7-14</v>
      </c>
      <c r="B2659" s="3" t="s">
        <v>25</v>
      </c>
      <c r="C2659" s="12" t="s">
        <v>2672</v>
      </c>
      <c r="D2659" s="13">
        <v>58975.0</v>
      </c>
      <c r="E2659" s="4">
        <v>45337.0</v>
      </c>
      <c r="F2659" s="4" t="str">
        <f>IF(D2659="","", IFNA(VLOOKUP(D2659, SATCAT_DECAY!A:B, 2, FALSE), ""))
</f>
        <v/>
      </c>
      <c r="G2659" s="3" t="str">
        <f t="shared" si="1"/>
        <v>ACTIVE</v>
      </c>
    </row>
    <row r="2660" ht="22.5" customHeight="1">
      <c r="A2660" s="11" t="str">
        <f t="array" ref="A2660">IFERROR(
  INDEX('Starlink Launches'!$A:$A, MATCH($E2660, 'Starlink Launches'!$B:$B, 0)),
  ""
)
</f>
        <v>7-14</v>
      </c>
      <c r="B2660" s="3" t="s">
        <v>25</v>
      </c>
      <c r="C2660" s="12" t="s">
        <v>2673</v>
      </c>
      <c r="D2660" s="13">
        <v>58976.0</v>
      </c>
      <c r="E2660" s="4">
        <v>45337.0</v>
      </c>
      <c r="F2660" s="4" t="str">
        <f>IF(D2660="","", IFNA(VLOOKUP(D2660, SATCAT_DECAY!A:B, 2, FALSE), ""))
</f>
        <v/>
      </c>
      <c r="G2660" s="3" t="str">
        <f t="shared" si="1"/>
        <v>ACTIVE</v>
      </c>
    </row>
    <row r="2661" ht="22.5" customHeight="1">
      <c r="A2661" s="11" t="str">
        <f t="array" ref="A2661">IFERROR(
  INDEX('Starlink Launches'!$A:$A, MATCH($E2661, 'Starlink Launches'!$B:$B, 0)),
  ""
)
</f>
        <v>7-14</v>
      </c>
      <c r="B2661" s="3" t="s">
        <v>25</v>
      </c>
      <c r="C2661" s="12" t="s">
        <v>2674</v>
      </c>
      <c r="D2661" s="13">
        <v>58977.0</v>
      </c>
      <c r="E2661" s="4">
        <v>45337.0</v>
      </c>
      <c r="F2661" s="4" t="str">
        <f>IF(D2661="","", IFNA(VLOOKUP(D2661, SATCAT_DECAY!A:B, 2, FALSE), ""))
</f>
        <v/>
      </c>
      <c r="G2661" s="3" t="str">
        <f t="shared" si="1"/>
        <v>ACTIVE</v>
      </c>
    </row>
    <row r="2662" ht="22.5" customHeight="1">
      <c r="A2662" s="11" t="str">
        <f t="array" ref="A2662">IFERROR(
  INDEX('Starlink Launches'!$A:$A, MATCH($E2662, 'Starlink Launches'!$B:$B, 0)),
  ""
)
</f>
        <v>7-14</v>
      </c>
      <c r="B2662" s="3" t="s">
        <v>25</v>
      </c>
      <c r="C2662" s="12" t="s">
        <v>2675</v>
      </c>
      <c r="D2662" s="13">
        <v>58978.0</v>
      </c>
      <c r="E2662" s="4">
        <v>45337.0</v>
      </c>
      <c r="F2662" s="4" t="str">
        <f>IF(D2662="","", IFNA(VLOOKUP(D2662, SATCAT_DECAY!A:B, 2, FALSE), ""))
</f>
        <v/>
      </c>
      <c r="G2662" s="3" t="str">
        <f t="shared" si="1"/>
        <v>ACTIVE</v>
      </c>
    </row>
    <row r="2663" ht="22.5" customHeight="1">
      <c r="A2663" s="11" t="str">
        <f t="array" ref="A2663">IFERROR(
  INDEX('Starlink Launches'!$A:$A, MATCH($E2663, 'Starlink Launches'!$B:$B, 0)),
  ""
)
</f>
        <v>7-14</v>
      </c>
      <c r="B2663" s="3" t="s">
        <v>25</v>
      </c>
      <c r="C2663" s="12" t="s">
        <v>2676</v>
      </c>
      <c r="D2663" s="13">
        <v>58979.0</v>
      </c>
      <c r="E2663" s="4">
        <v>45337.0</v>
      </c>
      <c r="F2663" s="4" t="str">
        <f>IF(D2663="","", IFNA(VLOOKUP(D2663, SATCAT_DECAY!A:B, 2, FALSE), ""))
</f>
        <v/>
      </c>
      <c r="G2663" s="3" t="str">
        <f t="shared" si="1"/>
        <v>ACTIVE</v>
      </c>
    </row>
    <row r="2664" ht="22.5" customHeight="1">
      <c r="A2664" s="11" t="str">
        <f t="array" ref="A2664">IFERROR(
  INDEX('Starlink Launches'!$A:$A, MATCH($E2664, 'Starlink Launches'!$B:$B, 0)),
  ""
)
</f>
        <v>7-14</v>
      </c>
      <c r="B2664" s="3" t="s">
        <v>25</v>
      </c>
      <c r="C2664" s="12" t="s">
        <v>2677</v>
      </c>
      <c r="D2664" s="13">
        <v>58980.0</v>
      </c>
      <c r="E2664" s="4">
        <v>45337.0</v>
      </c>
      <c r="F2664" s="4" t="str">
        <f>IF(D2664="","", IFNA(VLOOKUP(D2664, SATCAT_DECAY!A:B, 2, FALSE), ""))
</f>
        <v/>
      </c>
      <c r="G2664" s="3" t="str">
        <f t="shared" si="1"/>
        <v>ACTIVE</v>
      </c>
    </row>
    <row r="2665" ht="22.5" customHeight="1">
      <c r="A2665" s="11" t="str">
        <f t="array" ref="A2665">IFERROR(
  INDEX('Starlink Launches'!$A:$A, MATCH($E2665, 'Starlink Launches'!$B:$B, 0)),
  ""
)
</f>
        <v>7-14</v>
      </c>
      <c r="B2665" s="3" t="s">
        <v>25</v>
      </c>
      <c r="C2665" s="12" t="s">
        <v>2678</v>
      </c>
      <c r="D2665" s="13">
        <v>58981.0</v>
      </c>
      <c r="E2665" s="4">
        <v>45337.0</v>
      </c>
      <c r="F2665" s="4" t="str">
        <f>IF(D2665="","", IFNA(VLOOKUP(D2665, SATCAT_DECAY!A:B, 2, FALSE), ""))
</f>
        <v/>
      </c>
      <c r="G2665" s="3" t="str">
        <f t="shared" si="1"/>
        <v>ACTIVE</v>
      </c>
    </row>
    <row r="2666" ht="22.5" customHeight="1">
      <c r="A2666" s="11" t="str">
        <f t="array" ref="A2666">IFERROR(
  INDEX('Starlink Launches'!$A:$A, MATCH($E2666, 'Starlink Launches'!$B:$B, 0)),
  ""
)
</f>
        <v>7-14</v>
      </c>
      <c r="B2666" s="3" t="s">
        <v>25</v>
      </c>
      <c r="C2666" s="12" t="s">
        <v>2679</v>
      </c>
      <c r="D2666" s="13">
        <v>58983.0</v>
      </c>
      <c r="E2666" s="4">
        <v>45337.0</v>
      </c>
      <c r="F2666" s="4" t="str">
        <f>IF(D2666="","", IFNA(VLOOKUP(D2666, SATCAT_DECAY!A:B, 2, FALSE), ""))
</f>
        <v/>
      </c>
      <c r="G2666" s="3" t="str">
        <f t="shared" si="1"/>
        <v>ACTIVE</v>
      </c>
    </row>
    <row r="2667" ht="22.5" customHeight="1">
      <c r="A2667" s="11" t="str">
        <f t="array" ref="A2667">IFERROR(
  INDEX('Starlink Launches'!$A:$A, MATCH($E2667, 'Starlink Launches'!$B:$B, 0)),
  ""
)
</f>
        <v>7-14</v>
      </c>
      <c r="B2667" s="3" t="s">
        <v>25</v>
      </c>
      <c r="C2667" s="12" t="s">
        <v>2680</v>
      </c>
      <c r="D2667" s="13">
        <v>58984.0</v>
      </c>
      <c r="E2667" s="4">
        <v>45337.0</v>
      </c>
      <c r="F2667" s="4" t="str">
        <f>IF(D2667="","", IFNA(VLOOKUP(D2667, SATCAT_DECAY!A:B, 2, FALSE), ""))
</f>
        <v/>
      </c>
      <c r="G2667" s="3" t="str">
        <f t="shared" si="1"/>
        <v>ACTIVE</v>
      </c>
    </row>
    <row r="2668" ht="22.5" customHeight="1">
      <c r="A2668" s="11" t="str">
        <f t="array" ref="A2668">IFERROR(
  INDEX('Starlink Launches'!$A:$A, MATCH($E2668, 'Starlink Launches'!$B:$B, 0)),
  ""
)
</f>
        <v>7-14</v>
      </c>
      <c r="B2668" s="3" t="s">
        <v>25</v>
      </c>
      <c r="C2668" s="12" t="s">
        <v>2681</v>
      </c>
      <c r="D2668" s="13">
        <v>58985.0</v>
      </c>
      <c r="E2668" s="4">
        <v>45337.0</v>
      </c>
      <c r="F2668" s="4" t="str">
        <f>IF(D2668="","", IFNA(VLOOKUP(D2668, SATCAT_DECAY!A:B, 2, FALSE), ""))
</f>
        <v/>
      </c>
      <c r="G2668" s="3" t="str">
        <f t="shared" si="1"/>
        <v>ACTIVE</v>
      </c>
    </row>
    <row r="2669" ht="22.5" customHeight="1">
      <c r="A2669" s="11" t="str">
        <f t="array" ref="A2669">IFERROR(
  INDEX('Starlink Launches'!$A:$A, MATCH($E2669, 'Starlink Launches'!$B:$B, 0)),
  ""
)
</f>
        <v>7-14</v>
      </c>
      <c r="B2669" s="3" t="s">
        <v>25</v>
      </c>
      <c r="C2669" s="12" t="s">
        <v>2682</v>
      </c>
      <c r="D2669" s="13">
        <v>58986.0</v>
      </c>
      <c r="E2669" s="4">
        <v>45337.0</v>
      </c>
      <c r="F2669" s="4" t="str">
        <f>IF(D2669="","", IFNA(VLOOKUP(D2669, SATCAT_DECAY!A:B, 2, FALSE), ""))
</f>
        <v/>
      </c>
      <c r="G2669" s="3" t="str">
        <f t="shared" si="1"/>
        <v>ACTIVE</v>
      </c>
    </row>
    <row r="2670" ht="22.5" customHeight="1">
      <c r="A2670" s="11" t="str">
        <f t="array" ref="A2670">IFERROR(
  INDEX('Starlink Launches'!$A:$A, MATCH($E2670, 'Starlink Launches'!$B:$B, 0)),
  ""
)
</f>
        <v>7-15</v>
      </c>
      <c r="B2670" s="3" t="s">
        <v>25</v>
      </c>
      <c r="C2670" s="12" t="s">
        <v>2683</v>
      </c>
      <c r="D2670" s="13">
        <v>58998.0</v>
      </c>
      <c r="E2670" s="4">
        <v>45345.0</v>
      </c>
      <c r="F2670" s="4" t="str">
        <f>IF(D2670="","", IFNA(VLOOKUP(D2670, SATCAT_DECAY!A:B, 2, FALSE), ""))
</f>
        <v/>
      </c>
      <c r="G2670" s="3" t="str">
        <f t="shared" si="1"/>
        <v>ACTIVE</v>
      </c>
    </row>
    <row r="2671" ht="22.5" customHeight="1">
      <c r="A2671" s="11" t="str">
        <f t="array" ref="A2671">IFERROR(
  INDEX('Starlink Launches'!$A:$A, MATCH($E2671, 'Starlink Launches'!$B:$B, 0)),
  ""
)
</f>
        <v>7-15</v>
      </c>
      <c r="B2671" s="3" t="s">
        <v>25</v>
      </c>
      <c r="C2671" s="12" t="s">
        <v>2684</v>
      </c>
      <c r="D2671" s="13">
        <v>58999.0</v>
      </c>
      <c r="E2671" s="4">
        <v>45345.0</v>
      </c>
      <c r="F2671" s="4" t="str">
        <f>IF(D2671="","", IFNA(VLOOKUP(D2671, SATCAT_DECAY!A:B, 2, FALSE), ""))
</f>
        <v/>
      </c>
      <c r="G2671" s="3" t="str">
        <f t="shared" si="1"/>
        <v>ACTIVE</v>
      </c>
    </row>
    <row r="2672" ht="22.5" customHeight="1">
      <c r="A2672" s="11" t="str">
        <f t="array" ref="A2672">IFERROR(
  INDEX('Starlink Launches'!$A:$A, MATCH($E2672, 'Starlink Launches'!$B:$B, 0)),
  ""
)
</f>
        <v>7-15</v>
      </c>
      <c r="B2672" s="3" t="s">
        <v>25</v>
      </c>
      <c r="C2672" s="12" t="s">
        <v>2685</v>
      </c>
      <c r="D2672" s="13">
        <v>59000.0</v>
      </c>
      <c r="E2672" s="4">
        <v>45345.0</v>
      </c>
      <c r="F2672" s="4" t="str">
        <f>IF(D2672="","", IFNA(VLOOKUP(D2672, SATCAT_DECAY!A:B, 2, FALSE), ""))
</f>
        <v/>
      </c>
      <c r="G2672" s="3" t="str">
        <f t="shared" si="1"/>
        <v>ACTIVE</v>
      </c>
    </row>
    <row r="2673" ht="22.5" customHeight="1">
      <c r="A2673" s="11" t="str">
        <f t="array" ref="A2673">IFERROR(
  INDEX('Starlink Launches'!$A:$A, MATCH($E2673, 'Starlink Launches'!$B:$B, 0)),
  ""
)
</f>
        <v>7-15</v>
      </c>
      <c r="B2673" s="3" t="s">
        <v>25</v>
      </c>
      <c r="C2673" s="12" t="s">
        <v>2686</v>
      </c>
      <c r="D2673" s="13">
        <v>59002.0</v>
      </c>
      <c r="E2673" s="4">
        <v>45345.0</v>
      </c>
      <c r="F2673" s="4" t="str">
        <f>IF(D2673="","", IFNA(VLOOKUP(D2673, SATCAT_DECAY!A:B, 2, FALSE), ""))
</f>
        <v/>
      </c>
      <c r="G2673" s="3" t="str">
        <f t="shared" si="1"/>
        <v>ACTIVE</v>
      </c>
    </row>
    <row r="2674" ht="22.5" customHeight="1">
      <c r="A2674" s="11" t="str">
        <f t="array" ref="A2674">IFERROR(
  INDEX('Starlink Launches'!$A:$A, MATCH($E2674, 'Starlink Launches'!$B:$B, 0)),
  ""
)
</f>
        <v>7-15</v>
      </c>
      <c r="B2674" s="3" t="s">
        <v>25</v>
      </c>
      <c r="C2674" s="12" t="s">
        <v>2687</v>
      </c>
      <c r="D2674" s="13">
        <v>59004.0</v>
      </c>
      <c r="E2674" s="4">
        <v>45345.0</v>
      </c>
      <c r="F2674" s="4" t="str">
        <f>IF(D2674="","", IFNA(VLOOKUP(D2674, SATCAT_DECAY!A:B, 2, FALSE), ""))
</f>
        <v/>
      </c>
      <c r="G2674" s="3" t="str">
        <f t="shared" si="1"/>
        <v>ACTIVE</v>
      </c>
    </row>
    <row r="2675" ht="22.5" customHeight="1">
      <c r="A2675" s="11" t="str">
        <f t="array" ref="A2675">IFERROR(
  INDEX('Starlink Launches'!$A:$A, MATCH($E2675, 'Starlink Launches'!$B:$B, 0)),
  ""
)
</f>
        <v>7-15</v>
      </c>
      <c r="B2675" s="3" t="s">
        <v>25</v>
      </c>
      <c r="C2675" s="12" t="s">
        <v>2688</v>
      </c>
      <c r="D2675" s="13">
        <v>59005.0</v>
      </c>
      <c r="E2675" s="4">
        <v>45345.0</v>
      </c>
      <c r="F2675" s="4" t="str">
        <f>IF(D2675="","", IFNA(VLOOKUP(D2675, SATCAT_DECAY!A:B, 2, FALSE), ""))
</f>
        <v/>
      </c>
      <c r="G2675" s="3" t="str">
        <f t="shared" si="1"/>
        <v>ACTIVE</v>
      </c>
    </row>
    <row r="2676" ht="22.5" customHeight="1">
      <c r="A2676" s="11" t="str">
        <f t="array" ref="A2676">IFERROR(
  INDEX('Starlink Launches'!$A:$A, MATCH($E2676, 'Starlink Launches'!$B:$B, 0)),
  ""
)
</f>
        <v>7-15</v>
      </c>
      <c r="B2676" s="3" t="s">
        <v>25</v>
      </c>
      <c r="C2676" s="12" t="s">
        <v>2689</v>
      </c>
      <c r="D2676" s="13">
        <v>59006.0</v>
      </c>
      <c r="E2676" s="4">
        <v>45345.0</v>
      </c>
      <c r="F2676" s="4" t="str">
        <f>IF(D2676="","", IFNA(VLOOKUP(D2676, SATCAT_DECAY!A:B, 2, FALSE), ""))
</f>
        <v/>
      </c>
      <c r="G2676" s="3" t="str">
        <f t="shared" si="1"/>
        <v>ACTIVE</v>
      </c>
    </row>
    <row r="2677" ht="22.5" customHeight="1">
      <c r="A2677" s="11" t="str">
        <f t="array" ref="A2677">IFERROR(
  INDEX('Starlink Launches'!$A:$A, MATCH($E2677, 'Starlink Launches'!$B:$B, 0)),
  ""
)
</f>
        <v>7-15</v>
      </c>
      <c r="B2677" s="3" t="s">
        <v>25</v>
      </c>
      <c r="C2677" s="12" t="s">
        <v>2690</v>
      </c>
      <c r="D2677" s="13">
        <v>59007.0</v>
      </c>
      <c r="E2677" s="4">
        <v>45345.0</v>
      </c>
      <c r="F2677" s="4" t="str">
        <f>IF(D2677="","", IFNA(VLOOKUP(D2677, SATCAT_DECAY!A:B, 2, FALSE), ""))
</f>
        <v/>
      </c>
      <c r="G2677" s="3" t="str">
        <f t="shared" si="1"/>
        <v>ACTIVE</v>
      </c>
    </row>
    <row r="2678" ht="22.5" customHeight="1">
      <c r="A2678" s="11" t="str">
        <f t="array" ref="A2678">IFERROR(
  INDEX('Starlink Launches'!$A:$A, MATCH($E2678, 'Starlink Launches'!$B:$B, 0)),
  ""
)
</f>
        <v>7-15</v>
      </c>
      <c r="B2678" s="3" t="s">
        <v>25</v>
      </c>
      <c r="C2678" s="12" t="s">
        <v>2691</v>
      </c>
      <c r="D2678" s="13">
        <v>59008.0</v>
      </c>
      <c r="E2678" s="4">
        <v>45345.0</v>
      </c>
      <c r="F2678" s="4" t="str">
        <f>IF(D2678="","", IFNA(VLOOKUP(D2678, SATCAT_DECAY!A:B, 2, FALSE), ""))
</f>
        <v/>
      </c>
      <c r="G2678" s="3" t="str">
        <f t="shared" si="1"/>
        <v>ACTIVE</v>
      </c>
    </row>
    <row r="2679" ht="22.5" customHeight="1">
      <c r="A2679" s="11" t="str">
        <f t="array" ref="A2679">IFERROR(
  INDEX('Starlink Launches'!$A:$A, MATCH($E2679, 'Starlink Launches'!$B:$B, 0)),
  ""
)
</f>
        <v>7-15</v>
      </c>
      <c r="B2679" s="3" t="s">
        <v>25</v>
      </c>
      <c r="C2679" s="12" t="s">
        <v>2692</v>
      </c>
      <c r="D2679" s="13">
        <v>59009.0</v>
      </c>
      <c r="E2679" s="4">
        <v>45345.0</v>
      </c>
      <c r="F2679" s="4" t="str">
        <f>IF(D2679="","", IFNA(VLOOKUP(D2679, SATCAT_DECAY!A:B, 2, FALSE), ""))
</f>
        <v/>
      </c>
      <c r="G2679" s="3" t="str">
        <f t="shared" si="1"/>
        <v>ACTIVE</v>
      </c>
    </row>
    <row r="2680" ht="22.5" customHeight="1">
      <c r="A2680" s="11" t="str">
        <f t="array" ref="A2680">IFERROR(
  INDEX('Starlink Launches'!$A:$A, MATCH($E2680, 'Starlink Launches'!$B:$B, 0)),
  ""
)
</f>
        <v>7-15</v>
      </c>
      <c r="B2680" s="3" t="s">
        <v>25</v>
      </c>
      <c r="C2680" s="12" t="s">
        <v>2693</v>
      </c>
      <c r="D2680" s="13">
        <v>59010.0</v>
      </c>
      <c r="E2680" s="4">
        <v>45345.0</v>
      </c>
      <c r="F2680" s="4" t="str">
        <f>IF(D2680="","", IFNA(VLOOKUP(D2680, SATCAT_DECAY!A:B, 2, FALSE), ""))
</f>
        <v/>
      </c>
      <c r="G2680" s="3" t="str">
        <f t="shared" si="1"/>
        <v>ACTIVE</v>
      </c>
    </row>
    <row r="2681" ht="22.5" customHeight="1">
      <c r="A2681" s="11" t="str">
        <f t="array" ref="A2681">IFERROR(
  INDEX('Starlink Launches'!$A:$A, MATCH($E2681, 'Starlink Launches'!$B:$B, 0)),
  ""
)
</f>
        <v>7-15</v>
      </c>
      <c r="B2681" s="3" t="s">
        <v>25</v>
      </c>
      <c r="C2681" s="12" t="s">
        <v>2694</v>
      </c>
      <c r="D2681" s="13">
        <v>59011.0</v>
      </c>
      <c r="E2681" s="4">
        <v>45345.0</v>
      </c>
      <c r="F2681" s="4" t="str">
        <f>IF(D2681="","", IFNA(VLOOKUP(D2681, SATCAT_DECAY!A:B, 2, FALSE), ""))
</f>
        <v/>
      </c>
      <c r="G2681" s="3" t="str">
        <f t="shared" si="1"/>
        <v>ACTIVE</v>
      </c>
    </row>
    <row r="2682" ht="22.5" customHeight="1">
      <c r="A2682" s="11" t="str">
        <f t="array" ref="A2682">IFERROR(
  INDEX('Starlink Launches'!$A:$A, MATCH($E2682, 'Starlink Launches'!$B:$B, 0)),
  ""
)
</f>
        <v>7-15</v>
      </c>
      <c r="B2682" s="3" t="s">
        <v>25</v>
      </c>
      <c r="C2682" s="12" t="s">
        <v>2695</v>
      </c>
      <c r="D2682" s="13">
        <v>59012.0</v>
      </c>
      <c r="E2682" s="4">
        <v>45345.0</v>
      </c>
      <c r="F2682" s="4" t="str">
        <f>IF(D2682="","", IFNA(VLOOKUP(D2682, SATCAT_DECAY!A:B, 2, FALSE), ""))
</f>
        <v/>
      </c>
      <c r="G2682" s="3" t="str">
        <f t="shared" si="1"/>
        <v>ACTIVE</v>
      </c>
    </row>
    <row r="2683" ht="22.5" customHeight="1">
      <c r="A2683" s="11" t="str">
        <f t="array" ref="A2683">IFERROR(
  INDEX('Starlink Launches'!$A:$A, MATCH($E2683, 'Starlink Launches'!$B:$B, 0)),
  ""
)
</f>
        <v>7-15</v>
      </c>
      <c r="B2683" s="3" t="s">
        <v>25</v>
      </c>
      <c r="C2683" s="12" t="s">
        <v>2696</v>
      </c>
      <c r="D2683" s="13">
        <v>59013.0</v>
      </c>
      <c r="E2683" s="4">
        <v>45345.0</v>
      </c>
      <c r="F2683" s="4" t="str">
        <f>IF(D2683="","", IFNA(VLOOKUP(D2683, SATCAT_DECAY!A:B, 2, FALSE), ""))
</f>
        <v/>
      </c>
      <c r="G2683" s="3" t="str">
        <f t="shared" si="1"/>
        <v>ACTIVE</v>
      </c>
    </row>
    <row r="2684" ht="22.5" customHeight="1">
      <c r="A2684" s="11" t="str">
        <f t="array" ref="A2684">IFERROR(
  INDEX('Starlink Launches'!$A:$A, MATCH($E2684, 'Starlink Launches'!$B:$B, 0)),
  ""
)
</f>
        <v>7-15</v>
      </c>
      <c r="B2684" s="3" t="s">
        <v>25</v>
      </c>
      <c r="C2684" s="12" t="s">
        <v>2697</v>
      </c>
      <c r="D2684" s="13">
        <v>59014.0</v>
      </c>
      <c r="E2684" s="4">
        <v>45345.0</v>
      </c>
      <c r="F2684" s="4" t="str">
        <f>IF(D2684="","", IFNA(VLOOKUP(D2684, SATCAT_DECAY!A:B, 2, FALSE), ""))
</f>
        <v/>
      </c>
      <c r="G2684" s="3" t="str">
        <f t="shared" si="1"/>
        <v>ACTIVE</v>
      </c>
    </row>
    <row r="2685" ht="22.5" customHeight="1">
      <c r="A2685" s="11" t="str">
        <f t="array" ref="A2685">IFERROR(
  INDEX('Starlink Launches'!$A:$A, MATCH($E2685, 'Starlink Launches'!$B:$B, 0)),
  ""
)
</f>
        <v>7-15</v>
      </c>
      <c r="B2685" s="3" t="s">
        <v>25</v>
      </c>
      <c r="C2685" s="12" t="s">
        <v>2698</v>
      </c>
      <c r="D2685" s="13">
        <v>59015.0</v>
      </c>
      <c r="E2685" s="4">
        <v>45345.0</v>
      </c>
      <c r="F2685" s="4" t="str">
        <f>IF(D2685="","", IFNA(VLOOKUP(D2685, SATCAT_DECAY!A:B, 2, FALSE), ""))
</f>
        <v/>
      </c>
      <c r="G2685" s="3" t="str">
        <f t="shared" si="1"/>
        <v>ACTIVE</v>
      </c>
    </row>
    <row r="2686" ht="22.5" customHeight="1">
      <c r="A2686" s="11" t="str">
        <f t="array" ref="A2686">IFERROR(
  INDEX('Starlink Launches'!$A:$A, MATCH($E2686, 'Starlink Launches'!$B:$B, 0)),
  ""
)
</f>
        <v>7-15</v>
      </c>
      <c r="B2686" s="3" t="s">
        <v>25</v>
      </c>
      <c r="C2686" s="12" t="s">
        <v>2699</v>
      </c>
      <c r="D2686" s="13">
        <v>59016.0</v>
      </c>
      <c r="E2686" s="4">
        <v>45345.0</v>
      </c>
      <c r="F2686" s="4" t="str">
        <f>IF(D2686="","", IFNA(VLOOKUP(D2686, SATCAT_DECAY!A:B, 2, FALSE), ""))
</f>
        <v/>
      </c>
      <c r="G2686" s="3" t="str">
        <f t="shared" si="1"/>
        <v>ACTIVE</v>
      </c>
    </row>
    <row r="2687" ht="22.5" customHeight="1">
      <c r="A2687" s="11" t="str">
        <f t="array" ref="A2687">IFERROR(
  INDEX('Starlink Launches'!$A:$A, MATCH($E2687, 'Starlink Launches'!$B:$B, 0)),
  ""
)
</f>
        <v>7-15</v>
      </c>
      <c r="B2687" s="3" t="s">
        <v>25</v>
      </c>
      <c r="C2687" s="12" t="s">
        <v>2700</v>
      </c>
      <c r="D2687" s="13">
        <v>59017.0</v>
      </c>
      <c r="E2687" s="4">
        <v>45345.0</v>
      </c>
      <c r="F2687" s="4" t="str">
        <f>IF(D2687="","", IFNA(VLOOKUP(D2687, SATCAT_DECAY!A:B, 2, FALSE), ""))
</f>
        <v/>
      </c>
      <c r="G2687" s="3" t="str">
        <f t="shared" si="1"/>
        <v>ACTIVE</v>
      </c>
    </row>
    <row r="2688" ht="22.5" customHeight="1">
      <c r="A2688" s="11" t="str">
        <f t="array" ref="A2688">IFERROR(
  INDEX('Starlink Launches'!$A:$A, MATCH($E2688, 'Starlink Launches'!$B:$B, 0)),
  ""
)
</f>
        <v>7-15</v>
      </c>
      <c r="B2688" s="3" t="s">
        <v>25</v>
      </c>
      <c r="C2688" s="12" t="s">
        <v>2701</v>
      </c>
      <c r="D2688" s="13">
        <v>59018.0</v>
      </c>
      <c r="E2688" s="4">
        <v>45345.0</v>
      </c>
      <c r="F2688" s="4" t="str">
        <f>IF(D2688="","", IFNA(VLOOKUP(D2688, SATCAT_DECAY!A:B, 2, FALSE), ""))
</f>
        <v/>
      </c>
      <c r="G2688" s="3" t="str">
        <f t="shared" si="1"/>
        <v>ACTIVE</v>
      </c>
    </row>
    <row r="2689" ht="22.5" customHeight="1">
      <c r="A2689" s="11" t="str">
        <f t="array" ref="A2689">IFERROR(
  INDEX('Starlink Launches'!$A:$A, MATCH($E2689, 'Starlink Launches'!$B:$B, 0)),
  ""
)
</f>
        <v>7-15</v>
      </c>
      <c r="B2689" s="3" t="s">
        <v>25</v>
      </c>
      <c r="C2689" s="12" t="s">
        <v>2702</v>
      </c>
      <c r="D2689" s="13">
        <v>59019.0</v>
      </c>
      <c r="E2689" s="4">
        <v>45345.0</v>
      </c>
      <c r="F2689" s="4" t="str">
        <f>IF(D2689="","", IFNA(VLOOKUP(D2689, SATCAT_DECAY!A:B, 2, FALSE), ""))
</f>
        <v/>
      </c>
      <c r="G2689" s="3" t="str">
        <f t="shared" si="1"/>
        <v>ACTIVE</v>
      </c>
    </row>
    <row r="2690" ht="22.5" customHeight="1">
      <c r="A2690" s="20" t="s">
        <v>2703</v>
      </c>
      <c r="B2690" s="3" t="s">
        <v>25</v>
      </c>
      <c r="C2690" s="12" t="s">
        <v>2704</v>
      </c>
      <c r="D2690" s="13">
        <v>59201.0</v>
      </c>
      <c r="E2690" s="4">
        <v>45362.0</v>
      </c>
      <c r="F2690" s="4" t="str">
        <f>IF(D2690="","", IFNA(VLOOKUP(D2690, SATCAT_DECAY!A:B, 2, FALSE), ""))
</f>
        <v/>
      </c>
      <c r="G2690" s="3" t="str">
        <f t="shared" si="1"/>
        <v>ACTIVE</v>
      </c>
    </row>
    <row r="2691" ht="22.5" customHeight="1">
      <c r="A2691" s="20" t="s">
        <v>2703</v>
      </c>
      <c r="B2691" s="3" t="s">
        <v>25</v>
      </c>
      <c r="C2691" s="12" t="s">
        <v>2705</v>
      </c>
      <c r="D2691" s="13">
        <v>59202.0</v>
      </c>
      <c r="E2691" s="4">
        <v>45362.0</v>
      </c>
      <c r="F2691" s="4" t="str">
        <f>IF(D2691="","", IFNA(VLOOKUP(D2691, SATCAT_DECAY!A:B, 2, FALSE), ""))
</f>
        <v/>
      </c>
      <c r="G2691" s="3" t="str">
        <f t="shared" si="1"/>
        <v>ACTIVE</v>
      </c>
    </row>
    <row r="2692" ht="22.5" customHeight="1">
      <c r="A2692" s="20" t="s">
        <v>2703</v>
      </c>
      <c r="B2692" s="3" t="s">
        <v>25</v>
      </c>
      <c r="C2692" s="12" t="s">
        <v>2706</v>
      </c>
      <c r="D2692" s="13">
        <v>59203.0</v>
      </c>
      <c r="E2692" s="4">
        <v>45362.0</v>
      </c>
      <c r="F2692" s="4" t="str">
        <f>IF(D2692="","", IFNA(VLOOKUP(D2692, SATCAT_DECAY!A:B, 2, FALSE), ""))
</f>
        <v/>
      </c>
      <c r="G2692" s="3" t="str">
        <f t="shared" si="1"/>
        <v>ACTIVE</v>
      </c>
    </row>
    <row r="2693" ht="22.5" customHeight="1">
      <c r="A2693" s="20" t="s">
        <v>2703</v>
      </c>
      <c r="B2693" s="3" t="s">
        <v>25</v>
      </c>
      <c r="C2693" s="12" t="s">
        <v>2707</v>
      </c>
      <c r="D2693" s="13">
        <v>59204.0</v>
      </c>
      <c r="E2693" s="4">
        <v>45362.0</v>
      </c>
      <c r="F2693" s="4" t="str">
        <f>IF(D2693="","", IFNA(VLOOKUP(D2693, SATCAT_DECAY!A:B, 2, FALSE), ""))
</f>
        <v/>
      </c>
      <c r="G2693" s="3" t="str">
        <f t="shared" si="1"/>
        <v>ACTIVE</v>
      </c>
    </row>
    <row r="2694" ht="22.5" customHeight="1">
      <c r="A2694" s="20" t="s">
        <v>2703</v>
      </c>
      <c r="B2694" s="3" t="s">
        <v>25</v>
      </c>
      <c r="C2694" s="12" t="s">
        <v>2708</v>
      </c>
      <c r="D2694" s="13">
        <v>59205.0</v>
      </c>
      <c r="E2694" s="4">
        <v>45362.0</v>
      </c>
      <c r="F2694" s="4" t="str">
        <f>IF(D2694="","", IFNA(VLOOKUP(D2694, SATCAT_DECAY!A:B, 2, FALSE), ""))
</f>
        <v/>
      </c>
      <c r="G2694" s="3" t="str">
        <f t="shared" si="1"/>
        <v>ACTIVE</v>
      </c>
    </row>
    <row r="2695" ht="22.5" customHeight="1">
      <c r="A2695" s="20" t="s">
        <v>2703</v>
      </c>
      <c r="B2695" s="3" t="s">
        <v>25</v>
      </c>
      <c r="C2695" s="12" t="s">
        <v>2709</v>
      </c>
      <c r="D2695" s="13">
        <v>59206.0</v>
      </c>
      <c r="E2695" s="4">
        <v>45362.0</v>
      </c>
      <c r="F2695" s="4" t="str">
        <f>IF(D2695="","", IFNA(VLOOKUP(D2695, SATCAT_DECAY!A:B, 2, FALSE), ""))
</f>
        <v/>
      </c>
      <c r="G2695" s="3" t="str">
        <f t="shared" si="1"/>
        <v>ACTIVE</v>
      </c>
    </row>
    <row r="2696" ht="22.5" customHeight="1">
      <c r="A2696" s="20" t="s">
        <v>2703</v>
      </c>
      <c r="B2696" s="3" t="s">
        <v>25</v>
      </c>
      <c r="C2696" s="12" t="s">
        <v>2710</v>
      </c>
      <c r="D2696" s="13">
        <v>59207.0</v>
      </c>
      <c r="E2696" s="4">
        <v>45362.0</v>
      </c>
      <c r="F2696" s="4" t="str">
        <f>IF(D2696="","", IFNA(VLOOKUP(D2696, SATCAT_DECAY!A:B, 2, FALSE), ""))
</f>
        <v/>
      </c>
      <c r="G2696" s="3" t="str">
        <f t="shared" si="1"/>
        <v>ACTIVE</v>
      </c>
    </row>
    <row r="2697" ht="22.5" customHeight="1">
      <c r="A2697" s="20" t="s">
        <v>2703</v>
      </c>
      <c r="B2697" s="3" t="s">
        <v>25</v>
      </c>
      <c r="C2697" s="12" t="s">
        <v>2711</v>
      </c>
      <c r="D2697" s="13">
        <v>59208.0</v>
      </c>
      <c r="E2697" s="4">
        <v>45362.0</v>
      </c>
      <c r="F2697" s="4" t="str">
        <f>IF(D2697="","", IFNA(VLOOKUP(D2697, SATCAT_DECAY!A:B, 2, FALSE), ""))
</f>
        <v/>
      </c>
      <c r="G2697" s="3" t="str">
        <f t="shared" si="1"/>
        <v>ACTIVE</v>
      </c>
    </row>
    <row r="2698" ht="22.5" customHeight="1">
      <c r="A2698" s="20" t="s">
        <v>2703</v>
      </c>
      <c r="B2698" s="3" t="s">
        <v>25</v>
      </c>
      <c r="C2698" s="12" t="s">
        <v>2712</v>
      </c>
      <c r="D2698" s="13">
        <v>59209.0</v>
      </c>
      <c r="E2698" s="4">
        <v>45362.0</v>
      </c>
      <c r="F2698" s="4" t="str">
        <f>IF(D2698="","", IFNA(VLOOKUP(D2698, SATCAT_DECAY!A:B, 2, FALSE), ""))
</f>
        <v/>
      </c>
      <c r="G2698" s="3" t="str">
        <f t="shared" si="1"/>
        <v>ACTIVE</v>
      </c>
    </row>
    <row r="2699" ht="22.5" customHeight="1">
      <c r="A2699" s="20" t="s">
        <v>2703</v>
      </c>
      <c r="B2699" s="3" t="s">
        <v>25</v>
      </c>
      <c r="C2699" s="12" t="s">
        <v>2713</v>
      </c>
      <c r="D2699" s="13">
        <v>59210.0</v>
      </c>
      <c r="E2699" s="4">
        <v>45362.0</v>
      </c>
      <c r="F2699" s="4" t="str">
        <f>IF(D2699="","", IFNA(VLOOKUP(D2699, SATCAT_DECAY!A:B, 2, FALSE), ""))
</f>
        <v/>
      </c>
      <c r="G2699" s="3" t="str">
        <f t="shared" si="1"/>
        <v>ACTIVE</v>
      </c>
    </row>
    <row r="2700" ht="22.5" customHeight="1">
      <c r="A2700" s="20" t="s">
        <v>2703</v>
      </c>
      <c r="B2700" s="3" t="s">
        <v>25</v>
      </c>
      <c r="C2700" s="12" t="s">
        <v>2714</v>
      </c>
      <c r="D2700" s="13">
        <v>59211.0</v>
      </c>
      <c r="E2700" s="4">
        <v>45362.0</v>
      </c>
      <c r="F2700" s="4" t="str">
        <f>IF(D2700="","", IFNA(VLOOKUP(D2700, SATCAT_DECAY!A:B, 2, FALSE), ""))
</f>
        <v/>
      </c>
      <c r="G2700" s="3" t="str">
        <f t="shared" si="1"/>
        <v>ACTIVE</v>
      </c>
    </row>
    <row r="2701" ht="22.5" customHeight="1">
      <c r="A2701" s="20" t="s">
        <v>2703</v>
      </c>
      <c r="B2701" s="3" t="s">
        <v>25</v>
      </c>
      <c r="C2701" s="12" t="s">
        <v>2715</v>
      </c>
      <c r="D2701" s="13">
        <v>59212.0</v>
      </c>
      <c r="E2701" s="4">
        <v>45362.0</v>
      </c>
      <c r="F2701" s="4" t="str">
        <f>IF(D2701="","", IFNA(VLOOKUP(D2701, SATCAT_DECAY!A:B, 2, FALSE), ""))
</f>
        <v/>
      </c>
      <c r="G2701" s="3" t="str">
        <f t="shared" si="1"/>
        <v>ACTIVE</v>
      </c>
    </row>
    <row r="2702" ht="22.5" customHeight="1">
      <c r="A2702" s="20" t="s">
        <v>2703</v>
      </c>
      <c r="B2702" s="3" t="s">
        <v>25</v>
      </c>
      <c r="C2702" s="12" t="s">
        <v>2716</v>
      </c>
      <c r="D2702" s="13">
        <v>59213.0</v>
      </c>
      <c r="E2702" s="4">
        <v>45362.0</v>
      </c>
      <c r="F2702" s="4" t="str">
        <f>IF(D2702="","", IFNA(VLOOKUP(D2702, SATCAT_DECAY!A:B, 2, FALSE), ""))
</f>
        <v/>
      </c>
      <c r="G2702" s="3" t="str">
        <f t="shared" si="1"/>
        <v>ACTIVE</v>
      </c>
    </row>
    <row r="2703" ht="22.5" customHeight="1">
      <c r="A2703" s="20" t="s">
        <v>2703</v>
      </c>
      <c r="B2703" s="3" t="s">
        <v>25</v>
      </c>
      <c r="C2703" s="12" t="s">
        <v>2717</v>
      </c>
      <c r="D2703" s="13">
        <v>59214.0</v>
      </c>
      <c r="E2703" s="4">
        <v>45362.0</v>
      </c>
      <c r="F2703" s="4" t="str">
        <f>IF(D2703="","", IFNA(VLOOKUP(D2703, SATCAT_DECAY!A:B, 2, FALSE), ""))
</f>
        <v/>
      </c>
      <c r="G2703" s="3" t="str">
        <f t="shared" si="1"/>
        <v>ACTIVE</v>
      </c>
    </row>
    <row r="2704" ht="22.5" customHeight="1">
      <c r="A2704" s="20" t="s">
        <v>2703</v>
      </c>
      <c r="B2704" s="3" t="s">
        <v>25</v>
      </c>
      <c r="C2704" s="12" t="s">
        <v>2718</v>
      </c>
      <c r="D2704" s="13">
        <v>59215.0</v>
      </c>
      <c r="E2704" s="4">
        <v>45362.0</v>
      </c>
      <c r="F2704" s="4" t="str">
        <f>IF(D2704="","", IFNA(VLOOKUP(D2704, SATCAT_DECAY!A:B, 2, FALSE), ""))
</f>
        <v/>
      </c>
      <c r="G2704" s="3" t="str">
        <f t="shared" si="1"/>
        <v>ACTIVE</v>
      </c>
    </row>
    <row r="2705" ht="22.5" customHeight="1">
      <c r="A2705" s="20" t="s">
        <v>2703</v>
      </c>
      <c r="B2705" s="3" t="s">
        <v>25</v>
      </c>
      <c r="C2705" s="12" t="s">
        <v>2719</v>
      </c>
      <c r="D2705" s="13">
        <v>59216.0</v>
      </c>
      <c r="E2705" s="4">
        <v>45362.0</v>
      </c>
      <c r="F2705" s="4" t="str">
        <f>IF(D2705="","", IFNA(VLOOKUP(D2705, SATCAT_DECAY!A:B, 2, FALSE), ""))
</f>
        <v/>
      </c>
      <c r="G2705" s="3" t="str">
        <f t="shared" si="1"/>
        <v>ACTIVE</v>
      </c>
    </row>
    <row r="2706" ht="22.5" customHeight="1">
      <c r="A2706" s="20" t="s">
        <v>2703</v>
      </c>
      <c r="B2706" s="3" t="s">
        <v>25</v>
      </c>
      <c r="C2706" s="12" t="s">
        <v>2720</v>
      </c>
      <c r="D2706" s="13">
        <v>59217.0</v>
      </c>
      <c r="E2706" s="4">
        <v>45362.0</v>
      </c>
      <c r="F2706" s="4" t="str">
        <f>IF(D2706="","", IFNA(VLOOKUP(D2706, SATCAT_DECAY!A:B, 2, FALSE), ""))
</f>
        <v/>
      </c>
      <c r="G2706" s="3" t="str">
        <f t="shared" si="1"/>
        <v>ACTIVE</v>
      </c>
    </row>
    <row r="2707" ht="22.5" customHeight="1">
      <c r="A2707" s="20" t="s">
        <v>2703</v>
      </c>
      <c r="B2707" s="3" t="s">
        <v>25</v>
      </c>
      <c r="C2707" s="12" t="s">
        <v>2721</v>
      </c>
      <c r="D2707" s="13">
        <v>59218.0</v>
      </c>
      <c r="E2707" s="4">
        <v>45362.0</v>
      </c>
      <c r="F2707" s="4" t="str">
        <f>IF(D2707="","", IFNA(VLOOKUP(D2707, SATCAT_DECAY!A:B, 2, FALSE), ""))
</f>
        <v/>
      </c>
      <c r="G2707" s="3" t="str">
        <f t="shared" si="1"/>
        <v>ACTIVE</v>
      </c>
    </row>
    <row r="2708" ht="22.5" customHeight="1">
      <c r="A2708" s="20" t="s">
        <v>2703</v>
      </c>
      <c r="B2708" s="3" t="s">
        <v>25</v>
      </c>
      <c r="C2708" s="12" t="s">
        <v>2722</v>
      </c>
      <c r="D2708" s="13">
        <v>59219.0</v>
      </c>
      <c r="E2708" s="4">
        <v>45362.0</v>
      </c>
      <c r="F2708" s="4" t="str">
        <f>IF(D2708="","", IFNA(VLOOKUP(D2708, SATCAT_DECAY!A:B, 2, FALSE), ""))
</f>
        <v/>
      </c>
      <c r="G2708" s="3" t="str">
        <f t="shared" si="1"/>
        <v>ACTIVE</v>
      </c>
    </row>
    <row r="2709" ht="22.5" customHeight="1">
      <c r="A2709" s="20" t="s">
        <v>2703</v>
      </c>
      <c r="B2709" s="3" t="s">
        <v>25</v>
      </c>
      <c r="C2709" s="12" t="s">
        <v>2723</v>
      </c>
      <c r="D2709" s="13">
        <v>59220.0</v>
      </c>
      <c r="E2709" s="4">
        <v>45362.0</v>
      </c>
      <c r="F2709" s="4" t="str">
        <f>IF(D2709="","", IFNA(VLOOKUP(D2709, SATCAT_DECAY!A:B, 2, FALSE), ""))
</f>
        <v/>
      </c>
      <c r="G2709" s="3" t="str">
        <f t="shared" si="1"/>
        <v>ACTIVE</v>
      </c>
    </row>
    <row r="2710" ht="22.5" customHeight="1">
      <c r="A2710" s="20" t="s">
        <v>2703</v>
      </c>
      <c r="B2710" s="3" t="s">
        <v>25</v>
      </c>
      <c r="C2710" s="12" t="s">
        <v>2724</v>
      </c>
      <c r="D2710" s="13">
        <v>59221.0</v>
      </c>
      <c r="E2710" s="4">
        <v>45362.0</v>
      </c>
      <c r="F2710" s="4" t="str">
        <f>IF(D2710="","", IFNA(VLOOKUP(D2710, SATCAT_DECAY!A:B, 2, FALSE), ""))
</f>
        <v/>
      </c>
      <c r="G2710" s="3" t="str">
        <f t="shared" si="1"/>
        <v>ACTIVE</v>
      </c>
    </row>
    <row r="2711" ht="22.5" customHeight="1">
      <c r="A2711" s="20" t="s">
        <v>2703</v>
      </c>
      <c r="B2711" s="3" t="s">
        <v>25</v>
      </c>
      <c r="C2711" s="12" t="s">
        <v>2725</v>
      </c>
      <c r="D2711" s="13">
        <v>59222.0</v>
      </c>
      <c r="E2711" s="4">
        <v>45362.0</v>
      </c>
      <c r="F2711" s="4" t="str">
        <f>IF(D2711="","", IFNA(VLOOKUP(D2711, SATCAT_DECAY!A:B, 2, FALSE), ""))
</f>
        <v/>
      </c>
      <c r="G2711" s="3" t="str">
        <f t="shared" si="1"/>
        <v>ACTIVE</v>
      </c>
    </row>
    <row r="2712" ht="22.5" customHeight="1">
      <c r="A2712" s="20" t="s">
        <v>2703</v>
      </c>
      <c r="B2712" s="3" t="s">
        <v>25</v>
      </c>
      <c r="C2712" s="12" t="s">
        <v>2726</v>
      </c>
      <c r="D2712" s="13">
        <v>59223.0</v>
      </c>
      <c r="E2712" s="4">
        <v>45362.0</v>
      </c>
      <c r="F2712" s="4" t="str">
        <f>IF(D2712="","", IFNA(VLOOKUP(D2712, SATCAT_DECAY!A:B, 2, FALSE), ""))
</f>
        <v/>
      </c>
      <c r="G2712" s="3" t="str">
        <f t="shared" si="1"/>
        <v>ACTIVE</v>
      </c>
    </row>
    <row r="2713" ht="22.5" customHeight="1">
      <c r="A2713" s="11" t="str">
        <f t="array" ref="A2713">IFERROR(
  INDEX('Starlink Launches'!$A:$A, MATCH($E2713, 'Starlink Launches'!$B:$B, 0)),
  ""
)
</f>
        <v>7-16</v>
      </c>
      <c r="B2713" s="3" t="s">
        <v>25</v>
      </c>
      <c r="C2713" s="12" t="s">
        <v>2727</v>
      </c>
      <c r="D2713" s="13">
        <v>59254.0</v>
      </c>
      <c r="E2713" s="4">
        <v>45370.0</v>
      </c>
      <c r="F2713" s="4" t="str">
        <f>IF(D2713="","", IFNA(VLOOKUP(D2713, SATCAT_DECAY!A:B, 2, FALSE), ""))
</f>
        <v/>
      </c>
      <c r="G2713" s="3" t="str">
        <f t="shared" si="1"/>
        <v>ACTIVE</v>
      </c>
    </row>
    <row r="2714" ht="22.5" customHeight="1">
      <c r="A2714" s="11" t="str">
        <f t="array" ref="A2714">IFERROR(
  INDEX('Starlink Launches'!$A:$A, MATCH($E2714, 'Starlink Launches'!$B:$B, 0)),
  ""
)
</f>
        <v>7-16</v>
      </c>
      <c r="B2714" s="3" t="s">
        <v>25</v>
      </c>
      <c r="C2714" s="12" t="s">
        <v>2728</v>
      </c>
      <c r="D2714" s="13">
        <v>59255.0</v>
      </c>
      <c r="E2714" s="4">
        <v>45370.0</v>
      </c>
      <c r="F2714" s="4" t="str">
        <f>IF(D2714="","", IFNA(VLOOKUP(D2714, SATCAT_DECAY!A:B, 2, FALSE), ""))
</f>
        <v/>
      </c>
      <c r="G2714" s="3" t="str">
        <f t="shared" si="1"/>
        <v>ACTIVE</v>
      </c>
    </row>
    <row r="2715" ht="22.5" customHeight="1">
      <c r="A2715" s="11" t="str">
        <f t="array" ref="A2715">IFERROR(
  INDEX('Starlink Launches'!$A:$A, MATCH($E2715, 'Starlink Launches'!$B:$B, 0)),
  ""
)
</f>
        <v>7-16</v>
      </c>
      <c r="B2715" s="3" t="s">
        <v>25</v>
      </c>
      <c r="C2715" s="12" t="s">
        <v>2729</v>
      </c>
      <c r="D2715" s="13">
        <v>59256.0</v>
      </c>
      <c r="E2715" s="4">
        <v>45370.0</v>
      </c>
      <c r="F2715" s="4" t="str">
        <f>IF(D2715="","", IFNA(VLOOKUP(D2715, SATCAT_DECAY!A:B, 2, FALSE), ""))
</f>
        <v/>
      </c>
      <c r="G2715" s="3" t="str">
        <f t="shared" si="1"/>
        <v>ACTIVE</v>
      </c>
    </row>
    <row r="2716" ht="22.5" customHeight="1">
      <c r="A2716" s="11" t="str">
        <f t="array" ref="A2716">IFERROR(
  INDEX('Starlink Launches'!$A:$A, MATCH($E2716, 'Starlink Launches'!$B:$B, 0)),
  ""
)
</f>
        <v>7-16</v>
      </c>
      <c r="B2716" s="3" t="s">
        <v>25</v>
      </c>
      <c r="C2716" s="12" t="s">
        <v>2730</v>
      </c>
      <c r="D2716" s="13">
        <v>59257.0</v>
      </c>
      <c r="E2716" s="4">
        <v>45370.0</v>
      </c>
      <c r="F2716" s="4" t="str">
        <f>IF(D2716="","", IFNA(VLOOKUP(D2716, SATCAT_DECAY!A:B, 2, FALSE), ""))
</f>
        <v/>
      </c>
      <c r="G2716" s="3" t="str">
        <f t="shared" si="1"/>
        <v>ACTIVE</v>
      </c>
    </row>
    <row r="2717" ht="22.5" customHeight="1">
      <c r="A2717" s="11" t="str">
        <f t="array" ref="A2717">IFERROR(
  INDEX('Starlink Launches'!$A:$A, MATCH($E2717, 'Starlink Launches'!$B:$B, 0)),
  ""
)
</f>
        <v>7-16</v>
      </c>
      <c r="B2717" s="3" t="s">
        <v>25</v>
      </c>
      <c r="C2717" s="12" t="s">
        <v>2731</v>
      </c>
      <c r="D2717" s="13">
        <v>59258.0</v>
      </c>
      <c r="E2717" s="4">
        <v>45370.0</v>
      </c>
      <c r="F2717" s="4" t="str">
        <f>IF(D2717="","", IFNA(VLOOKUP(D2717, SATCAT_DECAY!A:B, 2, FALSE), ""))
</f>
        <v/>
      </c>
      <c r="G2717" s="3" t="str">
        <f t="shared" si="1"/>
        <v>ACTIVE</v>
      </c>
    </row>
    <row r="2718" ht="22.5" customHeight="1">
      <c r="A2718" s="11" t="str">
        <f t="array" ref="A2718">IFERROR(
  INDEX('Starlink Launches'!$A:$A, MATCH($E2718, 'Starlink Launches'!$B:$B, 0)),
  ""
)
</f>
        <v>7-16</v>
      </c>
      <c r="B2718" s="3" t="s">
        <v>25</v>
      </c>
      <c r="C2718" s="12" t="s">
        <v>2732</v>
      </c>
      <c r="D2718" s="13">
        <v>59259.0</v>
      </c>
      <c r="E2718" s="4">
        <v>45370.0</v>
      </c>
      <c r="F2718" s="4" t="str">
        <f>IF(D2718="","", IFNA(VLOOKUP(D2718, SATCAT_DECAY!A:B, 2, FALSE), ""))
</f>
        <v/>
      </c>
      <c r="G2718" s="3" t="str">
        <f t="shared" si="1"/>
        <v>ACTIVE</v>
      </c>
    </row>
    <row r="2719" ht="22.5" customHeight="1">
      <c r="A2719" s="11" t="str">
        <f t="array" ref="A2719">IFERROR(
  INDEX('Starlink Launches'!$A:$A, MATCH($E2719, 'Starlink Launches'!$B:$B, 0)),
  ""
)
</f>
        <v>7-16</v>
      </c>
      <c r="B2719" s="3" t="s">
        <v>25</v>
      </c>
      <c r="C2719" s="12" t="s">
        <v>2733</v>
      </c>
      <c r="D2719" s="13">
        <v>59261.0</v>
      </c>
      <c r="E2719" s="4">
        <v>45370.0</v>
      </c>
      <c r="F2719" s="4" t="str">
        <f>IF(D2719="","", IFNA(VLOOKUP(D2719, SATCAT_DECAY!A:B, 2, FALSE), ""))
</f>
        <v/>
      </c>
      <c r="G2719" s="3" t="str">
        <f t="shared" si="1"/>
        <v>ACTIVE</v>
      </c>
    </row>
    <row r="2720" ht="22.5" customHeight="1">
      <c r="A2720" s="11" t="str">
        <f t="array" ref="A2720">IFERROR(
  INDEX('Starlink Launches'!$A:$A, MATCH($E2720, 'Starlink Launches'!$B:$B, 0)),
  ""
)
</f>
        <v>7-16</v>
      </c>
      <c r="B2720" s="3" t="s">
        <v>25</v>
      </c>
      <c r="C2720" s="12" t="s">
        <v>2734</v>
      </c>
      <c r="D2720" s="13">
        <v>59263.0</v>
      </c>
      <c r="E2720" s="4">
        <v>45370.0</v>
      </c>
      <c r="F2720" s="4" t="str">
        <f>IF(D2720="","", IFNA(VLOOKUP(D2720, SATCAT_DECAY!A:B, 2, FALSE), ""))
</f>
        <v/>
      </c>
      <c r="G2720" s="3" t="str">
        <f t="shared" si="1"/>
        <v>ACTIVE</v>
      </c>
    </row>
    <row r="2721" ht="22.5" customHeight="1">
      <c r="A2721" s="11" t="str">
        <f t="array" ref="A2721">IFERROR(
  INDEX('Starlink Launches'!$A:$A, MATCH($E2721, 'Starlink Launches'!$B:$B, 0)),
  ""
)
</f>
        <v>7-16</v>
      </c>
      <c r="B2721" s="3" t="s">
        <v>25</v>
      </c>
      <c r="C2721" s="12" t="s">
        <v>2735</v>
      </c>
      <c r="D2721" s="13">
        <v>59264.0</v>
      </c>
      <c r="E2721" s="4">
        <v>45370.0</v>
      </c>
      <c r="F2721" s="4" t="str">
        <f>IF(D2721="","", IFNA(VLOOKUP(D2721, SATCAT_DECAY!A:B, 2, FALSE), ""))
</f>
        <v/>
      </c>
      <c r="G2721" s="3" t="str">
        <f t="shared" si="1"/>
        <v>ACTIVE</v>
      </c>
    </row>
    <row r="2722" ht="22.5" customHeight="1">
      <c r="A2722" s="11" t="str">
        <f t="array" ref="A2722">IFERROR(
  INDEX('Starlink Launches'!$A:$A, MATCH($E2722, 'Starlink Launches'!$B:$B, 0)),
  ""
)
</f>
        <v>7-16</v>
      </c>
      <c r="B2722" s="3" t="s">
        <v>25</v>
      </c>
      <c r="C2722" s="12" t="s">
        <v>2736</v>
      </c>
      <c r="D2722" s="13">
        <v>59265.0</v>
      </c>
      <c r="E2722" s="4">
        <v>45370.0</v>
      </c>
      <c r="F2722" s="4" t="str">
        <f>IF(D2722="","", IFNA(VLOOKUP(D2722, SATCAT_DECAY!A:B, 2, FALSE), ""))
</f>
        <v/>
      </c>
      <c r="G2722" s="3" t="str">
        <f t="shared" si="1"/>
        <v>ACTIVE</v>
      </c>
    </row>
    <row r="2723" ht="22.5" customHeight="1">
      <c r="A2723" s="11" t="str">
        <f t="array" ref="A2723">IFERROR(
  INDEX('Starlink Launches'!$A:$A, MATCH($E2723, 'Starlink Launches'!$B:$B, 0)),
  ""
)
</f>
        <v>7-16</v>
      </c>
      <c r="B2723" s="3" t="s">
        <v>25</v>
      </c>
      <c r="C2723" s="12" t="s">
        <v>2737</v>
      </c>
      <c r="D2723" s="13">
        <v>59266.0</v>
      </c>
      <c r="E2723" s="4">
        <v>45370.0</v>
      </c>
      <c r="F2723" s="4" t="str">
        <f>IF(D2723="","", IFNA(VLOOKUP(D2723, SATCAT_DECAY!A:B, 2, FALSE), ""))
</f>
        <v/>
      </c>
      <c r="G2723" s="3" t="str">
        <f t="shared" si="1"/>
        <v>ACTIVE</v>
      </c>
    </row>
    <row r="2724" ht="22.5" customHeight="1">
      <c r="A2724" s="11" t="str">
        <f t="array" ref="A2724">IFERROR(
  INDEX('Starlink Launches'!$A:$A, MATCH($E2724, 'Starlink Launches'!$B:$B, 0)),
  ""
)
</f>
        <v>7-16</v>
      </c>
      <c r="B2724" s="3" t="s">
        <v>25</v>
      </c>
      <c r="C2724" s="12" t="s">
        <v>2738</v>
      </c>
      <c r="D2724" s="13">
        <v>59267.0</v>
      </c>
      <c r="E2724" s="4">
        <v>45370.0</v>
      </c>
      <c r="F2724" s="4" t="str">
        <f>IF(D2724="","", IFNA(VLOOKUP(D2724, SATCAT_DECAY!A:B, 2, FALSE), ""))
</f>
        <v/>
      </c>
      <c r="G2724" s="3" t="str">
        <f t="shared" si="1"/>
        <v>ACTIVE</v>
      </c>
    </row>
    <row r="2725" ht="22.5" customHeight="1">
      <c r="A2725" s="11" t="str">
        <f t="array" ref="A2725">IFERROR(
  INDEX('Starlink Launches'!$A:$A, MATCH($E2725, 'Starlink Launches'!$B:$B, 0)),
  ""
)
</f>
        <v>7-16</v>
      </c>
      <c r="B2725" s="3" t="s">
        <v>25</v>
      </c>
      <c r="C2725" s="12" t="s">
        <v>2739</v>
      </c>
      <c r="D2725" s="13">
        <v>59268.0</v>
      </c>
      <c r="E2725" s="4">
        <v>45370.0</v>
      </c>
      <c r="F2725" s="4" t="str">
        <f>IF(D2725="","", IFNA(VLOOKUP(D2725, SATCAT_DECAY!A:B, 2, FALSE), ""))
</f>
        <v/>
      </c>
      <c r="G2725" s="3" t="str">
        <f t="shared" si="1"/>
        <v>ACTIVE</v>
      </c>
    </row>
    <row r="2726" ht="22.5" customHeight="1">
      <c r="A2726" s="11" t="str">
        <f t="array" ref="A2726">IFERROR(
  INDEX('Starlink Launches'!$A:$A, MATCH($E2726, 'Starlink Launches'!$B:$B, 0)),
  ""
)
</f>
        <v>7-16</v>
      </c>
      <c r="B2726" s="3" t="s">
        <v>25</v>
      </c>
      <c r="C2726" s="12" t="s">
        <v>2740</v>
      </c>
      <c r="D2726" s="13">
        <v>59269.0</v>
      </c>
      <c r="E2726" s="4">
        <v>45370.0</v>
      </c>
      <c r="F2726" s="4" t="str">
        <f>IF(D2726="","", IFNA(VLOOKUP(D2726, SATCAT_DECAY!A:B, 2, FALSE), ""))
</f>
        <v/>
      </c>
      <c r="G2726" s="3" t="str">
        <f t="shared" si="1"/>
        <v>ACTIVE</v>
      </c>
    </row>
    <row r="2727" ht="22.5" customHeight="1">
      <c r="A2727" s="11" t="str">
        <f t="array" ref="A2727">IFERROR(
  INDEX('Starlink Launches'!$A:$A, MATCH($E2727, 'Starlink Launches'!$B:$B, 0)),
  ""
)
</f>
        <v>7-16</v>
      </c>
      <c r="B2727" s="3" t="s">
        <v>25</v>
      </c>
      <c r="C2727" s="12" t="s">
        <v>2741</v>
      </c>
      <c r="D2727" s="13">
        <v>59270.0</v>
      </c>
      <c r="E2727" s="4">
        <v>45370.0</v>
      </c>
      <c r="F2727" s="4" t="str">
        <f>IF(D2727="","", IFNA(VLOOKUP(D2727, SATCAT_DECAY!A:B, 2, FALSE), ""))
</f>
        <v/>
      </c>
      <c r="G2727" s="3" t="str">
        <f t="shared" si="1"/>
        <v>ACTIVE</v>
      </c>
    </row>
    <row r="2728" ht="22.5" customHeight="1">
      <c r="A2728" s="11" t="str">
        <f t="array" ref="A2728">IFERROR(
  INDEX('Starlink Launches'!$A:$A, MATCH($E2728, 'Starlink Launches'!$B:$B, 0)),
  ""
)
</f>
        <v>7-16</v>
      </c>
      <c r="B2728" s="3" t="s">
        <v>25</v>
      </c>
      <c r="C2728" s="12" t="s">
        <v>2742</v>
      </c>
      <c r="D2728" s="13">
        <v>59271.0</v>
      </c>
      <c r="E2728" s="4">
        <v>45370.0</v>
      </c>
      <c r="F2728" s="4" t="str">
        <f>IF(D2728="","", IFNA(VLOOKUP(D2728, SATCAT_DECAY!A:B, 2, FALSE), ""))
</f>
        <v/>
      </c>
      <c r="G2728" s="3" t="str">
        <f t="shared" si="1"/>
        <v>ACTIVE</v>
      </c>
    </row>
    <row r="2729" ht="22.5" customHeight="1">
      <c r="A2729" s="11" t="str">
        <f t="array" ref="A2729">IFERROR(
  INDEX('Starlink Launches'!$A:$A, MATCH($E2729, 'Starlink Launches'!$B:$B, 0)),
  ""
)
</f>
        <v>7-16</v>
      </c>
      <c r="B2729" s="3" t="s">
        <v>25</v>
      </c>
      <c r="C2729" s="12" t="s">
        <v>2743</v>
      </c>
      <c r="D2729" s="13">
        <v>59272.0</v>
      </c>
      <c r="E2729" s="4">
        <v>45370.0</v>
      </c>
      <c r="F2729" s="4" t="str">
        <f>IF(D2729="","", IFNA(VLOOKUP(D2729, SATCAT_DECAY!A:B, 2, FALSE), ""))
</f>
        <v/>
      </c>
      <c r="G2729" s="3" t="str">
        <f t="shared" si="1"/>
        <v>ACTIVE</v>
      </c>
    </row>
    <row r="2730" ht="22.5" customHeight="1">
      <c r="A2730" s="11" t="str">
        <f t="array" ref="A2730">IFERROR(
  INDEX('Starlink Launches'!$A:$A, MATCH($E2730, 'Starlink Launches'!$B:$B, 0)),
  ""
)
</f>
        <v>7-16</v>
      </c>
      <c r="B2730" s="3" t="s">
        <v>25</v>
      </c>
      <c r="C2730" s="12" t="s">
        <v>2744</v>
      </c>
      <c r="D2730" s="13">
        <v>59273.0</v>
      </c>
      <c r="E2730" s="4">
        <v>45370.0</v>
      </c>
      <c r="F2730" s="4" t="str">
        <f>IF(D2730="","", IFNA(VLOOKUP(D2730, SATCAT_DECAY!A:B, 2, FALSE), ""))
</f>
        <v/>
      </c>
      <c r="G2730" s="3" t="str">
        <f t="shared" si="1"/>
        <v>ACTIVE</v>
      </c>
    </row>
    <row r="2731" ht="22.5" customHeight="1">
      <c r="A2731" s="11" t="str">
        <f t="array" ref="A2731">IFERROR(
  INDEX('Starlink Launches'!$A:$A, MATCH($E2731, 'Starlink Launches'!$B:$B, 0)),
  ""
)
</f>
        <v>7-18</v>
      </c>
      <c r="B2731" s="3" t="s">
        <v>25</v>
      </c>
      <c r="C2731" s="12" t="s">
        <v>2745</v>
      </c>
      <c r="D2731" s="13">
        <v>59374.0</v>
      </c>
      <c r="E2731" s="4">
        <v>45384.0</v>
      </c>
      <c r="F2731" s="4" t="str">
        <f>IF(D2731="","", IFNA(VLOOKUP(D2731, SATCAT_DECAY!A:B, 2, FALSE), ""))
</f>
        <v/>
      </c>
      <c r="G2731" s="3" t="str">
        <f t="shared" si="1"/>
        <v>ACTIVE</v>
      </c>
    </row>
    <row r="2732" ht="22.5" customHeight="1">
      <c r="A2732" s="11" t="str">
        <f t="array" ref="A2732">IFERROR(
  INDEX('Starlink Launches'!$A:$A, MATCH($E2732, 'Starlink Launches'!$B:$B, 0)),
  ""
)
</f>
        <v>7-18</v>
      </c>
      <c r="B2732" s="3" t="s">
        <v>25</v>
      </c>
      <c r="C2732" s="12" t="s">
        <v>2746</v>
      </c>
      <c r="D2732" s="13">
        <v>59375.0</v>
      </c>
      <c r="E2732" s="4">
        <v>45384.0</v>
      </c>
      <c r="F2732" s="4" t="str">
        <f>IF(D2732="","", IFNA(VLOOKUP(D2732, SATCAT_DECAY!A:B, 2, FALSE), ""))
</f>
        <v/>
      </c>
      <c r="G2732" s="3" t="str">
        <f t="shared" si="1"/>
        <v>ACTIVE</v>
      </c>
    </row>
    <row r="2733" ht="22.5" customHeight="1">
      <c r="A2733" s="11" t="str">
        <f t="array" ref="A2733">IFERROR(
  INDEX('Starlink Launches'!$A:$A, MATCH($E2733, 'Starlink Launches'!$B:$B, 0)),
  ""
)
</f>
        <v>7-18</v>
      </c>
      <c r="B2733" s="3" t="s">
        <v>25</v>
      </c>
      <c r="C2733" s="12" t="s">
        <v>2747</v>
      </c>
      <c r="D2733" s="13">
        <v>59376.0</v>
      </c>
      <c r="E2733" s="4">
        <v>45384.0</v>
      </c>
      <c r="F2733" s="4" t="str">
        <f>IF(D2733="","", IFNA(VLOOKUP(D2733, SATCAT_DECAY!A:B, 2, FALSE), ""))
</f>
        <v/>
      </c>
      <c r="G2733" s="3" t="str">
        <f t="shared" si="1"/>
        <v>ACTIVE</v>
      </c>
    </row>
    <row r="2734" ht="22.5" customHeight="1">
      <c r="A2734" s="11" t="str">
        <f t="array" ref="A2734">IFERROR(
  INDEX('Starlink Launches'!$A:$A, MATCH($E2734, 'Starlink Launches'!$B:$B, 0)),
  ""
)
</f>
        <v>7-18</v>
      </c>
      <c r="B2734" s="3" t="s">
        <v>25</v>
      </c>
      <c r="C2734" s="12" t="s">
        <v>2748</v>
      </c>
      <c r="D2734" s="13">
        <v>59377.0</v>
      </c>
      <c r="E2734" s="4">
        <v>45384.0</v>
      </c>
      <c r="F2734" s="4" t="str">
        <f>IF(D2734="","", IFNA(VLOOKUP(D2734, SATCAT_DECAY!A:B, 2, FALSE), ""))
</f>
        <v/>
      </c>
      <c r="G2734" s="3" t="str">
        <f t="shared" si="1"/>
        <v>ACTIVE</v>
      </c>
    </row>
    <row r="2735" ht="22.5" customHeight="1">
      <c r="A2735" s="11" t="str">
        <f t="array" ref="A2735">IFERROR(
  INDEX('Starlink Launches'!$A:$A, MATCH($E2735, 'Starlink Launches'!$B:$B, 0)),
  ""
)
</f>
        <v>7-18</v>
      </c>
      <c r="B2735" s="3" t="s">
        <v>25</v>
      </c>
      <c r="C2735" s="12" t="s">
        <v>2749</v>
      </c>
      <c r="D2735" s="13">
        <v>59378.0</v>
      </c>
      <c r="E2735" s="4">
        <v>45384.0</v>
      </c>
      <c r="F2735" s="4" t="str">
        <f>IF(D2735="","", IFNA(VLOOKUP(D2735, SATCAT_DECAY!A:B, 2, FALSE), ""))
</f>
        <v/>
      </c>
      <c r="G2735" s="3" t="str">
        <f t="shared" si="1"/>
        <v>ACTIVE</v>
      </c>
    </row>
    <row r="2736" ht="22.5" customHeight="1">
      <c r="A2736" s="11" t="str">
        <f t="array" ref="A2736">IFERROR(
  INDEX('Starlink Launches'!$A:$A, MATCH($E2736, 'Starlink Launches'!$B:$B, 0)),
  ""
)
</f>
        <v>7-18</v>
      </c>
      <c r="B2736" s="3" t="s">
        <v>25</v>
      </c>
      <c r="C2736" s="12" t="s">
        <v>2750</v>
      </c>
      <c r="D2736" s="13">
        <v>59379.0</v>
      </c>
      <c r="E2736" s="4">
        <v>45384.0</v>
      </c>
      <c r="F2736" s="4" t="str">
        <f>IF(D2736="","", IFNA(VLOOKUP(D2736, SATCAT_DECAY!A:B, 2, FALSE), ""))
</f>
        <v/>
      </c>
      <c r="G2736" s="3" t="str">
        <f t="shared" si="1"/>
        <v>ACTIVE</v>
      </c>
    </row>
    <row r="2737" ht="22.5" customHeight="1">
      <c r="A2737" s="11" t="str">
        <f t="array" ref="A2737">IFERROR(
  INDEX('Starlink Launches'!$A:$A, MATCH($E2737, 'Starlink Launches'!$B:$B, 0)),
  ""
)
</f>
        <v>7-18</v>
      </c>
      <c r="B2737" s="3" t="s">
        <v>25</v>
      </c>
      <c r="C2737" s="12" t="s">
        <v>2751</v>
      </c>
      <c r="D2737" s="13">
        <v>59380.0</v>
      </c>
      <c r="E2737" s="4">
        <v>45384.0</v>
      </c>
      <c r="F2737" s="4" t="str">
        <f>IF(D2737="","", IFNA(VLOOKUP(D2737, SATCAT_DECAY!A:B, 2, FALSE), ""))
</f>
        <v/>
      </c>
      <c r="G2737" s="3" t="str">
        <f t="shared" si="1"/>
        <v>ACTIVE</v>
      </c>
    </row>
    <row r="2738" ht="22.5" customHeight="1">
      <c r="A2738" s="11" t="str">
        <f t="array" ref="A2738">IFERROR(
  INDEX('Starlink Launches'!$A:$A, MATCH($E2738, 'Starlink Launches'!$B:$B, 0)),
  ""
)
</f>
        <v>7-18</v>
      </c>
      <c r="B2738" s="3" t="s">
        <v>25</v>
      </c>
      <c r="C2738" s="12" t="s">
        <v>2752</v>
      </c>
      <c r="D2738" s="13">
        <v>59381.0</v>
      </c>
      <c r="E2738" s="4">
        <v>45384.0</v>
      </c>
      <c r="F2738" s="4" t="str">
        <f>IF(D2738="","", IFNA(VLOOKUP(D2738, SATCAT_DECAY!A:B, 2, FALSE), ""))
</f>
        <v/>
      </c>
      <c r="G2738" s="3" t="str">
        <f t="shared" si="1"/>
        <v>ACTIVE</v>
      </c>
    </row>
    <row r="2739" ht="22.5" customHeight="1">
      <c r="A2739" s="11" t="str">
        <f t="array" ref="A2739">IFERROR(
  INDEX('Starlink Launches'!$A:$A, MATCH($E2739, 'Starlink Launches'!$B:$B, 0)),
  ""
)
</f>
        <v>7-18</v>
      </c>
      <c r="B2739" s="3" t="s">
        <v>25</v>
      </c>
      <c r="C2739" s="12" t="s">
        <v>2753</v>
      </c>
      <c r="D2739" s="13">
        <v>59382.0</v>
      </c>
      <c r="E2739" s="4">
        <v>45384.0</v>
      </c>
      <c r="F2739" s="4" t="str">
        <f>IF(D2739="","", IFNA(VLOOKUP(D2739, SATCAT_DECAY!A:B, 2, FALSE), ""))
</f>
        <v/>
      </c>
      <c r="G2739" s="3" t="str">
        <f t="shared" si="1"/>
        <v>ACTIVE</v>
      </c>
    </row>
    <row r="2740" ht="22.5" customHeight="1">
      <c r="A2740" s="11" t="str">
        <f t="array" ref="A2740">IFERROR(
  INDEX('Starlink Launches'!$A:$A, MATCH($E2740, 'Starlink Launches'!$B:$B, 0)),
  ""
)
</f>
        <v>7-18</v>
      </c>
      <c r="B2740" s="3" t="s">
        <v>25</v>
      </c>
      <c r="C2740" s="12" t="s">
        <v>2754</v>
      </c>
      <c r="D2740" s="13">
        <v>59384.0</v>
      </c>
      <c r="E2740" s="4">
        <v>45384.0</v>
      </c>
      <c r="F2740" s="4" t="str">
        <f>IF(D2740="","", IFNA(VLOOKUP(D2740, SATCAT_DECAY!A:B, 2, FALSE), ""))
</f>
        <v/>
      </c>
      <c r="G2740" s="3" t="str">
        <f t="shared" si="1"/>
        <v>ACTIVE</v>
      </c>
    </row>
    <row r="2741" ht="22.5" customHeight="1">
      <c r="A2741" s="11" t="str">
        <f t="array" ref="A2741">IFERROR(
  INDEX('Starlink Launches'!$A:$A, MATCH($E2741, 'Starlink Launches'!$B:$B, 0)),
  ""
)
</f>
        <v>7-18</v>
      </c>
      <c r="B2741" s="3" t="s">
        <v>25</v>
      </c>
      <c r="C2741" s="12" t="s">
        <v>2755</v>
      </c>
      <c r="D2741" s="13">
        <v>59385.0</v>
      </c>
      <c r="E2741" s="4">
        <v>45384.0</v>
      </c>
      <c r="F2741" s="4" t="str">
        <f>IF(D2741="","", IFNA(VLOOKUP(D2741, SATCAT_DECAY!A:B, 2, FALSE), ""))
</f>
        <v/>
      </c>
      <c r="G2741" s="3" t="str">
        <f t="shared" si="1"/>
        <v>ACTIVE</v>
      </c>
    </row>
    <row r="2742" ht="22.5" customHeight="1">
      <c r="A2742" s="11" t="str">
        <f t="array" ref="A2742">IFERROR(
  INDEX('Starlink Launches'!$A:$A, MATCH($E2742, 'Starlink Launches'!$B:$B, 0)),
  ""
)
</f>
        <v>7-18</v>
      </c>
      <c r="B2742" s="3" t="s">
        <v>25</v>
      </c>
      <c r="C2742" s="12" t="s">
        <v>2756</v>
      </c>
      <c r="D2742" s="13">
        <v>59386.0</v>
      </c>
      <c r="E2742" s="4">
        <v>45384.0</v>
      </c>
      <c r="F2742" s="4" t="str">
        <f>IF(D2742="","", IFNA(VLOOKUP(D2742, SATCAT_DECAY!A:B, 2, FALSE), ""))
</f>
        <v/>
      </c>
      <c r="G2742" s="3" t="str">
        <f t="shared" si="1"/>
        <v>ACTIVE</v>
      </c>
    </row>
    <row r="2743" ht="22.5" customHeight="1">
      <c r="A2743" s="11" t="str">
        <f t="array" ref="A2743">IFERROR(
  INDEX('Starlink Launches'!$A:$A, MATCH($E2743, 'Starlink Launches'!$B:$B, 0)),
  ""
)
</f>
        <v>7-18</v>
      </c>
      <c r="B2743" s="3" t="s">
        <v>25</v>
      </c>
      <c r="C2743" s="12" t="s">
        <v>2757</v>
      </c>
      <c r="D2743" s="13">
        <v>59387.0</v>
      </c>
      <c r="E2743" s="4">
        <v>45384.0</v>
      </c>
      <c r="F2743" s="4" t="str">
        <f>IF(D2743="","", IFNA(VLOOKUP(D2743, SATCAT_DECAY!A:B, 2, FALSE), ""))
</f>
        <v/>
      </c>
      <c r="G2743" s="3" t="str">
        <f t="shared" si="1"/>
        <v>ACTIVE</v>
      </c>
    </row>
    <row r="2744" ht="22.5" customHeight="1">
      <c r="A2744" s="11" t="str">
        <f t="array" ref="A2744">IFERROR(
  INDEX('Starlink Launches'!$A:$A, MATCH($E2744, 'Starlink Launches'!$B:$B, 0)),
  ""
)
</f>
        <v>7-18</v>
      </c>
      <c r="B2744" s="3" t="s">
        <v>25</v>
      </c>
      <c r="C2744" s="12" t="s">
        <v>2758</v>
      </c>
      <c r="D2744" s="13">
        <v>59388.0</v>
      </c>
      <c r="E2744" s="4">
        <v>45384.0</v>
      </c>
      <c r="F2744" s="4" t="str">
        <f>IF(D2744="","", IFNA(VLOOKUP(D2744, SATCAT_DECAY!A:B, 2, FALSE), ""))
</f>
        <v/>
      </c>
      <c r="G2744" s="3" t="str">
        <f t="shared" si="1"/>
        <v>ACTIVE</v>
      </c>
    </row>
    <row r="2745" ht="22.5" customHeight="1">
      <c r="A2745" s="11" t="str">
        <f t="array" ref="A2745">IFERROR(
  INDEX('Starlink Launches'!$A:$A, MATCH($E2745, 'Starlink Launches'!$B:$B, 0)),
  ""
)
</f>
        <v>7-18</v>
      </c>
      <c r="B2745" s="3" t="s">
        <v>25</v>
      </c>
      <c r="C2745" s="12" t="s">
        <v>2759</v>
      </c>
      <c r="D2745" s="13">
        <v>59389.0</v>
      </c>
      <c r="E2745" s="4">
        <v>45384.0</v>
      </c>
      <c r="F2745" s="4" t="str">
        <f>IF(D2745="","", IFNA(VLOOKUP(D2745, SATCAT_DECAY!A:B, 2, FALSE), ""))
</f>
        <v/>
      </c>
      <c r="G2745" s="3" t="str">
        <f t="shared" si="1"/>
        <v>ACTIVE</v>
      </c>
    </row>
    <row r="2746" ht="22.5" customHeight="1">
      <c r="A2746" s="11" t="str">
        <f t="array" ref="A2746">IFERROR(
  INDEX('Starlink Launches'!$A:$A, MATCH($E2746, 'Starlink Launches'!$B:$B, 0)),
  ""
)
</f>
        <v>7-18</v>
      </c>
      <c r="B2746" s="3" t="s">
        <v>25</v>
      </c>
      <c r="C2746" s="12" t="s">
        <v>2760</v>
      </c>
      <c r="D2746" s="13">
        <v>59390.0</v>
      </c>
      <c r="E2746" s="4">
        <v>45384.0</v>
      </c>
      <c r="F2746" s="4" t="str">
        <f>IF(D2746="","", IFNA(VLOOKUP(D2746, SATCAT_DECAY!A:B, 2, FALSE), ""))
</f>
        <v/>
      </c>
      <c r="G2746" s="3" t="str">
        <f t="shared" si="1"/>
        <v>ACTIVE</v>
      </c>
    </row>
    <row r="2747" ht="22.5" customHeight="1">
      <c r="A2747" s="11" t="str">
        <f t="array" ref="A2747">IFERROR(
  INDEX('Starlink Launches'!$A:$A, MATCH($E2747, 'Starlink Launches'!$B:$B, 0)),
  ""
)
</f>
        <v>7-18</v>
      </c>
      <c r="B2747" s="3" t="s">
        <v>25</v>
      </c>
      <c r="C2747" s="12" t="s">
        <v>2761</v>
      </c>
      <c r="D2747" s="13">
        <v>59391.0</v>
      </c>
      <c r="E2747" s="4">
        <v>45384.0</v>
      </c>
      <c r="F2747" s="4" t="str">
        <f>IF(D2747="","", IFNA(VLOOKUP(D2747, SATCAT_DECAY!A:B, 2, FALSE), ""))
</f>
        <v/>
      </c>
      <c r="G2747" s="3" t="str">
        <f t="shared" si="1"/>
        <v>ACTIVE</v>
      </c>
    </row>
    <row r="2748" ht="22.5" customHeight="1">
      <c r="A2748" s="11" t="str">
        <f t="array" ref="A2748">IFERROR(
  INDEX('Starlink Launches'!$A:$A, MATCH($E2748, 'Starlink Launches'!$B:$B, 0)),
  ""
)
</f>
        <v>7-18</v>
      </c>
      <c r="B2748" s="3" t="s">
        <v>25</v>
      </c>
      <c r="C2748" s="12" t="s">
        <v>2762</v>
      </c>
      <c r="D2748" s="13">
        <v>59392.0</v>
      </c>
      <c r="E2748" s="4">
        <v>45384.0</v>
      </c>
      <c r="F2748" s="4" t="str">
        <f>IF(D2748="","", IFNA(VLOOKUP(D2748, SATCAT_DECAY!A:B, 2, FALSE), ""))
</f>
        <v/>
      </c>
      <c r="G2748" s="3" t="str">
        <f t="shared" si="1"/>
        <v>ACTIVE</v>
      </c>
    </row>
    <row r="2749" ht="22.5" customHeight="1">
      <c r="A2749" s="11" t="str">
        <f t="array" ref="A2749">IFERROR(
  INDEX('Starlink Launches'!$A:$A, MATCH($E2749, 'Starlink Launches'!$B:$B, 0)),
  ""
)
</f>
        <v>7-18</v>
      </c>
      <c r="B2749" s="3" t="s">
        <v>25</v>
      </c>
      <c r="C2749" s="12" t="s">
        <v>2763</v>
      </c>
      <c r="D2749" s="13">
        <v>59393.0</v>
      </c>
      <c r="E2749" s="4">
        <v>45384.0</v>
      </c>
      <c r="F2749" s="4" t="str">
        <f>IF(D2749="","", IFNA(VLOOKUP(D2749, SATCAT_DECAY!A:B, 2, FALSE), ""))
</f>
        <v/>
      </c>
      <c r="G2749" s="3" t="str">
        <f t="shared" si="1"/>
        <v>ACTIVE</v>
      </c>
    </row>
    <row r="2750" ht="22.5" customHeight="1">
      <c r="A2750" s="11" t="str">
        <f t="array" ref="A2750">IFERROR(
  INDEX('Starlink Launches'!$A:$A, MATCH($E2750, 'Starlink Launches'!$B:$B, 0)),
  ""
)
</f>
        <v>7-18</v>
      </c>
      <c r="B2750" s="3" t="s">
        <v>25</v>
      </c>
      <c r="C2750" s="12" t="s">
        <v>2764</v>
      </c>
      <c r="D2750" s="13">
        <v>59394.0</v>
      </c>
      <c r="E2750" s="4">
        <v>45384.0</v>
      </c>
      <c r="F2750" s="4" t="str">
        <f>IF(D2750="","", IFNA(VLOOKUP(D2750, SATCAT_DECAY!A:B, 2, FALSE), ""))
</f>
        <v/>
      </c>
      <c r="G2750" s="3" t="str">
        <f t="shared" si="1"/>
        <v>ACTIVE</v>
      </c>
    </row>
    <row r="2751" ht="22.5" customHeight="1">
      <c r="A2751" s="17" t="str">
        <f t="array" ref="A2751">IFERROR(
  INDEX('Starlink Launches'!$A:$A, MATCH($E2751, 'Starlink Launches'!$B:$B, 0)),
  ""
)
</f>
        <v>7-18</v>
      </c>
      <c r="B2751" s="9" t="s">
        <v>25</v>
      </c>
      <c r="C2751" s="18" t="s">
        <v>2765</v>
      </c>
      <c r="D2751" s="19">
        <v>59397.0</v>
      </c>
      <c r="E2751" s="10">
        <v>45384.0</v>
      </c>
      <c r="F2751" s="4" t="str">
        <f>IF(D2751="","", IFNA(VLOOKUP(D2751, SATCAT_DECAY!A:B, 2, FALSE), ""))
</f>
        <v/>
      </c>
      <c r="G2751" s="9" t="str">
        <f t="shared" si="1"/>
        <v>ACTIVE</v>
      </c>
    </row>
    <row r="2752" ht="22.5" customHeight="1">
      <c r="A2752" s="11" t="str">
        <f t="array" ref="A2752">IFERROR(
  INDEX('Starlink Launches'!$A:$A, MATCH($E2752, 'Starlink Launches'!$B:$B, 0)),
  ""
)
</f>
        <v>8-1</v>
      </c>
      <c r="B2752" s="3" t="s">
        <v>25</v>
      </c>
      <c r="C2752" s="12" t="s">
        <v>2766</v>
      </c>
      <c r="D2752" s="13">
        <v>59421.0</v>
      </c>
      <c r="E2752" s="4">
        <v>45389.0</v>
      </c>
      <c r="F2752" s="4" t="str">
        <f>IF(D2752="","", IFNA(VLOOKUP(D2752, SATCAT_DECAY!A:B, 2, FALSE), ""))
</f>
        <v/>
      </c>
      <c r="G2752" s="3" t="str">
        <f t="shared" si="1"/>
        <v>ACTIVE</v>
      </c>
    </row>
    <row r="2753" ht="22.5" customHeight="1">
      <c r="A2753" s="11" t="str">
        <f t="array" ref="A2753">IFERROR(
  INDEX('Starlink Launches'!$A:$A, MATCH($E2753, 'Starlink Launches'!$B:$B, 0)),
  ""
)
</f>
        <v>8-1</v>
      </c>
      <c r="B2753" s="3" t="s">
        <v>25</v>
      </c>
      <c r="C2753" s="12" t="s">
        <v>2767</v>
      </c>
      <c r="D2753" s="13">
        <v>59422.0</v>
      </c>
      <c r="E2753" s="4">
        <v>45389.0</v>
      </c>
      <c r="F2753" s="4" t="str">
        <f>IF(D2753="","", IFNA(VLOOKUP(D2753, SATCAT_DECAY!A:B, 2, FALSE), ""))
</f>
        <v/>
      </c>
      <c r="G2753" s="3" t="str">
        <f t="shared" si="1"/>
        <v>ACTIVE</v>
      </c>
    </row>
    <row r="2754" ht="22.5" customHeight="1">
      <c r="A2754" s="11" t="str">
        <f t="array" ref="A2754">IFERROR(
  INDEX('Starlink Launches'!$A:$A, MATCH($E2754, 'Starlink Launches'!$B:$B, 0)),
  ""
)
</f>
        <v>8-1</v>
      </c>
      <c r="B2754" s="3" t="s">
        <v>25</v>
      </c>
      <c r="C2754" s="12" t="s">
        <v>2768</v>
      </c>
      <c r="D2754" s="13">
        <v>59423.0</v>
      </c>
      <c r="E2754" s="4">
        <v>45389.0</v>
      </c>
      <c r="F2754" s="4" t="str">
        <f>IF(D2754="","", IFNA(VLOOKUP(D2754, SATCAT_DECAY!A:B, 2, FALSE), ""))
</f>
        <v/>
      </c>
      <c r="G2754" s="3" t="str">
        <f t="shared" si="1"/>
        <v>ACTIVE</v>
      </c>
    </row>
    <row r="2755" ht="22.5" customHeight="1">
      <c r="A2755" s="11" t="str">
        <f t="array" ref="A2755">IFERROR(
  INDEX('Starlink Launches'!$A:$A, MATCH($E2755, 'Starlink Launches'!$B:$B, 0)),
  ""
)
</f>
        <v>8-1</v>
      </c>
      <c r="B2755" s="3" t="s">
        <v>25</v>
      </c>
      <c r="C2755" s="12" t="s">
        <v>2769</v>
      </c>
      <c r="D2755" s="13">
        <v>59424.0</v>
      </c>
      <c r="E2755" s="4">
        <v>45389.0</v>
      </c>
      <c r="F2755" s="4" t="str">
        <f>IF(D2755="","", IFNA(VLOOKUP(D2755, SATCAT_DECAY!A:B, 2, FALSE), ""))
</f>
        <v/>
      </c>
      <c r="G2755" s="3" t="str">
        <f t="shared" si="1"/>
        <v>ACTIVE</v>
      </c>
    </row>
    <row r="2756" ht="22.5" customHeight="1">
      <c r="A2756" s="11" t="str">
        <f t="array" ref="A2756">IFERROR(
  INDEX('Starlink Launches'!$A:$A, MATCH($E2756, 'Starlink Launches'!$B:$B, 0)),
  ""
)
</f>
        <v>8-1</v>
      </c>
      <c r="B2756" s="3" t="s">
        <v>25</v>
      </c>
      <c r="C2756" s="12" t="s">
        <v>2770</v>
      </c>
      <c r="D2756" s="13">
        <v>59425.0</v>
      </c>
      <c r="E2756" s="4">
        <v>45389.0</v>
      </c>
      <c r="F2756" s="4" t="str">
        <f>IF(D2756="","", IFNA(VLOOKUP(D2756, SATCAT_DECAY!A:B, 2, FALSE), ""))
</f>
        <v/>
      </c>
      <c r="G2756" s="3" t="str">
        <f t="shared" si="1"/>
        <v>ACTIVE</v>
      </c>
    </row>
    <row r="2757" ht="22.5" customHeight="1">
      <c r="A2757" s="11" t="str">
        <f t="array" ref="A2757">IFERROR(
  INDEX('Starlink Launches'!$A:$A, MATCH($E2757, 'Starlink Launches'!$B:$B, 0)),
  ""
)
</f>
        <v>8-1</v>
      </c>
      <c r="B2757" s="3" t="s">
        <v>25</v>
      </c>
      <c r="C2757" s="12" t="s">
        <v>2771</v>
      </c>
      <c r="D2757" s="13">
        <v>59426.0</v>
      </c>
      <c r="E2757" s="4">
        <v>45389.0</v>
      </c>
      <c r="F2757" s="4" t="str">
        <f>IF(D2757="","", IFNA(VLOOKUP(D2757, SATCAT_DECAY!A:B, 2, FALSE), ""))
</f>
        <v/>
      </c>
      <c r="G2757" s="3" t="str">
        <f t="shared" si="1"/>
        <v>ACTIVE</v>
      </c>
    </row>
    <row r="2758" ht="22.5" customHeight="1">
      <c r="A2758" s="11" t="str">
        <f t="array" ref="A2758">IFERROR(
  INDEX('Starlink Launches'!$A:$A, MATCH($E2758, 'Starlink Launches'!$B:$B, 0)),
  ""
)
</f>
        <v>8-1</v>
      </c>
      <c r="B2758" s="3" t="s">
        <v>25</v>
      </c>
      <c r="C2758" s="12" t="s">
        <v>2772</v>
      </c>
      <c r="D2758" s="13">
        <v>59427.0</v>
      </c>
      <c r="E2758" s="4">
        <v>45389.0</v>
      </c>
      <c r="F2758" s="4" t="str">
        <f>IF(D2758="","", IFNA(VLOOKUP(D2758, SATCAT_DECAY!A:B, 2, FALSE), ""))
</f>
        <v/>
      </c>
      <c r="G2758" s="3" t="str">
        <f t="shared" si="1"/>
        <v>ACTIVE</v>
      </c>
    </row>
    <row r="2759" ht="22.5" customHeight="1">
      <c r="A2759" s="11" t="str">
        <f t="array" ref="A2759">IFERROR(
  INDEX('Starlink Launches'!$A:$A, MATCH($E2759, 'Starlink Launches'!$B:$B, 0)),
  ""
)
</f>
        <v>8-1</v>
      </c>
      <c r="B2759" s="3" t="s">
        <v>25</v>
      </c>
      <c r="C2759" s="12" t="s">
        <v>2773</v>
      </c>
      <c r="D2759" s="13">
        <v>59429.0</v>
      </c>
      <c r="E2759" s="4">
        <v>45389.0</v>
      </c>
      <c r="F2759" s="4" t="str">
        <f>IF(D2759="","", IFNA(VLOOKUP(D2759, SATCAT_DECAY!A:B, 2, FALSE), ""))
</f>
        <v/>
      </c>
      <c r="G2759" s="3" t="str">
        <f t="shared" si="1"/>
        <v>ACTIVE</v>
      </c>
    </row>
    <row r="2760" ht="22.5" customHeight="1">
      <c r="A2760" s="11" t="str">
        <f t="array" ref="A2760">IFERROR(
  INDEX('Starlink Launches'!$A:$A, MATCH($E2760, 'Starlink Launches'!$B:$B, 0)),
  ""
)
</f>
        <v>8-1</v>
      </c>
      <c r="B2760" s="3" t="s">
        <v>25</v>
      </c>
      <c r="C2760" s="12" t="s">
        <v>2774</v>
      </c>
      <c r="D2760" s="13">
        <v>59430.0</v>
      </c>
      <c r="E2760" s="4">
        <v>45389.0</v>
      </c>
      <c r="F2760" s="4" t="str">
        <f>IF(D2760="","", IFNA(VLOOKUP(D2760, SATCAT_DECAY!A:B, 2, FALSE), ""))
</f>
        <v/>
      </c>
      <c r="G2760" s="3" t="str">
        <f t="shared" si="1"/>
        <v>ACTIVE</v>
      </c>
    </row>
    <row r="2761" ht="22.5" customHeight="1">
      <c r="A2761" s="11" t="str">
        <f t="array" ref="A2761">IFERROR(
  INDEX('Starlink Launches'!$A:$A, MATCH($E2761, 'Starlink Launches'!$B:$B, 0)),
  ""
)
</f>
        <v>8-1</v>
      </c>
      <c r="B2761" s="3" t="s">
        <v>25</v>
      </c>
      <c r="C2761" s="12" t="s">
        <v>2775</v>
      </c>
      <c r="D2761" s="13">
        <v>59431.0</v>
      </c>
      <c r="E2761" s="4">
        <v>45389.0</v>
      </c>
      <c r="F2761" s="4" t="str">
        <f>IF(D2761="","", IFNA(VLOOKUP(D2761, SATCAT_DECAY!A:B, 2, FALSE), ""))
</f>
        <v/>
      </c>
      <c r="G2761" s="3" t="str">
        <f t="shared" si="1"/>
        <v>ACTIVE</v>
      </c>
    </row>
    <row r="2762" ht="22.5" customHeight="1">
      <c r="A2762" s="11" t="str">
        <f t="array" ref="A2762">IFERROR(
  INDEX('Starlink Launches'!$A:$A, MATCH($E2762, 'Starlink Launches'!$B:$B, 0)),
  ""
)
</f>
        <v>8-1</v>
      </c>
      <c r="B2762" s="3" t="s">
        <v>25</v>
      </c>
      <c r="C2762" s="12" t="s">
        <v>2776</v>
      </c>
      <c r="D2762" s="13">
        <v>59432.0</v>
      </c>
      <c r="E2762" s="4">
        <v>45389.0</v>
      </c>
      <c r="F2762" s="4" t="str">
        <f>IF(D2762="","", IFNA(VLOOKUP(D2762, SATCAT_DECAY!A:B, 2, FALSE), ""))
</f>
        <v/>
      </c>
      <c r="G2762" s="3" t="str">
        <f t="shared" si="1"/>
        <v>ACTIVE</v>
      </c>
    </row>
    <row r="2763" ht="22.5" customHeight="1">
      <c r="A2763" s="11" t="str">
        <f t="array" ref="A2763">IFERROR(
  INDEX('Starlink Launches'!$A:$A, MATCH($E2763, 'Starlink Launches'!$B:$B, 0)),
  ""
)
</f>
        <v>8-1</v>
      </c>
      <c r="B2763" s="3" t="s">
        <v>25</v>
      </c>
      <c r="C2763" s="12" t="s">
        <v>2777</v>
      </c>
      <c r="D2763" s="13">
        <v>59433.0</v>
      </c>
      <c r="E2763" s="4">
        <v>45389.0</v>
      </c>
      <c r="F2763" s="4" t="str">
        <f>IF(D2763="","", IFNA(VLOOKUP(D2763, SATCAT_DECAY!A:B, 2, FALSE), ""))
</f>
        <v/>
      </c>
      <c r="G2763" s="3" t="str">
        <f t="shared" si="1"/>
        <v>ACTIVE</v>
      </c>
    </row>
    <row r="2764" ht="22.5" customHeight="1">
      <c r="A2764" s="11" t="str">
        <f t="array" ref="A2764">IFERROR(
  INDEX('Starlink Launches'!$A:$A, MATCH($E2764, 'Starlink Launches'!$B:$B, 0)),
  ""
)
</f>
        <v>8-1</v>
      </c>
      <c r="B2764" s="3" t="s">
        <v>25</v>
      </c>
      <c r="C2764" s="12" t="s">
        <v>2778</v>
      </c>
      <c r="D2764" s="13">
        <v>59434.0</v>
      </c>
      <c r="E2764" s="4">
        <v>45389.0</v>
      </c>
      <c r="F2764" s="4" t="str">
        <f>IF(D2764="","", IFNA(VLOOKUP(D2764, SATCAT_DECAY!A:B, 2, FALSE), ""))
</f>
        <v/>
      </c>
      <c r="G2764" s="3" t="str">
        <f t="shared" si="1"/>
        <v>ACTIVE</v>
      </c>
    </row>
    <row r="2765" ht="22.5" customHeight="1">
      <c r="A2765" s="11" t="str">
        <f t="array" ref="A2765">IFERROR(
  INDEX('Starlink Launches'!$A:$A, MATCH($E2765, 'Starlink Launches'!$B:$B, 0)),
  ""
)
</f>
        <v>8-1</v>
      </c>
      <c r="B2765" s="3" t="s">
        <v>25</v>
      </c>
      <c r="C2765" s="12" t="s">
        <v>2779</v>
      </c>
      <c r="D2765" s="13">
        <v>59435.0</v>
      </c>
      <c r="E2765" s="4">
        <v>45389.0</v>
      </c>
      <c r="F2765" s="4" t="str">
        <f>IF(D2765="","", IFNA(VLOOKUP(D2765, SATCAT_DECAY!A:B, 2, FALSE), ""))
</f>
        <v/>
      </c>
      <c r="G2765" s="3" t="str">
        <f t="shared" si="1"/>
        <v>ACTIVE</v>
      </c>
    </row>
    <row r="2766" ht="22.5" customHeight="1">
      <c r="A2766" s="11" t="str">
        <f t="array" ref="A2766">IFERROR(
  INDEX('Starlink Launches'!$A:$A, MATCH($E2766, 'Starlink Launches'!$B:$B, 0)),
  ""
)
</f>
        <v>8-1</v>
      </c>
      <c r="B2766" s="3" t="s">
        <v>25</v>
      </c>
      <c r="C2766" s="12" t="s">
        <v>2780</v>
      </c>
      <c r="D2766" s="13">
        <v>59436.0</v>
      </c>
      <c r="E2766" s="4">
        <v>45389.0</v>
      </c>
      <c r="F2766" s="4" t="str">
        <f>IF(D2766="","", IFNA(VLOOKUP(D2766, SATCAT_DECAY!A:B, 2, FALSE), ""))
</f>
        <v/>
      </c>
      <c r="G2766" s="3" t="str">
        <f t="shared" si="1"/>
        <v>ACTIVE</v>
      </c>
    </row>
    <row r="2767" ht="22.5" customHeight="1">
      <c r="A2767" s="11" t="str">
        <f t="array" ref="A2767">IFERROR(
  INDEX('Starlink Launches'!$A:$A, MATCH($E2767, 'Starlink Launches'!$B:$B, 0)),
  ""
)
</f>
        <v>8-1</v>
      </c>
      <c r="B2767" s="3" t="s">
        <v>25</v>
      </c>
      <c r="C2767" s="12" t="s">
        <v>2781</v>
      </c>
      <c r="D2767" s="13">
        <v>59437.0</v>
      </c>
      <c r="E2767" s="4">
        <v>45389.0</v>
      </c>
      <c r="F2767" s="4" t="str">
        <f>IF(D2767="","", IFNA(VLOOKUP(D2767, SATCAT_DECAY!A:B, 2, FALSE), ""))
</f>
        <v/>
      </c>
      <c r="G2767" s="3" t="str">
        <f t="shared" si="1"/>
        <v>ACTIVE</v>
      </c>
    </row>
    <row r="2768" ht="22.5" customHeight="1">
      <c r="A2768" s="11" t="str">
        <f t="array" ref="A2768">IFERROR(
  INDEX('Starlink Launches'!$A:$A, MATCH($E2768, 'Starlink Launches'!$B:$B, 0)),
  ""
)
</f>
        <v>8-1</v>
      </c>
      <c r="B2768" s="3" t="s">
        <v>25</v>
      </c>
      <c r="C2768" s="12" t="s">
        <v>2782</v>
      </c>
      <c r="D2768" s="13">
        <v>59438.0</v>
      </c>
      <c r="E2768" s="4">
        <v>45389.0</v>
      </c>
      <c r="F2768" s="4" t="str">
        <f>IF(D2768="","", IFNA(VLOOKUP(D2768, SATCAT_DECAY!A:B, 2, FALSE), ""))
</f>
        <v/>
      </c>
      <c r="G2768" s="3" t="str">
        <f t="shared" si="1"/>
        <v>ACTIVE</v>
      </c>
    </row>
    <row r="2769" ht="22.5" customHeight="1">
      <c r="A2769" s="11" t="str">
        <f t="array" ref="A2769">IFERROR(
  INDEX('Starlink Launches'!$A:$A, MATCH($E2769, 'Starlink Launches'!$B:$B, 0)),
  ""
)
</f>
        <v>8-1</v>
      </c>
      <c r="B2769" s="3" t="s">
        <v>25</v>
      </c>
      <c r="C2769" s="12" t="s">
        <v>2783</v>
      </c>
      <c r="D2769" s="13">
        <v>59439.0</v>
      </c>
      <c r="E2769" s="4">
        <v>45389.0</v>
      </c>
      <c r="F2769" s="4" t="str">
        <f>IF(D2769="","", IFNA(VLOOKUP(D2769, SATCAT_DECAY!A:B, 2, FALSE), ""))
</f>
        <v/>
      </c>
      <c r="G2769" s="3" t="str">
        <f t="shared" si="1"/>
        <v>ACTIVE</v>
      </c>
    </row>
    <row r="2770" ht="22.5" customHeight="1">
      <c r="A2770" s="11" t="str">
        <f t="array" ref="A2770">IFERROR(
  INDEX('Starlink Launches'!$A:$A, MATCH($E2770, 'Starlink Launches'!$B:$B, 0)),
  ""
)
</f>
        <v>8-1</v>
      </c>
      <c r="B2770" s="3" t="s">
        <v>25</v>
      </c>
      <c r="C2770" s="12" t="s">
        <v>2784</v>
      </c>
      <c r="D2770" s="13">
        <v>59441.0</v>
      </c>
      <c r="E2770" s="4">
        <v>45389.0</v>
      </c>
      <c r="F2770" s="4" t="str">
        <f>IF(D2770="","", IFNA(VLOOKUP(D2770, SATCAT_DECAY!A:B, 2, FALSE), ""))
</f>
        <v/>
      </c>
      <c r="G2770" s="3" t="str">
        <f t="shared" si="1"/>
        <v>ACTIVE</v>
      </c>
    </row>
    <row r="2771" ht="22.5" customHeight="1">
      <c r="A2771" s="11" t="str">
        <f t="array" ref="A2771">IFERROR(
  INDEX('Starlink Launches'!$A:$A, MATCH($E2771, 'Starlink Launches'!$B:$B, 0)),
  ""
)
</f>
        <v>8-2</v>
      </c>
      <c r="B2771" s="3" t="s">
        <v>25</v>
      </c>
      <c r="C2771" s="12" t="s">
        <v>2785</v>
      </c>
      <c r="D2771" s="13">
        <v>59708.0</v>
      </c>
      <c r="E2771" s="4">
        <v>45422.0</v>
      </c>
      <c r="F2771" s="4" t="str">
        <f>IF(D2771="","", IFNA(VLOOKUP(D2771, SATCAT_DECAY!A:B, 2, FALSE), ""))
</f>
        <v/>
      </c>
      <c r="G2771" s="3" t="str">
        <f t="shared" si="1"/>
        <v>ACTIVE</v>
      </c>
    </row>
    <row r="2772" ht="22.5" customHeight="1">
      <c r="A2772" s="11" t="str">
        <f t="array" ref="A2772">IFERROR(
  INDEX('Starlink Launches'!$A:$A, MATCH($E2772, 'Starlink Launches'!$B:$B, 0)),
  ""
)
</f>
        <v>8-2</v>
      </c>
      <c r="B2772" s="3" t="s">
        <v>25</v>
      </c>
      <c r="C2772" s="12" t="s">
        <v>2786</v>
      </c>
      <c r="D2772" s="13">
        <v>59709.0</v>
      </c>
      <c r="E2772" s="4">
        <v>45422.0</v>
      </c>
      <c r="F2772" s="4" t="str">
        <f>IF(D2772="","", IFNA(VLOOKUP(D2772, SATCAT_DECAY!A:B, 2, FALSE), ""))
</f>
        <v/>
      </c>
      <c r="G2772" s="3" t="str">
        <f t="shared" si="1"/>
        <v>ACTIVE</v>
      </c>
    </row>
    <row r="2773" ht="22.5" customHeight="1">
      <c r="A2773" s="11" t="str">
        <f t="array" ref="A2773">IFERROR(
  INDEX('Starlink Launches'!$A:$A, MATCH($E2773, 'Starlink Launches'!$B:$B, 0)),
  ""
)
</f>
        <v>8-2</v>
      </c>
      <c r="B2773" s="3" t="s">
        <v>25</v>
      </c>
      <c r="C2773" s="12" t="s">
        <v>2787</v>
      </c>
      <c r="D2773" s="13">
        <v>59710.0</v>
      </c>
      <c r="E2773" s="4">
        <v>45422.0</v>
      </c>
      <c r="F2773" s="4" t="str">
        <f>IF(D2773="","", IFNA(VLOOKUP(D2773, SATCAT_DECAY!A:B, 2, FALSE), ""))
</f>
        <v/>
      </c>
      <c r="G2773" s="3" t="str">
        <f t="shared" si="1"/>
        <v>ACTIVE</v>
      </c>
    </row>
    <row r="2774" ht="22.5" customHeight="1">
      <c r="A2774" s="11" t="str">
        <f t="array" ref="A2774">IFERROR(
  INDEX('Starlink Launches'!$A:$A, MATCH($E2774, 'Starlink Launches'!$B:$B, 0)),
  ""
)
</f>
        <v>8-2</v>
      </c>
      <c r="B2774" s="3" t="s">
        <v>25</v>
      </c>
      <c r="C2774" s="12" t="s">
        <v>2788</v>
      </c>
      <c r="D2774" s="13">
        <v>59711.0</v>
      </c>
      <c r="E2774" s="4">
        <v>45422.0</v>
      </c>
      <c r="F2774" s="4" t="str">
        <f>IF(D2774="","", IFNA(VLOOKUP(D2774, SATCAT_DECAY!A:B, 2, FALSE), ""))
</f>
        <v/>
      </c>
      <c r="G2774" s="3" t="str">
        <f t="shared" si="1"/>
        <v>ACTIVE</v>
      </c>
    </row>
    <row r="2775" ht="22.5" customHeight="1">
      <c r="A2775" s="11" t="str">
        <f t="array" ref="A2775">IFERROR(
  INDEX('Starlink Launches'!$A:$A, MATCH($E2775, 'Starlink Launches'!$B:$B, 0)),
  ""
)
</f>
        <v>8-2</v>
      </c>
      <c r="B2775" s="3" t="s">
        <v>25</v>
      </c>
      <c r="C2775" s="12" t="s">
        <v>2789</v>
      </c>
      <c r="D2775" s="13">
        <v>59712.0</v>
      </c>
      <c r="E2775" s="4">
        <v>45422.0</v>
      </c>
      <c r="F2775" s="4" t="str">
        <f>IF(D2775="","", IFNA(VLOOKUP(D2775, SATCAT_DECAY!A:B, 2, FALSE), ""))
</f>
        <v/>
      </c>
      <c r="G2775" s="3" t="str">
        <f t="shared" si="1"/>
        <v>ACTIVE</v>
      </c>
    </row>
    <row r="2776" ht="22.5" customHeight="1">
      <c r="A2776" s="11" t="str">
        <f t="array" ref="A2776">IFERROR(
  INDEX('Starlink Launches'!$A:$A, MATCH($E2776, 'Starlink Launches'!$B:$B, 0)),
  ""
)
</f>
        <v>8-2</v>
      </c>
      <c r="B2776" s="3" t="s">
        <v>25</v>
      </c>
      <c r="C2776" s="12" t="s">
        <v>2790</v>
      </c>
      <c r="D2776" s="13">
        <v>59713.0</v>
      </c>
      <c r="E2776" s="4">
        <v>45422.0</v>
      </c>
      <c r="F2776" s="4" t="str">
        <f>IF(D2776="","", IFNA(VLOOKUP(D2776, SATCAT_DECAY!A:B, 2, FALSE), ""))
</f>
        <v/>
      </c>
      <c r="G2776" s="3" t="str">
        <f t="shared" si="1"/>
        <v>ACTIVE</v>
      </c>
    </row>
    <row r="2777" ht="22.5" customHeight="1">
      <c r="A2777" s="11" t="str">
        <f t="array" ref="A2777">IFERROR(
  INDEX('Starlink Launches'!$A:$A, MATCH($E2777, 'Starlink Launches'!$B:$B, 0)),
  ""
)
</f>
        <v>8-2</v>
      </c>
      <c r="B2777" s="3" t="s">
        <v>25</v>
      </c>
      <c r="C2777" s="12" t="s">
        <v>2791</v>
      </c>
      <c r="D2777" s="13">
        <v>59714.0</v>
      </c>
      <c r="E2777" s="4">
        <v>45422.0</v>
      </c>
      <c r="F2777" s="4" t="str">
        <f>IF(D2777="","", IFNA(VLOOKUP(D2777, SATCAT_DECAY!A:B, 2, FALSE), ""))
</f>
        <v/>
      </c>
      <c r="G2777" s="3" t="str">
        <f t="shared" si="1"/>
        <v>ACTIVE</v>
      </c>
    </row>
    <row r="2778" ht="22.5" customHeight="1">
      <c r="A2778" s="11" t="str">
        <f t="array" ref="A2778">IFERROR(
  INDEX('Starlink Launches'!$A:$A, MATCH($E2778, 'Starlink Launches'!$B:$B, 0)),
  ""
)
</f>
        <v>8-2</v>
      </c>
      <c r="B2778" s="3" t="s">
        <v>25</v>
      </c>
      <c r="C2778" s="12" t="s">
        <v>2792</v>
      </c>
      <c r="D2778" s="13">
        <v>59715.0</v>
      </c>
      <c r="E2778" s="4">
        <v>45422.0</v>
      </c>
      <c r="F2778" s="4" t="str">
        <f>IF(D2778="","", IFNA(VLOOKUP(D2778, SATCAT_DECAY!A:B, 2, FALSE), ""))
</f>
        <v/>
      </c>
      <c r="G2778" s="3" t="str">
        <f t="shared" si="1"/>
        <v>ACTIVE</v>
      </c>
    </row>
    <row r="2779" ht="22.5" customHeight="1">
      <c r="A2779" s="11" t="str">
        <f t="array" ref="A2779">IFERROR(
  INDEX('Starlink Launches'!$A:$A, MATCH($E2779, 'Starlink Launches'!$B:$B, 0)),
  ""
)
</f>
        <v>8-2</v>
      </c>
      <c r="B2779" s="3" t="s">
        <v>25</v>
      </c>
      <c r="C2779" s="12" t="s">
        <v>2793</v>
      </c>
      <c r="D2779" s="13">
        <v>59716.0</v>
      </c>
      <c r="E2779" s="4">
        <v>45422.0</v>
      </c>
      <c r="F2779" s="4" t="str">
        <f>IF(D2779="","", IFNA(VLOOKUP(D2779, SATCAT_DECAY!A:B, 2, FALSE), ""))
</f>
        <v/>
      </c>
      <c r="G2779" s="3" t="str">
        <f t="shared" si="1"/>
        <v>ACTIVE</v>
      </c>
    </row>
    <row r="2780" ht="22.5" customHeight="1">
      <c r="A2780" s="11" t="str">
        <f t="array" ref="A2780">IFERROR(
  INDEX('Starlink Launches'!$A:$A, MATCH($E2780, 'Starlink Launches'!$B:$B, 0)),
  ""
)
</f>
        <v>8-2</v>
      </c>
      <c r="B2780" s="3" t="s">
        <v>25</v>
      </c>
      <c r="C2780" s="12" t="s">
        <v>2794</v>
      </c>
      <c r="D2780" s="13">
        <v>59717.0</v>
      </c>
      <c r="E2780" s="4">
        <v>45422.0</v>
      </c>
      <c r="F2780" s="4" t="str">
        <f>IF(D2780="","", IFNA(VLOOKUP(D2780, SATCAT_DECAY!A:B, 2, FALSE), ""))
</f>
        <v/>
      </c>
      <c r="G2780" s="3" t="str">
        <f t="shared" si="1"/>
        <v>ACTIVE</v>
      </c>
    </row>
    <row r="2781" ht="22.5" customHeight="1">
      <c r="A2781" s="11" t="str">
        <f t="array" ref="A2781">IFERROR(
  INDEX('Starlink Launches'!$A:$A, MATCH($E2781, 'Starlink Launches'!$B:$B, 0)),
  ""
)
</f>
        <v>8-2</v>
      </c>
      <c r="B2781" s="3" t="s">
        <v>25</v>
      </c>
      <c r="C2781" s="12" t="s">
        <v>2795</v>
      </c>
      <c r="D2781" s="13">
        <v>59718.0</v>
      </c>
      <c r="E2781" s="4">
        <v>45422.0</v>
      </c>
      <c r="F2781" s="4" t="str">
        <f>IF(D2781="","", IFNA(VLOOKUP(D2781, SATCAT_DECAY!A:B, 2, FALSE), ""))
</f>
        <v/>
      </c>
      <c r="G2781" s="3" t="str">
        <f t="shared" si="1"/>
        <v>ACTIVE</v>
      </c>
    </row>
    <row r="2782" ht="22.5" customHeight="1">
      <c r="A2782" s="11" t="str">
        <f t="array" ref="A2782">IFERROR(
  INDEX('Starlink Launches'!$A:$A, MATCH($E2782, 'Starlink Launches'!$B:$B, 0)),
  ""
)
</f>
        <v>8-2</v>
      </c>
      <c r="B2782" s="3" t="s">
        <v>25</v>
      </c>
      <c r="C2782" s="12" t="s">
        <v>2796</v>
      </c>
      <c r="D2782" s="13">
        <v>59719.0</v>
      </c>
      <c r="E2782" s="4">
        <v>45422.0</v>
      </c>
      <c r="F2782" s="4" t="str">
        <f>IF(D2782="","", IFNA(VLOOKUP(D2782, SATCAT_DECAY!A:B, 2, FALSE), ""))
</f>
        <v/>
      </c>
      <c r="G2782" s="3" t="str">
        <f t="shared" si="1"/>
        <v>ACTIVE</v>
      </c>
    </row>
    <row r="2783" ht="22.5" customHeight="1">
      <c r="A2783" s="11" t="str">
        <f t="array" ref="A2783">IFERROR(
  INDEX('Starlink Launches'!$A:$A, MATCH($E2783, 'Starlink Launches'!$B:$B, 0)),
  ""
)
</f>
        <v>8-2</v>
      </c>
      <c r="B2783" s="3" t="s">
        <v>25</v>
      </c>
      <c r="C2783" s="12" t="s">
        <v>2797</v>
      </c>
      <c r="D2783" s="13">
        <v>59720.0</v>
      </c>
      <c r="E2783" s="4">
        <v>45422.0</v>
      </c>
      <c r="F2783" s="4" t="str">
        <f>IF(D2783="","", IFNA(VLOOKUP(D2783, SATCAT_DECAY!A:B, 2, FALSE), ""))
</f>
        <v/>
      </c>
      <c r="G2783" s="3" t="str">
        <f t="shared" si="1"/>
        <v>ACTIVE</v>
      </c>
    </row>
    <row r="2784" ht="22.5" customHeight="1">
      <c r="A2784" s="11" t="str">
        <f t="array" ref="A2784">IFERROR(
  INDEX('Starlink Launches'!$A:$A, MATCH($E2784, 'Starlink Launches'!$B:$B, 0)),
  ""
)
</f>
        <v>8-2</v>
      </c>
      <c r="B2784" s="3" t="s">
        <v>25</v>
      </c>
      <c r="C2784" s="12" t="s">
        <v>2798</v>
      </c>
      <c r="D2784" s="13">
        <v>59721.0</v>
      </c>
      <c r="E2784" s="4">
        <v>45422.0</v>
      </c>
      <c r="F2784" s="4" t="str">
        <f>IF(D2784="","", IFNA(VLOOKUP(D2784, SATCAT_DECAY!A:B, 2, FALSE), ""))
</f>
        <v/>
      </c>
      <c r="G2784" s="3" t="str">
        <f t="shared" si="1"/>
        <v>ACTIVE</v>
      </c>
    </row>
    <row r="2785" ht="22.5" customHeight="1">
      <c r="A2785" s="11" t="str">
        <f t="array" ref="A2785">IFERROR(
  INDEX('Starlink Launches'!$A:$A, MATCH($E2785, 'Starlink Launches'!$B:$B, 0)),
  ""
)
</f>
        <v>8-2</v>
      </c>
      <c r="B2785" s="3" t="s">
        <v>25</v>
      </c>
      <c r="C2785" s="12" t="s">
        <v>2799</v>
      </c>
      <c r="D2785" s="13">
        <v>59722.0</v>
      </c>
      <c r="E2785" s="4">
        <v>45422.0</v>
      </c>
      <c r="F2785" s="4" t="str">
        <f>IF(D2785="","", IFNA(VLOOKUP(D2785, SATCAT_DECAY!A:B, 2, FALSE), ""))
</f>
        <v/>
      </c>
      <c r="G2785" s="3" t="str">
        <f t="shared" si="1"/>
        <v>ACTIVE</v>
      </c>
    </row>
    <row r="2786" ht="22.5" customHeight="1">
      <c r="A2786" s="11" t="str">
        <f t="array" ref="A2786">IFERROR(
  INDEX('Starlink Launches'!$A:$A, MATCH($E2786, 'Starlink Launches'!$B:$B, 0)),
  ""
)
</f>
        <v>8-2</v>
      </c>
      <c r="B2786" s="3" t="s">
        <v>25</v>
      </c>
      <c r="C2786" s="12" t="s">
        <v>2800</v>
      </c>
      <c r="D2786" s="13">
        <v>59723.0</v>
      </c>
      <c r="E2786" s="4">
        <v>45422.0</v>
      </c>
      <c r="F2786" s="4" t="str">
        <f>IF(D2786="","", IFNA(VLOOKUP(D2786, SATCAT_DECAY!A:B, 2, FALSE), ""))
</f>
        <v/>
      </c>
      <c r="G2786" s="3" t="str">
        <f t="shared" si="1"/>
        <v>ACTIVE</v>
      </c>
    </row>
    <row r="2787" ht="22.5" customHeight="1">
      <c r="A2787" s="11" t="str">
        <f t="array" ref="A2787">IFERROR(
  INDEX('Starlink Launches'!$A:$A, MATCH($E2787, 'Starlink Launches'!$B:$B, 0)),
  ""
)
</f>
        <v>8-2</v>
      </c>
      <c r="B2787" s="3" t="s">
        <v>25</v>
      </c>
      <c r="C2787" s="12" t="s">
        <v>2801</v>
      </c>
      <c r="D2787" s="13">
        <v>59724.0</v>
      </c>
      <c r="E2787" s="4">
        <v>45422.0</v>
      </c>
      <c r="F2787" s="4" t="str">
        <f>IF(D2787="","", IFNA(VLOOKUP(D2787, SATCAT_DECAY!A:B, 2, FALSE), ""))
</f>
        <v/>
      </c>
      <c r="G2787" s="3" t="str">
        <f t="shared" si="1"/>
        <v>ACTIVE</v>
      </c>
    </row>
    <row r="2788" ht="22.5" customHeight="1">
      <c r="A2788" s="11" t="str">
        <f t="array" ref="A2788">IFERROR(
  INDEX('Starlink Launches'!$A:$A, MATCH($E2788, 'Starlink Launches'!$B:$B, 0)),
  ""
)
</f>
        <v>8-2</v>
      </c>
      <c r="B2788" s="3" t="s">
        <v>25</v>
      </c>
      <c r="C2788" s="12" t="s">
        <v>2802</v>
      </c>
      <c r="D2788" s="13">
        <v>59725.0</v>
      </c>
      <c r="E2788" s="4">
        <v>45422.0</v>
      </c>
      <c r="F2788" s="4" t="str">
        <f>IF(D2788="","", IFNA(VLOOKUP(D2788, SATCAT_DECAY!A:B, 2, FALSE), ""))
</f>
        <v/>
      </c>
      <c r="G2788" s="3" t="str">
        <f t="shared" si="1"/>
        <v>ACTIVE</v>
      </c>
    </row>
    <row r="2789" ht="22.5" customHeight="1">
      <c r="A2789" s="11" t="str">
        <f t="array" ref="A2789">IFERROR(
  INDEX('Starlink Launches'!$A:$A, MATCH($E2789, 'Starlink Launches'!$B:$B, 0)),
  ""
)
</f>
        <v>8-2</v>
      </c>
      <c r="B2789" s="3" t="s">
        <v>25</v>
      </c>
      <c r="C2789" s="12" t="s">
        <v>2803</v>
      </c>
      <c r="D2789" s="13">
        <v>59726.0</v>
      </c>
      <c r="E2789" s="4">
        <v>45422.0</v>
      </c>
      <c r="F2789" s="4" t="str">
        <f>IF(D2789="","", IFNA(VLOOKUP(D2789, SATCAT_DECAY!A:B, 2, FALSE), ""))
</f>
        <v/>
      </c>
      <c r="G2789" s="3" t="str">
        <f t="shared" si="1"/>
        <v>ACTIVE</v>
      </c>
    </row>
    <row r="2790" ht="22.5" customHeight="1">
      <c r="A2790" s="11" t="str">
        <f t="array" ref="A2790">IFERROR(
  INDEX('Starlink Launches'!$A:$A, MATCH($E2790, 'Starlink Launches'!$B:$B, 0)),
  ""
)
</f>
        <v>8-2</v>
      </c>
      <c r="B2790" s="3" t="s">
        <v>25</v>
      </c>
      <c r="C2790" s="12" t="s">
        <v>2804</v>
      </c>
      <c r="D2790" s="13">
        <v>59727.0</v>
      </c>
      <c r="E2790" s="4">
        <v>45422.0</v>
      </c>
      <c r="F2790" s="4" t="str">
        <f>IF(D2790="","", IFNA(VLOOKUP(D2790, SATCAT_DECAY!A:B, 2, FALSE), ""))
</f>
        <v/>
      </c>
      <c r="G2790" s="3" t="str">
        <f t="shared" si="1"/>
        <v>ACTIVE</v>
      </c>
    </row>
    <row r="2791" ht="22.5" customHeight="1">
      <c r="A2791" s="11" t="str">
        <f t="array" ref="A2791">IFERROR(
  INDEX('Starlink Launches'!$A:$A, MATCH($E2791, 'Starlink Launches'!$B:$B, 0)),
  ""
)
</f>
        <v>8-7</v>
      </c>
      <c r="B2791" s="3" t="s">
        <v>25</v>
      </c>
      <c r="C2791" s="12" t="s">
        <v>2805</v>
      </c>
      <c r="D2791" s="13">
        <v>59754.0</v>
      </c>
      <c r="E2791" s="4">
        <v>45426.0</v>
      </c>
      <c r="F2791" s="4" t="str">
        <f>IF(D2791="","", IFNA(VLOOKUP(D2791, SATCAT_DECAY!A:B, 2, FALSE), ""))
</f>
        <v/>
      </c>
      <c r="G2791" s="3" t="str">
        <f t="shared" si="1"/>
        <v>ACTIVE</v>
      </c>
    </row>
    <row r="2792" ht="22.5" customHeight="1">
      <c r="A2792" s="11" t="str">
        <f t="array" ref="A2792">IFERROR(
  INDEX('Starlink Launches'!$A:$A, MATCH($E2792, 'Starlink Launches'!$B:$B, 0)),
  ""
)
</f>
        <v>8-7</v>
      </c>
      <c r="B2792" s="3" t="s">
        <v>25</v>
      </c>
      <c r="C2792" s="12" t="s">
        <v>2806</v>
      </c>
      <c r="D2792" s="13">
        <v>59755.0</v>
      </c>
      <c r="E2792" s="4">
        <v>45426.0</v>
      </c>
      <c r="F2792" s="4" t="str">
        <f>IF(D2792="","", IFNA(VLOOKUP(D2792, SATCAT_DECAY!A:B, 2, FALSE), ""))
</f>
        <v/>
      </c>
      <c r="G2792" s="3" t="str">
        <f t="shared" si="1"/>
        <v>ACTIVE</v>
      </c>
    </row>
    <row r="2793" ht="22.5" customHeight="1">
      <c r="A2793" s="11" t="str">
        <f t="array" ref="A2793">IFERROR(
  INDEX('Starlink Launches'!$A:$A, MATCH($E2793, 'Starlink Launches'!$B:$B, 0)),
  ""
)
</f>
        <v>8-7</v>
      </c>
      <c r="B2793" s="3" t="s">
        <v>25</v>
      </c>
      <c r="C2793" s="12" t="s">
        <v>2807</v>
      </c>
      <c r="D2793" s="13">
        <v>59756.0</v>
      </c>
      <c r="E2793" s="4">
        <v>45426.0</v>
      </c>
      <c r="F2793" s="4" t="str">
        <f>IF(D2793="","", IFNA(VLOOKUP(D2793, SATCAT_DECAY!A:B, 2, FALSE), ""))
</f>
        <v/>
      </c>
      <c r="G2793" s="3" t="str">
        <f t="shared" si="1"/>
        <v>ACTIVE</v>
      </c>
    </row>
    <row r="2794" ht="22.5" customHeight="1">
      <c r="A2794" s="11" t="str">
        <f t="array" ref="A2794">IFERROR(
  INDEX('Starlink Launches'!$A:$A, MATCH($E2794, 'Starlink Launches'!$B:$B, 0)),
  ""
)
</f>
        <v>8-7</v>
      </c>
      <c r="B2794" s="3" t="s">
        <v>25</v>
      </c>
      <c r="C2794" s="12" t="s">
        <v>2808</v>
      </c>
      <c r="D2794" s="13">
        <v>59757.0</v>
      </c>
      <c r="E2794" s="4">
        <v>45426.0</v>
      </c>
      <c r="F2794" s="4" t="str">
        <f>IF(D2794="","", IFNA(VLOOKUP(D2794, SATCAT_DECAY!A:B, 2, FALSE), ""))
</f>
        <v/>
      </c>
      <c r="G2794" s="3" t="str">
        <f t="shared" si="1"/>
        <v>ACTIVE</v>
      </c>
    </row>
    <row r="2795" ht="22.5" customHeight="1">
      <c r="A2795" s="11" t="str">
        <f t="array" ref="A2795">IFERROR(
  INDEX('Starlink Launches'!$A:$A, MATCH($E2795, 'Starlink Launches'!$B:$B, 0)),
  ""
)
</f>
        <v>8-7</v>
      </c>
      <c r="B2795" s="3" t="s">
        <v>25</v>
      </c>
      <c r="C2795" s="12" t="s">
        <v>2809</v>
      </c>
      <c r="D2795" s="13">
        <v>59758.0</v>
      </c>
      <c r="E2795" s="4">
        <v>45426.0</v>
      </c>
      <c r="F2795" s="4" t="str">
        <f>IF(D2795="","", IFNA(VLOOKUP(D2795, SATCAT_DECAY!A:B, 2, FALSE), ""))
</f>
        <v/>
      </c>
      <c r="G2795" s="3" t="str">
        <f t="shared" si="1"/>
        <v>ACTIVE</v>
      </c>
    </row>
    <row r="2796" ht="22.5" customHeight="1">
      <c r="A2796" s="11" t="str">
        <f t="array" ref="A2796">IFERROR(
  INDEX('Starlink Launches'!$A:$A, MATCH($E2796, 'Starlink Launches'!$B:$B, 0)),
  ""
)
</f>
        <v>8-7</v>
      </c>
      <c r="B2796" s="3" t="s">
        <v>25</v>
      </c>
      <c r="C2796" s="12" t="s">
        <v>2810</v>
      </c>
      <c r="D2796" s="13">
        <v>59759.0</v>
      </c>
      <c r="E2796" s="4">
        <v>45426.0</v>
      </c>
      <c r="F2796" s="4" t="str">
        <f>IF(D2796="","", IFNA(VLOOKUP(D2796, SATCAT_DECAY!A:B, 2, FALSE), ""))
</f>
        <v/>
      </c>
      <c r="G2796" s="3" t="str">
        <f t="shared" si="1"/>
        <v>ACTIVE</v>
      </c>
    </row>
    <row r="2797" ht="22.5" customHeight="1">
      <c r="A2797" s="11" t="str">
        <f t="array" ref="A2797">IFERROR(
  INDEX('Starlink Launches'!$A:$A, MATCH($E2797, 'Starlink Launches'!$B:$B, 0)),
  ""
)
</f>
        <v>8-7</v>
      </c>
      <c r="B2797" s="3" t="s">
        <v>25</v>
      </c>
      <c r="C2797" s="12" t="s">
        <v>2811</v>
      </c>
      <c r="D2797" s="13">
        <v>59760.0</v>
      </c>
      <c r="E2797" s="4">
        <v>45426.0</v>
      </c>
      <c r="F2797" s="4" t="str">
        <f>IF(D2797="","", IFNA(VLOOKUP(D2797, SATCAT_DECAY!A:B, 2, FALSE), ""))
</f>
        <v/>
      </c>
      <c r="G2797" s="3" t="str">
        <f t="shared" si="1"/>
        <v>ACTIVE</v>
      </c>
    </row>
    <row r="2798" ht="22.5" customHeight="1">
      <c r="A2798" s="11" t="str">
        <f t="array" ref="A2798">IFERROR(
  INDEX('Starlink Launches'!$A:$A, MATCH($E2798, 'Starlink Launches'!$B:$B, 0)),
  ""
)
</f>
        <v>8-7</v>
      </c>
      <c r="B2798" s="3" t="s">
        <v>25</v>
      </c>
      <c r="C2798" s="12" t="s">
        <v>2812</v>
      </c>
      <c r="D2798" s="13">
        <v>59761.0</v>
      </c>
      <c r="E2798" s="4">
        <v>45426.0</v>
      </c>
      <c r="F2798" s="4" t="str">
        <f>IF(D2798="","", IFNA(VLOOKUP(D2798, SATCAT_DECAY!A:B, 2, FALSE), ""))
</f>
        <v/>
      </c>
      <c r="G2798" s="3" t="str">
        <f t="shared" si="1"/>
        <v>ACTIVE</v>
      </c>
    </row>
    <row r="2799" ht="22.5" customHeight="1">
      <c r="A2799" s="11" t="str">
        <f t="array" ref="A2799">IFERROR(
  INDEX('Starlink Launches'!$A:$A, MATCH($E2799, 'Starlink Launches'!$B:$B, 0)),
  ""
)
</f>
        <v>8-7</v>
      </c>
      <c r="B2799" s="3" t="s">
        <v>25</v>
      </c>
      <c r="C2799" s="12" t="s">
        <v>2813</v>
      </c>
      <c r="D2799" s="13">
        <v>59762.0</v>
      </c>
      <c r="E2799" s="4">
        <v>45426.0</v>
      </c>
      <c r="F2799" s="4" t="str">
        <f>IF(D2799="","", IFNA(VLOOKUP(D2799, SATCAT_DECAY!A:B, 2, FALSE), ""))
</f>
        <v/>
      </c>
      <c r="G2799" s="3" t="str">
        <f t="shared" si="1"/>
        <v>ACTIVE</v>
      </c>
    </row>
    <row r="2800" ht="22.5" customHeight="1">
      <c r="A2800" s="11" t="str">
        <f t="array" ref="A2800">IFERROR(
  INDEX('Starlink Launches'!$A:$A, MATCH($E2800, 'Starlink Launches'!$B:$B, 0)),
  ""
)
</f>
        <v>8-7</v>
      </c>
      <c r="B2800" s="3" t="s">
        <v>25</v>
      </c>
      <c r="C2800" s="12" t="s">
        <v>2814</v>
      </c>
      <c r="D2800" s="13">
        <v>59763.0</v>
      </c>
      <c r="E2800" s="4">
        <v>45426.0</v>
      </c>
      <c r="F2800" s="4" t="str">
        <f>IF(D2800="","", IFNA(VLOOKUP(D2800, SATCAT_DECAY!A:B, 2, FALSE), ""))
</f>
        <v/>
      </c>
      <c r="G2800" s="3" t="str">
        <f t="shared" si="1"/>
        <v>ACTIVE</v>
      </c>
    </row>
    <row r="2801" ht="22.5" customHeight="1">
      <c r="A2801" s="11" t="str">
        <f t="array" ref="A2801">IFERROR(
  INDEX('Starlink Launches'!$A:$A, MATCH($E2801, 'Starlink Launches'!$B:$B, 0)),
  ""
)
</f>
        <v>8-7</v>
      </c>
      <c r="B2801" s="3" t="s">
        <v>25</v>
      </c>
      <c r="C2801" s="12" t="s">
        <v>2815</v>
      </c>
      <c r="D2801" s="13">
        <v>59764.0</v>
      </c>
      <c r="E2801" s="4">
        <v>45426.0</v>
      </c>
      <c r="F2801" s="4" t="str">
        <f>IF(D2801="","", IFNA(VLOOKUP(D2801, SATCAT_DECAY!A:B, 2, FALSE), ""))
</f>
        <v/>
      </c>
      <c r="G2801" s="3" t="str">
        <f t="shared" si="1"/>
        <v>ACTIVE</v>
      </c>
    </row>
    <row r="2802" ht="22.5" customHeight="1">
      <c r="A2802" s="11" t="str">
        <f t="array" ref="A2802">IFERROR(
  INDEX('Starlink Launches'!$A:$A, MATCH($E2802, 'Starlink Launches'!$B:$B, 0)),
  ""
)
</f>
        <v>8-7</v>
      </c>
      <c r="B2802" s="3" t="s">
        <v>25</v>
      </c>
      <c r="C2802" s="12" t="s">
        <v>2816</v>
      </c>
      <c r="D2802" s="13">
        <v>59765.0</v>
      </c>
      <c r="E2802" s="4">
        <v>45426.0</v>
      </c>
      <c r="F2802" s="4" t="str">
        <f>IF(D2802="","", IFNA(VLOOKUP(D2802, SATCAT_DECAY!A:B, 2, FALSE), ""))
</f>
        <v/>
      </c>
      <c r="G2802" s="3" t="str">
        <f t="shared" si="1"/>
        <v>ACTIVE</v>
      </c>
    </row>
    <row r="2803" ht="22.5" customHeight="1">
      <c r="A2803" s="11" t="str">
        <f t="array" ref="A2803">IFERROR(
  INDEX('Starlink Launches'!$A:$A, MATCH($E2803, 'Starlink Launches'!$B:$B, 0)),
  ""
)
</f>
        <v>8-7</v>
      </c>
      <c r="B2803" s="3" t="s">
        <v>25</v>
      </c>
      <c r="C2803" s="12" t="s">
        <v>2817</v>
      </c>
      <c r="D2803" s="13">
        <v>59766.0</v>
      </c>
      <c r="E2803" s="4">
        <v>45426.0</v>
      </c>
      <c r="F2803" s="4" t="str">
        <f>IF(D2803="","", IFNA(VLOOKUP(D2803, SATCAT_DECAY!A:B, 2, FALSE), ""))
</f>
        <v/>
      </c>
      <c r="G2803" s="3" t="str">
        <f t="shared" si="1"/>
        <v>ACTIVE</v>
      </c>
    </row>
    <row r="2804" ht="22.5" customHeight="1">
      <c r="A2804" s="11" t="str">
        <f t="array" ref="A2804">IFERROR(
  INDEX('Starlink Launches'!$A:$A, MATCH($E2804, 'Starlink Launches'!$B:$B, 0)),
  ""
)
</f>
        <v>8-7</v>
      </c>
      <c r="B2804" s="3" t="s">
        <v>25</v>
      </c>
      <c r="C2804" s="12" t="s">
        <v>2818</v>
      </c>
      <c r="D2804" s="13">
        <v>59767.0</v>
      </c>
      <c r="E2804" s="4">
        <v>45426.0</v>
      </c>
      <c r="F2804" s="4" t="str">
        <f>IF(D2804="","", IFNA(VLOOKUP(D2804, SATCAT_DECAY!A:B, 2, FALSE), ""))
</f>
        <v/>
      </c>
      <c r="G2804" s="3" t="str">
        <f t="shared" si="1"/>
        <v>ACTIVE</v>
      </c>
    </row>
    <row r="2805" ht="22.5" customHeight="1">
      <c r="A2805" s="11" t="str">
        <f t="array" ref="A2805">IFERROR(
  INDEX('Starlink Launches'!$A:$A, MATCH($E2805, 'Starlink Launches'!$B:$B, 0)),
  ""
)
</f>
        <v>8-7</v>
      </c>
      <c r="B2805" s="3" t="s">
        <v>25</v>
      </c>
      <c r="C2805" s="12" t="s">
        <v>2819</v>
      </c>
      <c r="D2805" s="13">
        <v>59768.0</v>
      </c>
      <c r="E2805" s="4">
        <v>45426.0</v>
      </c>
      <c r="F2805" s="4" t="str">
        <f>IF(D2805="","", IFNA(VLOOKUP(D2805, SATCAT_DECAY!A:B, 2, FALSE), ""))
</f>
        <v/>
      </c>
      <c r="G2805" s="3" t="str">
        <f t="shared" si="1"/>
        <v>ACTIVE</v>
      </c>
    </row>
    <row r="2806" ht="22.5" customHeight="1">
      <c r="A2806" s="11" t="str">
        <f t="array" ref="A2806">IFERROR(
  INDEX('Starlink Launches'!$A:$A, MATCH($E2806, 'Starlink Launches'!$B:$B, 0)),
  ""
)
</f>
        <v>8-7</v>
      </c>
      <c r="B2806" s="3" t="s">
        <v>25</v>
      </c>
      <c r="C2806" s="12" t="s">
        <v>2820</v>
      </c>
      <c r="D2806" s="13">
        <v>59769.0</v>
      </c>
      <c r="E2806" s="4">
        <v>45426.0</v>
      </c>
      <c r="F2806" s="4" t="str">
        <f>IF(D2806="","", IFNA(VLOOKUP(D2806, SATCAT_DECAY!A:B, 2, FALSE), ""))
</f>
        <v/>
      </c>
      <c r="G2806" s="3" t="str">
        <f t="shared" si="1"/>
        <v>ACTIVE</v>
      </c>
    </row>
    <row r="2807" ht="22.5" customHeight="1">
      <c r="A2807" s="11" t="str">
        <f t="array" ref="A2807">IFERROR(
  INDEX('Starlink Launches'!$A:$A, MATCH($E2807, 'Starlink Launches'!$B:$B, 0)),
  ""
)
</f>
        <v>8-7</v>
      </c>
      <c r="B2807" s="3" t="s">
        <v>25</v>
      </c>
      <c r="C2807" s="12" t="s">
        <v>2821</v>
      </c>
      <c r="D2807" s="13">
        <v>59770.0</v>
      </c>
      <c r="E2807" s="4">
        <v>45426.0</v>
      </c>
      <c r="F2807" s="4" t="str">
        <f>IF(D2807="","", IFNA(VLOOKUP(D2807, SATCAT_DECAY!A:B, 2, FALSE), ""))
</f>
        <v/>
      </c>
      <c r="G2807" s="3" t="str">
        <f t="shared" si="1"/>
        <v>ACTIVE</v>
      </c>
    </row>
    <row r="2808" ht="22.5" customHeight="1">
      <c r="A2808" s="11" t="str">
        <f t="array" ref="A2808">IFERROR(
  INDEX('Starlink Launches'!$A:$A, MATCH($E2808, 'Starlink Launches'!$B:$B, 0)),
  ""
)
</f>
        <v>8-7</v>
      </c>
      <c r="B2808" s="3" t="s">
        <v>25</v>
      </c>
      <c r="C2808" s="12" t="s">
        <v>2822</v>
      </c>
      <c r="D2808" s="13">
        <v>59771.0</v>
      </c>
      <c r="E2808" s="4">
        <v>45426.0</v>
      </c>
      <c r="F2808" s="4" t="str">
        <f>IF(D2808="","", IFNA(VLOOKUP(D2808, SATCAT_DECAY!A:B, 2, FALSE), ""))
</f>
        <v/>
      </c>
      <c r="G2808" s="3" t="str">
        <f t="shared" si="1"/>
        <v>ACTIVE</v>
      </c>
    </row>
    <row r="2809" ht="22.5" customHeight="1">
      <c r="A2809" s="11" t="str">
        <f t="array" ref="A2809">IFERROR(
  INDEX('Starlink Launches'!$A:$A, MATCH($E2809, 'Starlink Launches'!$B:$B, 0)),
  ""
)
</f>
        <v>8-7</v>
      </c>
      <c r="B2809" s="3" t="s">
        <v>25</v>
      </c>
      <c r="C2809" s="12" t="s">
        <v>2823</v>
      </c>
      <c r="D2809" s="13">
        <v>59772.0</v>
      </c>
      <c r="E2809" s="4">
        <v>45426.0</v>
      </c>
      <c r="F2809" s="4" t="str">
        <f>IF(D2809="","", IFNA(VLOOKUP(D2809, SATCAT_DECAY!A:B, 2, FALSE), ""))
</f>
        <v/>
      </c>
      <c r="G2809" s="3" t="str">
        <f t="shared" si="1"/>
        <v>ACTIVE</v>
      </c>
    </row>
    <row r="2810" ht="22.5" customHeight="1">
      <c r="A2810" s="11" t="str">
        <f t="array" ref="A2810">IFERROR(
  INDEX('Starlink Launches'!$A:$A, MATCH($E2810, 'Starlink Launches'!$B:$B, 0)),
  ""
)
</f>
        <v>8-5</v>
      </c>
      <c r="B2810" s="3" t="s">
        <v>25</v>
      </c>
      <c r="C2810" s="12" t="s">
        <v>2824</v>
      </c>
      <c r="D2810" s="13">
        <v>59945.0</v>
      </c>
      <c r="E2810" s="4">
        <v>45448.0</v>
      </c>
      <c r="F2810" s="4" t="str">
        <f>IF(D2810="","", IFNA(VLOOKUP(D2810, SATCAT_DECAY!A:B, 2, FALSE), ""))
</f>
        <v/>
      </c>
      <c r="G2810" s="3" t="str">
        <f t="shared" si="1"/>
        <v>ACTIVE</v>
      </c>
    </row>
    <row r="2811" ht="22.5" customHeight="1">
      <c r="A2811" s="11" t="str">
        <f t="array" ref="A2811">IFERROR(
  INDEX('Starlink Launches'!$A:$A, MATCH($E2811, 'Starlink Launches'!$B:$B, 0)),
  ""
)
</f>
        <v>8-5</v>
      </c>
      <c r="B2811" s="3" t="s">
        <v>25</v>
      </c>
      <c r="C2811" s="12" t="s">
        <v>2825</v>
      </c>
      <c r="D2811" s="13">
        <v>59947.0</v>
      </c>
      <c r="E2811" s="4">
        <v>45448.0</v>
      </c>
      <c r="F2811" s="4" t="str">
        <f>IF(D2811="","", IFNA(VLOOKUP(D2811, SATCAT_DECAY!A:B, 2, FALSE), ""))
</f>
        <v/>
      </c>
      <c r="G2811" s="3" t="str">
        <f t="shared" si="1"/>
        <v>ACTIVE</v>
      </c>
    </row>
    <row r="2812" ht="22.5" customHeight="1">
      <c r="A2812" s="11" t="str">
        <f t="array" ref="A2812">IFERROR(
  INDEX('Starlink Launches'!$A:$A, MATCH($E2812, 'Starlink Launches'!$B:$B, 0)),
  ""
)
</f>
        <v>8-5</v>
      </c>
      <c r="B2812" s="3" t="s">
        <v>25</v>
      </c>
      <c r="C2812" s="12" t="s">
        <v>2826</v>
      </c>
      <c r="D2812" s="13">
        <v>59948.0</v>
      </c>
      <c r="E2812" s="4">
        <v>45448.0</v>
      </c>
      <c r="F2812" s="4" t="str">
        <f>IF(D2812="","", IFNA(VLOOKUP(D2812, SATCAT_DECAY!A:B, 2, FALSE), ""))
</f>
        <v/>
      </c>
      <c r="G2812" s="3" t="str">
        <f t="shared" si="1"/>
        <v>ACTIVE</v>
      </c>
    </row>
    <row r="2813" ht="22.5" customHeight="1">
      <c r="A2813" s="11" t="str">
        <f t="array" ref="A2813">IFERROR(
  INDEX('Starlink Launches'!$A:$A, MATCH($E2813, 'Starlink Launches'!$B:$B, 0)),
  ""
)
</f>
        <v>8-5</v>
      </c>
      <c r="B2813" s="3" t="s">
        <v>25</v>
      </c>
      <c r="C2813" s="12" t="s">
        <v>2827</v>
      </c>
      <c r="D2813" s="13">
        <v>59949.0</v>
      </c>
      <c r="E2813" s="4">
        <v>45448.0</v>
      </c>
      <c r="F2813" s="4" t="str">
        <f>IF(D2813="","", IFNA(VLOOKUP(D2813, SATCAT_DECAY!A:B, 2, FALSE), ""))
</f>
        <v/>
      </c>
      <c r="G2813" s="3" t="str">
        <f t="shared" si="1"/>
        <v>ACTIVE</v>
      </c>
    </row>
    <row r="2814" ht="22.5" customHeight="1">
      <c r="A2814" s="11" t="str">
        <f t="array" ref="A2814">IFERROR(
  INDEX('Starlink Launches'!$A:$A, MATCH($E2814, 'Starlink Launches'!$B:$B, 0)),
  ""
)
</f>
        <v>8-5</v>
      </c>
      <c r="B2814" s="3" t="s">
        <v>25</v>
      </c>
      <c r="C2814" s="12" t="s">
        <v>2828</v>
      </c>
      <c r="D2814" s="13">
        <v>59950.0</v>
      </c>
      <c r="E2814" s="4">
        <v>45448.0</v>
      </c>
      <c r="F2814" s="4" t="str">
        <f>IF(D2814="","", IFNA(VLOOKUP(D2814, SATCAT_DECAY!A:B, 2, FALSE), ""))
</f>
        <v/>
      </c>
      <c r="G2814" s="3" t="str">
        <f t="shared" si="1"/>
        <v>ACTIVE</v>
      </c>
    </row>
    <row r="2815" ht="22.5" customHeight="1">
      <c r="A2815" s="11" t="str">
        <f t="array" ref="A2815">IFERROR(
  INDEX('Starlink Launches'!$A:$A, MATCH($E2815, 'Starlink Launches'!$B:$B, 0)),
  ""
)
</f>
        <v>8-5</v>
      </c>
      <c r="B2815" s="3" t="s">
        <v>25</v>
      </c>
      <c r="C2815" s="12" t="s">
        <v>2829</v>
      </c>
      <c r="D2815" s="13">
        <v>59952.0</v>
      </c>
      <c r="E2815" s="4">
        <v>45448.0</v>
      </c>
      <c r="F2815" s="4" t="str">
        <f>IF(D2815="","", IFNA(VLOOKUP(D2815, SATCAT_DECAY!A:B, 2, FALSE), ""))
</f>
        <v/>
      </c>
      <c r="G2815" s="3" t="str">
        <f t="shared" si="1"/>
        <v>ACTIVE</v>
      </c>
    </row>
    <row r="2816" ht="22.5" customHeight="1">
      <c r="A2816" s="11" t="str">
        <f t="array" ref="A2816">IFERROR(
  INDEX('Starlink Launches'!$A:$A, MATCH($E2816, 'Starlink Launches'!$B:$B, 0)),
  ""
)
</f>
        <v>8-5</v>
      </c>
      <c r="B2816" s="3" t="s">
        <v>25</v>
      </c>
      <c r="C2816" s="12" t="s">
        <v>2830</v>
      </c>
      <c r="D2816" s="13">
        <v>59953.0</v>
      </c>
      <c r="E2816" s="4">
        <v>45448.0</v>
      </c>
      <c r="F2816" s="4" t="str">
        <f>IF(D2816="","", IFNA(VLOOKUP(D2816, SATCAT_DECAY!A:B, 2, FALSE), ""))
</f>
        <v/>
      </c>
      <c r="G2816" s="3" t="str">
        <f t="shared" si="1"/>
        <v>ACTIVE</v>
      </c>
    </row>
    <row r="2817" ht="22.5" customHeight="1">
      <c r="A2817" s="11" t="str">
        <f t="array" ref="A2817">IFERROR(
  INDEX('Starlink Launches'!$A:$A, MATCH($E2817, 'Starlink Launches'!$B:$B, 0)),
  ""
)
</f>
        <v>8-5</v>
      </c>
      <c r="B2817" s="3" t="s">
        <v>25</v>
      </c>
      <c r="C2817" s="12" t="s">
        <v>2831</v>
      </c>
      <c r="D2817" s="13">
        <v>59954.0</v>
      </c>
      <c r="E2817" s="4">
        <v>45448.0</v>
      </c>
      <c r="F2817" s="4" t="str">
        <f>IF(D2817="","", IFNA(VLOOKUP(D2817, SATCAT_DECAY!A:B, 2, FALSE), ""))
</f>
        <v/>
      </c>
      <c r="G2817" s="3" t="str">
        <f t="shared" si="1"/>
        <v>ACTIVE</v>
      </c>
    </row>
    <row r="2818" ht="22.5" customHeight="1">
      <c r="A2818" s="11" t="str">
        <f t="array" ref="A2818">IFERROR(
  INDEX('Starlink Launches'!$A:$A, MATCH($E2818, 'Starlink Launches'!$B:$B, 0)),
  ""
)
</f>
        <v>8-5</v>
      </c>
      <c r="B2818" s="3" t="s">
        <v>25</v>
      </c>
      <c r="C2818" s="12" t="s">
        <v>2832</v>
      </c>
      <c r="D2818" s="13">
        <v>59955.0</v>
      </c>
      <c r="E2818" s="4">
        <v>45448.0</v>
      </c>
      <c r="F2818" s="4" t="str">
        <f>IF(D2818="","", IFNA(VLOOKUP(D2818, SATCAT_DECAY!A:B, 2, FALSE), ""))
</f>
        <v/>
      </c>
      <c r="G2818" s="3" t="str">
        <f t="shared" si="1"/>
        <v>ACTIVE</v>
      </c>
    </row>
    <row r="2819" ht="22.5" customHeight="1">
      <c r="A2819" s="11" t="str">
        <f t="array" ref="A2819">IFERROR(
  INDEX('Starlink Launches'!$A:$A, MATCH($E2819, 'Starlink Launches'!$B:$B, 0)),
  ""
)
</f>
        <v>8-5</v>
      </c>
      <c r="B2819" s="3" t="s">
        <v>25</v>
      </c>
      <c r="C2819" s="12" t="s">
        <v>2833</v>
      </c>
      <c r="D2819" s="13">
        <v>59956.0</v>
      </c>
      <c r="E2819" s="4">
        <v>45448.0</v>
      </c>
      <c r="F2819" s="4" t="str">
        <f>IF(D2819="","", IFNA(VLOOKUP(D2819, SATCAT_DECAY!A:B, 2, FALSE), ""))
</f>
        <v/>
      </c>
      <c r="G2819" s="3" t="str">
        <f t="shared" si="1"/>
        <v>ACTIVE</v>
      </c>
    </row>
    <row r="2820" ht="22.5" customHeight="1">
      <c r="A2820" s="11" t="str">
        <f t="array" ref="A2820">IFERROR(
  INDEX('Starlink Launches'!$A:$A, MATCH($E2820, 'Starlink Launches'!$B:$B, 0)),
  ""
)
</f>
        <v>8-5</v>
      </c>
      <c r="B2820" s="3" t="s">
        <v>25</v>
      </c>
      <c r="C2820" s="12" t="s">
        <v>2834</v>
      </c>
      <c r="D2820" s="13">
        <v>59957.0</v>
      </c>
      <c r="E2820" s="4">
        <v>45448.0</v>
      </c>
      <c r="F2820" s="4" t="str">
        <f>IF(D2820="","", IFNA(VLOOKUP(D2820, SATCAT_DECAY!A:B, 2, FALSE), ""))
</f>
        <v/>
      </c>
      <c r="G2820" s="3" t="str">
        <f t="shared" si="1"/>
        <v>ACTIVE</v>
      </c>
    </row>
    <row r="2821" ht="22.5" customHeight="1">
      <c r="A2821" s="11" t="str">
        <f t="array" ref="A2821">IFERROR(
  INDEX('Starlink Launches'!$A:$A, MATCH($E2821, 'Starlink Launches'!$B:$B, 0)),
  ""
)
</f>
        <v>8-5</v>
      </c>
      <c r="B2821" s="3" t="s">
        <v>25</v>
      </c>
      <c r="C2821" s="12" t="s">
        <v>2835</v>
      </c>
      <c r="D2821" s="13">
        <v>59958.0</v>
      </c>
      <c r="E2821" s="4">
        <v>45448.0</v>
      </c>
      <c r="F2821" s="4" t="str">
        <f>IF(D2821="","", IFNA(VLOOKUP(D2821, SATCAT_DECAY!A:B, 2, FALSE), ""))
</f>
        <v/>
      </c>
      <c r="G2821" s="3" t="str">
        <f t="shared" si="1"/>
        <v>ACTIVE</v>
      </c>
    </row>
    <row r="2822" ht="22.5" customHeight="1">
      <c r="A2822" s="11" t="str">
        <f t="array" ref="A2822">IFERROR(
  INDEX('Starlink Launches'!$A:$A, MATCH($E2822, 'Starlink Launches'!$B:$B, 0)),
  ""
)
</f>
        <v>8-5</v>
      </c>
      <c r="B2822" s="3" t="s">
        <v>25</v>
      </c>
      <c r="C2822" s="12" t="s">
        <v>2836</v>
      </c>
      <c r="D2822" s="13">
        <v>59959.0</v>
      </c>
      <c r="E2822" s="4">
        <v>45448.0</v>
      </c>
      <c r="F2822" s="4" t="str">
        <f>IF(D2822="","", IFNA(VLOOKUP(D2822, SATCAT_DECAY!A:B, 2, FALSE), ""))
</f>
        <v/>
      </c>
      <c r="G2822" s="3" t="str">
        <f t="shared" si="1"/>
        <v>ACTIVE</v>
      </c>
    </row>
    <row r="2823" ht="22.5" customHeight="1">
      <c r="A2823" s="11" t="str">
        <f t="array" ref="A2823">IFERROR(
  INDEX('Starlink Launches'!$A:$A, MATCH($E2823, 'Starlink Launches'!$B:$B, 0)),
  ""
)
</f>
        <v>8-5</v>
      </c>
      <c r="B2823" s="3" t="s">
        <v>25</v>
      </c>
      <c r="C2823" s="12" t="s">
        <v>2837</v>
      </c>
      <c r="D2823" s="13">
        <v>59960.0</v>
      </c>
      <c r="E2823" s="4">
        <v>45448.0</v>
      </c>
      <c r="F2823" s="4" t="str">
        <f>IF(D2823="","", IFNA(VLOOKUP(D2823, SATCAT_DECAY!A:B, 2, FALSE), ""))
</f>
        <v/>
      </c>
      <c r="G2823" s="3" t="str">
        <f t="shared" si="1"/>
        <v>ACTIVE</v>
      </c>
    </row>
    <row r="2824" ht="22.5" customHeight="1">
      <c r="A2824" s="11" t="str">
        <f t="array" ref="A2824">IFERROR(
  INDEX('Starlink Launches'!$A:$A, MATCH($E2824, 'Starlink Launches'!$B:$B, 0)),
  ""
)
</f>
        <v>8-5</v>
      </c>
      <c r="B2824" s="3" t="s">
        <v>25</v>
      </c>
      <c r="C2824" s="12" t="s">
        <v>2838</v>
      </c>
      <c r="D2824" s="13">
        <v>59961.0</v>
      </c>
      <c r="E2824" s="4">
        <v>45448.0</v>
      </c>
      <c r="F2824" s="4" t="str">
        <f>IF(D2824="","", IFNA(VLOOKUP(D2824, SATCAT_DECAY!A:B, 2, FALSE), ""))
</f>
        <v/>
      </c>
      <c r="G2824" s="3" t="str">
        <f t="shared" si="1"/>
        <v>ACTIVE</v>
      </c>
    </row>
    <row r="2825" ht="22.5" customHeight="1">
      <c r="A2825" s="11" t="str">
        <f t="array" ref="A2825">IFERROR(
  INDEX('Starlink Launches'!$A:$A, MATCH($E2825, 'Starlink Launches'!$B:$B, 0)),
  ""
)
</f>
        <v>8-5</v>
      </c>
      <c r="B2825" s="3" t="s">
        <v>25</v>
      </c>
      <c r="C2825" s="12" t="s">
        <v>2839</v>
      </c>
      <c r="D2825" s="13">
        <v>59962.0</v>
      </c>
      <c r="E2825" s="4">
        <v>45448.0</v>
      </c>
      <c r="F2825" s="4" t="str">
        <f>IF(D2825="","", IFNA(VLOOKUP(D2825, SATCAT_DECAY!A:B, 2, FALSE), ""))
</f>
        <v/>
      </c>
      <c r="G2825" s="3" t="str">
        <f t="shared" si="1"/>
        <v>ACTIVE</v>
      </c>
    </row>
    <row r="2826" ht="22.5" customHeight="1">
      <c r="A2826" s="11" t="str">
        <f t="array" ref="A2826">IFERROR(
  INDEX('Starlink Launches'!$A:$A, MATCH($E2826, 'Starlink Launches'!$B:$B, 0)),
  ""
)
</f>
        <v>8-5</v>
      </c>
      <c r="B2826" s="3" t="s">
        <v>25</v>
      </c>
      <c r="C2826" s="12" t="s">
        <v>2840</v>
      </c>
      <c r="D2826" s="13">
        <v>59963.0</v>
      </c>
      <c r="E2826" s="4">
        <v>45448.0</v>
      </c>
      <c r="F2826" s="4" t="str">
        <f>IF(D2826="","", IFNA(VLOOKUP(D2826, SATCAT_DECAY!A:B, 2, FALSE), ""))
</f>
        <v/>
      </c>
      <c r="G2826" s="3" t="str">
        <f t="shared" si="1"/>
        <v>ACTIVE</v>
      </c>
    </row>
    <row r="2827" ht="22.5" customHeight="1">
      <c r="A2827" s="11" t="str">
        <f t="array" ref="A2827">IFERROR(
  INDEX('Starlink Launches'!$A:$A, MATCH($E2827, 'Starlink Launches'!$B:$B, 0)),
  ""
)
</f>
        <v>8-5</v>
      </c>
      <c r="B2827" s="3" t="s">
        <v>25</v>
      </c>
      <c r="C2827" s="12" t="s">
        <v>2841</v>
      </c>
      <c r="D2827" s="13">
        <v>59964.0</v>
      </c>
      <c r="E2827" s="4">
        <v>45448.0</v>
      </c>
      <c r="F2827" s="4" t="str">
        <f>IF(D2827="","", IFNA(VLOOKUP(D2827, SATCAT_DECAY!A:B, 2, FALSE), ""))
</f>
        <v/>
      </c>
      <c r="G2827" s="3" t="str">
        <f t="shared" si="1"/>
        <v>ACTIVE</v>
      </c>
    </row>
    <row r="2828" ht="22.5" customHeight="1">
      <c r="A2828" s="11" t="str">
        <f t="array" ref="A2828">IFERROR(
  INDEX('Starlink Launches'!$A:$A, MATCH($E2828, 'Starlink Launches'!$B:$B, 0)),
  ""
)
</f>
        <v>8-8</v>
      </c>
      <c r="B2828" s="3" t="s">
        <v>25</v>
      </c>
      <c r="C2828" s="12" t="s">
        <v>2842</v>
      </c>
      <c r="D2828" s="13">
        <v>60038.0</v>
      </c>
      <c r="E2828" s="4">
        <v>45451.0</v>
      </c>
      <c r="F2828" s="4" t="str">
        <f>IF(D2828="","", IFNA(VLOOKUP(D2828, SATCAT_DECAY!A:B, 2, FALSE), ""))
</f>
        <v/>
      </c>
      <c r="G2828" s="3" t="str">
        <f t="shared" si="1"/>
        <v>ACTIVE</v>
      </c>
    </row>
    <row r="2829" ht="22.5" customHeight="1">
      <c r="A2829" s="11" t="str">
        <f t="array" ref="A2829">IFERROR(
  INDEX('Starlink Launches'!$A:$A, MATCH($E2829, 'Starlink Launches'!$B:$B, 0)),
  ""
)
</f>
        <v>8-8</v>
      </c>
      <c r="B2829" s="3" t="s">
        <v>25</v>
      </c>
      <c r="C2829" s="12" t="s">
        <v>2843</v>
      </c>
      <c r="D2829" s="13">
        <v>60039.0</v>
      </c>
      <c r="E2829" s="4">
        <v>45451.0</v>
      </c>
      <c r="F2829" s="4" t="str">
        <f>IF(D2829="","", IFNA(VLOOKUP(D2829, SATCAT_DECAY!A:B, 2, FALSE), ""))
</f>
        <v/>
      </c>
      <c r="G2829" s="3" t="str">
        <f t="shared" si="1"/>
        <v>ACTIVE</v>
      </c>
    </row>
    <row r="2830" ht="22.5" customHeight="1">
      <c r="A2830" s="11" t="str">
        <f t="array" ref="A2830">IFERROR(
  INDEX('Starlink Launches'!$A:$A, MATCH($E2830, 'Starlink Launches'!$B:$B, 0)),
  ""
)
</f>
        <v>8-8</v>
      </c>
      <c r="B2830" s="3" t="s">
        <v>25</v>
      </c>
      <c r="C2830" s="12" t="s">
        <v>2844</v>
      </c>
      <c r="D2830" s="13">
        <v>60040.0</v>
      </c>
      <c r="E2830" s="4">
        <v>45451.0</v>
      </c>
      <c r="F2830" s="4" t="str">
        <f>IF(D2830="","", IFNA(VLOOKUP(D2830, SATCAT_DECAY!A:B, 2, FALSE), ""))
</f>
        <v/>
      </c>
      <c r="G2830" s="3" t="str">
        <f t="shared" si="1"/>
        <v>ACTIVE</v>
      </c>
    </row>
    <row r="2831" ht="22.5" customHeight="1">
      <c r="A2831" s="11" t="str">
        <f t="array" ref="A2831">IFERROR(
  INDEX('Starlink Launches'!$A:$A, MATCH($E2831, 'Starlink Launches'!$B:$B, 0)),
  ""
)
</f>
        <v>8-8</v>
      </c>
      <c r="B2831" s="3" t="s">
        <v>25</v>
      </c>
      <c r="C2831" s="12" t="s">
        <v>2845</v>
      </c>
      <c r="D2831" s="13">
        <v>60041.0</v>
      </c>
      <c r="E2831" s="4">
        <v>45451.0</v>
      </c>
      <c r="F2831" s="4" t="str">
        <f>IF(D2831="","", IFNA(VLOOKUP(D2831, SATCAT_DECAY!A:B, 2, FALSE), ""))
</f>
        <v/>
      </c>
      <c r="G2831" s="3" t="str">
        <f t="shared" si="1"/>
        <v>ACTIVE</v>
      </c>
    </row>
    <row r="2832" ht="22.5" customHeight="1">
      <c r="A2832" s="11" t="str">
        <f t="array" ref="A2832">IFERROR(
  INDEX('Starlink Launches'!$A:$A, MATCH($E2832, 'Starlink Launches'!$B:$B, 0)),
  ""
)
</f>
        <v>8-8</v>
      </c>
      <c r="B2832" s="3" t="s">
        <v>25</v>
      </c>
      <c r="C2832" s="12" t="s">
        <v>2846</v>
      </c>
      <c r="D2832" s="13">
        <v>60042.0</v>
      </c>
      <c r="E2832" s="4">
        <v>45451.0</v>
      </c>
      <c r="F2832" s="4" t="str">
        <f>IF(D2832="","", IFNA(VLOOKUP(D2832, SATCAT_DECAY!A:B, 2, FALSE), ""))
</f>
        <v/>
      </c>
      <c r="G2832" s="3" t="str">
        <f t="shared" si="1"/>
        <v>ACTIVE</v>
      </c>
    </row>
    <row r="2833" ht="22.5" customHeight="1">
      <c r="A2833" s="11" t="str">
        <f t="array" ref="A2833">IFERROR(
  INDEX('Starlink Launches'!$A:$A, MATCH($E2833, 'Starlink Launches'!$B:$B, 0)),
  ""
)
</f>
        <v>8-8</v>
      </c>
      <c r="B2833" s="3" t="s">
        <v>25</v>
      </c>
      <c r="C2833" s="12" t="s">
        <v>2847</v>
      </c>
      <c r="D2833" s="13">
        <v>60043.0</v>
      </c>
      <c r="E2833" s="4">
        <v>45451.0</v>
      </c>
      <c r="F2833" s="4" t="str">
        <f>IF(D2833="","", IFNA(VLOOKUP(D2833, SATCAT_DECAY!A:B, 2, FALSE), ""))
</f>
        <v/>
      </c>
      <c r="G2833" s="3" t="str">
        <f t="shared" si="1"/>
        <v>ACTIVE</v>
      </c>
    </row>
    <row r="2834" ht="22.5" customHeight="1">
      <c r="A2834" s="11" t="str">
        <f t="array" ref="A2834">IFERROR(
  INDEX('Starlink Launches'!$A:$A, MATCH($E2834, 'Starlink Launches'!$B:$B, 0)),
  ""
)
</f>
        <v>8-8</v>
      </c>
      <c r="B2834" s="3" t="s">
        <v>25</v>
      </c>
      <c r="C2834" s="12" t="s">
        <v>2848</v>
      </c>
      <c r="D2834" s="13">
        <v>60044.0</v>
      </c>
      <c r="E2834" s="4">
        <v>45451.0</v>
      </c>
      <c r="F2834" s="4" t="str">
        <f>IF(D2834="","", IFNA(VLOOKUP(D2834, SATCAT_DECAY!A:B, 2, FALSE), ""))
</f>
        <v/>
      </c>
      <c r="G2834" s="3" t="str">
        <f t="shared" si="1"/>
        <v>ACTIVE</v>
      </c>
    </row>
    <row r="2835" ht="22.5" customHeight="1">
      <c r="A2835" s="11" t="str">
        <f t="array" ref="A2835">IFERROR(
  INDEX('Starlink Launches'!$A:$A, MATCH($E2835, 'Starlink Launches'!$B:$B, 0)),
  ""
)
</f>
        <v>8-8</v>
      </c>
      <c r="B2835" s="3" t="s">
        <v>25</v>
      </c>
      <c r="C2835" s="12" t="s">
        <v>2849</v>
      </c>
      <c r="D2835" s="13">
        <v>60045.0</v>
      </c>
      <c r="E2835" s="4">
        <v>45451.0</v>
      </c>
      <c r="F2835" s="4" t="str">
        <f>IF(D2835="","", IFNA(VLOOKUP(D2835, SATCAT_DECAY!A:B, 2, FALSE), ""))
</f>
        <v/>
      </c>
      <c r="G2835" s="3" t="str">
        <f t="shared" si="1"/>
        <v>ACTIVE</v>
      </c>
    </row>
    <row r="2836" ht="22.5" customHeight="1">
      <c r="A2836" s="11" t="str">
        <f t="array" ref="A2836">IFERROR(
  INDEX('Starlink Launches'!$A:$A, MATCH($E2836, 'Starlink Launches'!$B:$B, 0)),
  ""
)
</f>
        <v>8-8</v>
      </c>
      <c r="B2836" s="3" t="s">
        <v>25</v>
      </c>
      <c r="C2836" s="12" t="s">
        <v>2850</v>
      </c>
      <c r="D2836" s="13">
        <v>60046.0</v>
      </c>
      <c r="E2836" s="4">
        <v>45451.0</v>
      </c>
      <c r="F2836" s="4" t="str">
        <f>IF(D2836="","", IFNA(VLOOKUP(D2836, SATCAT_DECAY!A:B, 2, FALSE), ""))
</f>
        <v/>
      </c>
      <c r="G2836" s="3" t="str">
        <f t="shared" si="1"/>
        <v>ACTIVE</v>
      </c>
    </row>
    <row r="2837" ht="22.5" customHeight="1">
      <c r="A2837" s="11" t="str">
        <f t="array" ref="A2837">IFERROR(
  INDEX('Starlink Launches'!$A:$A, MATCH($E2837, 'Starlink Launches'!$B:$B, 0)),
  ""
)
</f>
        <v>8-8</v>
      </c>
      <c r="B2837" s="3" t="s">
        <v>25</v>
      </c>
      <c r="C2837" s="12" t="s">
        <v>2851</v>
      </c>
      <c r="D2837" s="13">
        <v>60047.0</v>
      </c>
      <c r="E2837" s="4">
        <v>45451.0</v>
      </c>
      <c r="F2837" s="4" t="str">
        <f>IF(D2837="","", IFNA(VLOOKUP(D2837, SATCAT_DECAY!A:B, 2, FALSE), ""))
</f>
        <v/>
      </c>
      <c r="G2837" s="3" t="str">
        <f t="shared" si="1"/>
        <v>ACTIVE</v>
      </c>
    </row>
    <row r="2838" ht="22.5" customHeight="1">
      <c r="A2838" s="11" t="str">
        <f t="array" ref="A2838">IFERROR(
  INDEX('Starlink Launches'!$A:$A, MATCH($E2838, 'Starlink Launches'!$B:$B, 0)),
  ""
)
</f>
        <v>8-8</v>
      </c>
      <c r="B2838" s="3" t="s">
        <v>25</v>
      </c>
      <c r="C2838" s="12" t="s">
        <v>2852</v>
      </c>
      <c r="D2838" s="13">
        <v>60048.0</v>
      </c>
      <c r="E2838" s="4">
        <v>45451.0</v>
      </c>
      <c r="F2838" s="4" t="str">
        <f>IF(D2838="","", IFNA(VLOOKUP(D2838, SATCAT_DECAY!A:B, 2, FALSE), ""))
</f>
        <v/>
      </c>
      <c r="G2838" s="3" t="str">
        <f t="shared" si="1"/>
        <v>ACTIVE</v>
      </c>
    </row>
    <row r="2839" ht="22.5" customHeight="1">
      <c r="A2839" s="11" t="str">
        <f t="array" ref="A2839">IFERROR(
  INDEX('Starlink Launches'!$A:$A, MATCH($E2839, 'Starlink Launches'!$B:$B, 0)),
  ""
)
</f>
        <v>8-8</v>
      </c>
      <c r="B2839" s="3" t="s">
        <v>25</v>
      </c>
      <c r="C2839" s="12" t="s">
        <v>2853</v>
      </c>
      <c r="D2839" s="13">
        <v>60049.0</v>
      </c>
      <c r="E2839" s="4">
        <v>45451.0</v>
      </c>
      <c r="F2839" s="4" t="str">
        <f>IF(D2839="","", IFNA(VLOOKUP(D2839, SATCAT_DECAY!A:B, 2, FALSE), ""))
</f>
        <v/>
      </c>
      <c r="G2839" s="3" t="str">
        <f t="shared" si="1"/>
        <v>ACTIVE</v>
      </c>
    </row>
    <row r="2840" ht="22.5" customHeight="1">
      <c r="A2840" s="11" t="str">
        <f t="array" ref="A2840">IFERROR(
  INDEX('Starlink Launches'!$A:$A, MATCH($E2840, 'Starlink Launches'!$B:$B, 0)),
  ""
)
</f>
        <v>8-8</v>
      </c>
      <c r="B2840" s="3" t="s">
        <v>25</v>
      </c>
      <c r="C2840" s="12" t="s">
        <v>2854</v>
      </c>
      <c r="D2840" s="13">
        <v>60050.0</v>
      </c>
      <c r="E2840" s="4">
        <v>45451.0</v>
      </c>
      <c r="F2840" s="4" t="str">
        <f>IF(D2840="","", IFNA(VLOOKUP(D2840, SATCAT_DECAY!A:B, 2, FALSE), ""))
</f>
        <v/>
      </c>
      <c r="G2840" s="3" t="str">
        <f t="shared" si="1"/>
        <v>ACTIVE</v>
      </c>
    </row>
    <row r="2841" ht="22.5" customHeight="1">
      <c r="A2841" s="11" t="str">
        <f t="array" ref="A2841">IFERROR(
  INDEX('Starlink Launches'!$A:$A, MATCH($E2841, 'Starlink Launches'!$B:$B, 0)),
  ""
)
</f>
        <v>8-8</v>
      </c>
      <c r="B2841" s="3" t="s">
        <v>25</v>
      </c>
      <c r="C2841" s="12" t="s">
        <v>2855</v>
      </c>
      <c r="D2841" s="13">
        <v>60051.0</v>
      </c>
      <c r="E2841" s="4">
        <v>45451.0</v>
      </c>
      <c r="F2841" s="4" t="str">
        <f>IF(D2841="","", IFNA(VLOOKUP(D2841, SATCAT_DECAY!A:B, 2, FALSE), ""))
</f>
        <v/>
      </c>
      <c r="G2841" s="3" t="str">
        <f t="shared" si="1"/>
        <v>ACTIVE</v>
      </c>
    </row>
    <row r="2842" ht="22.5" customHeight="1">
      <c r="A2842" s="11" t="str">
        <f t="array" ref="A2842">IFERROR(
  INDEX('Starlink Launches'!$A:$A, MATCH($E2842, 'Starlink Launches'!$B:$B, 0)),
  ""
)
</f>
        <v>8-8</v>
      </c>
      <c r="B2842" s="3" t="s">
        <v>25</v>
      </c>
      <c r="C2842" s="12" t="s">
        <v>2856</v>
      </c>
      <c r="D2842" s="13">
        <v>60052.0</v>
      </c>
      <c r="E2842" s="4">
        <v>45451.0</v>
      </c>
      <c r="F2842" s="4" t="str">
        <f>IF(D2842="","", IFNA(VLOOKUP(D2842, SATCAT_DECAY!A:B, 2, FALSE), ""))
</f>
        <v/>
      </c>
      <c r="G2842" s="3" t="str">
        <f t="shared" si="1"/>
        <v>ACTIVE</v>
      </c>
    </row>
    <row r="2843" ht="22.5" customHeight="1">
      <c r="A2843" s="11" t="str">
        <f t="array" ref="A2843">IFERROR(
  INDEX('Starlink Launches'!$A:$A, MATCH($E2843, 'Starlink Launches'!$B:$B, 0)),
  ""
)
</f>
        <v>8-8</v>
      </c>
      <c r="B2843" s="3" t="s">
        <v>25</v>
      </c>
      <c r="C2843" s="12" t="s">
        <v>2857</v>
      </c>
      <c r="D2843" s="13">
        <v>60053.0</v>
      </c>
      <c r="E2843" s="4">
        <v>45451.0</v>
      </c>
      <c r="F2843" s="4" t="str">
        <f>IF(D2843="","", IFNA(VLOOKUP(D2843, SATCAT_DECAY!A:B, 2, FALSE), ""))
</f>
        <v/>
      </c>
      <c r="G2843" s="3" t="str">
        <f t="shared" si="1"/>
        <v>ACTIVE</v>
      </c>
    </row>
    <row r="2844" ht="22.5" customHeight="1">
      <c r="A2844" s="11" t="str">
        <f t="array" ref="A2844">IFERROR(
  INDEX('Starlink Launches'!$A:$A, MATCH($E2844, 'Starlink Launches'!$B:$B, 0)),
  ""
)
</f>
        <v>8-8</v>
      </c>
      <c r="B2844" s="3" t="s">
        <v>25</v>
      </c>
      <c r="C2844" s="12" t="s">
        <v>2858</v>
      </c>
      <c r="D2844" s="13">
        <v>60054.0</v>
      </c>
      <c r="E2844" s="4">
        <v>45451.0</v>
      </c>
      <c r="F2844" s="4" t="str">
        <f>IF(D2844="","", IFNA(VLOOKUP(D2844, SATCAT_DECAY!A:B, 2, FALSE), ""))
</f>
        <v/>
      </c>
      <c r="G2844" s="3" t="str">
        <f t="shared" si="1"/>
        <v>ACTIVE</v>
      </c>
    </row>
    <row r="2845" ht="22.5" customHeight="1">
      <c r="A2845" s="11" t="str">
        <f t="array" ref="A2845">IFERROR(
  INDEX('Starlink Launches'!$A:$A, MATCH($E2845, 'Starlink Launches'!$B:$B, 0)),
  ""
)
</f>
        <v>8-8</v>
      </c>
      <c r="B2845" s="3" t="s">
        <v>25</v>
      </c>
      <c r="C2845" s="12" t="s">
        <v>2859</v>
      </c>
      <c r="D2845" s="13">
        <v>60055.0</v>
      </c>
      <c r="E2845" s="4">
        <v>45451.0</v>
      </c>
      <c r="F2845" s="4" t="str">
        <f>IF(D2845="","", IFNA(VLOOKUP(D2845, SATCAT_DECAY!A:B, 2, FALSE), ""))
</f>
        <v/>
      </c>
      <c r="G2845" s="3" t="str">
        <f t="shared" si="1"/>
        <v>ACTIVE</v>
      </c>
    </row>
    <row r="2846" ht="22.5" customHeight="1">
      <c r="A2846" s="11" t="str">
        <f t="array" ref="A2846">IFERROR(
  INDEX('Starlink Launches'!$A:$A, MATCH($E2846, 'Starlink Launches'!$B:$B, 0)),
  ""
)
</f>
        <v>8-8</v>
      </c>
      <c r="B2846" s="3" t="s">
        <v>25</v>
      </c>
      <c r="C2846" s="12" t="s">
        <v>2860</v>
      </c>
      <c r="D2846" s="13">
        <v>60056.0</v>
      </c>
      <c r="E2846" s="4">
        <v>45451.0</v>
      </c>
      <c r="F2846" s="4" t="str">
        <f>IF(D2846="","", IFNA(VLOOKUP(D2846, SATCAT_DECAY!A:B, 2, FALSE), ""))
</f>
        <v/>
      </c>
      <c r="G2846" s="3" t="str">
        <f t="shared" si="1"/>
        <v>ACTIVE</v>
      </c>
    </row>
    <row r="2847" ht="22.5" customHeight="1">
      <c r="A2847" s="11" t="str">
        <f t="array" ref="A2847">IFERROR(
  INDEX('Starlink Launches'!$A:$A, MATCH($E2847, 'Starlink Launches'!$B:$B, 0)),
  ""
)
</f>
        <v>8-8</v>
      </c>
      <c r="B2847" s="3" t="s">
        <v>25</v>
      </c>
      <c r="C2847" s="12" t="s">
        <v>2861</v>
      </c>
      <c r="D2847" s="13">
        <v>60057.0</v>
      </c>
      <c r="E2847" s="4">
        <v>45451.0</v>
      </c>
      <c r="F2847" s="4" t="str">
        <f>IF(D2847="","", IFNA(VLOOKUP(D2847, SATCAT_DECAY!A:B, 2, FALSE), ""))
</f>
        <v/>
      </c>
      <c r="G2847" s="3" t="str">
        <f t="shared" si="1"/>
        <v>ACTIVE</v>
      </c>
    </row>
    <row r="2848" ht="22.5" customHeight="1">
      <c r="A2848" s="11" t="str">
        <f t="array" ref="A2848">IFERROR(
  INDEX('Starlink Launches'!$A:$A, MATCH($E2848, 'Starlink Launches'!$B:$B, 0)),
  ""
)
</f>
        <v>8-9</v>
      </c>
      <c r="B2848" s="3" t="s">
        <v>25</v>
      </c>
      <c r="C2848" s="12" t="s">
        <v>2862</v>
      </c>
      <c r="D2848" s="13">
        <v>60183.0</v>
      </c>
      <c r="E2848" s="4">
        <v>45476.0</v>
      </c>
      <c r="F2848" s="4" t="str">
        <f>IF(D2848="","", IFNA(VLOOKUP(D2848, SATCAT_DECAY!A:B, 2, FALSE), ""))
</f>
        <v/>
      </c>
      <c r="G2848" s="3" t="str">
        <f t="shared" si="1"/>
        <v>ACTIVE</v>
      </c>
    </row>
    <row r="2849" ht="22.5" customHeight="1">
      <c r="A2849" s="11" t="str">
        <f t="array" ref="A2849">IFERROR(
  INDEX('Starlink Launches'!$A:$A, MATCH($E2849, 'Starlink Launches'!$B:$B, 0)),
  ""
)
</f>
        <v>8-9</v>
      </c>
      <c r="B2849" s="3" t="s">
        <v>25</v>
      </c>
      <c r="C2849" s="12" t="s">
        <v>2863</v>
      </c>
      <c r="D2849" s="13">
        <v>60184.0</v>
      </c>
      <c r="E2849" s="4">
        <v>45476.0</v>
      </c>
      <c r="F2849" s="4" t="str">
        <f>IF(D2849="","", IFNA(VLOOKUP(D2849, SATCAT_DECAY!A:B, 2, FALSE), ""))
</f>
        <v/>
      </c>
      <c r="G2849" s="3" t="str">
        <f t="shared" si="1"/>
        <v>ACTIVE</v>
      </c>
    </row>
    <row r="2850" ht="22.5" customHeight="1">
      <c r="A2850" s="11" t="str">
        <f t="array" ref="A2850">IFERROR(
  INDEX('Starlink Launches'!$A:$A, MATCH($E2850, 'Starlink Launches'!$B:$B, 0)),
  ""
)
</f>
        <v>8-9</v>
      </c>
      <c r="B2850" s="3" t="s">
        <v>25</v>
      </c>
      <c r="C2850" s="12" t="s">
        <v>2864</v>
      </c>
      <c r="D2850" s="13">
        <v>60185.0</v>
      </c>
      <c r="E2850" s="4">
        <v>45476.0</v>
      </c>
      <c r="F2850" s="4" t="str">
        <f>IF(D2850="","", IFNA(VLOOKUP(D2850, SATCAT_DECAY!A:B, 2, FALSE), ""))
</f>
        <v/>
      </c>
      <c r="G2850" s="3" t="str">
        <f t="shared" si="1"/>
        <v>ACTIVE</v>
      </c>
    </row>
    <row r="2851" ht="22.5" customHeight="1">
      <c r="A2851" s="11" t="str">
        <f t="array" ref="A2851">IFERROR(
  INDEX('Starlink Launches'!$A:$A, MATCH($E2851, 'Starlink Launches'!$B:$B, 0)),
  ""
)
</f>
        <v>8-9</v>
      </c>
      <c r="B2851" s="3" t="s">
        <v>25</v>
      </c>
      <c r="C2851" s="12" t="s">
        <v>2865</v>
      </c>
      <c r="D2851" s="13">
        <v>60186.0</v>
      </c>
      <c r="E2851" s="4">
        <v>45476.0</v>
      </c>
      <c r="F2851" s="4" t="str">
        <f>IF(D2851="","", IFNA(VLOOKUP(D2851, SATCAT_DECAY!A:B, 2, FALSE), ""))
</f>
        <v/>
      </c>
      <c r="G2851" s="3" t="str">
        <f t="shared" si="1"/>
        <v>ACTIVE</v>
      </c>
    </row>
    <row r="2852" ht="22.5" customHeight="1">
      <c r="A2852" s="11" t="str">
        <f t="array" ref="A2852">IFERROR(
  INDEX('Starlink Launches'!$A:$A, MATCH($E2852, 'Starlink Launches'!$B:$B, 0)),
  ""
)
</f>
        <v>8-9</v>
      </c>
      <c r="B2852" s="3" t="s">
        <v>25</v>
      </c>
      <c r="C2852" s="12" t="s">
        <v>2866</v>
      </c>
      <c r="D2852" s="13">
        <v>60187.0</v>
      </c>
      <c r="E2852" s="4">
        <v>45476.0</v>
      </c>
      <c r="F2852" s="4" t="str">
        <f>IF(D2852="","", IFNA(VLOOKUP(D2852, SATCAT_DECAY!A:B, 2, FALSE), ""))
</f>
        <v/>
      </c>
      <c r="G2852" s="3" t="str">
        <f t="shared" si="1"/>
        <v>ACTIVE</v>
      </c>
    </row>
    <row r="2853" ht="22.5" customHeight="1">
      <c r="A2853" s="11" t="str">
        <f t="array" ref="A2853">IFERROR(
  INDEX('Starlink Launches'!$A:$A, MATCH($E2853, 'Starlink Launches'!$B:$B, 0)),
  ""
)
</f>
        <v>8-9</v>
      </c>
      <c r="B2853" s="3" t="s">
        <v>25</v>
      </c>
      <c r="C2853" s="12" t="s">
        <v>2867</v>
      </c>
      <c r="D2853" s="13">
        <v>60188.0</v>
      </c>
      <c r="E2853" s="4">
        <v>45476.0</v>
      </c>
      <c r="F2853" s="4" t="str">
        <f>IF(D2853="","", IFNA(VLOOKUP(D2853, SATCAT_DECAY!A:B, 2, FALSE), ""))
</f>
        <v/>
      </c>
      <c r="G2853" s="3" t="str">
        <f t="shared" si="1"/>
        <v>ACTIVE</v>
      </c>
    </row>
    <row r="2854" ht="22.5" customHeight="1">
      <c r="A2854" s="11" t="str">
        <f t="array" ref="A2854">IFERROR(
  INDEX('Starlink Launches'!$A:$A, MATCH($E2854, 'Starlink Launches'!$B:$B, 0)),
  ""
)
</f>
        <v>8-9</v>
      </c>
      <c r="B2854" s="3" t="s">
        <v>25</v>
      </c>
      <c r="C2854" s="12" t="s">
        <v>2868</v>
      </c>
      <c r="D2854" s="13">
        <v>60189.0</v>
      </c>
      <c r="E2854" s="4">
        <v>45476.0</v>
      </c>
      <c r="F2854" s="4" t="str">
        <f>IF(D2854="","", IFNA(VLOOKUP(D2854, SATCAT_DECAY!A:B, 2, FALSE), ""))
</f>
        <v/>
      </c>
      <c r="G2854" s="3" t="str">
        <f t="shared" si="1"/>
        <v>ACTIVE</v>
      </c>
    </row>
    <row r="2855" ht="22.5" customHeight="1">
      <c r="A2855" s="11" t="str">
        <f t="array" ref="A2855">IFERROR(
  INDEX('Starlink Launches'!$A:$A, MATCH($E2855, 'Starlink Launches'!$B:$B, 0)),
  ""
)
</f>
        <v>8-9</v>
      </c>
      <c r="B2855" s="3" t="s">
        <v>25</v>
      </c>
      <c r="C2855" s="12" t="s">
        <v>2869</v>
      </c>
      <c r="D2855" s="13">
        <v>60190.0</v>
      </c>
      <c r="E2855" s="4">
        <v>45476.0</v>
      </c>
      <c r="F2855" s="4" t="str">
        <f>IF(D2855="","", IFNA(VLOOKUP(D2855, SATCAT_DECAY!A:B, 2, FALSE), ""))
</f>
        <v/>
      </c>
      <c r="G2855" s="3" t="str">
        <f t="shared" si="1"/>
        <v>ACTIVE</v>
      </c>
    </row>
    <row r="2856" ht="22.5" customHeight="1">
      <c r="A2856" s="11" t="str">
        <f t="array" ref="A2856">IFERROR(
  INDEX('Starlink Launches'!$A:$A, MATCH($E2856, 'Starlink Launches'!$B:$B, 0)),
  ""
)
</f>
        <v>8-9</v>
      </c>
      <c r="B2856" s="3" t="s">
        <v>25</v>
      </c>
      <c r="C2856" s="12" t="s">
        <v>2870</v>
      </c>
      <c r="D2856" s="13">
        <v>60191.0</v>
      </c>
      <c r="E2856" s="4">
        <v>45476.0</v>
      </c>
      <c r="F2856" s="4" t="str">
        <f>IF(D2856="","", IFNA(VLOOKUP(D2856, SATCAT_DECAY!A:B, 2, FALSE), ""))
</f>
        <v/>
      </c>
      <c r="G2856" s="3" t="str">
        <f t="shared" si="1"/>
        <v>ACTIVE</v>
      </c>
    </row>
    <row r="2857" ht="22.5" customHeight="1">
      <c r="A2857" s="11" t="str">
        <f t="array" ref="A2857">IFERROR(
  INDEX('Starlink Launches'!$A:$A, MATCH($E2857, 'Starlink Launches'!$B:$B, 0)),
  ""
)
</f>
        <v>8-9</v>
      </c>
      <c r="B2857" s="3" t="s">
        <v>25</v>
      </c>
      <c r="C2857" s="12" t="s">
        <v>2871</v>
      </c>
      <c r="D2857" s="13">
        <v>60192.0</v>
      </c>
      <c r="E2857" s="4">
        <v>45476.0</v>
      </c>
      <c r="F2857" s="4" t="str">
        <f>IF(D2857="","", IFNA(VLOOKUP(D2857, SATCAT_DECAY!A:B, 2, FALSE), ""))
</f>
        <v/>
      </c>
      <c r="G2857" s="3" t="str">
        <f t="shared" si="1"/>
        <v>ACTIVE</v>
      </c>
    </row>
    <row r="2858" ht="22.5" customHeight="1">
      <c r="A2858" s="11" t="str">
        <f t="array" ref="A2858">IFERROR(
  INDEX('Starlink Launches'!$A:$A, MATCH($E2858, 'Starlink Launches'!$B:$B, 0)),
  ""
)
</f>
        <v>8-9</v>
      </c>
      <c r="B2858" s="3" t="s">
        <v>25</v>
      </c>
      <c r="C2858" s="12" t="s">
        <v>2872</v>
      </c>
      <c r="D2858" s="13">
        <v>60193.0</v>
      </c>
      <c r="E2858" s="4">
        <v>45476.0</v>
      </c>
      <c r="F2858" s="4" t="str">
        <f>IF(D2858="","", IFNA(VLOOKUP(D2858, SATCAT_DECAY!A:B, 2, FALSE), ""))
</f>
        <v/>
      </c>
      <c r="G2858" s="3" t="str">
        <f t="shared" si="1"/>
        <v>ACTIVE</v>
      </c>
    </row>
    <row r="2859" ht="22.5" customHeight="1">
      <c r="A2859" s="11" t="str">
        <f t="array" ref="A2859">IFERROR(
  INDEX('Starlink Launches'!$A:$A, MATCH($E2859, 'Starlink Launches'!$B:$B, 0)),
  ""
)
</f>
        <v>8-9</v>
      </c>
      <c r="B2859" s="3" t="s">
        <v>25</v>
      </c>
      <c r="C2859" s="12" t="s">
        <v>2873</v>
      </c>
      <c r="D2859" s="13">
        <v>60194.0</v>
      </c>
      <c r="E2859" s="4">
        <v>45476.0</v>
      </c>
      <c r="F2859" s="4" t="str">
        <f>IF(D2859="","", IFNA(VLOOKUP(D2859, SATCAT_DECAY!A:B, 2, FALSE), ""))
</f>
        <v/>
      </c>
      <c r="G2859" s="3" t="str">
        <f t="shared" si="1"/>
        <v>ACTIVE</v>
      </c>
    </row>
    <row r="2860" ht="22.5" customHeight="1">
      <c r="A2860" s="11" t="str">
        <f t="array" ref="A2860">IFERROR(
  INDEX('Starlink Launches'!$A:$A, MATCH($E2860, 'Starlink Launches'!$B:$B, 0)),
  ""
)
</f>
        <v>8-9</v>
      </c>
      <c r="B2860" s="3" t="s">
        <v>25</v>
      </c>
      <c r="C2860" s="12" t="s">
        <v>2874</v>
      </c>
      <c r="D2860" s="13">
        <v>60195.0</v>
      </c>
      <c r="E2860" s="4">
        <v>45476.0</v>
      </c>
      <c r="F2860" s="4" t="str">
        <f>IF(D2860="","", IFNA(VLOOKUP(D2860, SATCAT_DECAY!A:B, 2, FALSE), ""))
</f>
        <v/>
      </c>
      <c r="G2860" s="3" t="str">
        <f t="shared" si="1"/>
        <v>ACTIVE</v>
      </c>
    </row>
    <row r="2861" ht="22.5" customHeight="1">
      <c r="A2861" s="11" t="str">
        <f t="array" ref="A2861">IFERROR(
  INDEX('Starlink Launches'!$A:$A, MATCH($E2861, 'Starlink Launches'!$B:$B, 0)),
  ""
)
</f>
        <v>8-9</v>
      </c>
      <c r="B2861" s="3" t="s">
        <v>25</v>
      </c>
      <c r="C2861" s="12" t="s">
        <v>2875</v>
      </c>
      <c r="D2861" s="13">
        <v>60196.0</v>
      </c>
      <c r="E2861" s="4">
        <v>45476.0</v>
      </c>
      <c r="F2861" s="4" t="str">
        <f>IF(D2861="","", IFNA(VLOOKUP(D2861, SATCAT_DECAY!A:B, 2, FALSE), ""))
</f>
        <v/>
      </c>
      <c r="G2861" s="3" t="str">
        <f t="shared" si="1"/>
        <v>ACTIVE</v>
      </c>
    </row>
    <row r="2862" ht="22.5" customHeight="1">
      <c r="A2862" s="11" t="str">
        <f t="array" ref="A2862">IFERROR(
  INDEX('Starlink Launches'!$A:$A, MATCH($E2862, 'Starlink Launches'!$B:$B, 0)),
  ""
)
</f>
        <v>8-9</v>
      </c>
      <c r="B2862" s="3" t="s">
        <v>25</v>
      </c>
      <c r="C2862" s="12" t="s">
        <v>2876</v>
      </c>
      <c r="D2862" s="13">
        <v>60197.0</v>
      </c>
      <c r="E2862" s="4">
        <v>45476.0</v>
      </c>
      <c r="F2862" s="4" t="str">
        <f>IF(D2862="","", IFNA(VLOOKUP(D2862, SATCAT_DECAY!A:B, 2, FALSE), ""))
</f>
        <v/>
      </c>
      <c r="G2862" s="3" t="str">
        <f t="shared" si="1"/>
        <v>ACTIVE</v>
      </c>
    </row>
    <row r="2863" ht="22.5" customHeight="1">
      <c r="A2863" s="11" t="str">
        <f t="array" ref="A2863">IFERROR(
  INDEX('Starlink Launches'!$A:$A, MATCH($E2863, 'Starlink Launches'!$B:$B, 0)),
  ""
)
</f>
        <v>8-9</v>
      </c>
      <c r="B2863" s="3" t="s">
        <v>25</v>
      </c>
      <c r="C2863" s="12" t="s">
        <v>2877</v>
      </c>
      <c r="D2863" s="13">
        <v>60198.0</v>
      </c>
      <c r="E2863" s="4">
        <v>45476.0</v>
      </c>
      <c r="F2863" s="4" t="str">
        <f>IF(D2863="","", IFNA(VLOOKUP(D2863, SATCAT_DECAY!A:B, 2, FALSE), ""))
</f>
        <v/>
      </c>
      <c r="G2863" s="3" t="str">
        <f t="shared" si="1"/>
        <v>ACTIVE</v>
      </c>
    </row>
    <row r="2864" ht="22.5" customHeight="1">
      <c r="A2864" s="11" t="str">
        <f t="array" ref="A2864">IFERROR(
  INDEX('Starlink Launches'!$A:$A, MATCH($E2864, 'Starlink Launches'!$B:$B, 0)),
  ""
)
</f>
        <v>8-9</v>
      </c>
      <c r="B2864" s="3" t="s">
        <v>25</v>
      </c>
      <c r="C2864" s="12" t="s">
        <v>2878</v>
      </c>
      <c r="D2864" s="13">
        <v>60199.0</v>
      </c>
      <c r="E2864" s="4">
        <v>45476.0</v>
      </c>
      <c r="F2864" s="4" t="str">
        <f>IF(D2864="","", IFNA(VLOOKUP(D2864, SATCAT_DECAY!A:B, 2, FALSE), ""))
</f>
        <v/>
      </c>
      <c r="G2864" s="3" t="str">
        <f t="shared" si="1"/>
        <v>ACTIVE</v>
      </c>
    </row>
    <row r="2865" ht="22.5" customHeight="1">
      <c r="A2865" s="11" t="str">
        <f t="array" ref="A2865">IFERROR(
  INDEX('Starlink Launches'!$A:$A, MATCH($E2865, 'Starlink Launches'!$B:$B, 0)),
  ""
)
</f>
        <v>8-9</v>
      </c>
      <c r="B2865" s="3" t="s">
        <v>25</v>
      </c>
      <c r="C2865" s="12" t="s">
        <v>2879</v>
      </c>
      <c r="D2865" s="13">
        <v>60200.0</v>
      </c>
      <c r="E2865" s="4">
        <v>45476.0</v>
      </c>
      <c r="F2865" s="4" t="str">
        <f>IF(D2865="","", IFNA(VLOOKUP(D2865, SATCAT_DECAY!A:B, 2, FALSE), ""))
</f>
        <v/>
      </c>
      <c r="G2865" s="3" t="str">
        <f t="shared" si="1"/>
        <v>ACTIVE</v>
      </c>
    </row>
    <row r="2866" ht="22.5" customHeight="1">
      <c r="A2866" s="11" t="str">
        <f t="array" ref="A2866">IFERROR(
  INDEX('Starlink Launches'!$A:$A, MATCH($E2866, 'Starlink Launches'!$B:$B, 0)),
  ""
)
</f>
        <v>8-9</v>
      </c>
      <c r="B2866" s="3" t="s">
        <v>25</v>
      </c>
      <c r="C2866" s="12" t="s">
        <v>2880</v>
      </c>
      <c r="D2866" s="13">
        <v>60201.0</v>
      </c>
      <c r="E2866" s="4">
        <v>45476.0</v>
      </c>
      <c r="F2866" s="4" t="str">
        <f>IF(D2866="","", IFNA(VLOOKUP(D2866, SATCAT_DECAY!A:B, 2, FALSE), ""))
</f>
        <v/>
      </c>
      <c r="G2866" s="3" t="str">
        <f t="shared" si="1"/>
        <v>ACTIVE</v>
      </c>
    </row>
    <row r="2867" ht="22.5" customHeight="1">
      <c r="A2867" s="11" t="str">
        <f t="array" ref="A2867">IFERROR(
  INDEX('Starlink Launches'!$A:$A, MATCH($E2867, 'Starlink Launches'!$B:$B, 0)),
  ""
)
</f>
        <v>8-9</v>
      </c>
      <c r="B2867" s="3" t="s">
        <v>25</v>
      </c>
      <c r="C2867" s="12" t="s">
        <v>2881</v>
      </c>
      <c r="D2867" s="13">
        <v>60202.0</v>
      </c>
      <c r="E2867" s="4">
        <v>45476.0</v>
      </c>
      <c r="F2867" s="4" t="str">
        <f>IF(D2867="","", IFNA(VLOOKUP(D2867, SATCAT_DECAY!A:B, 2, FALSE), ""))
</f>
        <v/>
      </c>
      <c r="G2867" s="3" t="str">
        <f t="shared" si="1"/>
        <v>ACTIVE</v>
      </c>
    </row>
    <row r="2868" ht="22.5" customHeight="1">
      <c r="A2868" s="11" t="str">
        <f t="array" ref="A2868">IFERROR(
  INDEX('Starlink Launches'!$A:$A, MATCH($E2868, 'Starlink Launches'!$B:$B, 0)),
  ""
)
</f>
        <v>8-3</v>
      </c>
      <c r="B2868" s="3" t="s">
        <v>25</v>
      </c>
      <c r="C2868" s="12" t="s">
        <v>2882</v>
      </c>
      <c r="D2868" s="13">
        <v>60398.0</v>
      </c>
      <c r="E2868" s="4">
        <v>45514.0</v>
      </c>
      <c r="F2868" s="4" t="str">
        <f>IF(D2868="","", IFNA(VLOOKUP(D2868, SATCAT_DECAY!A:B, 2, FALSE), ""))
</f>
        <v/>
      </c>
      <c r="G2868" s="3" t="str">
        <f t="shared" si="1"/>
        <v>ACTIVE</v>
      </c>
    </row>
    <row r="2869" ht="22.5" customHeight="1">
      <c r="A2869" s="11" t="str">
        <f t="array" ref="A2869">IFERROR(
  INDEX('Starlink Launches'!$A:$A, MATCH($E2869, 'Starlink Launches'!$B:$B, 0)),
  ""
)
</f>
        <v>8-3</v>
      </c>
      <c r="B2869" s="3" t="s">
        <v>25</v>
      </c>
      <c r="C2869" s="12" t="s">
        <v>2883</v>
      </c>
      <c r="D2869" s="13">
        <v>60399.0</v>
      </c>
      <c r="E2869" s="4">
        <v>45514.0</v>
      </c>
      <c r="F2869" s="4" t="str">
        <f>IF(D2869="","", IFNA(VLOOKUP(D2869, SATCAT_DECAY!A:B, 2, FALSE), ""))
</f>
        <v/>
      </c>
      <c r="G2869" s="3" t="str">
        <f t="shared" si="1"/>
        <v>ACTIVE</v>
      </c>
    </row>
    <row r="2870" ht="22.5" customHeight="1">
      <c r="A2870" s="11" t="str">
        <f t="array" ref="A2870">IFERROR(
  INDEX('Starlink Launches'!$A:$A, MATCH($E2870, 'Starlink Launches'!$B:$B, 0)),
  ""
)
</f>
        <v>8-3</v>
      </c>
      <c r="B2870" s="3" t="s">
        <v>25</v>
      </c>
      <c r="C2870" s="12" t="s">
        <v>2884</v>
      </c>
      <c r="D2870" s="13">
        <v>60400.0</v>
      </c>
      <c r="E2870" s="4">
        <v>45514.0</v>
      </c>
      <c r="F2870" s="4" t="str">
        <f>IF(D2870="","", IFNA(VLOOKUP(D2870, SATCAT_DECAY!A:B, 2, FALSE), ""))
</f>
        <v/>
      </c>
      <c r="G2870" s="3" t="str">
        <f t="shared" si="1"/>
        <v>ACTIVE</v>
      </c>
    </row>
    <row r="2871" ht="22.5" customHeight="1">
      <c r="A2871" s="11" t="str">
        <f t="array" ref="A2871">IFERROR(
  INDEX('Starlink Launches'!$A:$A, MATCH($E2871, 'Starlink Launches'!$B:$B, 0)),
  ""
)
</f>
        <v>8-3</v>
      </c>
      <c r="B2871" s="3" t="s">
        <v>25</v>
      </c>
      <c r="C2871" s="12" t="s">
        <v>2885</v>
      </c>
      <c r="D2871" s="13">
        <v>60401.0</v>
      </c>
      <c r="E2871" s="4">
        <v>45514.0</v>
      </c>
      <c r="F2871" s="4" t="str">
        <f>IF(D2871="","", IFNA(VLOOKUP(D2871, SATCAT_DECAY!A:B, 2, FALSE), ""))
</f>
        <v/>
      </c>
      <c r="G2871" s="3" t="str">
        <f t="shared" si="1"/>
        <v>ACTIVE</v>
      </c>
    </row>
    <row r="2872" ht="22.5" customHeight="1">
      <c r="A2872" s="11" t="str">
        <f t="array" ref="A2872">IFERROR(
  INDEX('Starlink Launches'!$A:$A, MATCH($E2872, 'Starlink Launches'!$B:$B, 0)),
  ""
)
</f>
        <v>8-3</v>
      </c>
      <c r="B2872" s="3" t="s">
        <v>25</v>
      </c>
      <c r="C2872" s="12" t="s">
        <v>2886</v>
      </c>
      <c r="D2872" s="13">
        <v>60402.0</v>
      </c>
      <c r="E2872" s="4">
        <v>45514.0</v>
      </c>
      <c r="F2872" s="4" t="str">
        <f>IF(D2872="","", IFNA(VLOOKUP(D2872, SATCAT_DECAY!A:B, 2, FALSE), ""))
</f>
        <v/>
      </c>
      <c r="G2872" s="3" t="str">
        <f t="shared" si="1"/>
        <v>ACTIVE</v>
      </c>
    </row>
    <row r="2873" ht="22.5" customHeight="1">
      <c r="A2873" s="11" t="str">
        <f t="array" ref="A2873">IFERROR(
  INDEX('Starlink Launches'!$A:$A, MATCH($E2873, 'Starlink Launches'!$B:$B, 0)),
  ""
)
</f>
        <v>8-3</v>
      </c>
      <c r="B2873" s="3" t="s">
        <v>25</v>
      </c>
      <c r="C2873" s="12" t="s">
        <v>2887</v>
      </c>
      <c r="D2873" s="13">
        <v>60403.0</v>
      </c>
      <c r="E2873" s="4">
        <v>45514.0</v>
      </c>
      <c r="F2873" s="4" t="str">
        <f>IF(D2873="","", IFNA(VLOOKUP(D2873, SATCAT_DECAY!A:B, 2, FALSE), ""))
</f>
        <v/>
      </c>
      <c r="G2873" s="3" t="str">
        <f t="shared" si="1"/>
        <v>ACTIVE</v>
      </c>
    </row>
    <row r="2874" ht="22.5" customHeight="1">
      <c r="A2874" s="11" t="str">
        <f t="array" ref="A2874">IFERROR(
  INDEX('Starlink Launches'!$A:$A, MATCH($E2874, 'Starlink Launches'!$B:$B, 0)),
  ""
)
</f>
        <v>8-3</v>
      </c>
      <c r="B2874" s="3" t="s">
        <v>25</v>
      </c>
      <c r="C2874" s="12" t="s">
        <v>2888</v>
      </c>
      <c r="D2874" s="13">
        <v>60404.0</v>
      </c>
      <c r="E2874" s="4">
        <v>45514.0</v>
      </c>
      <c r="F2874" s="4" t="str">
        <f>IF(D2874="","", IFNA(VLOOKUP(D2874, SATCAT_DECAY!A:B, 2, FALSE), ""))
</f>
        <v/>
      </c>
      <c r="G2874" s="3" t="str">
        <f t="shared" si="1"/>
        <v>ACTIVE</v>
      </c>
    </row>
    <row r="2875" ht="22.5" customHeight="1">
      <c r="A2875" s="11" t="str">
        <f t="array" ref="A2875">IFERROR(
  INDEX('Starlink Launches'!$A:$A, MATCH($E2875, 'Starlink Launches'!$B:$B, 0)),
  ""
)
</f>
        <v>8-3</v>
      </c>
      <c r="B2875" s="3" t="s">
        <v>25</v>
      </c>
      <c r="C2875" s="12" t="s">
        <v>2889</v>
      </c>
      <c r="D2875" s="13">
        <v>60405.0</v>
      </c>
      <c r="E2875" s="4">
        <v>45514.0</v>
      </c>
      <c r="F2875" s="4" t="str">
        <f>IF(D2875="","", IFNA(VLOOKUP(D2875, SATCAT_DECAY!A:B, 2, FALSE), ""))
</f>
        <v/>
      </c>
      <c r="G2875" s="3" t="str">
        <f t="shared" si="1"/>
        <v>ACTIVE</v>
      </c>
    </row>
    <row r="2876" ht="22.5" customHeight="1">
      <c r="A2876" s="11" t="str">
        <f t="array" ref="A2876">IFERROR(
  INDEX('Starlink Launches'!$A:$A, MATCH($E2876, 'Starlink Launches'!$B:$B, 0)),
  ""
)
</f>
        <v>8-3</v>
      </c>
      <c r="B2876" s="3" t="s">
        <v>25</v>
      </c>
      <c r="C2876" s="12" t="s">
        <v>2890</v>
      </c>
      <c r="D2876" s="13">
        <v>60406.0</v>
      </c>
      <c r="E2876" s="4">
        <v>45514.0</v>
      </c>
      <c r="F2876" s="4" t="str">
        <f>IF(D2876="","", IFNA(VLOOKUP(D2876, SATCAT_DECAY!A:B, 2, FALSE), ""))
</f>
        <v/>
      </c>
      <c r="G2876" s="3" t="str">
        <f t="shared" si="1"/>
        <v>ACTIVE</v>
      </c>
    </row>
    <row r="2877" ht="22.5" customHeight="1">
      <c r="A2877" s="11" t="str">
        <f t="array" ref="A2877">IFERROR(
  INDEX('Starlink Launches'!$A:$A, MATCH($E2877, 'Starlink Launches'!$B:$B, 0)),
  ""
)
</f>
        <v>8-3</v>
      </c>
      <c r="B2877" s="3" t="s">
        <v>25</v>
      </c>
      <c r="C2877" s="12" t="s">
        <v>2891</v>
      </c>
      <c r="D2877" s="13">
        <v>60407.0</v>
      </c>
      <c r="E2877" s="4">
        <v>45514.0</v>
      </c>
      <c r="F2877" s="4" t="str">
        <f>IF(D2877="","", IFNA(VLOOKUP(D2877, SATCAT_DECAY!A:B, 2, FALSE), ""))
</f>
        <v/>
      </c>
      <c r="G2877" s="3" t="str">
        <f t="shared" si="1"/>
        <v>ACTIVE</v>
      </c>
    </row>
    <row r="2878" ht="22.5" customHeight="1">
      <c r="A2878" s="11" t="str">
        <f t="array" ref="A2878">IFERROR(
  INDEX('Starlink Launches'!$A:$A, MATCH($E2878, 'Starlink Launches'!$B:$B, 0)),
  ""
)
</f>
        <v>8-3</v>
      </c>
      <c r="B2878" s="3" t="s">
        <v>25</v>
      </c>
      <c r="C2878" s="12" t="s">
        <v>2892</v>
      </c>
      <c r="D2878" s="13">
        <v>60408.0</v>
      </c>
      <c r="E2878" s="4">
        <v>45514.0</v>
      </c>
      <c r="F2878" s="4" t="str">
        <f>IF(D2878="","", IFNA(VLOOKUP(D2878, SATCAT_DECAY!A:B, 2, FALSE), ""))
</f>
        <v/>
      </c>
      <c r="G2878" s="3" t="str">
        <f t="shared" si="1"/>
        <v>ACTIVE</v>
      </c>
    </row>
    <row r="2879" ht="22.5" customHeight="1">
      <c r="A2879" s="11" t="str">
        <f t="array" ref="A2879">IFERROR(
  INDEX('Starlink Launches'!$A:$A, MATCH($E2879, 'Starlink Launches'!$B:$B, 0)),
  ""
)
</f>
        <v>8-3</v>
      </c>
      <c r="B2879" s="3" t="s">
        <v>25</v>
      </c>
      <c r="C2879" s="12" t="s">
        <v>2893</v>
      </c>
      <c r="D2879" s="13">
        <v>60409.0</v>
      </c>
      <c r="E2879" s="4">
        <v>45514.0</v>
      </c>
      <c r="F2879" s="4" t="str">
        <f>IF(D2879="","", IFNA(VLOOKUP(D2879, SATCAT_DECAY!A:B, 2, FALSE), ""))
</f>
        <v/>
      </c>
      <c r="G2879" s="3" t="str">
        <f t="shared" si="1"/>
        <v>ACTIVE</v>
      </c>
    </row>
    <row r="2880" ht="22.5" customHeight="1">
      <c r="A2880" s="11" t="str">
        <f t="array" ref="A2880">IFERROR(
  INDEX('Starlink Launches'!$A:$A, MATCH($E2880, 'Starlink Launches'!$B:$B, 0)),
  ""
)
</f>
        <v>8-3</v>
      </c>
      <c r="B2880" s="3" t="s">
        <v>25</v>
      </c>
      <c r="C2880" s="12" t="s">
        <v>2894</v>
      </c>
      <c r="D2880" s="13">
        <v>60410.0</v>
      </c>
      <c r="E2880" s="4">
        <v>45514.0</v>
      </c>
      <c r="F2880" s="4" t="str">
        <f>IF(D2880="","", IFNA(VLOOKUP(D2880, SATCAT_DECAY!A:B, 2, FALSE), ""))
</f>
        <v/>
      </c>
      <c r="G2880" s="3" t="str">
        <f t="shared" si="1"/>
        <v>ACTIVE</v>
      </c>
    </row>
    <row r="2881" ht="22.5" customHeight="1">
      <c r="A2881" s="11" t="str">
        <f t="array" ref="A2881">IFERROR(
  INDEX('Starlink Launches'!$A:$A, MATCH($E2881, 'Starlink Launches'!$B:$B, 0)),
  ""
)
</f>
        <v>8-3</v>
      </c>
      <c r="B2881" s="3" t="s">
        <v>25</v>
      </c>
      <c r="C2881" s="12" t="s">
        <v>2895</v>
      </c>
      <c r="D2881" s="13">
        <v>60411.0</v>
      </c>
      <c r="E2881" s="4">
        <v>45514.0</v>
      </c>
      <c r="F2881" s="4" t="str">
        <f>IF(D2881="","", IFNA(VLOOKUP(D2881, SATCAT_DECAY!A:B, 2, FALSE), ""))
</f>
        <v/>
      </c>
      <c r="G2881" s="3" t="str">
        <f t="shared" si="1"/>
        <v>ACTIVE</v>
      </c>
    </row>
    <row r="2882" ht="22.5" customHeight="1">
      <c r="A2882" s="11" t="str">
        <f t="array" ref="A2882">IFERROR(
  INDEX('Starlink Launches'!$A:$A, MATCH($E2882, 'Starlink Launches'!$B:$B, 0)),
  ""
)
</f>
        <v>8-3</v>
      </c>
      <c r="B2882" s="3" t="s">
        <v>25</v>
      </c>
      <c r="C2882" s="12" t="s">
        <v>2896</v>
      </c>
      <c r="D2882" s="13">
        <v>60412.0</v>
      </c>
      <c r="E2882" s="4">
        <v>45514.0</v>
      </c>
      <c r="F2882" s="4" t="str">
        <f>IF(D2882="","", IFNA(VLOOKUP(D2882, SATCAT_DECAY!A:B, 2, FALSE), ""))
</f>
        <v/>
      </c>
      <c r="G2882" s="3" t="str">
        <f t="shared" si="1"/>
        <v>ACTIVE</v>
      </c>
    </row>
    <row r="2883" ht="22.5" customHeight="1">
      <c r="A2883" s="11" t="str">
        <f t="array" ref="A2883">IFERROR(
  INDEX('Starlink Launches'!$A:$A, MATCH($E2883, 'Starlink Launches'!$B:$B, 0)),
  ""
)
</f>
        <v>8-3</v>
      </c>
      <c r="B2883" s="3" t="s">
        <v>25</v>
      </c>
      <c r="C2883" s="12" t="s">
        <v>2897</v>
      </c>
      <c r="D2883" s="13">
        <v>60413.0</v>
      </c>
      <c r="E2883" s="4">
        <v>45514.0</v>
      </c>
      <c r="F2883" s="4" t="str">
        <f>IF(D2883="","", IFNA(VLOOKUP(D2883, SATCAT_DECAY!A:B, 2, FALSE), ""))
</f>
        <v/>
      </c>
      <c r="G2883" s="3" t="str">
        <f t="shared" si="1"/>
        <v>ACTIVE</v>
      </c>
    </row>
    <row r="2884" ht="22.5" customHeight="1">
      <c r="A2884" s="11" t="str">
        <f t="array" ref="A2884">IFERROR(
  INDEX('Starlink Launches'!$A:$A, MATCH($E2884, 'Starlink Launches'!$B:$B, 0)),
  ""
)
</f>
        <v>8-3</v>
      </c>
      <c r="B2884" s="3" t="s">
        <v>25</v>
      </c>
      <c r="C2884" s="12" t="s">
        <v>2898</v>
      </c>
      <c r="D2884" s="13">
        <v>60414.0</v>
      </c>
      <c r="E2884" s="4">
        <v>45514.0</v>
      </c>
      <c r="F2884" s="4" t="str">
        <f>IF(D2884="","", IFNA(VLOOKUP(D2884, SATCAT_DECAY!A:B, 2, FALSE), ""))
</f>
        <v/>
      </c>
      <c r="G2884" s="3" t="str">
        <f t="shared" si="1"/>
        <v>ACTIVE</v>
      </c>
    </row>
    <row r="2885" ht="22.5" customHeight="1">
      <c r="A2885" s="11" t="str">
        <f t="array" ref="A2885">IFERROR(
  INDEX('Starlink Launches'!$A:$A, MATCH($E2885, 'Starlink Launches'!$B:$B, 0)),
  ""
)
</f>
        <v>8-3</v>
      </c>
      <c r="B2885" s="3" t="s">
        <v>25</v>
      </c>
      <c r="C2885" s="12" t="s">
        <v>2899</v>
      </c>
      <c r="D2885" s="13">
        <v>60415.0</v>
      </c>
      <c r="E2885" s="4">
        <v>45514.0</v>
      </c>
      <c r="F2885" s="4" t="str">
        <f>IF(D2885="","", IFNA(VLOOKUP(D2885, SATCAT_DECAY!A:B, 2, FALSE), ""))
</f>
        <v/>
      </c>
      <c r="G2885" s="3" t="str">
        <f t="shared" si="1"/>
        <v>ACTIVE</v>
      </c>
    </row>
    <row r="2886" ht="22.5" customHeight="1">
      <c r="A2886" s="11" t="str">
        <f t="array" ref="A2886">IFERROR(
  INDEX('Starlink Launches'!$A:$A, MATCH($E2886, 'Starlink Launches'!$B:$B, 0)),
  ""
)
</f>
        <v>8-3</v>
      </c>
      <c r="B2886" s="3" t="s">
        <v>25</v>
      </c>
      <c r="C2886" s="12" t="s">
        <v>2900</v>
      </c>
      <c r="D2886" s="13">
        <v>60416.0</v>
      </c>
      <c r="E2886" s="4">
        <v>45514.0</v>
      </c>
      <c r="F2886" s="4" t="str">
        <f>IF(D2886="","", IFNA(VLOOKUP(D2886, SATCAT_DECAY!A:B, 2, FALSE), ""))
</f>
        <v/>
      </c>
      <c r="G2886" s="3" t="str">
        <f t="shared" si="1"/>
        <v>ACTIVE</v>
      </c>
    </row>
    <row r="2887" ht="22.5" customHeight="1">
      <c r="A2887" s="11" t="str">
        <f t="array" ref="A2887">IFERROR(
  INDEX('Starlink Launches'!$A:$A, MATCH($E2887, 'Starlink Launches'!$B:$B, 0)),
  ""
)
</f>
        <v>8-3</v>
      </c>
      <c r="B2887" s="3" t="s">
        <v>25</v>
      </c>
      <c r="C2887" s="12" t="s">
        <v>2901</v>
      </c>
      <c r="D2887" s="13">
        <v>60417.0</v>
      </c>
      <c r="E2887" s="4">
        <v>45514.0</v>
      </c>
      <c r="F2887" s="4" t="str">
        <f>IF(D2887="","", IFNA(VLOOKUP(D2887, SATCAT_DECAY!A:B, 2, FALSE), ""))
</f>
        <v/>
      </c>
      <c r="G2887" s="3" t="str">
        <f t="shared" si="1"/>
        <v>ACTIVE</v>
      </c>
    </row>
    <row r="2888" ht="22.5" customHeight="1">
      <c r="A2888" s="11" t="str">
        <f t="array" ref="A2888">IFERROR(
  INDEX('Starlink Launches'!$A:$A, MATCH($E2888, 'Starlink Launches'!$B:$B, 0)),
  ""
)
</f>
        <v>8-3</v>
      </c>
      <c r="B2888" s="3" t="s">
        <v>25</v>
      </c>
      <c r="C2888" s="12" t="s">
        <v>2902</v>
      </c>
      <c r="D2888" s="13">
        <v>60418.0</v>
      </c>
      <c r="E2888" s="4">
        <v>45514.0</v>
      </c>
      <c r="F2888" s="4" t="str">
        <f>IF(D2888="","", IFNA(VLOOKUP(D2888, SATCAT_DECAY!A:B, 2, FALSE), ""))
</f>
        <v/>
      </c>
      <c r="G2888" s="3" t="str">
        <f t="shared" si="1"/>
        <v>ACTIVE</v>
      </c>
    </row>
    <row r="2889" ht="22.5" customHeight="1">
      <c r="A2889" s="11" t="str">
        <f t="array" ref="A2889">IFERROR(
  INDEX('Starlink Launches'!$A:$A, MATCH($E2889, 'Starlink Launches'!$B:$B, 0)),
  ""
)
</f>
        <v>8-6</v>
      </c>
      <c r="B2889" s="3" t="s">
        <v>25</v>
      </c>
      <c r="C2889" s="12" t="s">
        <v>2903</v>
      </c>
      <c r="D2889" s="13">
        <v>60720.0</v>
      </c>
      <c r="E2889" s="4">
        <v>45532.0</v>
      </c>
      <c r="F2889" s="4" t="str">
        <f>IF(D2889="","", IFNA(VLOOKUP(D2889, SATCAT_DECAY!A:B, 2, FALSE), ""))
</f>
        <v/>
      </c>
      <c r="G2889" s="3" t="str">
        <f t="shared" si="1"/>
        <v>ACTIVE</v>
      </c>
    </row>
    <row r="2890" ht="22.5" customHeight="1">
      <c r="A2890" s="11" t="str">
        <f t="array" ref="A2890">IFERROR(
  INDEX('Starlink Launches'!$A:$A, MATCH($E2890, 'Starlink Launches'!$B:$B, 0)),
  ""
)
</f>
        <v>8-6</v>
      </c>
      <c r="B2890" s="3" t="s">
        <v>25</v>
      </c>
      <c r="C2890" s="12" t="s">
        <v>2904</v>
      </c>
      <c r="D2890" s="13">
        <v>60721.0</v>
      </c>
      <c r="E2890" s="4">
        <v>45532.0</v>
      </c>
      <c r="F2890" s="4" t="str">
        <f>IF(D2890="","", IFNA(VLOOKUP(D2890, SATCAT_DECAY!A:B, 2, FALSE), ""))
</f>
        <v/>
      </c>
      <c r="G2890" s="3" t="str">
        <f t="shared" si="1"/>
        <v>ACTIVE</v>
      </c>
    </row>
    <row r="2891" ht="22.5" customHeight="1">
      <c r="A2891" s="11" t="str">
        <f t="array" ref="A2891">IFERROR(
  INDEX('Starlink Launches'!$A:$A, MATCH($E2891, 'Starlink Launches'!$B:$B, 0)),
  ""
)
</f>
        <v>8-6</v>
      </c>
      <c r="B2891" s="3" t="s">
        <v>25</v>
      </c>
      <c r="C2891" s="12" t="s">
        <v>2905</v>
      </c>
      <c r="D2891" s="13">
        <v>60722.0</v>
      </c>
      <c r="E2891" s="4">
        <v>45532.0</v>
      </c>
      <c r="F2891" s="4" t="str">
        <f>IF(D2891="","", IFNA(VLOOKUP(D2891, SATCAT_DECAY!A:B, 2, FALSE), ""))
</f>
        <v/>
      </c>
      <c r="G2891" s="3" t="str">
        <f t="shared" si="1"/>
        <v>ACTIVE</v>
      </c>
    </row>
    <row r="2892" ht="22.5" customHeight="1">
      <c r="A2892" s="11" t="str">
        <f t="array" ref="A2892">IFERROR(
  INDEX('Starlink Launches'!$A:$A, MATCH($E2892, 'Starlink Launches'!$B:$B, 0)),
  ""
)
</f>
        <v>8-6</v>
      </c>
      <c r="B2892" s="3" t="s">
        <v>25</v>
      </c>
      <c r="C2892" s="12" t="s">
        <v>2906</v>
      </c>
      <c r="D2892" s="13">
        <v>60723.0</v>
      </c>
      <c r="E2892" s="4">
        <v>45532.0</v>
      </c>
      <c r="F2892" s="4" t="str">
        <f>IF(D2892="","", IFNA(VLOOKUP(D2892, SATCAT_DECAY!A:B, 2, FALSE), ""))
</f>
        <v/>
      </c>
      <c r="G2892" s="3" t="str">
        <f t="shared" si="1"/>
        <v>ACTIVE</v>
      </c>
    </row>
    <row r="2893" ht="22.5" customHeight="1">
      <c r="A2893" s="11" t="str">
        <f t="array" ref="A2893">IFERROR(
  INDEX('Starlink Launches'!$A:$A, MATCH($E2893, 'Starlink Launches'!$B:$B, 0)),
  ""
)
</f>
        <v>8-6</v>
      </c>
      <c r="B2893" s="3" t="s">
        <v>25</v>
      </c>
      <c r="C2893" s="12" t="s">
        <v>2907</v>
      </c>
      <c r="D2893" s="13">
        <v>60724.0</v>
      </c>
      <c r="E2893" s="4">
        <v>45532.0</v>
      </c>
      <c r="F2893" s="4" t="str">
        <f>IF(D2893="","", IFNA(VLOOKUP(D2893, SATCAT_DECAY!A:B, 2, FALSE), ""))
</f>
        <v/>
      </c>
      <c r="G2893" s="3" t="str">
        <f t="shared" si="1"/>
        <v>ACTIVE</v>
      </c>
    </row>
    <row r="2894" ht="22.5" customHeight="1">
      <c r="A2894" s="11" t="str">
        <f t="array" ref="A2894">IFERROR(
  INDEX('Starlink Launches'!$A:$A, MATCH($E2894, 'Starlink Launches'!$B:$B, 0)),
  ""
)
</f>
        <v>8-6</v>
      </c>
      <c r="B2894" s="3" t="s">
        <v>25</v>
      </c>
      <c r="C2894" s="12" t="s">
        <v>2908</v>
      </c>
      <c r="D2894" s="13">
        <v>60725.0</v>
      </c>
      <c r="E2894" s="4">
        <v>45532.0</v>
      </c>
      <c r="F2894" s="4" t="str">
        <f>IF(D2894="","", IFNA(VLOOKUP(D2894, SATCAT_DECAY!A:B, 2, FALSE), ""))
</f>
        <v/>
      </c>
      <c r="G2894" s="3" t="str">
        <f t="shared" si="1"/>
        <v>ACTIVE</v>
      </c>
    </row>
    <row r="2895" ht="22.5" customHeight="1">
      <c r="A2895" s="11" t="str">
        <f t="array" ref="A2895">IFERROR(
  INDEX('Starlink Launches'!$A:$A, MATCH($E2895, 'Starlink Launches'!$B:$B, 0)),
  ""
)
</f>
        <v>8-6</v>
      </c>
      <c r="B2895" s="3" t="s">
        <v>25</v>
      </c>
      <c r="C2895" s="12" t="s">
        <v>2909</v>
      </c>
      <c r="D2895" s="13">
        <v>60726.0</v>
      </c>
      <c r="E2895" s="4">
        <v>45532.0</v>
      </c>
      <c r="F2895" s="4" t="str">
        <f>IF(D2895="","", IFNA(VLOOKUP(D2895, SATCAT_DECAY!A:B, 2, FALSE), ""))
</f>
        <v/>
      </c>
      <c r="G2895" s="3" t="str">
        <f t="shared" si="1"/>
        <v>ACTIVE</v>
      </c>
    </row>
    <row r="2896" ht="22.5" customHeight="1">
      <c r="A2896" s="11" t="str">
        <f t="array" ref="A2896">IFERROR(
  INDEX('Starlink Launches'!$A:$A, MATCH($E2896, 'Starlink Launches'!$B:$B, 0)),
  ""
)
</f>
        <v>8-6</v>
      </c>
      <c r="B2896" s="3" t="s">
        <v>25</v>
      </c>
      <c r="C2896" s="12" t="s">
        <v>2910</v>
      </c>
      <c r="D2896" s="13">
        <v>60727.0</v>
      </c>
      <c r="E2896" s="4">
        <v>45532.0</v>
      </c>
      <c r="F2896" s="4" t="str">
        <f>IF(D2896="","", IFNA(VLOOKUP(D2896, SATCAT_DECAY!A:B, 2, FALSE), ""))
</f>
        <v/>
      </c>
      <c r="G2896" s="3" t="str">
        <f t="shared" si="1"/>
        <v>ACTIVE</v>
      </c>
    </row>
    <row r="2897" ht="22.5" customHeight="1">
      <c r="A2897" s="11" t="str">
        <f t="array" ref="A2897">IFERROR(
  INDEX('Starlink Launches'!$A:$A, MATCH($E2897, 'Starlink Launches'!$B:$B, 0)),
  ""
)
</f>
        <v>8-6</v>
      </c>
      <c r="B2897" s="3" t="s">
        <v>25</v>
      </c>
      <c r="C2897" s="12" t="s">
        <v>2911</v>
      </c>
      <c r="D2897" s="13">
        <v>60728.0</v>
      </c>
      <c r="E2897" s="4">
        <v>45532.0</v>
      </c>
      <c r="F2897" s="4" t="str">
        <f>IF(D2897="","", IFNA(VLOOKUP(D2897, SATCAT_DECAY!A:B, 2, FALSE), ""))
</f>
        <v/>
      </c>
      <c r="G2897" s="3" t="str">
        <f t="shared" si="1"/>
        <v>ACTIVE</v>
      </c>
    </row>
    <row r="2898" ht="22.5" customHeight="1">
      <c r="A2898" s="11" t="str">
        <f t="array" ref="A2898">IFERROR(
  INDEX('Starlink Launches'!$A:$A, MATCH($E2898, 'Starlink Launches'!$B:$B, 0)),
  ""
)
</f>
        <v>8-6</v>
      </c>
      <c r="B2898" s="3" t="s">
        <v>25</v>
      </c>
      <c r="C2898" s="12" t="s">
        <v>2912</v>
      </c>
      <c r="D2898" s="13">
        <v>60729.0</v>
      </c>
      <c r="E2898" s="4">
        <v>45532.0</v>
      </c>
      <c r="F2898" s="4" t="str">
        <f>IF(D2898="","", IFNA(VLOOKUP(D2898, SATCAT_DECAY!A:B, 2, FALSE), ""))
</f>
        <v/>
      </c>
      <c r="G2898" s="3" t="str">
        <f t="shared" si="1"/>
        <v>ACTIVE</v>
      </c>
    </row>
    <row r="2899" ht="22.5" customHeight="1">
      <c r="A2899" s="11" t="str">
        <f t="array" ref="A2899">IFERROR(
  INDEX('Starlink Launches'!$A:$A, MATCH($E2899, 'Starlink Launches'!$B:$B, 0)),
  ""
)
</f>
        <v>8-6</v>
      </c>
      <c r="B2899" s="3" t="s">
        <v>25</v>
      </c>
      <c r="C2899" s="12" t="s">
        <v>2913</v>
      </c>
      <c r="D2899" s="13">
        <v>60730.0</v>
      </c>
      <c r="E2899" s="4">
        <v>45532.0</v>
      </c>
      <c r="F2899" s="4" t="str">
        <f>IF(D2899="","", IFNA(VLOOKUP(D2899, SATCAT_DECAY!A:B, 2, FALSE), ""))
</f>
        <v/>
      </c>
      <c r="G2899" s="3" t="str">
        <f t="shared" si="1"/>
        <v>ACTIVE</v>
      </c>
    </row>
    <row r="2900" ht="22.5" customHeight="1">
      <c r="A2900" s="11" t="str">
        <f t="array" ref="A2900">IFERROR(
  INDEX('Starlink Launches'!$A:$A, MATCH($E2900, 'Starlink Launches'!$B:$B, 0)),
  ""
)
</f>
        <v>8-6</v>
      </c>
      <c r="B2900" s="3" t="s">
        <v>25</v>
      </c>
      <c r="C2900" s="12" t="s">
        <v>2914</v>
      </c>
      <c r="D2900" s="13">
        <v>60731.0</v>
      </c>
      <c r="E2900" s="4">
        <v>45532.0</v>
      </c>
      <c r="F2900" s="4" t="str">
        <f>IF(D2900="","", IFNA(VLOOKUP(D2900, SATCAT_DECAY!A:B, 2, FALSE), ""))
</f>
        <v/>
      </c>
      <c r="G2900" s="3" t="str">
        <f t="shared" si="1"/>
        <v>ACTIVE</v>
      </c>
    </row>
    <row r="2901" ht="22.5" customHeight="1">
      <c r="A2901" s="11" t="str">
        <f t="array" ref="A2901">IFERROR(
  INDEX('Starlink Launches'!$A:$A, MATCH($E2901, 'Starlink Launches'!$B:$B, 0)),
  ""
)
</f>
        <v>8-6</v>
      </c>
      <c r="B2901" s="3" t="s">
        <v>25</v>
      </c>
      <c r="C2901" s="12" t="s">
        <v>2915</v>
      </c>
      <c r="D2901" s="13">
        <v>60732.0</v>
      </c>
      <c r="E2901" s="4">
        <v>45532.0</v>
      </c>
      <c r="F2901" s="4" t="str">
        <f>IF(D2901="","", IFNA(VLOOKUP(D2901, SATCAT_DECAY!A:B, 2, FALSE), ""))
</f>
        <v/>
      </c>
      <c r="G2901" s="3" t="str">
        <f t="shared" si="1"/>
        <v>ACTIVE</v>
      </c>
    </row>
    <row r="2902" ht="22.5" customHeight="1">
      <c r="A2902" s="11" t="str">
        <f t="array" ref="A2902">IFERROR(
  INDEX('Starlink Launches'!$A:$A, MATCH($E2902, 'Starlink Launches'!$B:$B, 0)),
  ""
)
</f>
        <v>8-6</v>
      </c>
      <c r="B2902" s="3" t="s">
        <v>25</v>
      </c>
      <c r="C2902" s="12" t="s">
        <v>2916</v>
      </c>
      <c r="D2902" s="13">
        <v>60733.0</v>
      </c>
      <c r="E2902" s="4">
        <v>45532.0</v>
      </c>
      <c r="F2902" s="4" t="str">
        <f>IF(D2902="","", IFNA(VLOOKUP(D2902, SATCAT_DECAY!A:B, 2, FALSE), ""))
</f>
        <v/>
      </c>
      <c r="G2902" s="3" t="str">
        <f t="shared" si="1"/>
        <v>ACTIVE</v>
      </c>
    </row>
    <row r="2903" ht="22.5" customHeight="1">
      <c r="A2903" s="11" t="str">
        <f t="array" ref="A2903">IFERROR(
  INDEX('Starlink Launches'!$A:$A, MATCH($E2903, 'Starlink Launches'!$B:$B, 0)),
  ""
)
</f>
        <v>8-6</v>
      </c>
      <c r="B2903" s="3" t="s">
        <v>25</v>
      </c>
      <c r="C2903" s="12" t="s">
        <v>2917</v>
      </c>
      <c r="D2903" s="13">
        <v>60734.0</v>
      </c>
      <c r="E2903" s="4">
        <v>45532.0</v>
      </c>
      <c r="F2903" s="4" t="str">
        <f>IF(D2903="","", IFNA(VLOOKUP(D2903, SATCAT_DECAY!A:B, 2, FALSE), ""))
</f>
        <v/>
      </c>
      <c r="G2903" s="3" t="str">
        <f t="shared" si="1"/>
        <v>ACTIVE</v>
      </c>
    </row>
    <row r="2904" ht="22.5" customHeight="1">
      <c r="A2904" s="11" t="str">
        <f t="array" ref="A2904">IFERROR(
  INDEX('Starlink Launches'!$A:$A, MATCH($E2904, 'Starlink Launches'!$B:$B, 0)),
  ""
)
</f>
        <v>8-6</v>
      </c>
      <c r="B2904" s="3" t="s">
        <v>25</v>
      </c>
      <c r="C2904" s="12" t="s">
        <v>2918</v>
      </c>
      <c r="D2904" s="13">
        <v>60735.0</v>
      </c>
      <c r="E2904" s="4">
        <v>45532.0</v>
      </c>
      <c r="F2904" s="4" t="str">
        <f>IF(D2904="","", IFNA(VLOOKUP(D2904, SATCAT_DECAY!A:B, 2, FALSE), ""))
</f>
        <v/>
      </c>
      <c r="G2904" s="3" t="str">
        <f t="shared" si="1"/>
        <v>ACTIVE</v>
      </c>
    </row>
    <row r="2905" ht="22.5" customHeight="1">
      <c r="A2905" s="11" t="str">
        <f t="array" ref="A2905">IFERROR(
  INDEX('Starlink Launches'!$A:$A, MATCH($E2905, 'Starlink Launches'!$B:$B, 0)),
  ""
)
</f>
        <v>8-6</v>
      </c>
      <c r="B2905" s="3" t="s">
        <v>25</v>
      </c>
      <c r="C2905" s="12" t="s">
        <v>2919</v>
      </c>
      <c r="D2905" s="13">
        <v>60737.0</v>
      </c>
      <c r="E2905" s="4">
        <v>45532.0</v>
      </c>
      <c r="F2905" s="4" t="str">
        <f>IF(D2905="","", IFNA(VLOOKUP(D2905, SATCAT_DECAY!A:B, 2, FALSE), ""))
</f>
        <v/>
      </c>
      <c r="G2905" s="3" t="str">
        <f t="shared" si="1"/>
        <v>ACTIVE</v>
      </c>
    </row>
    <row r="2906" ht="22.5" customHeight="1">
      <c r="A2906" s="11" t="str">
        <f t="array" ref="A2906">IFERROR(
  INDEX('Starlink Launches'!$A:$A, MATCH($E2906, 'Starlink Launches'!$B:$B, 0)),
  ""
)
</f>
        <v>8-6</v>
      </c>
      <c r="B2906" s="3" t="s">
        <v>25</v>
      </c>
      <c r="C2906" s="12" t="s">
        <v>2920</v>
      </c>
      <c r="D2906" s="13">
        <v>60738.0</v>
      </c>
      <c r="E2906" s="4">
        <v>45532.0</v>
      </c>
      <c r="F2906" s="4" t="str">
        <f>IF(D2906="","", IFNA(VLOOKUP(D2906, SATCAT_DECAY!A:B, 2, FALSE), ""))
</f>
        <v/>
      </c>
      <c r="G2906" s="3" t="str">
        <f t="shared" si="1"/>
        <v>ACTIVE</v>
      </c>
    </row>
    <row r="2907" ht="22.5" customHeight="1">
      <c r="A2907" s="11" t="str">
        <f t="array" ref="A2907">IFERROR(
  INDEX('Starlink Launches'!$A:$A, MATCH($E2907, 'Starlink Launches'!$B:$B, 0)),
  ""
)
</f>
        <v>8-6</v>
      </c>
      <c r="B2907" s="3" t="s">
        <v>25</v>
      </c>
      <c r="C2907" s="12" t="s">
        <v>2921</v>
      </c>
      <c r="D2907" s="13">
        <v>60739.0</v>
      </c>
      <c r="E2907" s="4">
        <v>45532.0</v>
      </c>
      <c r="F2907" s="4" t="str">
        <f>IF(D2907="","", IFNA(VLOOKUP(D2907, SATCAT_DECAY!A:B, 2, FALSE), ""))
</f>
        <v/>
      </c>
      <c r="G2907" s="3" t="str">
        <f t="shared" si="1"/>
        <v>ACTIVE</v>
      </c>
    </row>
    <row r="2908" ht="22.5" customHeight="1">
      <c r="A2908" s="11" t="str">
        <f t="array" ref="A2908">IFERROR(
  INDEX('Starlink Launches'!$A:$A, MATCH($E2908, 'Starlink Launches'!$B:$B, 0)),
  ""
)
</f>
        <v>8-6</v>
      </c>
      <c r="B2908" s="3" t="s">
        <v>25</v>
      </c>
      <c r="C2908" s="12" t="s">
        <v>2922</v>
      </c>
      <c r="D2908" s="13">
        <v>60740.0</v>
      </c>
      <c r="E2908" s="4">
        <v>45532.0</v>
      </c>
      <c r="F2908" s="4" t="str">
        <f>IF(D2908="","", IFNA(VLOOKUP(D2908, SATCAT_DECAY!A:B, 2, FALSE), ""))
</f>
        <v/>
      </c>
      <c r="G2908" s="3" t="str">
        <f t="shared" si="1"/>
        <v>ACTIVE</v>
      </c>
    </row>
    <row r="2909" ht="22.5" customHeight="1">
      <c r="A2909" s="11" t="str">
        <f t="array" ref="A2909">IFERROR(
  INDEX('Starlink Launches'!$A:$A, MATCH($E2909, 'Starlink Launches'!$B:$B, 0)),
  ""
)
</f>
        <v>8-10</v>
      </c>
      <c r="B2909" s="3" t="s">
        <v>25</v>
      </c>
      <c r="C2909" s="12" t="s">
        <v>2923</v>
      </c>
      <c r="D2909" s="13">
        <v>60903.0</v>
      </c>
      <c r="E2909" s="4">
        <v>45535.0</v>
      </c>
      <c r="F2909" s="4" t="str">
        <f>IF(D2909="","", IFNA(VLOOKUP(D2909, SATCAT_DECAY!A:B, 2, FALSE), ""))
</f>
        <v/>
      </c>
      <c r="G2909" s="3" t="str">
        <f t="shared" si="1"/>
        <v>ACTIVE</v>
      </c>
    </row>
    <row r="2910" ht="22.5" customHeight="1">
      <c r="A2910" s="11" t="str">
        <f t="array" ref="A2910">IFERROR(
  INDEX('Starlink Launches'!$A:$A, MATCH($E2910, 'Starlink Launches'!$B:$B, 0)),
  ""
)
</f>
        <v>8-10</v>
      </c>
      <c r="B2910" s="3" t="s">
        <v>25</v>
      </c>
      <c r="C2910" s="12" t="s">
        <v>2924</v>
      </c>
      <c r="D2910" s="13">
        <v>60904.0</v>
      </c>
      <c r="E2910" s="4">
        <v>45535.0</v>
      </c>
      <c r="F2910" s="4" t="str">
        <f>IF(D2910="","", IFNA(VLOOKUP(D2910, SATCAT_DECAY!A:B, 2, FALSE), ""))
</f>
        <v/>
      </c>
      <c r="G2910" s="3" t="str">
        <f t="shared" si="1"/>
        <v>ACTIVE</v>
      </c>
    </row>
    <row r="2911" ht="22.5" customHeight="1">
      <c r="A2911" s="11" t="str">
        <f t="array" ref="A2911">IFERROR(
  INDEX('Starlink Launches'!$A:$A, MATCH($E2911, 'Starlink Launches'!$B:$B, 0)),
  ""
)
</f>
        <v>8-10</v>
      </c>
      <c r="B2911" s="3" t="s">
        <v>25</v>
      </c>
      <c r="C2911" s="12" t="s">
        <v>2925</v>
      </c>
      <c r="D2911" s="13">
        <v>60905.0</v>
      </c>
      <c r="E2911" s="4">
        <v>45535.0</v>
      </c>
      <c r="F2911" s="4" t="str">
        <f>IF(D2911="","", IFNA(VLOOKUP(D2911, SATCAT_DECAY!A:B, 2, FALSE), ""))
</f>
        <v/>
      </c>
      <c r="G2911" s="3" t="str">
        <f t="shared" si="1"/>
        <v>ACTIVE</v>
      </c>
    </row>
    <row r="2912" ht="22.5" customHeight="1">
      <c r="A2912" s="11" t="str">
        <f t="array" ref="A2912">IFERROR(
  INDEX('Starlink Launches'!$A:$A, MATCH($E2912, 'Starlink Launches'!$B:$B, 0)),
  ""
)
</f>
        <v>8-10</v>
      </c>
      <c r="B2912" s="3" t="s">
        <v>25</v>
      </c>
      <c r="C2912" s="12" t="s">
        <v>2926</v>
      </c>
      <c r="D2912" s="13">
        <v>60906.0</v>
      </c>
      <c r="E2912" s="4">
        <v>45535.0</v>
      </c>
      <c r="F2912" s="4" t="str">
        <f>IF(D2912="","", IFNA(VLOOKUP(D2912, SATCAT_DECAY!A:B, 2, FALSE), ""))
</f>
        <v/>
      </c>
      <c r="G2912" s="3" t="str">
        <f t="shared" si="1"/>
        <v>ACTIVE</v>
      </c>
    </row>
    <row r="2913" ht="22.5" customHeight="1">
      <c r="A2913" s="11" t="str">
        <f t="array" ref="A2913">IFERROR(
  INDEX('Starlink Launches'!$A:$A, MATCH($E2913, 'Starlink Launches'!$B:$B, 0)),
  ""
)
</f>
        <v>8-10</v>
      </c>
      <c r="B2913" s="3" t="s">
        <v>25</v>
      </c>
      <c r="C2913" s="12" t="s">
        <v>2927</v>
      </c>
      <c r="D2913" s="13">
        <v>60907.0</v>
      </c>
      <c r="E2913" s="4">
        <v>45535.0</v>
      </c>
      <c r="F2913" s="4" t="str">
        <f>IF(D2913="","", IFNA(VLOOKUP(D2913, SATCAT_DECAY!A:B, 2, FALSE), ""))
</f>
        <v/>
      </c>
      <c r="G2913" s="3" t="str">
        <f t="shared" si="1"/>
        <v>ACTIVE</v>
      </c>
    </row>
    <row r="2914" ht="22.5" customHeight="1">
      <c r="A2914" s="11" t="str">
        <f t="array" ref="A2914">IFERROR(
  INDEX('Starlink Launches'!$A:$A, MATCH($E2914, 'Starlink Launches'!$B:$B, 0)),
  ""
)
</f>
        <v>8-10</v>
      </c>
      <c r="B2914" s="3" t="s">
        <v>25</v>
      </c>
      <c r="C2914" s="12" t="s">
        <v>2928</v>
      </c>
      <c r="D2914" s="13">
        <v>60908.0</v>
      </c>
      <c r="E2914" s="4">
        <v>45535.0</v>
      </c>
      <c r="F2914" s="4" t="str">
        <f>IF(D2914="","", IFNA(VLOOKUP(D2914, SATCAT_DECAY!A:B, 2, FALSE), ""))
</f>
        <v/>
      </c>
      <c r="G2914" s="3" t="str">
        <f t="shared" si="1"/>
        <v>ACTIVE</v>
      </c>
    </row>
    <row r="2915" ht="22.5" customHeight="1">
      <c r="A2915" s="11" t="str">
        <f t="array" ref="A2915">IFERROR(
  INDEX('Starlink Launches'!$A:$A, MATCH($E2915, 'Starlink Launches'!$B:$B, 0)),
  ""
)
</f>
        <v>8-10</v>
      </c>
      <c r="B2915" s="3" t="s">
        <v>25</v>
      </c>
      <c r="C2915" s="12" t="s">
        <v>2929</v>
      </c>
      <c r="D2915" s="13">
        <v>60909.0</v>
      </c>
      <c r="E2915" s="4">
        <v>45535.0</v>
      </c>
      <c r="F2915" s="4" t="str">
        <f>IF(D2915="","", IFNA(VLOOKUP(D2915, SATCAT_DECAY!A:B, 2, FALSE), ""))
</f>
        <v/>
      </c>
      <c r="G2915" s="3" t="str">
        <f t="shared" si="1"/>
        <v>ACTIVE</v>
      </c>
    </row>
    <row r="2916" ht="22.5" customHeight="1">
      <c r="A2916" s="11" t="str">
        <f t="array" ref="A2916">IFERROR(
  INDEX('Starlink Launches'!$A:$A, MATCH($E2916, 'Starlink Launches'!$B:$B, 0)),
  ""
)
</f>
        <v>8-10</v>
      </c>
      <c r="B2916" s="3" t="s">
        <v>25</v>
      </c>
      <c r="C2916" s="12" t="s">
        <v>2930</v>
      </c>
      <c r="D2916" s="13">
        <v>60910.0</v>
      </c>
      <c r="E2916" s="4">
        <v>45535.0</v>
      </c>
      <c r="F2916" s="4" t="str">
        <f>IF(D2916="","", IFNA(VLOOKUP(D2916, SATCAT_DECAY!A:B, 2, FALSE), ""))
</f>
        <v/>
      </c>
      <c r="G2916" s="3" t="str">
        <f t="shared" si="1"/>
        <v>ACTIVE</v>
      </c>
    </row>
    <row r="2917" ht="22.5" customHeight="1">
      <c r="A2917" s="11" t="str">
        <f t="array" ref="A2917">IFERROR(
  INDEX('Starlink Launches'!$A:$A, MATCH($E2917, 'Starlink Launches'!$B:$B, 0)),
  ""
)
</f>
        <v>8-10</v>
      </c>
      <c r="B2917" s="3" t="s">
        <v>25</v>
      </c>
      <c r="C2917" s="12" t="s">
        <v>2931</v>
      </c>
      <c r="D2917" s="13">
        <v>60911.0</v>
      </c>
      <c r="E2917" s="4">
        <v>45535.0</v>
      </c>
      <c r="F2917" s="4" t="str">
        <f>IF(D2917="","", IFNA(VLOOKUP(D2917, SATCAT_DECAY!A:B, 2, FALSE), ""))
</f>
        <v/>
      </c>
      <c r="G2917" s="3" t="str">
        <f t="shared" si="1"/>
        <v>ACTIVE</v>
      </c>
    </row>
    <row r="2918" ht="22.5" customHeight="1">
      <c r="A2918" s="11" t="str">
        <f t="array" ref="A2918">IFERROR(
  INDEX('Starlink Launches'!$A:$A, MATCH($E2918, 'Starlink Launches'!$B:$B, 0)),
  ""
)
</f>
        <v>8-10</v>
      </c>
      <c r="B2918" s="3" t="s">
        <v>25</v>
      </c>
      <c r="C2918" s="12" t="s">
        <v>2932</v>
      </c>
      <c r="D2918" s="13">
        <v>60912.0</v>
      </c>
      <c r="E2918" s="4">
        <v>45535.0</v>
      </c>
      <c r="F2918" s="4" t="str">
        <f>IF(D2918="","", IFNA(VLOOKUP(D2918, SATCAT_DECAY!A:B, 2, FALSE), ""))
</f>
        <v/>
      </c>
      <c r="G2918" s="3" t="str">
        <f t="shared" si="1"/>
        <v>ACTIVE</v>
      </c>
    </row>
    <row r="2919" ht="22.5" customHeight="1">
      <c r="A2919" s="11" t="str">
        <f t="array" ref="A2919">IFERROR(
  INDEX('Starlink Launches'!$A:$A, MATCH($E2919, 'Starlink Launches'!$B:$B, 0)),
  ""
)
</f>
        <v>8-10</v>
      </c>
      <c r="B2919" s="3" t="s">
        <v>25</v>
      </c>
      <c r="C2919" s="12" t="s">
        <v>2933</v>
      </c>
      <c r="D2919" s="13">
        <v>60913.0</v>
      </c>
      <c r="E2919" s="4">
        <v>45535.0</v>
      </c>
      <c r="F2919" s="4" t="str">
        <f>IF(D2919="","", IFNA(VLOOKUP(D2919, SATCAT_DECAY!A:B, 2, FALSE), ""))
</f>
        <v/>
      </c>
      <c r="G2919" s="3" t="str">
        <f t="shared" si="1"/>
        <v>ACTIVE</v>
      </c>
    </row>
    <row r="2920" ht="22.5" hidden="1" customHeight="1">
      <c r="A2920" s="11" t="str">
        <f t="array" ref="A2920">IFERROR(
  INDEX('Starlink Launches'!$A:$A, MATCH($E2920, 'Starlink Launches'!$B:$B, 0)),
  ""
)
</f>
        <v>8-10</v>
      </c>
      <c r="B2920" s="3" t="s">
        <v>25</v>
      </c>
      <c r="C2920" s="12" t="s">
        <v>2934</v>
      </c>
      <c r="D2920" s="13">
        <v>60914.0</v>
      </c>
      <c r="E2920" s="4">
        <v>45535.0</v>
      </c>
      <c r="F2920" s="4">
        <f>IF(D2920="","", IFNA(VLOOKUP(D2920, SATCAT_DECAY!A:B, 2, FALSE), ""))
</f>
        <v>46021</v>
      </c>
      <c r="G2920" s="3" t="str">
        <f t="shared" si="1"/>
        <v>DECAYED</v>
      </c>
    </row>
    <row r="2921" ht="22.5" customHeight="1">
      <c r="A2921" s="11" t="str">
        <f t="array" ref="A2921">IFERROR(
  INDEX('Starlink Launches'!$A:$A, MATCH($E2921, 'Starlink Launches'!$B:$B, 0)),
  ""
)
</f>
        <v>8-10</v>
      </c>
      <c r="B2921" s="3" t="s">
        <v>25</v>
      </c>
      <c r="C2921" s="12" t="s">
        <v>2935</v>
      </c>
      <c r="D2921" s="13">
        <v>60915.0</v>
      </c>
      <c r="E2921" s="4">
        <v>45535.0</v>
      </c>
      <c r="F2921" s="4" t="str">
        <f>IF(D2921="","", IFNA(VLOOKUP(D2921, SATCAT_DECAY!A:B, 2, FALSE), ""))
</f>
        <v/>
      </c>
      <c r="G2921" s="3" t="str">
        <f t="shared" si="1"/>
        <v>ACTIVE</v>
      </c>
    </row>
    <row r="2922" ht="22.5" customHeight="1">
      <c r="A2922" s="11" t="str">
        <f t="array" ref="A2922">IFERROR(
  INDEX('Starlink Launches'!$A:$A, MATCH($E2922, 'Starlink Launches'!$B:$B, 0)),
  ""
)
</f>
        <v>8-10</v>
      </c>
      <c r="B2922" s="3" t="s">
        <v>25</v>
      </c>
      <c r="C2922" s="12" t="s">
        <v>2936</v>
      </c>
      <c r="D2922" s="13">
        <v>60916.0</v>
      </c>
      <c r="E2922" s="4">
        <v>45535.0</v>
      </c>
      <c r="F2922" s="4" t="str">
        <f>IF(D2922="","", IFNA(VLOOKUP(D2922, SATCAT_DECAY!A:B, 2, FALSE), ""))
</f>
        <v/>
      </c>
      <c r="G2922" s="3" t="str">
        <f t="shared" si="1"/>
        <v>ACTIVE</v>
      </c>
    </row>
    <row r="2923" ht="22.5" customHeight="1">
      <c r="A2923" s="11" t="str">
        <f t="array" ref="A2923">IFERROR(
  INDEX('Starlink Launches'!$A:$A, MATCH($E2923, 'Starlink Launches'!$B:$B, 0)),
  ""
)
</f>
        <v>8-10</v>
      </c>
      <c r="B2923" s="3" t="s">
        <v>25</v>
      </c>
      <c r="C2923" s="12" t="s">
        <v>2937</v>
      </c>
      <c r="D2923" s="13">
        <v>60917.0</v>
      </c>
      <c r="E2923" s="4">
        <v>45535.0</v>
      </c>
      <c r="F2923" s="4" t="str">
        <f>IF(D2923="","", IFNA(VLOOKUP(D2923, SATCAT_DECAY!A:B, 2, FALSE), ""))
</f>
        <v/>
      </c>
      <c r="G2923" s="3" t="str">
        <f t="shared" si="1"/>
        <v>ACTIVE</v>
      </c>
    </row>
    <row r="2924" ht="22.5" customHeight="1">
      <c r="A2924" s="11" t="str">
        <f t="array" ref="A2924">IFERROR(
  INDEX('Starlink Launches'!$A:$A, MATCH($E2924, 'Starlink Launches'!$B:$B, 0)),
  ""
)
</f>
        <v>8-10</v>
      </c>
      <c r="B2924" s="3" t="s">
        <v>25</v>
      </c>
      <c r="C2924" s="12" t="s">
        <v>2938</v>
      </c>
      <c r="D2924" s="13">
        <v>60918.0</v>
      </c>
      <c r="E2924" s="4">
        <v>45535.0</v>
      </c>
      <c r="F2924" s="4" t="str">
        <f>IF(D2924="","", IFNA(VLOOKUP(D2924, SATCAT_DECAY!A:B, 2, FALSE), ""))
</f>
        <v/>
      </c>
      <c r="G2924" s="3" t="str">
        <f t="shared" si="1"/>
        <v>ACTIVE</v>
      </c>
    </row>
    <row r="2925" ht="22.5" customHeight="1">
      <c r="A2925" s="11" t="str">
        <f t="array" ref="A2925">IFERROR(
  INDEX('Starlink Launches'!$A:$A, MATCH($E2925, 'Starlink Launches'!$B:$B, 0)),
  ""
)
</f>
        <v>8-10</v>
      </c>
      <c r="B2925" s="3" t="s">
        <v>25</v>
      </c>
      <c r="C2925" s="12" t="s">
        <v>2939</v>
      </c>
      <c r="D2925" s="13">
        <v>60919.0</v>
      </c>
      <c r="E2925" s="4">
        <v>45535.0</v>
      </c>
      <c r="F2925" s="4" t="str">
        <f>IF(D2925="","", IFNA(VLOOKUP(D2925, SATCAT_DECAY!A:B, 2, FALSE), ""))
</f>
        <v/>
      </c>
      <c r="G2925" s="3" t="str">
        <f t="shared" si="1"/>
        <v>ACTIVE</v>
      </c>
    </row>
    <row r="2926" ht="22.5" customHeight="1">
      <c r="A2926" s="11" t="str">
        <f t="array" ref="A2926">IFERROR(
  INDEX('Starlink Launches'!$A:$A, MATCH($E2926, 'Starlink Launches'!$B:$B, 0)),
  ""
)
</f>
        <v>8-10</v>
      </c>
      <c r="B2926" s="3" t="s">
        <v>25</v>
      </c>
      <c r="C2926" s="12" t="s">
        <v>2940</v>
      </c>
      <c r="D2926" s="13">
        <v>60920.0</v>
      </c>
      <c r="E2926" s="4">
        <v>45535.0</v>
      </c>
      <c r="F2926" s="4" t="str">
        <f>IF(D2926="","", IFNA(VLOOKUP(D2926, SATCAT_DECAY!A:B, 2, FALSE), ""))
</f>
        <v/>
      </c>
      <c r="G2926" s="3" t="str">
        <f t="shared" si="1"/>
        <v>ACTIVE</v>
      </c>
    </row>
    <row r="2927" ht="22.5" customHeight="1">
      <c r="A2927" s="11" t="str">
        <f t="array" ref="A2927">IFERROR(
  INDEX('Starlink Launches'!$A:$A, MATCH($E2927, 'Starlink Launches'!$B:$B, 0)),
  ""
)
</f>
        <v>8-10</v>
      </c>
      <c r="B2927" s="3" t="s">
        <v>25</v>
      </c>
      <c r="C2927" s="12" t="s">
        <v>2941</v>
      </c>
      <c r="D2927" s="13">
        <v>60921.0</v>
      </c>
      <c r="E2927" s="4">
        <v>45535.0</v>
      </c>
      <c r="F2927" s="4" t="str">
        <f>IF(D2927="","", IFNA(VLOOKUP(D2927, SATCAT_DECAY!A:B, 2, FALSE), ""))
</f>
        <v/>
      </c>
      <c r="G2927" s="3" t="str">
        <f t="shared" si="1"/>
        <v>ACTIVE</v>
      </c>
    </row>
    <row r="2928" ht="22.5" customHeight="1">
      <c r="A2928" s="11" t="str">
        <f t="array" ref="A2928">IFERROR(
  INDEX('Starlink Launches'!$A:$A, MATCH($E2928, 'Starlink Launches'!$B:$B, 0)),
  ""
)
</f>
        <v>8-10</v>
      </c>
      <c r="B2928" s="3" t="s">
        <v>25</v>
      </c>
      <c r="C2928" s="12" t="s">
        <v>2942</v>
      </c>
      <c r="D2928" s="13">
        <v>60922.0</v>
      </c>
      <c r="E2928" s="4">
        <v>45535.0</v>
      </c>
      <c r="F2928" s="4" t="str">
        <f>IF(D2928="","", IFNA(VLOOKUP(D2928, SATCAT_DECAY!A:B, 2, FALSE), ""))
</f>
        <v/>
      </c>
      <c r="G2928" s="3" t="str">
        <f t="shared" si="1"/>
        <v>ACTIVE</v>
      </c>
    </row>
    <row r="2929" ht="22.5" customHeight="1">
      <c r="A2929" s="11" t="str">
        <f t="array" ref="A2929">IFERROR(
  INDEX('Starlink Launches'!$A:$A, MATCH($E2929, 'Starlink Launches'!$B:$B, 0)),
  ""
)
</f>
        <v>8-10</v>
      </c>
      <c r="B2929" s="3" t="s">
        <v>25</v>
      </c>
      <c r="C2929" s="12" t="s">
        <v>2943</v>
      </c>
      <c r="D2929" s="13">
        <v>60923.0</v>
      </c>
      <c r="E2929" s="4">
        <v>45535.0</v>
      </c>
      <c r="F2929" s="4" t="str">
        <f>IF(D2929="","", IFNA(VLOOKUP(D2929, SATCAT_DECAY!A:B, 2, FALSE), ""))
</f>
        <v/>
      </c>
      <c r="G2929" s="3" t="str">
        <f t="shared" si="1"/>
        <v>ACTIVE</v>
      </c>
    </row>
    <row r="2930" ht="22.5" customHeight="1">
      <c r="A2930" s="11" t="str">
        <f t="array" ref="A2930">IFERROR(
  INDEX('Starlink Launches'!$A:$A, MATCH($E2930, 'Starlink Launches'!$B:$B, 0)),
  ""
)
</f>
        <v>8-11</v>
      </c>
      <c r="B2930" s="3" t="s">
        <v>25</v>
      </c>
      <c r="C2930" s="12" t="s">
        <v>2944</v>
      </c>
      <c r="D2930" s="13">
        <v>60991.0</v>
      </c>
      <c r="E2930" s="4">
        <v>45540.0</v>
      </c>
      <c r="F2930" s="4" t="str">
        <f>IF(D2930="","", IFNA(VLOOKUP(D2930, SATCAT_DECAY!A:B, 2, FALSE), ""))
</f>
        <v/>
      </c>
      <c r="G2930" s="3" t="str">
        <f t="shared" si="1"/>
        <v>ACTIVE</v>
      </c>
    </row>
    <row r="2931" ht="22.5" customHeight="1">
      <c r="A2931" s="11" t="str">
        <f t="array" ref="A2931">IFERROR(
  INDEX('Starlink Launches'!$A:$A, MATCH($E2931, 'Starlink Launches'!$B:$B, 0)),
  ""
)
</f>
        <v>8-11</v>
      </c>
      <c r="B2931" s="3" t="s">
        <v>25</v>
      </c>
      <c r="C2931" s="12" t="s">
        <v>2945</v>
      </c>
      <c r="D2931" s="13">
        <v>60992.0</v>
      </c>
      <c r="E2931" s="4">
        <v>45540.0</v>
      </c>
      <c r="F2931" s="4" t="str">
        <f>IF(D2931="","", IFNA(VLOOKUP(D2931, SATCAT_DECAY!A:B, 2, FALSE), ""))
</f>
        <v/>
      </c>
      <c r="G2931" s="3" t="str">
        <f t="shared" si="1"/>
        <v>ACTIVE</v>
      </c>
    </row>
    <row r="2932" ht="22.5" customHeight="1">
      <c r="A2932" s="11" t="str">
        <f t="array" ref="A2932">IFERROR(
  INDEX('Starlink Launches'!$A:$A, MATCH($E2932, 'Starlink Launches'!$B:$B, 0)),
  ""
)
</f>
        <v>8-11</v>
      </c>
      <c r="B2932" s="3" t="s">
        <v>25</v>
      </c>
      <c r="C2932" s="12" t="s">
        <v>2946</v>
      </c>
      <c r="D2932" s="13">
        <v>60993.0</v>
      </c>
      <c r="E2932" s="4">
        <v>45540.0</v>
      </c>
      <c r="F2932" s="4" t="str">
        <f>IF(D2932="","", IFNA(VLOOKUP(D2932, SATCAT_DECAY!A:B, 2, FALSE), ""))
</f>
        <v/>
      </c>
      <c r="G2932" s="3" t="str">
        <f t="shared" si="1"/>
        <v>ACTIVE</v>
      </c>
    </row>
    <row r="2933" ht="22.5" customHeight="1">
      <c r="A2933" s="11" t="str">
        <f t="array" ref="A2933">IFERROR(
  INDEX('Starlink Launches'!$A:$A, MATCH($E2933, 'Starlink Launches'!$B:$B, 0)),
  ""
)
</f>
        <v>8-11</v>
      </c>
      <c r="B2933" s="3" t="s">
        <v>25</v>
      </c>
      <c r="C2933" s="12" t="s">
        <v>2947</v>
      </c>
      <c r="D2933" s="13">
        <v>60994.0</v>
      </c>
      <c r="E2933" s="4">
        <v>45540.0</v>
      </c>
      <c r="F2933" s="4" t="str">
        <f>IF(D2933="","", IFNA(VLOOKUP(D2933, SATCAT_DECAY!A:B, 2, FALSE), ""))
</f>
        <v/>
      </c>
      <c r="G2933" s="3" t="str">
        <f t="shared" si="1"/>
        <v>ACTIVE</v>
      </c>
    </row>
    <row r="2934" ht="22.5" customHeight="1">
      <c r="A2934" s="11" t="str">
        <f t="array" ref="A2934">IFERROR(
  INDEX('Starlink Launches'!$A:$A, MATCH($E2934, 'Starlink Launches'!$B:$B, 0)),
  ""
)
</f>
        <v>8-11</v>
      </c>
      <c r="B2934" s="3" t="s">
        <v>25</v>
      </c>
      <c r="C2934" s="12" t="s">
        <v>2948</v>
      </c>
      <c r="D2934" s="13">
        <v>60995.0</v>
      </c>
      <c r="E2934" s="4">
        <v>45540.0</v>
      </c>
      <c r="F2934" s="4" t="str">
        <f>IF(D2934="","", IFNA(VLOOKUP(D2934, SATCAT_DECAY!A:B, 2, FALSE), ""))
</f>
        <v/>
      </c>
      <c r="G2934" s="3" t="str">
        <f t="shared" si="1"/>
        <v>ACTIVE</v>
      </c>
    </row>
    <row r="2935" ht="22.5" customHeight="1">
      <c r="A2935" s="11" t="str">
        <f t="array" ref="A2935">IFERROR(
  INDEX('Starlink Launches'!$A:$A, MATCH($E2935, 'Starlink Launches'!$B:$B, 0)),
  ""
)
</f>
        <v>8-11</v>
      </c>
      <c r="B2935" s="3" t="s">
        <v>25</v>
      </c>
      <c r="C2935" s="12" t="s">
        <v>2949</v>
      </c>
      <c r="D2935" s="13">
        <v>60996.0</v>
      </c>
      <c r="E2935" s="4">
        <v>45540.0</v>
      </c>
      <c r="F2935" s="4" t="str">
        <f>IF(D2935="","", IFNA(VLOOKUP(D2935, SATCAT_DECAY!A:B, 2, FALSE), ""))
</f>
        <v/>
      </c>
      <c r="G2935" s="3" t="str">
        <f t="shared" si="1"/>
        <v>ACTIVE</v>
      </c>
    </row>
    <row r="2936" ht="22.5" customHeight="1">
      <c r="A2936" s="11" t="str">
        <f t="array" ref="A2936">IFERROR(
  INDEX('Starlink Launches'!$A:$A, MATCH($E2936, 'Starlink Launches'!$B:$B, 0)),
  ""
)
</f>
        <v>8-11</v>
      </c>
      <c r="B2936" s="3" t="s">
        <v>25</v>
      </c>
      <c r="C2936" s="12" t="s">
        <v>2950</v>
      </c>
      <c r="D2936" s="13">
        <v>60997.0</v>
      </c>
      <c r="E2936" s="4">
        <v>45540.0</v>
      </c>
      <c r="F2936" s="4" t="str">
        <f>IF(D2936="","", IFNA(VLOOKUP(D2936, SATCAT_DECAY!A:B, 2, FALSE), ""))
</f>
        <v/>
      </c>
      <c r="G2936" s="3" t="str">
        <f t="shared" si="1"/>
        <v>ACTIVE</v>
      </c>
    </row>
    <row r="2937" ht="22.5" customHeight="1">
      <c r="A2937" s="11" t="str">
        <f t="array" ref="A2937">IFERROR(
  INDEX('Starlink Launches'!$A:$A, MATCH($E2937, 'Starlink Launches'!$B:$B, 0)),
  ""
)
</f>
        <v>8-11</v>
      </c>
      <c r="B2937" s="3" t="s">
        <v>25</v>
      </c>
      <c r="C2937" s="12" t="s">
        <v>2951</v>
      </c>
      <c r="D2937" s="13">
        <v>60998.0</v>
      </c>
      <c r="E2937" s="4">
        <v>45540.0</v>
      </c>
      <c r="F2937" s="4" t="str">
        <f>IF(D2937="","", IFNA(VLOOKUP(D2937, SATCAT_DECAY!A:B, 2, FALSE), ""))
</f>
        <v/>
      </c>
      <c r="G2937" s="3" t="str">
        <f t="shared" si="1"/>
        <v>ACTIVE</v>
      </c>
    </row>
    <row r="2938" ht="22.5" customHeight="1">
      <c r="A2938" s="11" t="str">
        <f t="array" ref="A2938">IFERROR(
  INDEX('Starlink Launches'!$A:$A, MATCH($E2938, 'Starlink Launches'!$B:$B, 0)),
  ""
)
</f>
        <v>8-11</v>
      </c>
      <c r="B2938" s="3" t="s">
        <v>25</v>
      </c>
      <c r="C2938" s="12" t="s">
        <v>2952</v>
      </c>
      <c r="D2938" s="13">
        <v>60999.0</v>
      </c>
      <c r="E2938" s="4">
        <v>45540.0</v>
      </c>
      <c r="F2938" s="4" t="str">
        <f>IF(D2938="","", IFNA(VLOOKUP(D2938, SATCAT_DECAY!A:B, 2, FALSE), ""))
</f>
        <v/>
      </c>
      <c r="G2938" s="3" t="str">
        <f t="shared" si="1"/>
        <v>ACTIVE</v>
      </c>
    </row>
    <row r="2939" ht="22.5" customHeight="1">
      <c r="A2939" s="11" t="str">
        <f t="array" ref="A2939">IFERROR(
  INDEX('Starlink Launches'!$A:$A, MATCH($E2939, 'Starlink Launches'!$B:$B, 0)),
  ""
)
</f>
        <v>8-11</v>
      </c>
      <c r="B2939" s="3" t="s">
        <v>25</v>
      </c>
      <c r="C2939" s="12" t="s">
        <v>2953</v>
      </c>
      <c r="D2939" s="13">
        <v>61000.0</v>
      </c>
      <c r="E2939" s="4">
        <v>45540.0</v>
      </c>
      <c r="F2939" s="4" t="str">
        <f>IF(D2939="","", IFNA(VLOOKUP(D2939, SATCAT_DECAY!A:B, 2, FALSE), ""))
</f>
        <v/>
      </c>
      <c r="G2939" s="3" t="str">
        <f t="shared" si="1"/>
        <v>ACTIVE</v>
      </c>
    </row>
    <row r="2940" ht="22.5" customHeight="1">
      <c r="A2940" s="11" t="str">
        <f t="array" ref="A2940">IFERROR(
  INDEX('Starlink Launches'!$A:$A, MATCH($E2940, 'Starlink Launches'!$B:$B, 0)),
  ""
)
</f>
        <v>8-11</v>
      </c>
      <c r="B2940" s="3" t="s">
        <v>25</v>
      </c>
      <c r="C2940" s="12" t="s">
        <v>2954</v>
      </c>
      <c r="D2940" s="13">
        <v>61001.0</v>
      </c>
      <c r="E2940" s="4">
        <v>45540.0</v>
      </c>
      <c r="F2940" s="4" t="str">
        <f>IF(D2940="","", IFNA(VLOOKUP(D2940, SATCAT_DECAY!A:B, 2, FALSE), ""))
</f>
        <v/>
      </c>
      <c r="G2940" s="3" t="str">
        <f t="shared" si="1"/>
        <v>ACTIVE</v>
      </c>
    </row>
    <row r="2941" ht="22.5" customHeight="1">
      <c r="A2941" s="11" t="str">
        <f t="array" ref="A2941">IFERROR(
  INDEX('Starlink Launches'!$A:$A, MATCH($E2941, 'Starlink Launches'!$B:$B, 0)),
  ""
)
</f>
        <v>8-11</v>
      </c>
      <c r="B2941" s="3" t="s">
        <v>25</v>
      </c>
      <c r="C2941" s="12" t="s">
        <v>2955</v>
      </c>
      <c r="D2941" s="13">
        <v>61002.0</v>
      </c>
      <c r="E2941" s="4">
        <v>45540.0</v>
      </c>
      <c r="F2941" s="4" t="str">
        <f>IF(D2941="","", IFNA(VLOOKUP(D2941, SATCAT_DECAY!A:B, 2, FALSE), ""))
</f>
        <v/>
      </c>
      <c r="G2941" s="3" t="str">
        <f t="shared" si="1"/>
        <v>ACTIVE</v>
      </c>
    </row>
    <row r="2942" ht="22.5" customHeight="1">
      <c r="A2942" s="11" t="str">
        <f t="array" ref="A2942">IFERROR(
  INDEX('Starlink Launches'!$A:$A, MATCH($E2942, 'Starlink Launches'!$B:$B, 0)),
  ""
)
</f>
        <v>8-11</v>
      </c>
      <c r="B2942" s="3" t="s">
        <v>25</v>
      </c>
      <c r="C2942" s="12" t="s">
        <v>2956</v>
      </c>
      <c r="D2942" s="13">
        <v>61003.0</v>
      </c>
      <c r="E2942" s="4">
        <v>45540.0</v>
      </c>
      <c r="F2942" s="4" t="str">
        <f>IF(D2942="","", IFNA(VLOOKUP(D2942, SATCAT_DECAY!A:B, 2, FALSE), ""))
</f>
        <v/>
      </c>
      <c r="G2942" s="3" t="str">
        <f t="shared" si="1"/>
        <v>ACTIVE</v>
      </c>
    </row>
    <row r="2943" ht="22.5" customHeight="1">
      <c r="A2943" s="11" t="str">
        <f t="array" ref="A2943">IFERROR(
  INDEX('Starlink Launches'!$A:$A, MATCH($E2943, 'Starlink Launches'!$B:$B, 0)),
  ""
)
</f>
        <v>8-11</v>
      </c>
      <c r="B2943" s="3" t="s">
        <v>25</v>
      </c>
      <c r="C2943" s="12" t="s">
        <v>2957</v>
      </c>
      <c r="D2943" s="13">
        <v>61004.0</v>
      </c>
      <c r="E2943" s="4">
        <v>45540.0</v>
      </c>
      <c r="F2943" s="4" t="str">
        <f>IF(D2943="","", IFNA(VLOOKUP(D2943, SATCAT_DECAY!A:B, 2, FALSE), ""))
</f>
        <v/>
      </c>
      <c r="G2943" s="3" t="str">
        <f t="shared" si="1"/>
        <v>ACTIVE</v>
      </c>
    </row>
    <row r="2944" ht="22.5" customHeight="1">
      <c r="A2944" s="11" t="str">
        <f t="array" ref="A2944">IFERROR(
  INDEX('Starlink Launches'!$A:$A, MATCH($E2944, 'Starlink Launches'!$B:$B, 0)),
  ""
)
</f>
        <v>8-11</v>
      </c>
      <c r="B2944" s="3" t="s">
        <v>25</v>
      </c>
      <c r="C2944" s="12" t="s">
        <v>2958</v>
      </c>
      <c r="D2944" s="13">
        <v>61005.0</v>
      </c>
      <c r="E2944" s="4">
        <v>45540.0</v>
      </c>
      <c r="F2944" s="4" t="str">
        <f>IF(D2944="","", IFNA(VLOOKUP(D2944, SATCAT_DECAY!A:B, 2, FALSE), ""))
</f>
        <v/>
      </c>
      <c r="G2944" s="3" t="str">
        <f t="shared" si="1"/>
        <v>ACTIVE</v>
      </c>
    </row>
    <row r="2945" ht="22.5" customHeight="1">
      <c r="A2945" s="11" t="str">
        <f t="array" ref="A2945">IFERROR(
  INDEX('Starlink Launches'!$A:$A, MATCH($E2945, 'Starlink Launches'!$B:$B, 0)),
  ""
)
</f>
        <v>8-11</v>
      </c>
      <c r="B2945" s="3" t="s">
        <v>25</v>
      </c>
      <c r="C2945" s="12" t="s">
        <v>2959</v>
      </c>
      <c r="D2945" s="13">
        <v>61006.0</v>
      </c>
      <c r="E2945" s="4">
        <v>45540.0</v>
      </c>
      <c r="F2945" s="4" t="str">
        <f>IF(D2945="","", IFNA(VLOOKUP(D2945, SATCAT_DECAY!A:B, 2, FALSE), ""))
</f>
        <v/>
      </c>
      <c r="G2945" s="3" t="str">
        <f t="shared" si="1"/>
        <v>ACTIVE</v>
      </c>
    </row>
    <row r="2946" ht="22.5" customHeight="1">
      <c r="A2946" s="11" t="str">
        <f t="array" ref="A2946">IFERROR(
  INDEX('Starlink Launches'!$A:$A, MATCH($E2946, 'Starlink Launches'!$B:$B, 0)),
  ""
)
</f>
        <v>8-11</v>
      </c>
      <c r="B2946" s="3" t="s">
        <v>25</v>
      </c>
      <c r="C2946" s="12" t="s">
        <v>2960</v>
      </c>
      <c r="D2946" s="13">
        <v>61007.0</v>
      </c>
      <c r="E2946" s="4">
        <v>45540.0</v>
      </c>
      <c r="F2946" s="4" t="str">
        <f>IF(D2946="","", IFNA(VLOOKUP(D2946, SATCAT_DECAY!A:B, 2, FALSE), ""))
</f>
        <v/>
      </c>
      <c r="G2946" s="3" t="str">
        <f t="shared" si="1"/>
        <v>ACTIVE</v>
      </c>
    </row>
    <row r="2947" ht="22.5" customHeight="1">
      <c r="A2947" s="11" t="str">
        <f t="array" ref="A2947">IFERROR(
  INDEX('Starlink Launches'!$A:$A, MATCH($E2947, 'Starlink Launches'!$B:$B, 0)),
  ""
)
</f>
        <v>8-11</v>
      </c>
      <c r="B2947" s="3" t="s">
        <v>25</v>
      </c>
      <c r="C2947" s="12" t="s">
        <v>2961</v>
      </c>
      <c r="D2947" s="13">
        <v>61008.0</v>
      </c>
      <c r="E2947" s="4">
        <v>45540.0</v>
      </c>
      <c r="F2947" s="4" t="str">
        <f>IF(D2947="","", IFNA(VLOOKUP(D2947, SATCAT_DECAY!A:B, 2, FALSE), ""))
</f>
        <v/>
      </c>
      <c r="G2947" s="3" t="str">
        <f t="shared" si="1"/>
        <v>ACTIVE</v>
      </c>
    </row>
    <row r="2948" ht="22.5" customHeight="1">
      <c r="A2948" s="11" t="str">
        <f t="array" ref="A2948">IFERROR(
  INDEX('Starlink Launches'!$A:$A, MATCH($E2948, 'Starlink Launches'!$B:$B, 0)),
  ""
)
</f>
        <v>8-11</v>
      </c>
      <c r="B2948" s="3" t="s">
        <v>25</v>
      </c>
      <c r="C2948" s="12" t="s">
        <v>2962</v>
      </c>
      <c r="D2948" s="13">
        <v>61010.0</v>
      </c>
      <c r="E2948" s="4">
        <v>45540.0</v>
      </c>
      <c r="F2948" s="4" t="str">
        <f>IF(D2948="","", IFNA(VLOOKUP(D2948, SATCAT_DECAY!A:B, 2, FALSE), ""))
</f>
        <v/>
      </c>
      <c r="G2948" s="3" t="str">
        <f t="shared" si="1"/>
        <v>ACTIVE</v>
      </c>
    </row>
    <row r="2949" ht="22.5" customHeight="1">
      <c r="A2949" s="11" t="str">
        <f t="array" ref="A2949">IFERROR(
  INDEX('Starlink Launches'!$A:$A, MATCH($E2949, 'Starlink Launches'!$B:$B, 0)),
  ""
)
</f>
        <v>8-19</v>
      </c>
      <c r="B2949" s="3" t="s">
        <v>25</v>
      </c>
      <c r="C2949" s="12" t="s">
        <v>2963</v>
      </c>
      <c r="D2949" s="13">
        <v>61574.0</v>
      </c>
      <c r="E2949" s="4">
        <v>45583.0</v>
      </c>
      <c r="F2949" s="4" t="str">
        <f>IF(D2949="","", IFNA(VLOOKUP(D2949, SATCAT_DECAY!A:B, 2, FALSE), ""))
</f>
        <v/>
      </c>
      <c r="G2949" s="3" t="str">
        <f t="shared" si="1"/>
        <v>ACTIVE</v>
      </c>
    </row>
    <row r="2950" ht="22.5" customHeight="1">
      <c r="A2950" s="11" t="str">
        <f t="array" ref="A2950">IFERROR(
  INDEX('Starlink Launches'!$A:$A, MATCH($E2950, 'Starlink Launches'!$B:$B, 0)),
  ""
)
</f>
        <v>8-19</v>
      </c>
      <c r="B2950" s="3" t="s">
        <v>25</v>
      </c>
      <c r="C2950" s="12" t="s">
        <v>2964</v>
      </c>
      <c r="D2950" s="13">
        <v>61575.0</v>
      </c>
      <c r="E2950" s="4">
        <v>45583.0</v>
      </c>
      <c r="F2950" s="4" t="str">
        <f>IF(D2950="","", IFNA(VLOOKUP(D2950, SATCAT_DECAY!A:B, 2, FALSE), ""))
</f>
        <v/>
      </c>
      <c r="G2950" s="3" t="str">
        <f t="shared" si="1"/>
        <v>ACTIVE</v>
      </c>
    </row>
    <row r="2951" ht="22.5" customHeight="1">
      <c r="A2951" s="11" t="str">
        <f t="array" ref="A2951">IFERROR(
  INDEX('Starlink Launches'!$A:$A, MATCH($E2951, 'Starlink Launches'!$B:$B, 0)),
  ""
)
</f>
        <v>8-19</v>
      </c>
      <c r="B2951" s="3" t="s">
        <v>25</v>
      </c>
      <c r="C2951" s="12" t="s">
        <v>2965</v>
      </c>
      <c r="D2951" s="13">
        <v>61576.0</v>
      </c>
      <c r="E2951" s="4">
        <v>45583.0</v>
      </c>
      <c r="F2951" s="4" t="str">
        <f>IF(D2951="","", IFNA(VLOOKUP(D2951, SATCAT_DECAY!A:B, 2, FALSE), ""))
</f>
        <v/>
      </c>
      <c r="G2951" s="3" t="str">
        <f t="shared" si="1"/>
        <v>ACTIVE</v>
      </c>
    </row>
    <row r="2952" ht="22.5" customHeight="1">
      <c r="A2952" s="11" t="str">
        <f t="array" ref="A2952">IFERROR(
  INDEX('Starlink Launches'!$A:$A, MATCH($E2952, 'Starlink Launches'!$B:$B, 0)),
  ""
)
</f>
        <v>8-19</v>
      </c>
      <c r="B2952" s="3" t="s">
        <v>25</v>
      </c>
      <c r="C2952" s="12" t="s">
        <v>2966</v>
      </c>
      <c r="D2952" s="13">
        <v>61577.0</v>
      </c>
      <c r="E2952" s="4">
        <v>45583.0</v>
      </c>
      <c r="F2952" s="4" t="str">
        <f>IF(D2952="","", IFNA(VLOOKUP(D2952, SATCAT_DECAY!A:B, 2, FALSE), ""))
</f>
        <v/>
      </c>
      <c r="G2952" s="3" t="str">
        <f t="shared" si="1"/>
        <v>ACTIVE</v>
      </c>
    </row>
    <row r="2953" ht="22.5" customHeight="1">
      <c r="A2953" s="11" t="str">
        <f t="array" ref="A2953">IFERROR(
  INDEX('Starlink Launches'!$A:$A, MATCH($E2953, 'Starlink Launches'!$B:$B, 0)),
  ""
)
</f>
        <v>8-19</v>
      </c>
      <c r="B2953" s="3" t="s">
        <v>25</v>
      </c>
      <c r="C2953" s="12" t="s">
        <v>2967</v>
      </c>
      <c r="D2953" s="13">
        <v>61578.0</v>
      </c>
      <c r="E2953" s="4">
        <v>45583.0</v>
      </c>
      <c r="F2953" s="4" t="str">
        <f>IF(D2953="","", IFNA(VLOOKUP(D2953, SATCAT_DECAY!A:B, 2, FALSE), ""))
</f>
        <v/>
      </c>
      <c r="G2953" s="3" t="str">
        <f t="shared" si="1"/>
        <v>ACTIVE</v>
      </c>
    </row>
    <row r="2954" ht="22.5" customHeight="1">
      <c r="A2954" s="11" t="str">
        <f t="array" ref="A2954">IFERROR(
  INDEX('Starlink Launches'!$A:$A, MATCH($E2954, 'Starlink Launches'!$B:$B, 0)),
  ""
)
</f>
        <v>8-19</v>
      </c>
      <c r="B2954" s="3" t="s">
        <v>25</v>
      </c>
      <c r="C2954" s="12" t="s">
        <v>2968</v>
      </c>
      <c r="D2954" s="13">
        <v>61579.0</v>
      </c>
      <c r="E2954" s="4">
        <v>45583.0</v>
      </c>
      <c r="F2954" s="4" t="str">
        <f>IF(D2954="","", IFNA(VLOOKUP(D2954, SATCAT_DECAY!A:B, 2, FALSE), ""))
</f>
        <v/>
      </c>
      <c r="G2954" s="3" t="str">
        <f t="shared" si="1"/>
        <v>ACTIVE</v>
      </c>
    </row>
    <row r="2955" ht="22.5" customHeight="1">
      <c r="A2955" s="11" t="str">
        <f t="array" ref="A2955">IFERROR(
  INDEX('Starlink Launches'!$A:$A, MATCH($E2955, 'Starlink Launches'!$B:$B, 0)),
  ""
)
</f>
        <v>8-19</v>
      </c>
      <c r="B2955" s="3" t="s">
        <v>25</v>
      </c>
      <c r="C2955" s="12" t="s">
        <v>2969</v>
      </c>
      <c r="D2955" s="13">
        <v>61580.0</v>
      </c>
      <c r="E2955" s="4">
        <v>45583.0</v>
      </c>
      <c r="F2955" s="4" t="str">
        <f>IF(D2955="","", IFNA(VLOOKUP(D2955, SATCAT_DECAY!A:B, 2, FALSE), ""))
</f>
        <v/>
      </c>
      <c r="G2955" s="3" t="str">
        <f t="shared" si="1"/>
        <v>ACTIVE</v>
      </c>
    </row>
    <row r="2956" ht="22.5" customHeight="1">
      <c r="A2956" s="11" t="str">
        <f t="array" ref="A2956">IFERROR(
  INDEX('Starlink Launches'!$A:$A, MATCH($E2956, 'Starlink Launches'!$B:$B, 0)),
  ""
)
</f>
        <v>8-19</v>
      </c>
      <c r="B2956" s="3" t="s">
        <v>25</v>
      </c>
      <c r="C2956" s="12" t="s">
        <v>2970</v>
      </c>
      <c r="D2956" s="13">
        <v>61581.0</v>
      </c>
      <c r="E2956" s="4">
        <v>45583.0</v>
      </c>
      <c r="F2956" s="4" t="str">
        <f>IF(D2956="","", IFNA(VLOOKUP(D2956, SATCAT_DECAY!A:B, 2, FALSE), ""))
</f>
        <v/>
      </c>
      <c r="G2956" s="3" t="str">
        <f t="shared" si="1"/>
        <v>ACTIVE</v>
      </c>
    </row>
    <row r="2957" ht="22.5" customHeight="1">
      <c r="A2957" s="11" t="str">
        <f t="array" ref="A2957">IFERROR(
  INDEX('Starlink Launches'!$A:$A, MATCH($E2957, 'Starlink Launches'!$B:$B, 0)),
  ""
)
</f>
        <v>8-19</v>
      </c>
      <c r="B2957" s="3" t="s">
        <v>25</v>
      </c>
      <c r="C2957" s="12" t="s">
        <v>2971</v>
      </c>
      <c r="D2957" s="13">
        <v>61582.0</v>
      </c>
      <c r="E2957" s="4">
        <v>45583.0</v>
      </c>
      <c r="F2957" s="4" t="str">
        <f>IF(D2957="","", IFNA(VLOOKUP(D2957, SATCAT_DECAY!A:B, 2, FALSE), ""))
</f>
        <v/>
      </c>
      <c r="G2957" s="3" t="str">
        <f t="shared" si="1"/>
        <v>ACTIVE</v>
      </c>
    </row>
    <row r="2958" ht="22.5" customHeight="1">
      <c r="A2958" s="11" t="str">
        <f t="array" ref="A2958">IFERROR(
  INDEX('Starlink Launches'!$A:$A, MATCH($E2958, 'Starlink Launches'!$B:$B, 0)),
  ""
)
</f>
        <v>8-19</v>
      </c>
      <c r="B2958" s="3" t="s">
        <v>25</v>
      </c>
      <c r="C2958" s="12" t="s">
        <v>2972</v>
      </c>
      <c r="D2958" s="13">
        <v>61583.0</v>
      </c>
      <c r="E2958" s="4">
        <v>45583.0</v>
      </c>
      <c r="F2958" s="4" t="str">
        <f>IF(D2958="","", IFNA(VLOOKUP(D2958, SATCAT_DECAY!A:B, 2, FALSE), ""))
</f>
        <v/>
      </c>
      <c r="G2958" s="3" t="str">
        <f t="shared" si="1"/>
        <v>ACTIVE</v>
      </c>
    </row>
    <row r="2959" ht="22.5" customHeight="1">
      <c r="A2959" s="11" t="str">
        <f t="array" ref="A2959">IFERROR(
  INDEX('Starlink Launches'!$A:$A, MATCH($E2959, 'Starlink Launches'!$B:$B, 0)),
  ""
)
</f>
        <v>8-19</v>
      </c>
      <c r="B2959" s="3" t="s">
        <v>25</v>
      </c>
      <c r="C2959" s="12" t="s">
        <v>2973</v>
      </c>
      <c r="D2959" s="13">
        <v>61584.0</v>
      </c>
      <c r="E2959" s="4">
        <v>45583.0</v>
      </c>
      <c r="F2959" s="4" t="str">
        <f>IF(D2959="","", IFNA(VLOOKUP(D2959, SATCAT_DECAY!A:B, 2, FALSE), ""))
</f>
        <v/>
      </c>
      <c r="G2959" s="3" t="str">
        <f t="shared" si="1"/>
        <v>ACTIVE</v>
      </c>
    </row>
    <row r="2960" ht="22.5" customHeight="1">
      <c r="A2960" s="11" t="str">
        <f t="array" ref="A2960">IFERROR(
  INDEX('Starlink Launches'!$A:$A, MATCH($E2960, 'Starlink Launches'!$B:$B, 0)),
  ""
)
</f>
        <v>8-19</v>
      </c>
      <c r="B2960" s="3" t="s">
        <v>25</v>
      </c>
      <c r="C2960" s="12" t="s">
        <v>2974</v>
      </c>
      <c r="D2960" s="13">
        <v>61585.0</v>
      </c>
      <c r="E2960" s="4">
        <v>45583.0</v>
      </c>
      <c r="F2960" s="4" t="str">
        <f>IF(D2960="","", IFNA(VLOOKUP(D2960, SATCAT_DECAY!A:B, 2, FALSE), ""))
</f>
        <v/>
      </c>
      <c r="G2960" s="3" t="str">
        <f t="shared" si="1"/>
        <v>ACTIVE</v>
      </c>
    </row>
    <row r="2961" ht="22.5" customHeight="1">
      <c r="A2961" s="11" t="str">
        <f t="array" ref="A2961">IFERROR(
  INDEX('Starlink Launches'!$A:$A, MATCH($E2961, 'Starlink Launches'!$B:$B, 0)),
  ""
)
</f>
        <v>8-19</v>
      </c>
      <c r="B2961" s="3" t="s">
        <v>25</v>
      </c>
      <c r="C2961" s="12" t="s">
        <v>2975</v>
      </c>
      <c r="D2961" s="13">
        <v>61586.0</v>
      </c>
      <c r="E2961" s="4">
        <v>45583.0</v>
      </c>
      <c r="F2961" s="4" t="str">
        <f>IF(D2961="","", IFNA(VLOOKUP(D2961, SATCAT_DECAY!A:B, 2, FALSE), ""))
</f>
        <v/>
      </c>
      <c r="G2961" s="3" t="str">
        <f t="shared" si="1"/>
        <v>ACTIVE</v>
      </c>
    </row>
    <row r="2962" ht="22.5" customHeight="1">
      <c r="A2962" s="11" t="str">
        <f t="array" ref="A2962">IFERROR(
  INDEX('Starlink Launches'!$A:$A, MATCH($E2962, 'Starlink Launches'!$B:$B, 0)),
  ""
)
</f>
        <v>8-19</v>
      </c>
      <c r="B2962" s="3" t="s">
        <v>25</v>
      </c>
      <c r="C2962" s="12" t="s">
        <v>2976</v>
      </c>
      <c r="D2962" s="13">
        <v>61587.0</v>
      </c>
      <c r="E2962" s="4">
        <v>45583.0</v>
      </c>
      <c r="F2962" s="4" t="str">
        <f>IF(D2962="","", IFNA(VLOOKUP(D2962, SATCAT_DECAY!A:B, 2, FALSE), ""))
</f>
        <v/>
      </c>
      <c r="G2962" s="3" t="str">
        <f t="shared" si="1"/>
        <v>ACTIVE</v>
      </c>
    </row>
    <row r="2963" ht="22.5" customHeight="1">
      <c r="A2963" s="11" t="str">
        <f t="array" ref="A2963">IFERROR(
  INDEX('Starlink Launches'!$A:$A, MATCH($E2963, 'Starlink Launches'!$B:$B, 0)),
  ""
)
</f>
        <v>8-19</v>
      </c>
      <c r="B2963" s="3" t="s">
        <v>25</v>
      </c>
      <c r="C2963" s="12" t="s">
        <v>2977</v>
      </c>
      <c r="D2963" s="13">
        <v>61588.0</v>
      </c>
      <c r="E2963" s="4">
        <v>45583.0</v>
      </c>
      <c r="F2963" s="4" t="str">
        <f>IF(D2963="","", IFNA(VLOOKUP(D2963, SATCAT_DECAY!A:B, 2, FALSE), ""))
</f>
        <v/>
      </c>
      <c r="G2963" s="3" t="str">
        <f t="shared" si="1"/>
        <v>ACTIVE</v>
      </c>
    </row>
    <row r="2964" ht="22.5" customHeight="1">
      <c r="A2964" s="11" t="str">
        <f t="array" ref="A2964">IFERROR(
  INDEX('Starlink Launches'!$A:$A, MATCH($E2964, 'Starlink Launches'!$B:$B, 0)),
  ""
)
</f>
        <v>8-19</v>
      </c>
      <c r="B2964" s="3" t="s">
        <v>25</v>
      </c>
      <c r="C2964" s="12" t="s">
        <v>2978</v>
      </c>
      <c r="D2964" s="13">
        <v>61589.0</v>
      </c>
      <c r="E2964" s="4">
        <v>45583.0</v>
      </c>
      <c r="F2964" s="4" t="str">
        <f>IF(D2964="","", IFNA(VLOOKUP(D2964, SATCAT_DECAY!A:B, 2, FALSE), ""))
</f>
        <v/>
      </c>
      <c r="G2964" s="3" t="str">
        <f t="shared" si="1"/>
        <v>ACTIVE</v>
      </c>
    </row>
    <row r="2965" ht="22.5" customHeight="1">
      <c r="A2965" s="11" t="str">
        <f t="array" ref="A2965">IFERROR(
  INDEX('Starlink Launches'!$A:$A, MATCH($E2965, 'Starlink Launches'!$B:$B, 0)),
  ""
)
</f>
        <v>8-19</v>
      </c>
      <c r="B2965" s="3" t="s">
        <v>25</v>
      </c>
      <c r="C2965" s="12" t="s">
        <v>2979</v>
      </c>
      <c r="D2965" s="13">
        <v>61590.0</v>
      </c>
      <c r="E2965" s="4">
        <v>45583.0</v>
      </c>
      <c r="F2965" s="4" t="str">
        <f>IF(D2965="","", IFNA(VLOOKUP(D2965, SATCAT_DECAY!A:B, 2, FALSE), ""))
</f>
        <v/>
      </c>
      <c r="G2965" s="3" t="str">
        <f t="shared" si="1"/>
        <v>ACTIVE</v>
      </c>
    </row>
    <row r="2966" ht="22.5" customHeight="1">
      <c r="A2966" s="11" t="str">
        <f t="array" ref="A2966">IFERROR(
  INDEX('Starlink Launches'!$A:$A, MATCH($E2966, 'Starlink Launches'!$B:$B, 0)),
  ""
)
</f>
        <v>8-19</v>
      </c>
      <c r="B2966" s="3" t="s">
        <v>25</v>
      </c>
      <c r="C2966" s="12" t="s">
        <v>2980</v>
      </c>
      <c r="D2966" s="13">
        <v>61591.0</v>
      </c>
      <c r="E2966" s="4">
        <v>45583.0</v>
      </c>
      <c r="F2966" s="4" t="str">
        <f>IF(D2966="","", IFNA(VLOOKUP(D2966, SATCAT_DECAY!A:B, 2, FALSE), ""))
</f>
        <v/>
      </c>
      <c r="G2966" s="3" t="str">
        <f t="shared" si="1"/>
        <v>ACTIVE</v>
      </c>
    </row>
    <row r="2967" ht="22.5" customHeight="1">
      <c r="A2967" s="11" t="str">
        <f t="array" ref="A2967">IFERROR(
  INDEX('Starlink Launches'!$A:$A, MATCH($E2967, 'Starlink Launches'!$B:$B, 0)),
  ""
)
</f>
        <v>8-19</v>
      </c>
      <c r="B2967" s="3" t="s">
        <v>25</v>
      </c>
      <c r="C2967" s="12" t="s">
        <v>2981</v>
      </c>
      <c r="D2967" s="13">
        <v>61592.0</v>
      </c>
      <c r="E2967" s="4">
        <v>45583.0</v>
      </c>
      <c r="F2967" s="4" t="str">
        <f>IF(D2967="","", IFNA(VLOOKUP(D2967, SATCAT_DECAY!A:B, 2, FALSE), ""))
</f>
        <v/>
      </c>
      <c r="G2967" s="3" t="str">
        <f t="shared" si="1"/>
        <v>ACTIVE</v>
      </c>
    </row>
    <row r="2968" ht="22.5" customHeight="1">
      <c r="A2968" s="17" t="str">
        <f t="array" ref="A2968">IFERROR(
  INDEX('Starlink Launches'!$A:$A, MATCH($E2968, 'Starlink Launches'!$B:$B, 0)),
  ""
)
</f>
        <v>8-19</v>
      </c>
      <c r="B2968" s="9" t="s">
        <v>25</v>
      </c>
      <c r="C2968" s="18" t="s">
        <v>2982</v>
      </c>
      <c r="D2968" s="19">
        <v>61593.0</v>
      </c>
      <c r="E2968" s="10">
        <v>45583.0</v>
      </c>
      <c r="F2968" s="4" t="str">
        <f>IF(D2968="","", IFNA(VLOOKUP(D2968, SATCAT_DECAY!A:B, 2, FALSE), ""))
</f>
        <v/>
      </c>
      <c r="G2968" s="9" t="str">
        <f t="shared" si="1"/>
        <v>ACTIVE</v>
      </c>
    </row>
    <row r="2969" ht="22.5" customHeight="1">
      <c r="A2969" s="11" t="str">
        <f t="array" ref="A2969">IFERROR(
  INDEX('Starlink Launches'!$A:$A, MATCH($E2969, 'Starlink Launches'!$B:$B, 0)),
  ""
)
</f>
        <v>9-1</v>
      </c>
      <c r="B2969" s="3" t="s">
        <v>25</v>
      </c>
      <c r="C2969" s="12" t="s">
        <v>2983</v>
      </c>
      <c r="D2969" s="13">
        <v>60059.0</v>
      </c>
      <c r="E2969" s="4">
        <v>45462.0</v>
      </c>
      <c r="F2969" s="4" t="str">
        <f>IF(D2969="","", IFNA(VLOOKUP(D2969, SATCAT_DECAY!A:B, 2, FALSE), ""))
</f>
        <v/>
      </c>
      <c r="G2969" s="3" t="str">
        <f t="shared" si="1"/>
        <v>ACTIVE</v>
      </c>
    </row>
    <row r="2970" ht="22.5" customHeight="1">
      <c r="A2970" s="11" t="str">
        <f t="array" ref="A2970">IFERROR(
  INDEX('Starlink Launches'!$A:$A, MATCH($E2970, 'Starlink Launches'!$B:$B, 0)),
  ""
)
</f>
        <v>9-1</v>
      </c>
      <c r="B2970" s="3" t="s">
        <v>25</v>
      </c>
      <c r="C2970" s="12" t="s">
        <v>2984</v>
      </c>
      <c r="D2970" s="13">
        <v>60060.0</v>
      </c>
      <c r="E2970" s="4">
        <v>45462.0</v>
      </c>
      <c r="F2970" s="4" t="str">
        <f>IF(D2970="","", IFNA(VLOOKUP(D2970, SATCAT_DECAY!A:B, 2, FALSE), ""))
</f>
        <v/>
      </c>
      <c r="G2970" s="3" t="str">
        <f t="shared" si="1"/>
        <v>ACTIVE</v>
      </c>
    </row>
    <row r="2971" ht="22.5" customHeight="1">
      <c r="A2971" s="11" t="str">
        <f t="array" ref="A2971">IFERROR(
  INDEX('Starlink Launches'!$A:$A, MATCH($E2971, 'Starlink Launches'!$B:$B, 0)),
  ""
)
</f>
        <v>9-1</v>
      </c>
      <c r="B2971" s="3" t="s">
        <v>25</v>
      </c>
      <c r="C2971" s="12" t="s">
        <v>2985</v>
      </c>
      <c r="D2971" s="13">
        <v>60061.0</v>
      </c>
      <c r="E2971" s="4">
        <v>45462.0</v>
      </c>
      <c r="F2971" s="4" t="str">
        <f>IF(D2971="","", IFNA(VLOOKUP(D2971, SATCAT_DECAY!A:B, 2, FALSE), ""))
</f>
        <v/>
      </c>
      <c r="G2971" s="3" t="str">
        <f t="shared" si="1"/>
        <v>ACTIVE</v>
      </c>
    </row>
    <row r="2972" ht="22.5" customHeight="1">
      <c r="A2972" s="11" t="str">
        <f t="array" ref="A2972">IFERROR(
  INDEX('Starlink Launches'!$A:$A, MATCH($E2972, 'Starlink Launches'!$B:$B, 0)),
  ""
)
</f>
        <v>9-1</v>
      </c>
      <c r="B2972" s="3" t="s">
        <v>25</v>
      </c>
      <c r="C2972" s="12" t="s">
        <v>2986</v>
      </c>
      <c r="D2972" s="13">
        <v>60062.0</v>
      </c>
      <c r="E2972" s="4">
        <v>45462.0</v>
      </c>
      <c r="F2972" s="4" t="str">
        <f>IF(D2972="","", IFNA(VLOOKUP(D2972, SATCAT_DECAY!A:B, 2, FALSE), ""))
</f>
        <v/>
      </c>
      <c r="G2972" s="3" t="str">
        <f t="shared" si="1"/>
        <v>ACTIVE</v>
      </c>
    </row>
    <row r="2973" ht="22.5" customHeight="1">
      <c r="A2973" s="11" t="str">
        <f t="array" ref="A2973">IFERROR(
  INDEX('Starlink Launches'!$A:$A, MATCH($E2973, 'Starlink Launches'!$B:$B, 0)),
  ""
)
</f>
        <v>9-1</v>
      </c>
      <c r="B2973" s="3" t="s">
        <v>25</v>
      </c>
      <c r="C2973" s="12" t="s">
        <v>2987</v>
      </c>
      <c r="D2973" s="13">
        <v>60063.0</v>
      </c>
      <c r="E2973" s="4">
        <v>45462.0</v>
      </c>
      <c r="F2973" s="4" t="str">
        <f>IF(D2973="","", IFNA(VLOOKUP(D2973, SATCAT_DECAY!A:B, 2, FALSE), ""))
</f>
        <v/>
      </c>
      <c r="G2973" s="3" t="str">
        <f t="shared" si="1"/>
        <v>ACTIVE</v>
      </c>
    </row>
    <row r="2974" ht="22.5" customHeight="1">
      <c r="A2974" s="11" t="str">
        <f t="array" ref="A2974">IFERROR(
  INDEX('Starlink Launches'!$A:$A, MATCH($E2974, 'Starlink Launches'!$B:$B, 0)),
  ""
)
</f>
        <v>9-1</v>
      </c>
      <c r="B2974" s="3" t="s">
        <v>25</v>
      </c>
      <c r="C2974" s="12" t="s">
        <v>2988</v>
      </c>
      <c r="D2974" s="13">
        <v>60064.0</v>
      </c>
      <c r="E2974" s="4">
        <v>45462.0</v>
      </c>
      <c r="F2974" s="4" t="str">
        <f>IF(D2974="","", IFNA(VLOOKUP(D2974, SATCAT_DECAY!A:B, 2, FALSE), ""))
</f>
        <v/>
      </c>
      <c r="G2974" s="3" t="str">
        <f t="shared" si="1"/>
        <v>ACTIVE</v>
      </c>
    </row>
    <row r="2975" ht="22.5" customHeight="1">
      <c r="A2975" s="11" t="str">
        <f t="array" ref="A2975">IFERROR(
  INDEX('Starlink Launches'!$A:$A, MATCH($E2975, 'Starlink Launches'!$B:$B, 0)),
  ""
)
</f>
        <v>9-1</v>
      </c>
      <c r="B2975" s="3" t="s">
        <v>25</v>
      </c>
      <c r="C2975" s="12" t="s">
        <v>2989</v>
      </c>
      <c r="D2975" s="13">
        <v>60065.0</v>
      </c>
      <c r="E2975" s="4">
        <v>45462.0</v>
      </c>
      <c r="F2975" s="4" t="str">
        <f>IF(D2975="","", IFNA(VLOOKUP(D2975, SATCAT_DECAY!A:B, 2, FALSE), ""))
</f>
        <v/>
      </c>
      <c r="G2975" s="3" t="str">
        <f t="shared" si="1"/>
        <v>ACTIVE</v>
      </c>
    </row>
    <row r="2976" ht="22.5" customHeight="1">
      <c r="A2976" s="11" t="str">
        <f t="array" ref="A2976">IFERROR(
  INDEX('Starlink Launches'!$A:$A, MATCH($E2976, 'Starlink Launches'!$B:$B, 0)),
  ""
)
</f>
        <v>9-1</v>
      </c>
      <c r="B2976" s="3" t="s">
        <v>25</v>
      </c>
      <c r="C2976" s="12" t="s">
        <v>2990</v>
      </c>
      <c r="D2976" s="13">
        <v>60066.0</v>
      </c>
      <c r="E2976" s="4">
        <v>45462.0</v>
      </c>
      <c r="F2976" s="4" t="str">
        <f>IF(D2976="","", IFNA(VLOOKUP(D2976, SATCAT_DECAY!A:B, 2, FALSE), ""))
</f>
        <v/>
      </c>
      <c r="G2976" s="3" t="str">
        <f t="shared" si="1"/>
        <v>ACTIVE</v>
      </c>
    </row>
    <row r="2977" ht="22.5" customHeight="1">
      <c r="A2977" s="11" t="str">
        <f t="array" ref="A2977">IFERROR(
  INDEX('Starlink Launches'!$A:$A, MATCH($E2977, 'Starlink Launches'!$B:$B, 0)),
  ""
)
</f>
        <v>9-1</v>
      </c>
      <c r="B2977" s="3" t="s">
        <v>25</v>
      </c>
      <c r="C2977" s="12" t="s">
        <v>2991</v>
      </c>
      <c r="D2977" s="13">
        <v>60067.0</v>
      </c>
      <c r="E2977" s="4">
        <v>45462.0</v>
      </c>
      <c r="F2977" s="4" t="str">
        <f>IF(D2977="","", IFNA(VLOOKUP(D2977, SATCAT_DECAY!A:B, 2, FALSE), ""))
</f>
        <v/>
      </c>
      <c r="G2977" s="3" t="str">
        <f t="shared" si="1"/>
        <v>ACTIVE</v>
      </c>
    </row>
    <row r="2978" ht="22.5" customHeight="1">
      <c r="A2978" s="11" t="str">
        <f t="array" ref="A2978">IFERROR(
  INDEX('Starlink Launches'!$A:$A, MATCH($E2978, 'Starlink Launches'!$B:$B, 0)),
  ""
)
</f>
        <v>9-1</v>
      </c>
      <c r="B2978" s="3" t="s">
        <v>25</v>
      </c>
      <c r="C2978" s="12" t="s">
        <v>2992</v>
      </c>
      <c r="D2978" s="13">
        <v>60068.0</v>
      </c>
      <c r="E2978" s="4">
        <v>45462.0</v>
      </c>
      <c r="F2978" s="4" t="str">
        <f>IF(D2978="","", IFNA(VLOOKUP(D2978, SATCAT_DECAY!A:B, 2, FALSE), ""))
</f>
        <v/>
      </c>
      <c r="G2978" s="3" t="str">
        <f t="shared" si="1"/>
        <v>ACTIVE</v>
      </c>
    </row>
    <row r="2979" ht="22.5" customHeight="1">
      <c r="A2979" s="11" t="str">
        <f t="array" ref="A2979">IFERROR(
  INDEX('Starlink Launches'!$A:$A, MATCH($E2979, 'Starlink Launches'!$B:$B, 0)),
  ""
)
</f>
        <v>9-1</v>
      </c>
      <c r="B2979" s="3" t="s">
        <v>25</v>
      </c>
      <c r="C2979" s="12" t="s">
        <v>2993</v>
      </c>
      <c r="D2979" s="13">
        <v>60069.0</v>
      </c>
      <c r="E2979" s="4">
        <v>45462.0</v>
      </c>
      <c r="F2979" s="4" t="str">
        <f>IF(D2979="","", IFNA(VLOOKUP(D2979, SATCAT_DECAY!A:B, 2, FALSE), ""))
</f>
        <v/>
      </c>
      <c r="G2979" s="3" t="str">
        <f t="shared" si="1"/>
        <v>ACTIVE</v>
      </c>
    </row>
    <row r="2980" ht="22.5" customHeight="1">
      <c r="A2980" s="11" t="str">
        <f t="array" ref="A2980">IFERROR(
  INDEX('Starlink Launches'!$A:$A, MATCH($E2980, 'Starlink Launches'!$B:$B, 0)),
  ""
)
</f>
        <v>9-1</v>
      </c>
      <c r="B2980" s="3" t="s">
        <v>25</v>
      </c>
      <c r="C2980" s="12" t="s">
        <v>2994</v>
      </c>
      <c r="D2980" s="13">
        <v>60070.0</v>
      </c>
      <c r="E2980" s="4">
        <v>45462.0</v>
      </c>
      <c r="F2980" s="4" t="str">
        <f>IF(D2980="","", IFNA(VLOOKUP(D2980, SATCAT_DECAY!A:B, 2, FALSE), ""))
</f>
        <v/>
      </c>
      <c r="G2980" s="3" t="str">
        <f t="shared" si="1"/>
        <v>ACTIVE</v>
      </c>
    </row>
    <row r="2981" ht="22.5" customHeight="1">
      <c r="A2981" s="11" t="str">
        <f t="array" ref="A2981">IFERROR(
  INDEX('Starlink Launches'!$A:$A, MATCH($E2981, 'Starlink Launches'!$B:$B, 0)),
  ""
)
</f>
        <v>9-1</v>
      </c>
      <c r="B2981" s="3" t="s">
        <v>25</v>
      </c>
      <c r="C2981" s="12" t="s">
        <v>2995</v>
      </c>
      <c r="D2981" s="13">
        <v>60071.0</v>
      </c>
      <c r="E2981" s="4">
        <v>45462.0</v>
      </c>
      <c r="F2981" s="4" t="str">
        <f>IF(D2981="","", IFNA(VLOOKUP(D2981, SATCAT_DECAY!A:B, 2, FALSE), ""))
</f>
        <v/>
      </c>
      <c r="G2981" s="3" t="str">
        <f t="shared" si="1"/>
        <v>ACTIVE</v>
      </c>
    </row>
    <row r="2982" ht="22.5" customHeight="1">
      <c r="A2982" s="11" t="str">
        <f t="array" ref="A2982">IFERROR(
  INDEX('Starlink Launches'!$A:$A, MATCH($E2982, 'Starlink Launches'!$B:$B, 0)),
  ""
)
</f>
        <v>9-1</v>
      </c>
      <c r="B2982" s="3" t="s">
        <v>25</v>
      </c>
      <c r="C2982" s="12" t="s">
        <v>2996</v>
      </c>
      <c r="D2982" s="13">
        <v>60077.0</v>
      </c>
      <c r="E2982" s="4">
        <v>45462.0</v>
      </c>
      <c r="F2982" s="4" t="str">
        <f>IF(D2982="","", IFNA(VLOOKUP(D2982, SATCAT_DECAY!A:B, 2, FALSE), ""))
</f>
        <v/>
      </c>
      <c r="G2982" s="3" t="str">
        <f t="shared" si="1"/>
        <v>ACTIVE</v>
      </c>
    </row>
    <row r="2983" ht="22.5" customHeight="1">
      <c r="A2983" s="11" t="str">
        <f t="array" ref="A2983">IFERROR(
  INDEX('Starlink Launches'!$A:$A, MATCH($E2983, 'Starlink Launches'!$B:$B, 0)),
  ""
)
</f>
        <v>9-2</v>
      </c>
      <c r="B2983" s="3" t="s">
        <v>25</v>
      </c>
      <c r="C2983" s="12" t="s">
        <v>2997</v>
      </c>
      <c r="D2983" s="13">
        <v>60113.0</v>
      </c>
      <c r="E2983" s="4">
        <v>45467.0</v>
      </c>
      <c r="F2983" s="4" t="str">
        <f>IF(D2983="","", IFNA(VLOOKUP(D2983, SATCAT_DECAY!A:B, 2, FALSE), ""))
</f>
        <v/>
      </c>
      <c r="G2983" s="3" t="str">
        <f t="shared" si="1"/>
        <v>ACTIVE</v>
      </c>
    </row>
    <row r="2984" ht="22.5" customHeight="1">
      <c r="A2984" s="11" t="str">
        <f t="array" ref="A2984">IFERROR(
  INDEX('Starlink Launches'!$A:$A, MATCH($E2984, 'Starlink Launches'!$B:$B, 0)),
  ""
)
</f>
        <v>9-2</v>
      </c>
      <c r="B2984" s="3" t="s">
        <v>25</v>
      </c>
      <c r="C2984" s="12" t="s">
        <v>2998</v>
      </c>
      <c r="D2984" s="13">
        <v>60114.0</v>
      </c>
      <c r="E2984" s="4">
        <v>45467.0</v>
      </c>
      <c r="F2984" s="4" t="str">
        <f>IF(D2984="","", IFNA(VLOOKUP(D2984, SATCAT_DECAY!A:B, 2, FALSE), ""))
</f>
        <v/>
      </c>
      <c r="G2984" s="3" t="str">
        <f t="shared" si="1"/>
        <v>ACTIVE</v>
      </c>
    </row>
    <row r="2985" ht="22.5" customHeight="1">
      <c r="A2985" s="11" t="str">
        <f t="array" ref="A2985">IFERROR(
  INDEX('Starlink Launches'!$A:$A, MATCH($E2985, 'Starlink Launches'!$B:$B, 0)),
  ""
)
</f>
        <v>9-2</v>
      </c>
      <c r="B2985" s="3" t="s">
        <v>25</v>
      </c>
      <c r="C2985" s="12" t="s">
        <v>2999</v>
      </c>
      <c r="D2985" s="13">
        <v>60115.0</v>
      </c>
      <c r="E2985" s="4">
        <v>45467.0</v>
      </c>
      <c r="F2985" s="4" t="str">
        <f>IF(D2985="","", IFNA(VLOOKUP(D2985, SATCAT_DECAY!A:B, 2, FALSE), ""))
</f>
        <v/>
      </c>
      <c r="G2985" s="3" t="str">
        <f t="shared" si="1"/>
        <v>ACTIVE</v>
      </c>
    </row>
    <row r="2986" ht="22.5" customHeight="1">
      <c r="A2986" s="11" t="str">
        <f t="array" ref="A2986">IFERROR(
  INDEX('Starlink Launches'!$A:$A, MATCH($E2986, 'Starlink Launches'!$B:$B, 0)),
  ""
)
</f>
        <v>9-2</v>
      </c>
      <c r="B2986" s="3" t="s">
        <v>25</v>
      </c>
      <c r="C2986" s="12" t="s">
        <v>3000</v>
      </c>
      <c r="D2986" s="13">
        <v>60116.0</v>
      </c>
      <c r="E2986" s="4">
        <v>45467.0</v>
      </c>
      <c r="F2986" s="4" t="str">
        <f>IF(D2986="","", IFNA(VLOOKUP(D2986, SATCAT_DECAY!A:B, 2, FALSE), ""))
</f>
        <v/>
      </c>
      <c r="G2986" s="3" t="str">
        <f t="shared" si="1"/>
        <v>ACTIVE</v>
      </c>
    </row>
    <row r="2987" ht="22.5" customHeight="1">
      <c r="A2987" s="11" t="str">
        <f t="array" ref="A2987">IFERROR(
  INDEX('Starlink Launches'!$A:$A, MATCH($E2987, 'Starlink Launches'!$B:$B, 0)),
  ""
)
</f>
        <v>9-2</v>
      </c>
      <c r="B2987" s="3" t="s">
        <v>25</v>
      </c>
      <c r="C2987" s="12" t="s">
        <v>3001</v>
      </c>
      <c r="D2987" s="13">
        <v>60117.0</v>
      </c>
      <c r="E2987" s="4">
        <v>45467.0</v>
      </c>
      <c r="F2987" s="4" t="str">
        <f>IF(D2987="","", IFNA(VLOOKUP(D2987, SATCAT_DECAY!A:B, 2, FALSE), ""))
</f>
        <v/>
      </c>
      <c r="G2987" s="3" t="str">
        <f t="shared" si="1"/>
        <v>ACTIVE</v>
      </c>
    </row>
    <row r="2988" ht="22.5" customHeight="1">
      <c r="A2988" s="11" t="str">
        <f t="array" ref="A2988">IFERROR(
  INDEX('Starlink Launches'!$A:$A, MATCH($E2988, 'Starlink Launches'!$B:$B, 0)),
  ""
)
</f>
        <v>9-2</v>
      </c>
      <c r="B2988" s="3" t="s">
        <v>25</v>
      </c>
      <c r="C2988" s="12" t="s">
        <v>3002</v>
      </c>
      <c r="D2988" s="13">
        <v>60118.0</v>
      </c>
      <c r="E2988" s="4">
        <v>45467.0</v>
      </c>
      <c r="F2988" s="4" t="str">
        <f>IF(D2988="","", IFNA(VLOOKUP(D2988, SATCAT_DECAY!A:B, 2, FALSE), ""))
</f>
        <v/>
      </c>
      <c r="G2988" s="3" t="str">
        <f t="shared" si="1"/>
        <v>ACTIVE</v>
      </c>
    </row>
    <row r="2989" ht="22.5" customHeight="1">
      <c r="A2989" s="11" t="str">
        <f t="array" ref="A2989">IFERROR(
  INDEX('Starlink Launches'!$A:$A, MATCH($E2989, 'Starlink Launches'!$B:$B, 0)),
  ""
)
</f>
        <v>9-2</v>
      </c>
      <c r="B2989" s="3" t="s">
        <v>25</v>
      </c>
      <c r="C2989" s="12" t="s">
        <v>3003</v>
      </c>
      <c r="D2989" s="13">
        <v>60119.0</v>
      </c>
      <c r="E2989" s="4">
        <v>45467.0</v>
      </c>
      <c r="F2989" s="4" t="str">
        <f>IF(D2989="","", IFNA(VLOOKUP(D2989, SATCAT_DECAY!A:B, 2, FALSE), ""))
</f>
        <v/>
      </c>
      <c r="G2989" s="3" t="str">
        <f t="shared" si="1"/>
        <v>ACTIVE</v>
      </c>
    </row>
    <row r="2990" ht="22.5" customHeight="1">
      <c r="A2990" s="11" t="str">
        <f t="array" ref="A2990">IFERROR(
  INDEX('Starlink Launches'!$A:$A, MATCH($E2990, 'Starlink Launches'!$B:$B, 0)),
  ""
)
</f>
        <v>9-2</v>
      </c>
      <c r="B2990" s="3" t="s">
        <v>25</v>
      </c>
      <c r="C2990" s="12" t="s">
        <v>3004</v>
      </c>
      <c r="D2990" s="13">
        <v>60120.0</v>
      </c>
      <c r="E2990" s="4">
        <v>45467.0</v>
      </c>
      <c r="F2990" s="4" t="str">
        <f>IF(D2990="","", IFNA(VLOOKUP(D2990, SATCAT_DECAY!A:B, 2, FALSE), ""))
</f>
        <v/>
      </c>
      <c r="G2990" s="3" t="str">
        <f t="shared" si="1"/>
        <v>ACTIVE</v>
      </c>
    </row>
    <row r="2991" ht="22.5" customHeight="1">
      <c r="A2991" s="11" t="str">
        <f t="array" ref="A2991">IFERROR(
  INDEX('Starlink Launches'!$A:$A, MATCH($E2991, 'Starlink Launches'!$B:$B, 0)),
  ""
)
</f>
        <v>9-2</v>
      </c>
      <c r="B2991" s="3" t="s">
        <v>25</v>
      </c>
      <c r="C2991" s="12" t="s">
        <v>3005</v>
      </c>
      <c r="D2991" s="13">
        <v>60121.0</v>
      </c>
      <c r="E2991" s="4">
        <v>45467.0</v>
      </c>
      <c r="F2991" s="4" t="str">
        <f>IF(D2991="","", IFNA(VLOOKUP(D2991, SATCAT_DECAY!A:B, 2, FALSE), ""))
</f>
        <v/>
      </c>
      <c r="G2991" s="3" t="str">
        <f t="shared" si="1"/>
        <v>ACTIVE</v>
      </c>
    </row>
    <row r="2992" ht="22.5" customHeight="1">
      <c r="A2992" s="11" t="str">
        <f t="array" ref="A2992">IFERROR(
  INDEX('Starlink Launches'!$A:$A, MATCH($E2992, 'Starlink Launches'!$B:$B, 0)),
  ""
)
</f>
        <v>9-2</v>
      </c>
      <c r="B2992" s="3" t="s">
        <v>25</v>
      </c>
      <c r="C2992" s="12" t="s">
        <v>3006</v>
      </c>
      <c r="D2992" s="13">
        <v>60122.0</v>
      </c>
      <c r="E2992" s="4">
        <v>45467.0</v>
      </c>
      <c r="F2992" s="4" t="str">
        <f>IF(D2992="","", IFNA(VLOOKUP(D2992, SATCAT_DECAY!A:B, 2, FALSE), ""))
</f>
        <v/>
      </c>
      <c r="G2992" s="3" t="str">
        <f t="shared" si="1"/>
        <v>ACTIVE</v>
      </c>
    </row>
    <row r="2993" ht="22.5" customHeight="1">
      <c r="A2993" s="11" t="str">
        <f t="array" ref="A2993">IFERROR(
  INDEX('Starlink Launches'!$A:$A, MATCH($E2993, 'Starlink Launches'!$B:$B, 0)),
  ""
)
</f>
        <v>9-2</v>
      </c>
      <c r="B2993" s="3" t="s">
        <v>25</v>
      </c>
      <c r="C2993" s="12" t="s">
        <v>3007</v>
      </c>
      <c r="D2993" s="13">
        <v>60123.0</v>
      </c>
      <c r="E2993" s="4">
        <v>45467.0</v>
      </c>
      <c r="F2993" s="4" t="str">
        <f>IF(D2993="","", IFNA(VLOOKUP(D2993, SATCAT_DECAY!A:B, 2, FALSE), ""))
</f>
        <v/>
      </c>
      <c r="G2993" s="3" t="str">
        <f t="shared" si="1"/>
        <v>ACTIVE</v>
      </c>
    </row>
    <row r="2994" ht="22.5" customHeight="1">
      <c r="A2994" s="11" t="str">
        <f t="array" ref="A2994">IFERROR(
  INDEX('Starlink Launches'!$A:$A, MATCH($E2994, 'Starlink Launches'!$B:$B, 0)),
  ""
)
</f>
        <v>9-2</v>
      </c>
      <c r="B2994" s="3" t="s">
        <v>25</v>
      </c>
      <c r="C2994" s="12" t="s">
        <v>3008</v>
      </c>
      <c r="D2994" s="13">
        <v>60124.0</v>
      </c>
      <c r="E2994" s="4">
        <v>45467.0</v>
      </c>
      <c r="F2994" s="4" t="str">
        <f>IF(D2994="","", IFNA(VLOOKUP(D2994, SATCAT_DECAY!A:B, 2, FALSE), ""))
</f>
        <v/>
      </c>
      <c r="G2994" s="3" t="str">
        <f t="shared" si="1"/>
        <v>ACTIVE</v>
      </c>
    </row>
    <row r="2995" ht="22.5" customHeight="1">
      <c r="A2995" s="11" t="str">
        <f t="array" ref="A2995">IFERROR(
  INDEX('Starlink Launches'!$A:$A, MATCH($E2995, 'Starlink Launches'!$B:$B, 0)),
  ""
)
</f>
        <v>9-2</v>
      </c>
      <c r="B2995" s="3" t="s">
        <v>25</v>
      </c>
      <c r="C2995" s="12" t="s">
        <v>3009</v>
      </c>
      <c r="D2995" s="13">
        <v>60125.0</v>
      </c>
      <c r="E2995" s="4">
        <v>45467.0</v>
      </c>
      <c r="F2995" s="4" t="str">
        <f>IF(D2995="","", IFNA(VLOOKUP(D2995, SATCAT_DECAY!A:B, 2, FALSE), ""))
</f>
        <v/>
      </c>
      <c r="G2995" s="3" t="str">
        <f t="shared" si="1"/>
        <v>ACTIVE</v>
      </c>
    </row>
    <row r="2996" ht="22.5" customHeight="1">
      <c r="A2996" s="11" t="str">
        <f t="array" ref="A2996">IFERROR(
  INDEX('Starlink Launches'!$A:$A, MATCH($E2996, 'Starlink Launches'!$B:$B, 0)),
  ""
)
</f>
        <v>9-2</v>
      </c>
      <c r="B2996" s="3" t="s">
        <v>25</v>
      </c>
      <c r="C2996" s="12" t="s">
        <v>3010</v>
      </c>
      <c r="D2996" s="13">
        <v>60126.0</v>
      </c>
      <c r="E2996" s="4">
        <v>45467.0</v>
      </c>
      <c r="F2996" s="4" t="str">
        <f>IF(D2996="","", IFNA(VLOOKUP(D2996, SATCAT_DECAY!A:B, 2, FALSE), ""))
</f>
        <v/>
      </c>
      <c r="G2996" s="3" t="str">
        <f t="shared" si="1"/>
        <v>ACTIVE</v>
      </c>
    </row>
    <row r="2997" ht="22.5" customHeight="1">
      <c r="A2997" s="11" t="str">
        <f t="array" ref="A2997">IFERROR(
  INDEX('Starlink Launches'!$A:$A, MATCH($E2997, 'Starlink Launches'!$B:$B, 0)),
  ""
)
</f>
        <v>9-2</v>
      </c>
      <c r="B2997" s="3" t="s">
        <v>25</v>
      </c>
      <c r="C2997" s="12" t="s">
        <v>3011</v>
      </c>
      <c r="D2997" s="13">
        <v>60127.0</v>
      </c>
      <c r="E2997" s="4">
        <v>45467.0</v>
      </c>
      <c r="F2997" s="4" t="str">
        <f>IF(D2997="","", IFNA(VLOOKUP(D2997, SATCAT_DECAY!A:B, 2, FALSE), ""))
</f>
        <v/>
      </c>
      <c r="G2997" s="3" t="str">
        <f t="shared" si="1"/>
        <v>ACTIVE</v>
      </c>
    </row>
    <row r="2998" ht="22.5" customHeight="1">
      <c r="A2998" s="11" t="str">
        <f t="array" ref="A2998">IFERROR(
  INDEX('Starlink Launches'!$A:$A, MATCH($E2998, 'Starlink Launches'!$B:$B, 0)),
  ""
)
</f>
        <v>9-2</v>
      </c>
      <c r="B2998" s="3" t="s">
        <v>25</v>
      </c>
      <c r="C2998" s="12" t="s">
        <v>3012</v>
      </c>
      <c r="D2998" s="13">
        <v>60128.0</v>
      </c>
      <c r="E2998" s="4">
        <v>45467.0</v>
      </c>
      <c r="F2998" s="4" t="str">
        <f>IF(D2998="","", IFNA(VLOOKUP(D2998, SATCAT_DECAY!A:B, 2, FALSE), ""))
</f>
        <v/>
      </c>
      <c r="G2998" s="3" t="str">
        <f t="shared" si="1"/>
        <v>ACTIVE</v>
      </c>
    </row>
    <row r="2999" ht="22.5" customHeight="1">
      <c r="A2999" s="11" t="str">
        <f t="array" ref="A2999">IFERROR(
  INDEX('Starlink Launches'!$A:$A, MATCH($E2999, 'Starlink Launches'!$B:$B, 0)),
  ""
)
</f>
        <v>9-2</v>
      </c>
      <c r="B2999" s="3" t="s">
        <v>25</v>
      </c>
      <c r="C2999" s="12" t="s">
        <v>3013</v>
      </c>
      <c r="D2999" s="13">
        <v>60129.0</v>
      </c>
      <c r="E2999" s="4">
        <v>45467.0</v>
      </c>
      <c r="F2999" s="4" t="str">
        <f>IF(D2999="","", IFNA(VLOOKUP(D2999, SATCAT_DECAY!A:B, 2, FALSE), ""))
</f>
        <v/>
      </c>
      <c r="G2999" s="3" t="str">
        <f t="shared" si="1"/>
        <v>ACTIVE</v>
      </c>
    </row>
    <row r="3000" ht="22.5" customHeight="1">
      <c r="A3000" s="11" t="str">
        <f t="array" ref="A3000">IFERROR(
  INDEX('Starlink Launches'!$A:$A, MATCH($E3000, 'Starlink Launches'!$B:$B, 0)),
  ""
)
</f>
        <v>9-2</v>
      </c>
      <c r="B3000" s="3" t="s">
        <v>25</v>
      </c>
      <c r="C3000" s="12" t="s">
        <v>3014</v>
      </c>
      <c r="D3000" s="13">
        <v>60130.0</v>
      </c>
      <c r="E3000" s="4">
        <v>45467.0</v>
      </c>
      <c r="F3000" s="4" t="str">
        <f>IF(D3000="","", IFNA(VLOOKUP(D3000, SATCAT_DECAY!A:B, 2, FALSE), ""))
</f>
        <v/>
      </c>
      <c r="G3000" s="3" t="str">
        <f t="shared" si="1"/>
        <v>ACTIVE</v>
      </c>
    </row>
    <row r="3001" ht="22.5" customHeight="1">
      <c r="A3001" s="11" t="str">
        <f t="array" ref="A3001">IFERROR(
  INDEX('Starlink Launches'!$A:$A, MATCH($E3001, 'Starlink Launches'!$B:$B, 0)),
  ""
)
</f>
        <v>9-2</v>
      </c>
      <c r="B3001" s="3" t="s">
        <v>25</v>
      </c>
      <c r="C3001" s="12" t="s">
        <v>3015</v>
      </c>
      <c r="D3001" s="13">
        <v>60131.0</v>
      </c>
      <c r="E3001" s="4">
        <v>45467.0</v>
      </c>
      <c r="F3001" s="4" t="str">
        <f>IF(D3001="","", IFNA(VLOOKUP(D3001, SATCAT_DECAY!A:B, 2, FALSE), ""))
</f>
        <v/>
      </c>
      <c r="G3001" s="3" t="str">
        <f t="shared" si="1"/>
        <v>ACTIVE</v>
      </c>
    </row>
    <row r="3002" ht="22.5" customHeight="1">
      <c r="A3002" s="11" t="str">
        <f t="array" ref="A3002">IFERROR(
  INDEX('Starlink Launches'!$A:$A, MATCH($E3002, 'Starlink Launches'!$B:$B, 0)),
  ""
)
</f>
        <v>9-2</v>
      </c>
      <c r="B3002" s="3" t="s">
        <v>25</v>
      </c>
      <c r="C3002" s="12" t="s">
        <v>3016</v>
      </c>
      <c r="D3002" s="13">
        <v>60132.0</v>
      </c>
      <c r="E3002" s="4">
        <v>45467.0</v>
      </c>
      <c r="F3002" s="4" t="str">
        <f>IF(D3002="","", IFNA(VLOOKUP(D3002, SATCAT_DECAY!A:B, 2, FALSE), ""))
</f>
        <v/>
      </c>
      <c r="G3002" s="3" t="str">
        <f t="shared" si="1"/>
        <v>ACTIVE</v>
      </c>
    </row>
    <row r="3003" ht="22.5" customHeight="1">
      <c r="A3003" s="11" t="str">
        <f t="array" ref="A3003">IFERROR(
  INDEX('Starlink Launches'!$A:$A, MATCH($E3003, 'Starlink Launches'!$B:$B, 0)),
  ""
)
</f>
        <v>9-4</v>
      </c>
      <c r="B3003" s="3" t="s">
        <v>25</v>
      </c>
      <c r="C3003" s="12" t="s">
        <v>3017</v>
      </c>
      <c r="D3003" s="13">
        <v>60301.0</v>
      </c>
      <c r="E3003" s="4">
        <v>45501.0</v>
      </c>
      <c r="F3003" s="4" t="str">
        <f>IF(D3003="","", IFNA(VLOOKUP(D3003, SATCAT_DECAY!A:B, 2, FALSE), ""))
</f>
        <v/>
      </c>
      <c r="G3003" s="3" t="str">
        <f t="shared" si="1"/>
        <v>ACTIVE</v>
      </c>
    </row>
    <row r="3004" ht="22.5" customHeight="1">
      <c r="A3004" s="11" t="str">
        <f t="array" ref="A3004">IFERROR(
  INDEX('Starlink Launches'!$A:$A, MATCH($E3004, 'Starlink Launches'!$B:$B, 0)),
  ""
)
</f>
        <v>9-4</v>
      </c>
      <c r="B3004" s="3" t="s">
        <v>25</v>
      </c>
      <c r="C3004" s="12" t="s">
        <v>3018</v>
      </c>
      <c r="D3004" s="13">
        <v>60302.0</v>
      </c>
      <c r="E3004" s="4">
        <v>45501.0</v>
      </c>
      <c r="F3004" s="4" t="str">
        <f>IF(D3004="","", IFNA(VLOOKUP(D3004, SATCAT_DECAY!A:B, 2, FALSE), ""))
</f>
        <v/>
      </c>
      <c r="G3004" s="3" t="str">
        <f t="shared" si="1"/>
        <v>ACTIVE</v>
      </c>
    </row>
    <row r="3005" ht="22.5" customHeight="1">
      <c r="A3005" s="11" t="str">
        <f t="array" ref="A3005">IFERROR(
  INDEX('Starlink Launches'!$A:$A, MATCH($E3005, 'Starlink Launches'!$B:$B, 0)),
  ""
)
</f>
        <v>9-4</v>
      </c>
      <c r="B3005" s="3" t="s">
        <v>25</v>
      </c>
      <c r="C3005" s="12" t="s">
        <v>3019</v>
      </c>
      <c r="D3005" s="13">
        <v>60303.0</v>
      </c>
      <c r="E3005" s="4">
        <v>45501.0</v>
      </c>
      <c r="F3005" s="4" t="str">
        <f>IF(D3005="","", IFNA(VLOOKUP(D3005, SATCAT_DECAY!A:B, 2, FALSE), ""))
</f>
        <v/>
      </c>
      <c r="G3005" s="3" t="str">
        <f t="shared" si="1"/>
        <v>ACTIVE</v>
      </c>
    </row>
    <row r="3006" ht="22.5" customHeight="1">
      <c r="A3006" s="11" t="str">
        <f t="array" ref="A3006">IFERROR(
  INDEX('Starlink Launches'!$A:$A, MATCH($E3006, 'Starlink Launches'!$B:$B, 0)),
  ""
)
</f>
        <v>9-4</v>
      </c>
      <c r="B3006" s="3" t="s">
        <v>25</v>
      </c>
      <c r="C3006" s="12" t="s">
        <v>3020</v>
      </c>
      <c r="D3006" s="13">
        <v>60304.0</v>
      </c>
      <c r="E3006" s="4">
        <v>45501.0</v>
      </c>
      <c r="F3006" s="4" t="str">
        <f>IF(D3006="","", IFNA(VLOOKUP(D3006, SATCAT_DECAY!A:B, 2, FALSE), ""))
</f>
        <v/>
      </c>
      <c r="G3006" s="3" t="str">
        <f t="shared" si="1"/>
        <v>ACTIVE</v>
      </c>
    </row>
    <row r="3007" ht="22.5" customHeight="1">
      <c r="A3007" s="11" t="str">
        <f t="array" ref="A3007">IFERROR(
  INDEX('Starlink Launches'!$A:$A, MATCH($E3007, 'Starlink Launches'!$B:$B, 0)),
  ""
)
</f>
        <v>9-4</v>
      </c>
      <c r="B3007" s="3" t="s">
        <v>25</v>
      </c>
      <c r="C3007" s="12" t="s">
        <v>3021</v>
      </c>
      <c r="D3007" s="13">
        <v>60305.0</v>
      </c>
      <c r="E3007" s="4">
        <v>45501.0</v>
      </c>
      <c r="F3007" s="4" t="str">
        <f>IF(D3007="","", IFNA(VLOOKUP(D3007, SATCAT_DECAY!A:B, 2, FALSE), ""))
</f>
        <v/>
      </c>
      <c r="G3007" s="3" t="str">
        <f t="shared" si="1"/>
        <v>ACTIVE</v>
      </c>
    </row>
    <row r="3008" ht="22.5" customHeight="1">
      <c r="A3008" s="11" t="str">
        <f t="array" ref="A3008">IFERROR(
  INDEX('Starlink Launches'!$A:$A, MATCH($E3008, 'Starlink Launches'!$B:$B, 0)),
  ""
)
</f>
        <v>9-4</v>
      </c>
      <c r="B3008" s="3" t="s">
        <v>25</v>
      </c>
      <c r="C3008" s="12" t="s">
        <v>3022</v>
      </c>
      <c r="D3008" s="13">
        <v>60306.0</v>
      </c>
      <c r="E3008" s="4">
        <v>45501.0</v>
      </c>
      <c r="F3008" s="4" t="str">
        <f>IF(D3008="","", IFNA(VLOOKUP(D3008, SATCAT_DECAY!A:B, 2, FALSE), ""))
</f>
        <v/>
      </c>
      <c r="G3008" s="3" t="str">
        <f t="shared" si="1"/>
        <v>ACTIVE</v>
      </c>
    </row>
    <row r="3009" ht="22.5" customHeight="1">
      <c r="A3009" s="11" t="str">
        <f t="array" ref="A3009">IFERROR(
  INDEX('Starlink Launches'!$A:$A, MATCH($E3009, 'Starlink Launches'!$B:$B, 0)),
  ""
)
</f>
        <v>9-4</v>
      </c>
      <c r="B3009" s="3" t="s">
        <v>25</v>
      </c>
      <c r="C3009" s="12" t="s">
        <v>3023</v>
      </c>
      <c r="D3009" s="13">
        <v>60307.0</v>
      </c>
      <c r="E3009" s="4">
        <v>45501.0</v>
      </c>
      <c r="F3009" s="4" t="str">
        <f>IF(D3009="","", IFNA(VLOOKUP(D3009, SATCAT_DECAY!A:B, 2, FALSE), ""))
</f>
        <v/>
      </c>
      <c r="G3009" s="3" t="str">
        <f t="shared" si="1"/>
        <v>ACTIVE</v>
      </c>
    </row>
    <row r="3010" ht="22.5" customHeight="1">
      <c r="A3010" s="11" t="str">
        <f t="array" ref="A3010">IFERROR(
  INDEX('Starlink Launches'!$A:$A, MATCH($E3010, 'Starlink Launches'!$B:$B, 0)),
  ""
)
</f>
        <v>9-4</v>
      </c>
      <c r="B3010" s="3" t="s">
        <v>25</v>
      </c>
      <c r="C3010" s="12" t="s">
        <v>3024</v>
      </c>
      <c r="D3010" s="13">
        <v>60308.0</v>
      </c>
      <c r="E3010" s="4">
        <v>45501.0</v>
      </c>
      <c r="F3010" s="4" t="str">
        <f>IF(D3010="","", IFNA(VLOOKUP(D3010, SATCAT_DECAY!A:B, 2, FALSE), ""))
</f>
        <v/>
      </c>
      <c r="G3010" s="3" t="str">
        <f t="shared" si="1"/>
        <v>ACTIVE</v>
      </c>
    </row>
    <row r="3011" ht="22.5" customHeight="1">
      <c r="A3011" s="11" t="str">
        <f t="array" ref="A3011">IFERROR(
  INDEX('Starlink Launches'!$A:$A, MATCH($E3011, 'Starlink Launches'!$B:$B, 0)),
  ""
)
</f>
        <v>9-4</v>
      </c>
      <c r="B3011" s="3" t="s">
        <v>25</v>
      </c>
      <c r="C3011" s="12" t="s">
        <v>3025</v>
      </c>
      <c r="D3011" s="13">
        <v>60309.0</v>
      </c>
      <c r="E3011" s="4">
        <v>45501.0</v>
      </c>
      <c r="F3011" s="4" t="str">
        <f>IF(D3011="","", IFNA(VLOOKUP(D3011, SATCAT_DECAY!A:B, 2, FALSE), ""))
</f>
        <v/>
      </c>
      <c r="G3011" s="3" t="str">
        <f t="shared" si="1"/>
        <v>ACTIVE</v>
      </c>
    </row>
    <row r="3012" ht="22.5" customHeight="1">
      <c r="A3012" s="11" t="str">
        <f t="array" ref="A3012">IFERROR(
  INDEX('Starlink Launches'!$A:$A, MATCH($E3012, 'Starlink Launches'!$B:$B, 0)),
  ""
)
</f>
        <v>9-4</v>
      </c>
      <c r="B3012" s="3" t="s">
        <v>25</v>
      </c>
      <c r="C3012" s="12" t="s">
        <v>3026</v>
      </c>
      <c r="D3012" s="13">
        <v>60310.0</v>
      </c>
      <c r="E3012" s="4">
        <v>45501.0</v>
      </c>
      <c r="F3012" s="4" t="str">
        <f>IF(D3012="","", IFNA(VLOOKUP(D3012, SATCAT_DECAY!A:B, 2, FALSE), ""))
</f>
        <v/>
      </c>
      <c r="G3012" s="3" t="str">
        <f t="shared" si="1"/>
        <v>ACTIVE</v>
      </c>
    </row>
    <row r="3013" ht="22.5" hidden="1" customHeight="1">
      <c r="A3013" s="11" t="str">
        <f t="array" ref="A3013">IFERROR(
  INDEX('Starlink Launches'!$A:$A, MATCH($E3013, 'Starlink Launches'!$B:$B, 0)),
  ""
)
</f>
        <v>9-4</v>
      </c>
      <c r="B3013" s="3" t="s">
        <v>25</v>
      </c>
      <c r="C3013" s="12" t="s">
        <v>3027</v>
      </c>
      <c r="D3013" s="13">
        <v>60311.0</v>
      </c>
      <c r="E3013" s="4">
        <v>45501.0</v>
      </c>
      <c r="F3013" s="4">
        <f>IF(D3013="","", IFNA(VLOOKUP(D3013, SATCAT_DECAY!A:B, 2, FALSE), ""))
</f>
        <v>45823</v>
      </c>
      <c r="G3013" s="3" t="str">
        <f t="shared" si="1"/>
        <v>DECAYED</v>
      </c>
    </row>
    <row r="3014" ht="22.5" customHeight="1">
      <c r="A3014" s="11" t="str">
        <f t="array" ref="A3014">IFERROR(
  INDEX('Starlink Launches'!$A:$A, MATCH($E3014, 'Starlink Launches'!$B:$B, 0)),
  ""
)
</f>
        <v>9-4</v>
      </c>
      <c r="B3014" s="3" t="s">
        <v>25</v>
      </c>
      <c r="C3014" s="12" t="s">
        <v>3028</v>
      </c>
      <c r="D3014" s="13">
        <v>60312.0</v>
      </c>
      <c r="E3014" s="4">
        <v>45501.0</v>
      </c>
      <c r="F3014" s="4" t="str">
        <f>IF(D3014="","", IFNA(VLOOKUP(D3014, SATCAT_DECAY!A:B, 2, FALSE), ""))
</f>
        <v/>
      </c>
      <c r="G3014" s="3" t="str">
        <f t="shared" si="1"/>
        <v>ACTIVE</v>
      </c>
    </row>
    <row r="3015" ht="22.5" customHeight="1">
      <c r="A3015" s="11" t="str">
        <f t="array" ref="A3015">IFERROR(
  INDEX('Starlink Launches'!$A:$A, MATCH($E3015, 'Starlink Launches'!$B:$B, 0)),
  ""
)
</f>
        <v>9-4</v>
      </c>
      <c r="B3015" s="3" t="s">
        <v>25</v>
      </c>
      <c r="C3015" s="12" t="s">
        <v>3029</v>
      </c>
      <c r="D3015" s="13">
        <v>60313.0</v>
      </c>
      <c r="E3015" s="4">
        <v>45501.0</v>
      </c>
      <c r="F3015" s="4" t="str">
        <f>IF(D3015="","", IFNA(VLOOKUP(D3015, SATCAT_DECAY!A:B, 2, FALSE), ""))
</f>
        <v/>
      </c>
      <c r="G3015" s="3" t="str">
        <f t="shared" si="1"/>
        <v>ACTIVE</v>
      </c>
    </row>
    <row r="3016" ht="22.5" customHeight="1">
      <c r="A3016" s="11" t="str">
        <f t="array" ref="A3016">IFERROR(
  INDEX('Starlink Launches'!$A:$A, MATCH($E3016, 'Starlink Launches'!$B:$B, 0)),
  ""
)
</f>
        <v>9-4</v>
      </c>
      <c r="B3016" s="3" t="s">
        <v>25</v>
      </c>
      <c r="C3016" s="12" t="s">
        <v>3030</v>
      </c>
      <c r="D3016" s="13">
        <v>60314.0</v>
      </c>
      <c r="E3016" s="4">
        <v>45501.0</v>
      </c>
      <c r="F3016" s="4" t="str">
        <f>IF(D3016="","", IFNA(VLOOKUP(D3016, SATCAT_DECAY!A:B, 2, FALSE), ""))
</f>
        <v/>
      </c>
      <c r="G3016" s="3" t="str">
        <f t="shared" si="1"/>
        <v>ACTIVE</v>
      </c>
    </row>
    <row r="3017" ht="22.5" customHeight="1">
      <c r="A3017" s="11" t="str">
        <f t="array" ref="A3017">IFERROR(
  INDEX('Starlink Launches'!$A:$A, MATCH($E3017, 'Starlink Launches'!$B:$B, 0)),
  ""
)
</f>
        <v>9-4</v>
      </c>
      <c r="B3017" s="3" t="s">
        <v>25</v>
      </c>
      <c r="C3017" s="12" t="s">
        <v>3031</v>
      </c>
      <c r="D3017" s="13">
        <v>60315.0</v>
      </c>
      <c r="E3017" s="4">
        <v>45501.0</v>
      </c>
      <c r="F3017" s="4" t="str">
        <f>IF(D3017="","", IFNA(VLOOKUP(D3017, SATCAT_DECAY!A:B, 2, FALSE), ""))
</f>
        <v/>
      </c>
      <c r="G3017" s="3" t="str">
        <f t="shared" si="1"/>
        <v>ACTIVE</v>
      </c>
    </row>
    <row r="3018" ht="22.5" customHeight="1">
      <c r="A3018" s="11" t="str">
        <f t="array" ref="A3018">IFERROR(
  INDEX('Starlink Launches'!$A:$A, MATCH($E3018, 'Starlink Launches'!$B:$B, 0)),
  ""
)
</f>
        <v>9-4</v>
      </c>
      <c r="B3018" s="3" t="s">
        <v>25</v>
      </c>
      <c r="C3018" s="12" t="s">
        <v>3032</v>
      </c>
      <c r="D3018" s="13">
        <v>60316.0</v>
      </c>
      <c r="E3018" s="4">
        <v>45501.0</v>
      </c>
      <c r="F3018" s="4" t="str">
        <f>IF(D3018="","", IFNA(VLOOKUP(D3018, SATCAT_DECAY!A:B, 2, FALSE), ""))
</f>
        <v/>
      </c>
      <c r="G3018" s="3" t="str">
        <f t="shared" si="1"/>
        <v>ACTIVE</v>
      </c>
    </row>
    <row r="3019" ht="22.5" customHeight="1">
      <c r="A3019" s="11" t="str">
        <f t="array" ref="A3019">IFERROR(
  INDEX('Starlink Launches'!$A:$A, MATCH($E3019, 'Starlink Launches'!$B:$B, 0)),
  ""
)
</f>
        <v>9-4</v>
      </c>
      <c r="B3019" s="3" t="s">
        <v>25</v>
      </c>
      <c r="C3019" s="12" t="s">
        <v>3033</v>
      </c>
      <c r="D3019" s="13">
        <v>60317.0</v>
      </c>
      <c r="E3019" s="4">
        <v>45501.0</v>
      </c>
      <c r="F3019" s="4" t="str">
        <f>IF(D3019="","", IFNA(VLOOKUP(D3019, SATCAT_DECAY!A:B, 2, FALSE), ""))
</f>
        <v/>
      </c>
      <c r="G3019" s="3" t="str">
        <f t="shared" si="1"/>
        <v>ACTIVE</v>
      </c>
    </row>
    <row r="3020" ht="22.5" customHeight="1">
      <c r="A3020" s="11" t="str">
        <f t="array" ref="A3020">IFERROR(
  INDEX('Starlink Launches'!$A:$A, MATCH($E3020, 'Starlink Launches'!$B:$B, 0)),
  ""
)
</f>
        <v>9-4</v>
      </c>
      <c r="B3020" s="3" t="s">
        <v>25</v>
      </c>
      <c r="C3020" s="12" t="s">
        <v>3034</v>
      </c>
      <c r="D3020" s="13">
        <v>60318.0</v>
      </c>
      <c r="E3020" s="4">
        <v>45501.0</v>
      </c>
      <c r="F3020" s="4" t="str">
        <f>IF(D3020="","", IFNA(VLOOKUP(D3020, SATCAT_DECAY!A:B, 2, FALSE), ""))
</f>
        <v/>
      </c>
      <c r="G3020" s="3" t="str">
        <f t="shared" si="1"/>
        <v>ACTIVE</v>
      </c>
    </row>
    <row r="3021" ht="22.5" customHeight="1">
      <c r="A3021" s="11" t="str">
        <f t="array" ref="A3021">IFERROR(
  INDEX('Starlink Launches'!$A:$A, MATCH($E3021, 'Starlink Launches'!$B:$B, 0)),
  ""
)
</f>
        <v>9-4</v>
      </c>
      <c r="B3021" s="3" t="s">
        <v>25</v>
      </c>
      <c r="C3021" s="12" t="s">
        <v>3035</v>
      </c>
      <c r="D3021" s="13">
        <v>60319.0</v>
      </c>
      <c r="E3021" s="4">
        <v>45501.0</v>
      </c>
      <c r="F3021" s="4" t="str">
        <f>IF(D3021="","", IFNA(VLOOKUP(D3021, SATCAT_DECAY!A:B, 2, FALSE), ""))
</f>
        <v/>
      </c>
      <c r="G3021" s="3" t="str">
        <f t="shared" si="1"/>
        <v>ACTIVE</v>
      </c>
    </row>
    <row r="3022" ht="22.5" customHeight="1">
      <c r="A3022" s="11" t="str">
        <f t="array" ref="A3022">IFERROR(
  INDEX('Starlink Launches'!$A:$A, MATCH($E3022, 'Starlink Launches'!$B:$B, 0)),
  ""
)
</f>
        <v>9-4</v>
      </c>
      <c r="B3022" s="3" t="s">
        <v>25</v>
      </c>
      <c r="C3022" s="12" t="s">
        <v>3036</v>
      </c>
      <c r="D3022" s="13">
        <v>60320.0</v>
      </c>
      <c r="E3022" s="4">
        <v>45501.0</v>
      </c>
      <c r="F3022" s="4" t="str">
        <f>IF(D3022="","", IFNA(VLOOKUP(D3022, SATCAT_DECAY!A:B, 2, FALSE), ""))
</f>
        <v/>
      </c>
      <c r="G3022" s="3" t="str">
        <f t="shared" si="1"/>
        <v>ACTIVE</v>
      </c>
    </row>
    <row r="3023" ht="22.5" customHeight="1">
      <c r="A3023" s="11" t="str">
        <f t="array" ref="A3023">IFERROR(
  INDEX('Starlink Launches'!$A:$A, MATCH($E3023, 'Starlink Launches'!$B:$B, 0)),
  ""
)
</f>
        <v>9-4</v>
      </c>
      <c r="B3023" s="3" t="s">
        <v>25</v>
      </c>
      <c r="C3023" s="12" t="s">
        <v>3037</v>
      </c>
      <c r="D3023" s="13">
        <v>60321.0</v>
      </c>
      <c r="E3023" s="4">
        <v>45501.0</v>
      </c>
      <c r="F3023" s="4" t="str">
        <f>IF(D3023="","", IFNA(VLOOKUP(D3023, SATCAT_DECAY!A:B, 2, FALSE), ""))
</f>
        <v/>
      </c>
      <c r="G3023" s="3" t="str">
        <f t="shared" si="1"/>
        <v>ACTIVE</v>
      </c>
    </row>
    <row r="3024" ht="22.5" customHeight="1">
      <c r="A3024" s="20" t="s">
        <v>3038</v>
      </c>
      <c r="B3024" s="3" t="s">
        <v>25</v>
      </c>
      <c r="C3024" s="12" t="s">
        <v>3039</v>
      </c>
      <c r="D3024" s="13">
        <v>60924.0</v>
      </c>
      <c r="E3024" s="4">
        <v>45535.0</v>
      </c>
      <c r="F3024" s="4" t="str">
        <f>IF(D3024="","", IFNA(VLOOKUP(D3024, SATCAT_DECAY!A:B, 2, FALSE), ""))
</f>
        <v/>
      </c>
      <c r="G3024" s="3" t="str">
        <f t="shared" si="1"/>
        <v>ACTIVE</v>
      </c>
    </row>
    <row r="3025" ht="22.5" customHeight="1">
      <c r="A3025" s="20" t="s">
        <v>3038</v>
      </c>
      <c r="B3025" s="3" t="s">
        <v>25</v>
      </c>
      <c r="C3025" s="12" t="s">
        <v>3040</v>
      </c>
      <c r="D3025" s="13">
        <v>60925.0</v>
      </c>
      <c r="E3025" s="4">
        <v>45535.0</v>
      </c>
      <c r="F3025" s="4" t="str">
        <f>IF(D3025="","", IFNA(VLOOKUP(D3025, SATCAT_DECAY!A:B, 2, FALSE), ""))
</f>
        <v/>
      </c>
      <c r="G3025" s="3" t="str">
        <f t="shared" si="1"/>
        <v>ACTIVE</v>
      </c>
    </row>
    <row r="3026" ht="22.5" customHeight="1">
      <c r="A3026" s="20" t="s">
        <v>3038</v>
      </c>
      <c r="B3026" s="3" t="s">
        <v>25</v>
      </c>
      <c r="C3026" s="12" t="s">
        <v>3041</v>
      </c>
      <c r="D3026" s="13">
        <v>60926.0</v>
      </c>
      <c r="E3026" s="4">
        <v>45535.0</v>
      </c>
      <c r="F3026" s="4" t="str">
        <f>IF(D3026="","", IFNA(VLOOKUP(D3026, SATCAT_DECAY!A:B, 2, FALSE), ""))
</f>
        <v/>
      </c>
      <c r="G3026" s="3" t="str">
        <f t="shared" si="1"/>
        <v>ACTIVE</v>
      </c>
    </row>
    <row r="3027" ht="22.5" customHeight="1">
      <c r="A3027" s="20" t="s">
        <v>3038</v>
      </c>
      <c r="B3027" s="3" t="s">
        <v>25</v>
      </c>
      <c r="C3027" s="12" t="s">
        <v>3042</v>
      </c>
      <c r="D3027" s="13">
        <v>60927.0</v>
      </c>
      <c r="E3027" s="4">
        <v>45535.0</v>
      </c>
      <c r="F3027" s="4" t="str">
        <f>IF(D3027="","", IFNA(VLOOKUP(D3027, SATCAT_DECAY!A:B, 2, FALSE), ""))
</f>
        <v/>
      </c>
      <c r="G3027" s="3" t="str">
        <f t="shared" si="1"/>
        <v>ACTIVE</v>
      </c>
    </row>
    <row r="3028" ht="22.5" customHeight="1">
      <c r="A3028" s="20" t="s">
        <v>3038</v>
      </c>
      <c r="B3028" s="3" t="s">
        <v>25</v>
      </c>
      <c r="C3028" s="12" t="s">
        <v>3043</v>
      </c>
      <c r="D3028" s="13">
        <v>60928.0</v>
      </c>
      <c r="E3028" s="4">
        <v>45535.0</v>
      </c>
      <c r="F3028" s="4" t="str">
        <f>IF(D3028="","", IFNA(VLOOKUP(D3028, SATCAT_DECAY!A:B, 2, FALSE), ""))
</f>
        <v/>
      </c>
      <c r="G3028" s="3" t="str">
        <f t="shared" si="1"/>
        <v>ACTIVE</v>
      </c>
    </row>
    <row r="3029" ht="22.5" customHeight="1">
      <c r="A3029" s="20" t="s">
        <v>3038</v>
      </c>
      <c r="B3029" s="3" t="s">
        <v>25</v>
      </c>
      <c r="C3029" s="12" t="s">
        <v>3044</v>
      </c>
      <c r="D3029" s="13">
        <v>60929.0</v>
      </c>
      <c r="E3029" s="4">
        <v>45535.0</v>
      </c>
      <c r="F3029" s="4" t="str">
        <f>IF(D3029="","", IFNA(VLOOKUP(D3029, SATCAT_DECAY!A:B, 2, FALSE), ""))
</f>
        <v/>
      </c>
      <c r="G3029" s="3" t="str">
        <f t="shared" si="1"/>
        <v>ACTIVE</v>
      </c>
    </row>
    <row r="3030" ht="22.5" customHeight="1">
      <c r="A3030" s="20" t="s">
        <v>3038</v>
      </c>
      <c r="B3030" s="3" t="s">
        <v>25</v>
      </c>
      <c r="C3030" s="12" t="s">
        <v>3045</v>
      </c>
      <c r="D3030" s="13">
        <v>60930.0</v>
      </c>
      <c r="E3030" s="4">
        <v>45535.0</v>
      </c>
      <c r="F3030" s="4" t="str">
        <f>IF(D3030="","", IFNA(VLOOKUP(D3030, SATCAT_DECAY!A:B, 2, FALSE), ""))
</f>
        <v/>
      </c>
      <c r="G3030" s="3" t="str">
        <f t="shared" si="1"/>
        <v>ACTIVE</v>
      </c>
    </row>
    <row r="3031" ht="22.5" customHeight="1">
      <c r="A3031" s="20" t="s">
        <v>3038</v>
      </c>
      <c r="B3031" s="3" t="s">
        <v>25</v>
      </c>
      <c r="C3031" s="12" t="s">
        <v>3046</v>
      </c>
      <c r="D3031" s="13">
        <v>60931.0</v>
      </c>
      <c r="E3031" s="4">
        <v>45535.0</v>
      </c>
      <c r="F3031" s="4" t="str">
        <f>IF(D3031="","", IFNA(VLOOKUP(D3031, SATCAT_DECAY!A:B, 2, FALSE), ""))
</f>
        <v/>
      </c>
      <c r="G3031" s="3" t="str">
        <f t="shared" si="1"/>
        <v>ACTIVE</v>
      </c>
    </row>
    <row r="3032" ht="22.5" customHeight="1">
      <c r="A3032" s="20" t="s">
        <v>3038</v>
      </c>
      <c r="B3032" s="3" t="s">
        <v>25</v>
      </c>
      <c r="C3032" s="12" t="s">
        <v>3047</v>
      </c>
      <c r="D3032" s="13">
        <v>60932.0</v>
      </c>
      <c r="E3032" s="4">
        <v>45535.0</v>
      </c>
      <c r="F3032" s="4" t="str">
        <f>IF(D3032="","", IFNA(VLOOKUP(D3032, SATCAT_DECAY!A:B, 2, FALSE), ""))
</f>
        <v/>
      </c>
      <c r="G3032" s="3" t="str">
        <f t="shared" si="1"/>
        <v>ACTIVE</v>
      </c>
    </row>
    <row r="3033" ht="22.5" customHeight="1">
      <c r="A3033" s="20" t="s">
        <v>3038</v>
      </c>
      <c r="B3033" s="3" t="s">
        <v>25</v>
      </c>
      <c r="C3033" s="12" t="s">
        <v>3048</v>
      </c>
      <c r="D3033" s="13">
        <v>60933.0</v>
      </c>
      <c r="E3033" s="4">
        <v>45535.0</v>
      </c>
      <c r="F3033" s="4" t="str">
        <f>IF(D3033="","", IFNA(VLOOKUP(D3033, SATCAT_DECAY!A:B, 2, FALSE), ""))
</f>
        <v/>
      </c>
      <c r="G3033" s="3" t="str">
        <f t="shared" si="1"/>
        <v>ACTIVE</v>
      </c>
    </row>
    <row r="3034" ht="22.5" customHeight="1">
      <c r="A3034" s="20" t="s">
        <v>3038</v>
      </c>
      <c r="B3034" s="3" t="s">
        <v>25</v>
      </c>
      <c r="C3034" s="12" t="s">
        <v>3049</v>
      </c>
      <c r="D3034" s="13">
        <v>60934.0</v>
      </c>
      <c r="E3034" s="4">
        <v>45535.0</v>
      </c>
      <c r="F3034" s="4" t="str">
        <f>IF(D3034="","", IFNA(VLOOKUP(D3034, SATCAT_DECAY!A:B, 2, FALSE), ""))
</f>
        <v/>
      </c>
      <c r="G3034" s="3" t="str">
        <f t="shared" si="1"/>
        <v>ACTIVE</v>
      </c>
    </row>
    <row r="3035" ht="22.5" customHeight="1">
      <c r="A3035" s="20" t="s">
        <v>3038</v>
      </c>
      <c r="B3035" s="3" t="s">
        <v>25</v>
      </c>
      <c r="C3035" s="12" t="s">
        <v>3050</v>
      </c>
      <c r="D3035" s="13">
        <v>60935.0</v>
      </c>
      <c r="E3035" s="4">
        <v>45535.0</v>
      </c>
      <c r="F3035" s="4" t="str">
        <f>IF(D3035="","", IFNA(VLOOKUP(D3035, SATCAT_DECAY!A:B, 2, FALSE), ""))
</f>
        <v/>
      </c>
      <c r="G3035" s="3" t="str">
        <f t="shared" si="1"/>
        <v>ACTIVE</v>
      </c>
    </row>
    <row r="3036" ht="22.5" customHeight="1">
      <c r="A3036" s="20" t="s">
        <v>3038</v>
      </c>
      <c r="B3036" s="3" t="s">
        <v>25</v>
      </c>
      <c r="C3036" s="12" t="s">
        <v>3051</v>
      </c>
      <c r="D3036" s="13">
        <v>60936.0</v>
      </c>
      <c r="E3036" s="4">
        <v>45535.0</v>
      </c>
      <c r="F3036" s="4" t="str">
        <f>IF(D3036="","", IFNA(VLOOKUP(D3036, SATCAT_DECAY!A:B, 2, FALSE), ""))
</f>
        <v/>
      </c>
      <c r="G3036" s="3" t="str">
        <f t="shared" si="1"/>
        <v>ACTIVE</v>
      </c>
    </row>
    <row r="3037" ht="22.5" customHeight="1">
      <c r="A3037" s="20" t="s">
        <v>3038</v>
      </c>
      <c r="B3037" s="3" t="s">
        <v>25</v>
      </c>
      <c r="C3037" s="12" t="s">
        <v>3052</v>
      </c>
      <c r="D3037" s="13">
        <v>60937.0</v>
      </c>
      <c r="E3037" s="4">
        <v>45535.0</v>
      </c>
      <c r="F3037" s="4" t="str">
        <f>IF(D3037="","", IFNA(VLOOKUP(D3037, SATCAT_DECAY!A:B, 2, FALSE), ""))
</f>
        <v/>
      </c>
      <c r="G3037" s="3" t="str">
        <f t="shared" si="1"/>
        <v>ACTIVE</v>
      </c>
    </row>
    <row r="3038" ht="22.5" customHeight="1">
      <c r="A3038" s="20" t="s">
        <v>3038</v>
      </c>
      <c r="B3038" s="3" t="s">
        <v>25</v>
      </c>
      <c r="C3038" s="12" t="s">
        <v>3053</v>
      </c>
      <c r="D3038" s="13">
        <v>60938.0</v>
      </c>
      <c r="E3038" s="4">
        <v>45535.0</v>
      </c>
      <c r="F3038" s="4" t="str">
        <f>IF(D3038="","", IFNA(VLOOKUP(D3038, SATCAT_DECAY!A:B, 2, FALSE), ""))
</f>
        <v/>
      </c>
      <c r="G3038" s="3" t="str">
        <f t="shared" si="1"/>
        <v>ACTIVE</v>
      </c>
    </row>
    <row r="3039" ht="22.5" customHeight="1">
      <c r="A3039" s="20" t="s">
        <v>3038</v>
      </c>
      <c r="B3039" s="3" t="s">
        <v>25</v>
      </c>
      <c r="C3039" s="12" t="s">
        <v>3054</v>
      </c>
      <c r="D3039" s="13">
        <v>60939.0</v>
      </c>
      <c r="E3039" s="4">
        <v>45535.0</v>
      </c>
      <c r="F3039" s="4" t="str">
        <f>IF(D3039="","", IFNA(VLOOKUP(D3039, SATCAT_DECAY!A:B, 2, FALSE), ""))
</f>
        <v/>
      </c>
      <c r="G3039" s="3" t="str">
        <f t="shared" si="1"/>
        <v>ACTIVE</v>
      </c>
    </row>
    <row r="3040" ht="22.5" customHeight="1">
      <c r="A3040" s="20" t="s">
        <v>3038</v>
      </c>
      <c r="B3040" s="3" t="s">
        <v>25</v>
      </c>
      <c r="C3040" s="12" t="s">
        <v>3055</v>
      </c>
      <c r="D3040" s="13">
        <v>60940.0</v>
      </c>
      <c r="E3040" s="4">
        <v>45535.0</v>
      </c>
      <c r="F3040" s="4" t="str">
        <f>IF(D3040="","", IFNA(VLOOKUP(D3040, SATCAT_DECAY!A:B, 2, FALSE), ""))
</f>
        <v/>
      </c>
      <c r="G3040" s="3" t="str">
        <f t="shared" si="1"/>
        <v>ACTIVE</v>
      </c>
    </row>
    <row r="3041" ht="22.5" customHeight="1">
      <c r="A3041" s="20" t="s">
        <v>3038</v>
      </c>
      <c r="B3041" s="3" t="s">
        <v>25</v>
      </c>
      <c r="C3041" s="12" t="s">
        <v>3056</v>
      </c>
      <c r="D3041" s="13">
        <v>60941.0</v>
      </c>
      <c r="E3041" s="4">
        <v>45535.0</v>
      </c>
      <c r="F3041" s="4" t="str">
        <f>IF(D3041="","", IFNA(VLOOKUP(D3041, SATCAT_DECAY!A:B, 2, FALSE), ""))
</f>
        <v/>
      </c>
      <c r="G3041" s="3" t="str">
        <f t="shared" si="1"/>
        <v>ACTIVE</v>
      </c>
    </row>
    <row r="3042" ht="22.5" customHeight="1">
      <c r="A3042" s="20" t="s">
        <v>3038</v>
      </c>
      <c r="B3042" s="3" t="s">
        <v>25</v>
      </c>
      <c r="C3042" s="12" t="s">
        <v>3057</v>
      </c>
      <c r="D3042" s="13">
        <v>60942.0</v>
      </c>
      <c r="E3042" s="4">
        <v>45535.0</v>
      </c>
      <c r="F3042" s="4" t="str">
        <f>IF(D3042="","", IFNA(VLOOKUP(D3042, SATCAT_DECAY!A:B, 2, FALSE), ""))
</f>
        <v/>
      </c>
      <c r="G3042" s="3" t="str">
        <f t="shared" si="1"/>
        <v>ACTIVE</v>
      </c>
    </row>
    <row r="3043" ht="22.5" customHeight="1">
      <c r="A3043" s="20" t="s">
        <v>3038</v>
      </c>
      <c r="B3043" s="3" t="s">
        <v>25</v>
      </c>
      <c r="C3043" s="12" t="s">
        <v>3058</v>
      </c>
      <c r="D3043" s="13">
        <v>60943.0</v>
      </c>
      <c r="E3043" s="4">
        <v>45535.0</v>
      </c>
      <c r="F3043" s="4" t="str">
        <f>IF(D3043="","", IFNA(VLOOKUP(D3043, SATCAT_DECAY!A:B, 2, FALSE), ""))
</f>
        <v/>
      </c>
      <c r="G3043" s="3" t="str">
        <f t="shared" si="1"/>
        <v>ACTIVE</v>
      </c>
    </row>
    <row r="3044" ht="22.5" customHeight="1">
      <c r="A3044" s="20" t="s">
        <v>3038</v>
      </c>
      <c r="B3044" s="3" t="s">
        <v>25</v>
      </c>
      <c r="C3044" s="12" t="s">
        <v>3059</v>
      </c>
      <c r="D3044" s="13">
        <v>60944.0</v>
      </c>
      <c r="E3044" s="4">
        <v>45535.0</v>
      </c>
      <c r="F3044" s="4" t="str">
        <f>IF(D3044="","", IFNA(VLOOKUP(D3044, SATCAT_DECAY!A:B, 2, FALSE), ""))
</f>
        <v/>
      </c>
      <c r="G3044" s="3" t="str">
        <f t="shared" si="1"/>
        <v>ACTIVE</v>
      </c>
    </row>
    <row r="3045" ht="22.5" customHeight="1">
      <c r="A3045" s="11" t="str">
        <f t="array" ref="A3045">IFERROR(
  INDEX('Starlink Launches'!$A:$A, MATCH($E3045, 'Starlink Launches'!$B:$B, 0)),
  ""
)
</f>
        <v>9-6</v>
      </c>
      <c r="B3045" s="3" t="s">
        <v>25</v>
      </c>
      <c r="C3045" s="12" t="s">
        <v>3060</v>
      </c>
      <c r="D3045" s="13">
        <v>61050.0</v>
      </c>
      <c r="E3045" s="4">
        <v>45548.0</v>
      </c>
      <c r="F3045" s="4" t="str">
        <f>IF(D3045="","", IFNA(VLOOKUP(D3045, SATCAT_DECAY!A:B, 2, FALSE), ""))
</f>
        <v/>
      </c>
      <c r="G3045" s="3" t="str">
        <f t="shared" si="1"/>
        <v>ACTIVE</v>
      </c>
    </row>
    <row r="3046" ht="22.5" customHeight="1">
      <c r="A3046" s="11" t="str">
        <f t="array" ref="A3046">IFERROR(
  INDEX('Starlink Launches'!$A:$A, MATCH($E3046, 'Starlink Launches'!$B:$B, 0)),
  ""
)
</f>
        <v>9-6</v>
      </c>
      <c r="B3046" s="3" t="s">
        <v>25</v>
      </c>
      <c r="C3046" s="12" t="s">
        <v>3061</v>
      </c>
      <c r="D3046" s="13">
        <v>61051.0</v>
      </c>
      <c r="E3046" s="4">
        <v>45548.0</v>
      </c>
      <c r="F3046" s="4" t="str">
        <f>IF(D3046="","", IFNA(VLOOKUP(D3046, SATCAT_DECAY!A:B, 2, FALSE), ""))
</f>
        <v/>
      </c>
      <c r="G3046" s="3" t="str">
        <f t="shared" si="1"/>
        <v>ACTIVE</v>
      </c>
    </row>
    <row r="3047" ht="22.5" customHeight="1">
      <c r="A3047" s="11" t="str">
        <f t="array" ref="A3047">IFERROR(
  INDEX('Starlink Launches'!$A:$A, MATCH($E3047, 'Starlink Launches'!$B:$B, 0)),
  ""
)
</f>
        <v>9-6</v>
      </c>
      <c r="B3047" s="3" t="s">
        <v>25</v>
      </c>
      <c r="C3047" s="12" t="s">
        <v>3062</v>
      </c>
      <c r="D3047" s="13">
        <v>61053.0</v>
      </c>
      <c r="E3047" s="4">
        <v>45548.0</v>
      </c>
      <c r="F3047" s="4" t="str">
        <f>IF(D3047="","", IFNA(VLOOKUP(D3047, SATCAT_DECAY!A:B, 2, FALSE), ""))
</f>
        <v/>
      </c>
      <c r="G3047" s="3" t="str">
        <f t="shared" si="1"/>
        <v>ACTIVE</v>
      </c>
    </row>
    <row r="3048" ht="22.5" customHeight="1">
      <c r="A3048" s="11" t="str">
        <f t="array" ref="A3048">IFERROR(
  INDEX('Starlink Launches'!$A:$A, MATCH($E3048, 'Starlink Launches'!$B:$B, 0)),
  ""
)
</f>
        <v>9-6</v>
      </c>
      <c r="B3048" s="3" t="s">
        <v>25</v>
      </c>
      <c r="C3048" s="12" t="s">
        <v>3063</v>
      </c>
      <c r="D3048" s="13">
        <v>61054.0</v>
      </c>
      <c r="E3048" s="4">
        <v>45548.0</v>
      </c>
      <c r="F3048" s="4" t="str">
        <f>IF(D3048="","", IFNA(VLOOKUP(D3048, SATCAT_DECAY!A:B, 2, FALSE), ""))
</f>
        <v/>
      </c>
      <c r="G3048" s="3" t="str">
        <f t="shared" si="1"/>
        <v>ACTIVE</v>
      </c>
    </row>
    <row r="3049" ht="22.5" customHeight="1">
      <c r="A3049" s="11" t="str">
        <f t="array" ref="A3049">IFERROR(
  INDEX('Starlink Launches'!$A:$A, MATCH($E3049, 'Starlink Launches'!$B:$B, 0)),
  ""
)
</f>
        <v>9-6</v>
      </c>
      <c r="B3049" s="3" t="s">
        <v>25</v>
      </c>
      <c r="C3049" s="12" t="s">
        <v>3064</v>
      </c>
      <c r="D3049" s="13">
        <v>61055.0</v>
      </c>
      <c r="E3049" s="4">
        <v>45548.0</v>
      </c>
      <c r="F3049" s="4" t="str">
        <f>IF(D3049="","", IFNA(VLOOKUP(D3049, SATCAT_DECAY!A:B, 2, FALSE), ""))
</f>
        <v/>
      </c>
      <c r="G3049" s="3" t="str">
        <f t="shared" si="1"/>
        <v>ACTIVE</v>
      </c>
    </row>
    <row r="3050" ht="22.5" customHeight="1">
      <c r="A3050" s="11" t="str">
        <f t="array" ref="A3050">IFERROR(
  INDEX('Starlink Launches'!$A:$A, MATCH($E3050, 'Starlink Launches'!$B:$B, 0)),
  ""
)
</f>
        <v>9-6</v>
      </c>
      <c r="B3050" s="3" t="s">
        <v>25</v>
      </c>
      <c r="C3050" s="12" t="s">
        <v>3065</v>
      </c>
      <c r="D3050" s="13">
        <v>61056.0</v>
      </c>
      <c r="E3050" s="4">
        <v>45548.0</v>
      </c>
      <c r="F3050" s="4" t="str">
        <f>IF(D3050="","", IFNA(VLOOKUP(D3050, SATCAT_DECAY!A:B, 2, FALSE), ""))
</f>
        <v/>
      </c>
      <c r="G3050" s="3" t="str">
        <f t="shared" si="1"/>
        <v>ACTIVE</v>
      </c>
    </row>
    <row r="3051" ht="22.5" customHeight="1">
      <c r="A3051" s="11" t="str">
        <f t="array" ref="A3051">IFERROR(
  INDEX('Starlink Launches'!$A:$A, MATCH($E3051, 'Starlink Launches'!$B:$B, 0)),
  ""
)
</f>
        <v>9-6</v>
      </c>
      <c r="B3051" s="3" t="s">
        <v>25</v>
      </c>
      <c r="C3051" s="12" t="s">
        <v>3066</v>
      </c>
      <c r="D3051" s="13">
        <v>61057.0</v>
      </c>
      <c r="E3051" s="4">
        <v>45548.0</v>
      </c>
      <c r="F3051" s="4" t="str">
        <f>IF(D3051="","", IFNA(VLOOKUP(D3051, SATCAT_DECAY!A:B, 2, FALSE), ""))
</f>
        <v/>
      </c>
      <c r="G3051" s="3" t="str">
        <f t="shared" si="1"/>
        <v>ACTIVE</v>
      </c>
    </row>
    <row r="3052" ht="22.5" customHeight="1">
      <c r="A3052" s="11" t="str">
        <f t="array" ref="A3052">IFERROR(
  INDEX('Starlink Launches'!$A:$A, MATCH($E3052, 'Starlink Launches'!$B:$B, 0)),
  ""
)
</f>
        <v>9-6</v>
      </c>
      <c r="B3052" s="3" t="s">
        <v>25</v>
      </c>
      <c r="C3052" s="12" t="s">
        <v>3067</v>
      </c>
      <c r="D3052" s="13">
        <v>61058.0</v>
      </c>
      <c r="E3052" s="4">
        <v>45548.0</v>
      </c>
      <c r="F3052" s="4" t="str">
        <f>IF(D3052="","", IFNA(VLOOKUP(D3052, SATCAT_DECAY!A:B, 2, FALSE), ""))
</f>
        <v/>
      </c>
      <c r="G3052" s="3" t="str">
        <f t="shared" si="1"/>
        <v>ACTIVE</v>
      </c>
    </row>
    <row r="3053" ht="22.5" customHeight="1">
      <c r="A3053" s="11" t="str">
        <f t="array" ref="A3053">IFERROR(
  INDEX('Starlink Launches'!$A:$A, MATCH($E3053, 'Starlink Launches'!$B:$B, 0)),
  ""
)
</f>
        <v>9-6</v>
      </c>
      <c r="B3053" s="3" t="s">
        <v>25</v>
      </c>
      <c r="C3053" s="12" t="s">
        <v>3068</v>
      </c>
      <c r="D3053" s="13">
        <v>61059.0</v>
      </c>
      <c r="E3053" s="4">
        <v>45548.0</v>
      </c>
      <c r="F3053" s="4" t="str">
        <f>IF(D3053="","", IFNA(VLOOKUP(D3053, SATCAT_DECAY!A:B, 2, FALSE), ""))
</f>
        <v/>
      </c>
      <c r="G3053" s="3" t="str">
        <f t="shared" si="1"/>
        <v>ACTIVE</v>
      </c>
    </row>
    <row r="3054" ht="22.5" customHeight="1">
      <c r="A3054" s="11" t="str">
        <f t="array" ref="A3054">IFERROR(
  INDEX('Starlink Launches'!$A:$A, MATCH($E3054, 'Starlink Launches'!$B:$B, 0)),
  ""
)
</f>
        <v>9-6</v>
      </c>
      <c r="B3054" s="3" t="s">
        <v>25</v>
      </c>
      <c r="C3054" s="12" t="s">
        <v>3069</v>
      </c>
      <c r="D3054" s="13">
        <v>61060.0</v>
      </c>
      <c r="E3054" s="4">
        <v>45548.0</v>
      </c>
      <c r="F3054" s="4" t="str">
        <f>IF(D3054="","", IFNA(VLOOKUP(D3054, SATCAT_DECAY!A:B, 2, FALSE), ""))
</f>
        <v/>
      </c>
      <c r="G3054" s="3" t="str">
        <f t="shared" si="1"/>
        <v>ACTIVE</v>
      </c>
    </row>
    <row r="3055" ht="22.5" customHeight="1">
      <c r="A3055" s="11" t="str">
        <f t="array" ref="A3055">IFERROR(
  INDEX('Starlink Launches'!$A:$A, MATCH($E3055, 'Starlink Launches'!$B:$B, 0)),
  ""
)
</f>
        <v>9-6</v>
      </c>
      <c r="B3055" s="3" t="s">
        <v>25</v>
      </c>
      <c r="C3055" s="12" t="s">
        <v>3070</v>
      </c>
      <c r="D3055" s="13">
        <v>61061.0</v>
      </c>
      <c r="E3055" s="4">
        <v>45548.0</v>
      </c>
      <c r="F3055" s="4" t="str">
        <f>IF(D3055="","", IFNA(VLOOKUP(D3055, SATCAT_DECAY!A:B, 2, FALSE), ""))
</f>
        <v/>
      </c>
      <c r="G3055" s="3" t="str">
        <f t="shared" si="1"/>
        <v>ACTIVE</v>
      </c>
    </row>
    <row r="3056" ht="22.5" customHeight="1">
      <c r="A3056" s="11" t="str">
        <f t="array" ref="A3056">IFERROR(
  INDEX('Starlink Launches'!$A:$A, MATCH($E3056, 'Starlink Launches'!$B:$B, 0)),
  ""
)
</f>
        <v>9-6</v>
      </c>
      <c r="B3056" s="3" t="s">
        <v>25</v>
      </c>
      <c r="C3056" s="12" t="s">
        <v>3071</v>
      </c>
      <c r="D3056" s="13">
        <v>61062.0</v>
      </c>
      <c r="E3056" s="4">
        <v>45548.0</v>
      </c>
      <c r="F3056" s="4" t="str">
        <f>IF(D3056="","", IFNA(VLOOKUP(D3056, SATCAT_DECAY!A:B, 2, FALSE), ""))
</f>
        <v/>
      </c>
      <c r="G3056" s="3" t="str">
        <f t="shared" si="1"/>
        <v>ACTIVE</v>
      </c>
    </row>
    <row r="3057" ht="22.5" customHeight="1">
      <c r="A3057" s="11" t="str">
        <f t="array" ref="A3057">IFERROR(
  INDEX('Starlink Launches'!$A:$A, MATCH($E3057, 'Starlink Launches'!$B:$B, 0)),
  ""
)
</f>
        <v>9-6</v>
      </c>
      <c r="B3057" s="3" t="s">
        <v>25</v>
      </c>
      <c r="C3057" s="12" t="s">
        <v>3072</v>
      </c>
      <c r="D3057" s="13">
        <v>61063.0</v>
      </c>
      <c r="E3057" s="4">
        <v>45548.0</v>
      </c>
      <c r="F3057" s="4" t="str">
        <f>IF(D3057="","", IFNA(VLOOKUP(D3057, SATCAT_DECAY!A:B, 2, FALSE), ""))
</f>
        <v/>
      </c>
      <c r="G3057" s="3" t="str">
        <f t="shared" si="1"/>
        <v>ACTIVE</v>
      </c>
    </row>
    <row r="3058" ht="22.5" customHeight="1">
      <c r="A3058" s="11" t="str">
        <f t="array" ref="A3058">IFERROR(
  INDEX('Starlink Launches'!$A:$A, MATCH($E3058, 'Starlink Launches'!$B:$B, 0)),
  ""
)
</f>
        <v>9-6</v>
      </c>
      <c r="B3058" s="3" t="s">
        <v>25</v>
      </c>
      <c r="C3058" s="12" t="s">
        <v>3073</v>
      </c>
      <c r="D3058" s="13">
        <v>61064.0</v>
      </c>
      <c r="E3058" s="4">
        <v>45548.0</v>
      </c>
      <c r="F3058" s="4" t="str">
        <f>IF(D3058="","", IFNA(VLOOKUP(D3058, SATCAT_DECAY!A:B, 2, FALSE), ""))
</f>
        <v/>
      </c>
      <c r="G3058" s="3" t="str">
        <f t="shared" si="1"/>
        <v>ACTIVE</v>
      </c>
    </row>
    <row r="3059" ht="22.5" customHeight="1">
      <c r="A3059" s="11" t="str">
        <f t="array" ref="A3059">IFERROR(
  INDEX('Starlink Launches'!$A:$A, MATCH($E3059, 'Starlink Launches'!$B:$B, 0)),
  ""
)
</f>
        <v>9-6</v>
      </c>
      <c r="B3059" s="3" t="s">
        <v>25</v>
      </c>
      <c r="C3059" s="12" t="s">
        <v>3074</v>
      </c>
      <c r="D3059" s="13">
        <v>61065.0</v>
      </c>
      <c r="E3059" s="4">
        <v>45548.0</v>
      </c>
      <c r="F3059" s="4" t="str">
        <f>IF(D3059="","", IFNA(VLOOKUP(D3059, SATCAT_DECAY!A:B, 2, FALSE), ""))
</f>
        <v/>
      </c>
      <c r="G3059" s="3" t="str">
        <f t="shared" si="1"/>
        <v>ACTIVE</v>
      </c>
    </row>
    <row r="3060" ht="22.5" customHeight="1">
      <c r="A3060" s="11" t="str">
        <f t="array" ref="A3060">IFERROR(
  INDEX('Starlink Launches'!$A:$A, MATCH($E3060, 'Starlink Launches'!$B:$B, 0)),
  ""
)
</f>
        <v>9-6</v>
      </c>
      <c r="B3060" s="3" t="s">
        <v>25</v>
      </c>
      <c r="C3060" s="12" t="s">
        <v>3075</v>
      </c>
      <c r="D3060" s="13">
        <v>61066.0</v>
      </c>
      <c r="E3060" s="4">
        <v>45548.0</v>
      </c>
      <c r="F3060" s="4" t="str">
        <f>IF(D3060="","", IFNA(VLOOKUP(D3060, SATCAT_DECAY!A:B, 2, FALSE), ""))
</f>
        <v/>
      </c>
      <c r="G3060" s="3" t="str">
        <f t="shared" si="1"/>
        <v>ACTIVE</v>
      </c>
    </row>
    <row r="3061" ht="22.5" customHeight="1">
      <c r="A3061" s="11" t="str">
        <f t="array" ref="A3061">IFERROR(
  INDEX('Starlink Launches'!$A:$A, MATCH($E3061, 'Starlink Launches'!$B:$B, 0)),
  ""
)
</f>
        <v>9-6</v>
      </c>
      <c r="B3061" s="3" t="s">
        <v>25</v>
      </c>
      <c r="C3061" s="12" t="s">
        <v>3076</v>
      </c>
      <c r="D3061" s="13">
        <v>61068.0</v>
      </c>
      <c r="E3061" s="4">
        <v>45548.0</v>
      </c>
      <c r="F3061" s="4" t="str">
        <f>IF(D3061="","", IFNA(VLOOKUP(D3061, SATCAT_DECAY!A:B, 2, FALSE), ""))
</f>
        <v/>
      </c>
      <c r="G3061" s="3" t="str">
        <f t="shared" si="1"/>
        <v>ACTIVE</v>
      </c>
    </row>
    <row r="3062" ht="22.5" customHeight="1">
      <c r="A3062" s="11" t="str">
        <f t="array" ref="A3062">IFERROR(
  INDEX('Starlink Launches'!$A:$A, MATCH($E3062, 'Starlink Launches'!$B:$B, 0)),
  ""
)
</f>
        <v>9-6</v>
      </c>
      <c r="B3062" s="3" t="s">
        <v>25</v>
      </c>
      <c r="C3062" s="12" t="s">
        <v>3077</v>
      </c>
      <c r="D3062" s="13">
        <v>61069.0</v>
      </c>
      <c r="E3062" s="4">
        <v>45548.0</v>
      </c>
      <c r="F3062" s="4" t="str">
        <f>IF(D3062="","", IFNA(VLOOKUP(D3062, SATCAT_DECAY!A:B, 2, FALSE), ""))
</f>
        <v/>
      </c>
      <c r="G3062" s="3" t="str">
        <f t="shared" si="1"/>
        <v>ACTIVE</v>
      </c>
    </row>
    <row r="3063" ht="22.5" customHeight="1">
      <c r="A3063" s="11" t="str">
        <f t="array" ref="A3063">IFERROR(
  INDEX('Starlink Launches'!$A:$A, MATCH($E3063, 'Starlink Launches'!$B:$B, 0)),
  ""
)
</f>
        <v>9-6</v>
      </c>
      <c r="B3063" s="3" t="s">
        <v>25</v>
      </c>
      <c r="C3063" s="12" t="s">
        <v>3078</v>
      </c>
      <c r="D3063" s="13">
        <v>61070.0</v>
      </c>
      <c r="E3063" s="4">
        <v>45548.0</v>
      </c>
      <c r="F3063" s="4" t="str">
        <f>IF(D3063="","", IFNA(VLOOKUP(D3063, SATCAT_DECAY!A:B, 2, FALSE), ""))
</f>
        <v/>
      </c>
      <c r="G3063" s="3" t="str">
        <f t="shared" si="1"/>
        <v>ACTIVE</v>
      </c>
    </row>
    <row r="3064" ht="22.5" customHeight="1">
      <c r="A3064" s="11" t="str">
        <f t="array" ref="A3064">IFERROR(
  INDEX('Starlink Launches'!$A:$A, MATCH($E3064, 'Starlink Launches'!$B:$B, 0)),
  ""
)
</f>
        <v>9-17</v>
      </c>
      <c r="B3064" s="3" t="s">
        <v>25</v>
      </c>
      <c r="C3064" s="12" t="s">
        <v>3079</v>
      </c>
      <c r="D3064" s="13">
        <v>61200.0</v>
      </c>
      <c r="E3064" s="4">
        <v>45555.0</v>
      </c>
      <c r="F3064" s="4" t="str">
        <f>IF(D3064="","", IFNA(VLOOKUP(D3064, SATCAT_DECAY!A:B, 2, FALSE), ""))
</f>
        <v/>
      </c>
      <c r="G3064" s="3" t="str">
        <f t="shared" si="1"/>
        <v>ACTIVE</v>
      </c>
    </row>
    <row r="3065" ht="22.5" customHeight="1">
      <c r="A3065" s="11" t="str">
        <f t="array" ref="A3065">IFERROR(
  INDEX('Starlink Launches'!$A:$A, MATCH($E3065, 'Starlink Launches'!$B:$B, 0)),
  ""
)
</f>
        <v>9-17</v>
      </c>
      <c r="B3065" s="3" t="s">
        <v>25</v>
      </c>
      <c r="C3065" s="12" t="s">
        <v>3080</v>
      </c>
      <c r="D3065" s="13">
        <v>61201.0</v>
      </c>
      <c r="E3065" s="4">
        <v>45555.0</v>
      </c>
      <c r="F3065" s="4" t="str">
        <f>IF(D3065="","", IFNA(VLOOKUP(D3065, SATCAT_DECAY!A:B, 2, FALSE), ""))
</f>
        <v/>
      </c>
      <c r="G3065" s="3" t="str">
        <f t="shared" si="1"/>
        <v>ACTIVE</v>
      </c>
    </row>
    <row r="3066" ht="22.5" customHeight="1">
      <c r="A3066" s="11" t="str">
        <f t="array" ref="A3066">IFERROR(
  INDEX('Starlink Launches'!$A:$A, MATCH($E3066, 'Starlink Launches'!$B:$B, 0)),
  ""
)
</f>
        <v>9-17</v>
      </c>
      <c r="B3066" s="3" t="s">
        <v>25</v>
      </c>
      <c r="C3066" s="12" t="s">
        <v>3081</v>
      </c>
      <c r="D3066" s="13">
        <v>61202.0</v>
      </c>
      <c r="E3066" s="4">
        <v>45555.0</v>
      </c>
      <c r="F3066" s="4" t="str">
        <f>IF(D3066="","", IFNA(VLOOKUP(D3066, SATCAT_DECAY!A:B, 2, FALSE), ""))
</f>
        <v/>
      </c>
      <c r="G3066" s="3" t="str">
        <f t="shared" si="1"/>
        <v>ACTIVE</v>
      </c>
    </row>
    <row r="3067" ht="22.5" customHeight="1">
      <c r="A3067" s="11" t="str">
        <f t="array" ref="A3067">IFERROR(
  INDEX('Starlink Launches'!$A:$A, MATCH($E3067, 'Starlink Launches'!$B:$B, 0)),
  ""
)
</f>
        <v>9-17</v>
      </c>
      <c r="B3067" s="3" t="s">
        <v>25</v>
      </c>
      <c r="C3067" s="12" t="s">
        <v>3082</v>
      </c>
      <c r="D3067" s="13">
        <v>61203.0</v>
      </c>
      <c r="E3067" s="4">
        <v>45555.0</v>
      </c>
      <c r="F3067" s="4" t="str">
        <f>IF(D3067="","", IFNA(VLOOKUP(D3067, SATCAT_DECAY!A:B, 2, FALSE), ""))
</f>
        <v/>
      </c>
      <c r="G3067" s="3" t="str">
        <f t="shared" si="1"/>
        <v>ACTIVE</v>
      </c>
    </row>
    <row r="3068" ht="22.5" customHeight="1">
      <c r="A3068" s="11" t="str">
        <f t="array" ref="A3068">IFERROR(
  INDEX('Starlink Launches'!$A:$A, MATCH($E3068, 'Starlink Launches'!$B:$B, 0)),
  ""
)
</f>
        <v>9-17</v>
      </c>
      <c r="B3068" s="3" t="s">
        <v>25</v>
      </c>
      <c r="C3068" s="12" t="s">
        <v>3083</v>
      </c>
      <c r="D3068" s="13">
        <v>61204.0</v>
      </c>
      <c r="E3068" s="4">
        <v>45555.0</v>
      </c>
      <c r="F3068" s="4" t="str">
        <f>IF(D3068="","", IFNA(VLOOKUP(D3068, SATCAT_DECAY!A:B, 2, FALSE), ""))
</f>
        <v/>
      </c>
      <c r="G3068" s="3" t="str">
        <f t="shared" si="1"/>
        <v>ACTIVE</v>
      </c>
    </row>
    <row r="3069" ht="22.5" customHeight="1">
      <c r="A3069" s="11" t="str">
        <f t="array" ref="A3069">IFERROR(
  INDEX('Starlink Launches'!$A:$A, MATCH($E3069, 'Starlink Launches'!$B:$B, 0)),
  ""
)
</f>
        <v>9-17</v>
      </c>
      <c r="B3069" s="3" t="s">
        <v>25</v>
      </c>
      <c r="C3069" s="12" t="s">
        <v>3084</v>
      </c>
      <c r="D3069" s="13">
        <v>61205.0</v>
      </c>
      <c r="E3069" s="4">
        <v>45555.0</v>
      </c>
      <c r="F3069" s="4" t="str">
        <f>IF(D3069="","", IFNA(VLOOKUP(D3069, SATCAT_DECAY!A:B, 2, FALSE), ""))
</f>
        <v/>
      </c>
      <c r="G3069" s="3" t="str">
        <f t="shared" si="1"/>
        <v>ACTIVE</v>
      </c>
    </row>
    <row r="3070" ht="22.5" customHeight="1">
      <c r="A3070" s="11" t="str">
        <f t="array" ref="A3070">IFERROR(
  INDEX('Starlink Launches'!$A:$A, MATCH($E3070, 'Starlink Launches'!$B:$B, 0)),
  ""
)
</f>
        <v>9-17</v>
      </c>
      <c r="B3070" s="3" t="s">
        <v>25</v>
      </c>
      <c r="C3070" s="12" t="s">
        <v>3085</v>
      </c>
      <c r="D3070" s="13">
        <v>61206.0</v>
      </c>
      <c r="E3070" s="4">
        <v>45555.0</v>
      </c>
      <c r="F3070" s="4" t="str">
        <f>IF(D3070="","", IFNA(VLOOKUP(D3070, SATCAT_DECAY!A:B, 2, FALSE), ""))
</f>
        <v/>
      </c>
      <c r="G3070" s="3" t="str">
        <f t="shared" si="1"/>
        <v>ACTIVE</v>
      </c>
    </row>
    <row r="3071" ht="22.5" customHeight="1">
      <c r="A3071" s="11" t="str">
        <f t="array" ref="A3071">IFERROR(
  INDEX('Starlink Launches'!$A:$A, MATCH($E3071, 'Starlink Launches'!$B:$B, 0)),
  ""
)
</f>
        <v>9-17</v>
      </c>
      <c r="B3071" s="3" t="s">
        <v>25</v>
      </c>
      <c r="C3071" s="12" t="s">
        <v>3086</v>
      </c>
      <c r="D3071" s="13">
        <v>61207.0</v>
      </c>
      <c r="E3071" s="4">
        <v>45555.0</v>
      </c>
      <c r="F3071" s="4" t="str">
        <f>IF(D3071="","", IFNA(VLOOKUP(D3071, SATCAT_DECAY!A:B, 2, FALSE), ""))
</f>
        <v/>
      </c>
      <c r="G3071" s="3" t="str">
        <f t="shared" si="1"/>
        <v>ACTIVE</v>
      </c>
    </row>
    <row r="3072" ht="22.5" customHeight="1">
      <c r="A3072" s="11" t="str">
        <f t="array" ref="A3072">IFERROR(
  INDEX('Starlink Launches'!$A:$A, MATCH($E3072, 'Starlink Launches'!$B:$B, 0)),
  ""
)
</f>
        <v>9-17</v>
      </c>
      <c r="B3072" s="3" t="s">
        <v>25</v>
      </c>
      <c r="C3072" s="12" t="s">
        <v>3087</v>
      </c>
      <c r="D3072" s="13">
        <v>61208.0</v>
      </c>
      <c r="E3072" s="4">
        <v>45555.0</v>
      </c>
      <c r="F3072" s="4" t="str">
        <f>IF(D3072="","", IFNA(VLOOKUP(D3072, SATCAT_DECAY!A:B, 2, FALSE), ""))
</f>
        <v/>
      </c>
      <c r="G3072" s="3" t="str">
        <f t="shared" si="1"/>
        <v>ACTIVE</v>
      </c>
    </row>
    <row r="3073" ht="22.5" customHeight="1">
      <c r="A3073" s="11" t="str">
        <f t="array" ref="A3073">IFERROR(
  INDEX('Starlink Launches'!$A:$A, MATCH($E3073, 'Starlink Launches'!$B:$B, 0)),
  ""
)
</f>
        <v>9-17</v>
      </c>
      <c r="B3073" s="3" t="s">
        <v>25</v>
      </c>
      <c r="C3073" s="12" t="s">
        <v>3088</v>
      </c>
      <c r="D3073" s="13">
        <v>61209.0</v>
      </c>
      <c r="E3073" s="4">
        <v>45555.0</v>
      </c>
      <c r="F3073" s="4" t="str">
        <f>IF(D3073="","", IFNA(VLOOKUP(D3073, SATCAT_DECAY!A:B, 2, FALSE), ""))
</f>
        <v/>
      </c>
      <c r="G3073" s="3" t="str">
        <f t="shared" si="1"/>
        <v>ACTIVE</v>
      </c>
    </row>
    <row r="3074" ht="22.5" customHeight="1">
      <c r="A3074" s="11" t="str">
        <f t="array" ref="A3074">IFERROR(
  INDEX('Starlink Launches'!$A:$A, MATCH($E3074, 'Starlink Launches'!$B:$B, 0)),
  ""
)
</f>
        <v>9-17</v>
      </c>
      <c r="B3074" s="3" t="s">
        <v>25</v>
      </c>
      <c r="C3074" s="12" t="s">
        <v>3089</v>
      </c>
      <c r="D3074" s="13">
        <v>61210.0</v>
      </c>
      <c r="E3074" s="4">
        <v>45555.0</v>
      </c>
      <c r="F3074" s="4" t="str">
        <f>IF(D3074="","", IFNA(VLOOKUP(D3074, SATCAT_DECAY!A:B, 2, FALSE), ""))
</f>
        <v/>
      </c>
      <c r="G3074" s="3" t="str">
        <f t="shared" si="1"/>
        <v>ACTIVE</v>
      </c>
    </row>
    <row r="3075" ht="22.5" customHeight="1">
      <c r="A3075" s="11" t="str">
        <f t="array" ref="A3075">IFERROR(
  INDEX('Starlink Launches'!$A:$A, MATCH($E3075, 'Starlink Launches'!$B:$B, 0)),
  ""
)
</f>
        <v>9-17</v>
      </c>
      <c r="B3075" s="3" t="s">
        <v>25</v>
      </c>
      <c r="C3075" s="12" t="s">
        <v>3090</v>
      </c>
      <c r="D3075" s="13">
        <v>61211.0</v>
      </c>
      <c r="E3075" s="4">
        <v>45555.0</v>
      </c>
      <c r="F3075" s="4" t="str">
        <f>IF(D3075="","", IFNA(VLOOKUP(D3075, SATCAT_DECAY!A:B, 2, FALSE), ""))
</f>
        <v/>
      </c>
      <c r="G3075" s="3" t="str">
        <f t="shared" si="1"/>
        <v>ACTIVE</v>
      </c>
    </row>
    <row r="3076" ht="22.5" customHeight="1">
      <c r="A3076" s="11" t="str">
        <f t="array" ref="A3076">IFERROR(
  INDEX('Starlink Launches'!$A:$A, MATCH($E3076, 'Starlink Launches'!$B:$B, 0)),
  ""
)
</f>
        <v>9-17</v>
      </c>
      <c r="B3076" s="3" t="s">
        <v>25</v>
      </c>
      <c r="C3076" s="12" t="s">
        <v>3091</v>
      </c>
      <c r="D3076" s="13">
        <v>61212.0</v>
      </c>
      <c r="E3076" s="4">
        <v>45555.0</v>
      </c>
      <c r="F3076" s="4" t="str">
        <f>IF(D3076="","", IFNA(VLOOKUP(D3076, SATCAT_DECAY!A:B, 2, FALSE), ""))
</f>
        <v/>
      </c>
      <c r="G3076" s="3" t="str">
        <f t="shared" si="1"/>
        <v>ACTIVE</v>
      </c>
    </row>
    <row r="3077" ht="22.5" customHeight="1">
      <c r="A3077" s="11" t="str">
        <f t="array" ref="A3077">IFERROR(
  INDEX('Starlink Launches'!$A:$A, MATCH($E3077, 'Starlink Launches'!$B:$B, 0)),
  ""
)
</f>
        <v>9-17</v>
      </c>
      <c r="B3077" s="3" t="s">
        <v>25</v>
      </c>
      <c r="C3077" s="12" t="s">
        <v>3092</v>
      </c>
      <c r="D3077" s="13">
        <v>61213.0</v>
      </c>
      <c r="E3077" s="4">
        <v>45555.0</v>
      </c>
      <c r="F3077" s="4" t="str">
        <f>IF(D3077="","", IFNA(VLOOKUP(D3077, SATCAT_DECAY!A:B, 2, FALSE), ""))
</f>
        <v/>
      </c>
      <c r="G3077" s="3" t="str">
        <f t="shared" si="1"/>
        <v>ACTIVE</v>
      </c>
    </row>
    <row r="3078" ht="22.5" customHeight="1">
      <c r="A3078" s="11" t="str">
        <f t="array" ref="A3078">IFERROR(
  INDEX('Starlink Launches'!$A:$A, MATCH($E3078, 'Starlink Launches'!$B:$B, 0)),
  ""
)
</f>
        <v>9-17</v>
      </c>
      <c r="B3078" s="3" t="s">
        <v>25</v>
      </c>
      <c r="C3078" s="12" t="s">
        <v>3093</v>
      </c>
      <c r="D3078" s="13">
        <v>61214.0</v>
      </c>
      <c r="E3078" s="4">
        <v>45555.0</v>
      </c>
      <c r="F3078" s="4" t="str">
        <f>IF(D3078="","", IFNA(VLOOKUP(D3078, SATCAT_DECAY!A:B, 2, FALSE), ""))
</f>
        <v/>
      </c>
      <c r="G3078" s="3" t="str">
        <f t="shared" si="1"/>
        <v>ACTIVE</v>
      </c>
    </row>
    <row r="3079" ht="22.5" customHeight="1">
      <c r="A3079" s="11" t="str">
        <f t="array" ref="A3079">IFERROR(
  INDEX('Starlink Launches'!$A:$A, MATCH($E3079, 'Starlink Launches'!$B:$B, 0)),
  ""
)
</f>
        <v>9-17</v>
      </c>
      <c r="B3079" s="3" t="s">
        <v>25</v>
      </c>
      <c r="C3079" s="12" t="s">
        <v>3094</v>
      </c>
      <c r="D3079" s="13">
        <v>61215.0</v>
      </c>
      <c r="E3079" s="4">
        <v>45555.0</v>
      </c>
      <c r="F3079" s="4" t="str">
        <f>IF(D3079="","", IFNA(VLOOKUP(D3079, SATCAT_DECAY!A:B, 2, FALSE), ""))
</f>
        <v/>
      </c>
      <c r="G3079" s="3" t="str">
        <f t="shared" si="1"/>
        <v>ACTIVE</v>
      </c>
    </row>
    <row r="3080" ht="22.5" customHeight="1">
      <c r="A3080" s="11" t="str">
        <f t="array" ref="A3080">IFERROR(
  INDEX('Starlink Launches'!$A:$A, MATCH($E3080, 'Starlink Launches'!$B:$B, 0)),
  ""
)
</f>
        <v>9-17</v>
      </c>
      <c r="B3080" s="3" t="s">
        <v>25</v>
      </c>
      <c r="C3080" s="12" t="s">
        <v>3095</v>
      </c>
      <c r="D3080" s="13">
        <v>61216.0</v>
      </c>
      <c r="E3080" s="4">
        <v>45555.0</v>
      </c>
      <c r="F3080" s="4" t="str">
        <f>IF(D3080="","", IFNA(VLOOKUP(D3080, SATCAT_DECAY!A:B, 2, FALSE), ""))
</f>
        <v/>
      </c>
      <c r="G3080" s="3" t="str">
        <f t="shared" si="1"/>
        <v>ACTIVE</v>
      </c>
    </row>
    <row r="3081" ht="22.5" customHeight="1">
      <c r="A3081" s="11" t="str">
        <f t="array" ref="A3081">IFERROR(
  INDEX('Starlink Launches'!$A:$A, MATCH($E3081, 'Starlink Launches'!$B:$B, 0)),
  ""
)
</f>
        <v>9-17</v>
      </c>
      <c r="B3081" s="3" t="s">
        <v>25</v>
      </c>
      <c r="C3081" s="12" t="s">
        <v>3096</v>
      </c>
      <c r="D3081" s="13">
        <v>61217.0</v>
      </c>
      <c r="E3081" s="4">
        <v>45555.0</v>
      </c>
      <c r="F3081" s="4" t="str">
        <f>IF(D3081="","", IFNA(VLOOKUP(D3081, SATCAT_DECAY!A:B, 2, FALSE), ""))
</f>
        <v/>
      </c>
      <c r="G3081" s="3" t="str">
        <f t="shared" si="1"/>
        <v>ACTIVE</v>
      </c>
    </row>
    <row r="3082" ht="22.5" customHeight="1">
      <c r="A3082" s="11" t="str">
        <f t="array" ref="A3082">IFERROR(
  INDEX('Starlink Launches'!$A:$A, MATCH($E3082, 'Starlink Launches'!$B:$B, 0)),
  ""
)
</f>
        <v>9-17</v>
      </c>
      <c r="B3082" s="3" t="s">
        <v>25</v>
      </c>
      <c r="C3082" s="12" t="s">
        <v>3097</v>
      </c>
      <c r="D3082" s="13">
        <v>61218.0</v>
      </c>
      <c r="E3082" s="4">
        <v>45555.0</v>
      </c>
      <c r="F3082" s="4" t="str">
        <f>IF(D3082="","", IFNA(VLOOKUP(D3082, SATCAT_DECAY!A:B, 2, FALSE), ""))
</f>
        <v/>
      </c>
      <c r="G3082" s="3" t="str">
        <f t="shared" si="1"/>
        <v>ACTIVE</v>
      </c>
    </row>
    <row r="3083" ht="22.5" customHeight="1">
      <c r="A3083" s="11" t="str">
        <f t="array" ref="A3083">IFERROR(
  INDEX('Starlink Launches'!$A:$A, MATCH($E3083, 'Starlink Launches'!$B:$B, 0)),
  ""
)
</f>
        <v>9-17</v>
      </c>
      <c r="B3083" s="3" t="s">
        <v>25</v>
      </c>
      <c r="C3083" s="12" t="s">
        <v>3098</v>
      </c>
      <c r="D3083" s="13">
        <v>61219.0</v>
      </c>
      <c r="E3083" s="4">
        <v>45555.0</v>
      </c>
      <c r="F3083" s="4" t="str">
        <f>IF(D3083="","", IFNA(VLOOKUP(D3083, SATCAT_DECAY!A:B, 2, FALSE), ""))
</f>
        <v/>
      </c>
      <c r="G3083" s="3" t="str">
        <f t="shared" si="1"/>
        <v>ACTIVE</v>
      </c>
    </row>
    <row r="3084" ht="22.5" customHeight="1">
      <c r="A3084" s="11" t="str">
        <f t="array" ref="A3084">IFERROR(
  INDEX('Starlink Launches'!$A:$A, MATCH($E3084, 'Starlink Launches'!$B:$B, 0)),
  ""
)
</f>
        <v>9-8</v>
      </c>
      <c r="B3084" s="3" t="s">
        <v>25</v>
      </c>
      <c r="C3084" s="12" t="s">
        <v>3099</v>
      </c>
      <c r="D3084" s="13">
        <v>61243.0</v>
      </c>
      <c r="E3084" s="4">
        <v>45560.0</v>
      </c>
      <c r="F3084" s="4" t="str">
        <f>IF(D3084="","", IFNA(VLOOKUP(D3084, SATCAT_DECAY!A:B, 2, FALSE), ""))
</f>
        <v/>
      </c>
      <c r="G3084" s="3" t="str">
        <f t="shared" si="1"/>
        <v>ACTIVE</v>
      </c>
    </row>
    <row r="3085" ht="22.5" customHeight="1">
      <c r="A3085" s="11" t="str">
        <f t="array" ref="A3085">IFERROR(
  INDEX('Starlink Launches'!$A:$A, MATCH($E3085, 'Starlink Launches'!$B:$B, 0)),
  ""
)
</f>
        <v>9-8</v>
      </c>
      <c r="B3085" s="3" t="s">
        <v>25</v>
      </c>
      <c r="C3085" s="12" t="s">
        <v>3100</v>
      </c>
      <c r="D3085" s="13">
        <v>61244.0</v>
      </c>
      <c r="E3085" s="4">
        <v>45560.0</v>
      </c>
      <c r="F3085" s="4" t="str">
        <f>IF(D3085="","", IFNA(VLOOKUP(D3085, SATCAT_DECAY!A:B, 2, FALSE), ""))
</f>
        <v/>
      </c>
      <c r="G3085" s="3" t="str">
        <f t="shared" si="1"/>
        <v>ACTIVE</v>
      </c>
    </row>
    <row r="3086" ht="22.5" customHeight="1">
      <c r="A3086" s="11" t="str">
        <f t="array" ref="A3086">IFERROR(
  INDEX('Starlink Launches'!$A:$A, MATCH($E3086, 'Starlink Launches'!$B:$B, 0)),
  ""
)
</f>
        <v>9-8</v>
      </c>
      <c r="B3086" s="3" t="s">
        <v>25</v>
      </c>
      <c r="C3086" s="12" t="s">
        <v>3101</v>
      </c>
      <c r="D3086" s="13">
        <v>61245.0</v>
      </c>
      <c r="E3086" s="4">
        <v>45560.0</v>
      </c>
      <c r="F3086" s="4" t="str">
        <f>IF(D3086="","", IFNA(VLOOKUP(D3086, SATCAT_DECAY!A:B, 2, FALSE), ""))
</f>
        <v/>
      </c>
      <c r="G3086" s="3" t="str">
        <f t="shared" si="1"/>
        <v>ACTIVE</v>
      </c>
    </row>
    <row r="3087" ht="22.5" customHeight="1">
      <c r="A3087" s="11" t="str">
        <f t="array" ref="A3087">IFERROR(
  INDEX('Starlink Launches'!$A:$A, MATCH($E3087, 'Starlink Launches'!$B:$B, 0)),
  ""
)
</f>
        <v>9-8</v>
      </c>
      <c r="B3087" s="3" t="s">
        <v>25</v>
      </c>
      <c r="C3087" s="12" t="s">
        <v>3102</v>
      </c>
      <c r="D3087" s="13">
        <v>61246.0</v>
      </c>
      <c r="E3087" s="4">
        <v>45560.0</v>
      </c>
      <c r="F3087" s="4" t="str">
        <f>IF(D3087="","", IFNA(VLOOKUP(D3087, SATCAT_DECAY!A:B, 2, FALSE), ""))
</f>
        <v/>
      </c>
      <c r="G3087" s="3" t="str">
        <f t="shared" si="1"/>
        <v>ACTIVE</v>
      </c>
    </row>
    <row r="3088" ht="22.5" customHeight="1">
      <c r="A3088" s="11" t="str">
        <f t="array" ref="A3088">IFERROR(
  INDEX('Starlink Launches'!$A:$A, MATCH($E3088, 'Starlink Launches'!$B:$B, 0)),
  ""
)
</f>
        <v>9-8</v>
      </c>
      <c r="B3088" s="3" t="s">
        <v>25</v>
      </c>
      <c r="C3088" s="12" t="s">
        <v>3103</v>
      </c>
      <c r="D3088" s="13">
        <v>61247.0</v>
      </c>
      <c r="E3088" s="4">
        <v>45560.0</v>
      </c>
      <c r="F3088" s="4" t="str">
        <f>IF(D3088="","", IFNA(VLOOKUP(D3088, SATCAT_DECAY!A:B, 2, FALSE), ""))
</f>
        <v/>
      </c>
      <c r="G3088" s="3" t="str">
        <f t="shared" si="1"/>
        <v>ACTIVE</v>
      </c>
    </row>
    <row r="3089" ht="22.5" customHeight="1">
      <c r="A3089" s="11" t="str">
        <f t="array" ref="A3089">IFERROR(
  INDEX('Starlink Launches'!$A:$A, MATCH($E3089, 'Starlink Launches'!$B:$B, 0)),
  ""
)
</f>
        <v>9-8</v>
      </c>
      <c r="B3089" s="3" t="s">
        <v>25</v>
      </c>
      <c r="C3089" s="12" t="s">
        <v>3104</v>
      </c>
      <c r="D3089" s="13">
        <v>61248.0</v>
      </c>
      <c r="E3089" s="4">
        <v>45560.0</v>
      </c>
      <c r="F3089" s="4" t="str">
        <f>IF(D3089="","", IFNA(VLOOKUP(D3089, SATCAT_DECAY!A:B, 2, FALSE), ""))
</f>
        <v/>
      </c>
      <c r="G3089" s="3" t="str">
        <f t="shared" si="1"/>
        <v>ACTIVE</v>
      </c>
    </row>
    <row r="3090" ht="22.5" customHeight="1">
      <c r="A3090" s="11" t="str">
        <f t="array" ref="A3090">IFERROR(
  INDEX('Starlink Launches'!$A:$A, MATCH($E3090, 'Starlink Launches'!$B:$B, 0)),
  ""
)
</f>
        <v>9-8</v>
      </c>
      <c r="B3090" s="3" t="s">
        <v>25</v>
      </c>
      <c r="C3090" s="12" t="s">
        <v>3105</v>
      </c>
      <c r="D3090" s="13">
        <v>61249.0</v>
      </c>
      <c r="E3090" s="4">
        <v>45560.0</v>
      </c>
      <c r="F3090" s="4" t="str">
        <f>IF(D3090="","", IFNA(VLOOKUP(D3090, SATCAT_DECAY!A:B, 2, FALSE), ""))
</f>
        <v/>
      </c>
      <c r="G3090" s="3" t="str">
        <f t="shared" si="1"/>
        <v>ACTIVE</v>
      </c>
    </row>
    <row r="3091" ht="22.5" customHeight="1">
      <c r="A3091" s="11" t="str">
        <f t="array" ref="A3091">IFERROR(
  INDEX('Starlink Launches'!$A:$A, MATCH($E3091, 'Starlink Launches'!$B:$B, 0)),
  ""
)
</f>
        <v>9-8</v>
      </c>
      <c r="B3091" s="3" t="s">
        <v>25</v>
      </c>
      <c r="C3091" s="12" t="s">
        <v>3106</v>
      </c>
      <c r="D3091" s="13">
        <v>61251.0</v>
      </c>
      <c r="E3091" s="4">
        <v>45560.0</v>
      </c>
      <c r="F3091" s="4" t="str">
        <f>IF(D3091="","", IFNA(VLOOKUP(D3091, SATCAT_DECAY!A:B, 2, FALSE), ""))
</f>
        <v/>
      </c>
      <c r="G3091" s="3" t="str">
        <f t="shared" si="1"/>
        <v>ACTIVE</v>
      </c>
    </row>
    <row r="3092" ht="22.5" customHeight="1">
      <c r="A3092" s="11" t="str">
        <f t="array" ref="A3092">IFERROR(
  INDEX('Starlink Launches'!$A:$A, MATCH($E3092, 'Starlink Launches'!$B:$B, 0)),
  ""
)
</f>
        <v>9-8</v>
      </c>
      <c r="B3092" s="3" t="s">
        <v>25</v>
      </c>
      <c r="C3092" s="12" t="s">
        <v>3107</v>
      </c>
      <c r="D3092" s="13">
        <v>61252.0</v>
      </c>
      <c r="E3092" s="4">
        <v>45560.0</v>
      </c>
      <c r="F3092" s="4" t="str">
        <f>IF(D3092="","", IFNA(VLOOKUP(D3092, SATCAT_DECAY!A:B, 2, FALSE), ""))
</f>
        <v/>
      </c>
      <c r="G3092" s="3" t="str">
        <f t="shared" si="1"/>
        <v>ACTIVE</v>
      </c>
    </row>
    <row r="3093" ht="22.5" customHeight="1">
      <c r="A3093" s="11" t="str">
        <f t="array" ref="A3093">IFERROR(
  INDEX('Starlink Launches'!$A:$A, MATCH($E3093, 'Starlink Launches'!$B:$B, 0)),
  ""
)
</f>
        <v>9-8</v>
      </c>
      <c r="B3093" s="3" t="s">
        <v>25</v>
      </c>
      <c r="C3093" s="12" t="s">
        <v>3108</v>
      </c>
      <c r="D3093" s="13">
        <v>61253.0</v>
      </c>
      <c r="E3093" s="4">
        <v>45560.0</v>
      </c>
      <c r="F3093" s="4" t="str">
        <f>IF(D3093="","", IFNA(VLOOKUP(D3093, SATCAT_DECAY!A:B, 2, FALSE), ""))
</f>
        <v/>
      </c>
      <c r="G3093" s="3" t="str">
        <f t="shared" si="1"/>
        <v>ACTIVE</v>
      </c>
    </row>
    <row r="3094" ht="22.5" customHeight="1">
      <c r="A3094" s="11" t="str">
        <f t="array" ref="A3094">IFERROR(
  INDEX('Starlink Launches'!$A:$A, MATCH($E3094, 'Starlink Launches'!$B:$B, 0)),
  ""
)
</f>
        <v>9-8</v>
      </c>
      <c r="B3094" s="3" t="s">
        <v>25</v>
      </c>
      <c r="C3094" s="12" t="s">
        <v>3109</v>
      </c>
      <c r="D3094" s="13">
        <v>61254.0</v>
      </c>
      <c r="E3094" s="4">
        <v>45560.0</v>
      </c>
      <c r="F3094" s="4" t="str">
        <f>IF(D3094="","", IFNA(VLOOKUP(D3094, SATCAT_DECAY!A:B, 2, FALSE), ""))
</f>
        <v/>
      </c>
      <c r="G3094" s="3" t="str">
        <f t="shared" si="1"/>
        <v>ACTIVE</v>
      </c>
    </row>
    <row r="3095" ht="22.5" customHeight="1">
      <c r="A3095" s="11" t="str">
        <f t="array" ref="A3095">IFERROR(
  INDEX('Starlink Launches'!$A:$A, MATCH($E3095, 'Starlink Launches'!$B:$B, 0)),
  ""
)
</f>
        <v>9-8</v>
      </c>
      <c r="B3095" s="3" t="s">
        <v>25</v>
      </c>
      <c r="C3095" s="12" t="s">
        <v>3110</v>
      </c>
      <c r="D3095" s="13">
        <v>61255.0</v>
      </c>
      <c r="E3095" s="4">
        <v>45560.0</v>
      </c>
      <c r="F3095" s="4" t="str">
        <f>IF(D3095="","", IFNA(VLOOKUP(D3095, SATCAT_DECAY!A:B, 2, FALSE), ""))
</f>
        <v/>
      </c>
      <c r="G3095" s="3" t="str">
        <f t="shared" si="1"/>
        <v>ACTIVE</v>
      </c>
    </row>
    <row r="3096" ht="22.5" customHeight="1">
      <c r="A3096" s="11" t="str">
        <f t="array" ref="A3096">IFERROR(
  INDEX('Starlink Launches'!$A:$A, MATCH($E3096, 'Starlink Launches'!$B:$B, 0)),
  ""
)
</f>
        <v>9-8</v>
      </c>
      <c r="B3096" s="3" t="s">
        <v>25</v>
      </c>
      <c r="C3096" s="12" t="s">
        <v>3111</v>
      </c>
      <c r="D3096" s="13">
        <v>61256.0</v>
      </c>
      <c r="E3096" s="4">
        <v>45560.0</v>
      </c>
      <c r="F3096" s="4" t="str">
        <f>IF(D3096="","", IFNA(VLOOKUP(D3096, SATCAT_DECAY!A:B, 2, FALSE), ""))
</f>
        <v/>
      </c>
      <c r="G3096" s="3" t="str">
        <f t="shared" si="1"/>
        <v>ACTIVE</v>
      </c>
    </row>
    <row r="3097" ht="22.5" customHeight="1">
      <c r="A3097" s="11" t="str">
        <f t="array" ref="A3097">IFERROR(
  INDEX('Starlink Launches'!$A:$A, MATCH($E3097, 'Starlink Launches'!$B:$B, 0)),
  ""
)
</f>
        <v>9-8</v>
      </c>
      <c r="B3097" s="3" t="s">
        <v>25</v>
      </c>
      <c r="C3097" s="12" t="s">
        <v>3112</v>
      </c>
      <c r="D3097" s="13">
        <v>61257.0</v>
      </c>
      <c r="E3097" s="4">
        <v>45560.0</v>
      </c>
      <c r="F3097" s="4" t="str">
        <f>IF(D3097="","", IFNA(VLOOKUP(D3097, SATCAT_DECAY!A:B, 2, FALSE), ""))
</f>
        <v/>
      </c>
      <c r="G3097" s="3" t="str">
        <f t="shared" si="1"/>
        <v>ACTIVE</v>
      </c>
    </row>
    <row r="3098" ht="22.5" customHeight="1">
      <c r="A3098" s="11" t="str">
        <f t="array" ref="A3098">IFERROR(
  INDEX('Starlink Launches'!$A:$A, MATCH($E3098, 'Starlink Launches'!$B:$B, 0)),
  ""
)
</f>
        <v>9-8</v>
      </c>
      <c r="B3098" s="3" t="s">
        <v>25</v>
      </c>
      <c r="C3098" s="12" t="s">
        <v>3113</v>
      </c>
      <c r="D3098" s="13">
        <v>61258.0</v>
      </c>
      <c r="E3098" s="4">
        <v>45560.0</v>
      </c>
      <c r="F3098" s="4" t="str">
        <f>IF(D3098="","", IFNA(VLOOKUP(D3098, SATCAT_DECAY!A:B, 2, FALSE), ""))
</f>
        <v/>
      </c>
      <c r="G3098" s="3" t="str">
        <f t="shared" si="1"/>
        <v>ACTIVE</v>
      </c>
    </row>
    <row r="3099" ht="22.5" customHeight="1">
      <c r="A3099" s="11" t="str">
        <f t="array" ref="A3099">IFERROR(
  INDEX('Starlink Launches'!$A:$A, MATCH($E3099, 'Starlink Launches'!$B:$B, 0)),
  ""
)
</f>
        <v>9-8</v>
      </c>
      <c r="B3099" s="3" t="s">
        <v>25</v>
      </c>
      <c r="C3099" s="12" t="s">
        <v>3114</v>
      </c>
      <c r="D3099" s="13">
        <v>61259.0</v>
      </c>
      <c r="E3099" s="4">
        <v>45560.0</v>
      </c>
      <c r="F3099" s="4" t="str">
        <f>IF(D3099="","", IFNA(VLOOKUP(D3099, SATCAT_DECAY!A:B, 2, FALSE), ""))
</f>
        <v/>
      </c>
      <c r="G3099" s="3" t="str">
        <f t="shared" si="1"/>
        <v>ACTIVE</v>
      </c>
    </row>
    <row r="3100" ht="22.5" customHeight="1">
      <c r="A3100" s="11" t="str">
        <f t="array" ref="A3100">IFERROR(
  INDEX('Starlink Launches'!$A:$A, MATCH($E3100, 'Starlink Launches'!$B:$B, 0)),
  ""
)
</f>
        <v>9-8</v>
      </c>
      <c r="B3100" s="3" t="s">
        <v>25</v>
      </c>
      <c r="C3100" s="12" t="s">
        <v>3115</v>
      </c>
      <c r="D3100" s="13">
        <v>61260.0</v>
      </c>
      <c r="E3100" s="4">
        <v>45560.0</v>
      </c>
      <c r="F3100" s="4" t="str">
        <f>IF(D3100="","", IFNA(VLOOKUP(D3100, SATCAT_DECAY!A:B, 2, FALSE), ""))
</f>
        <v/>
      </c>
      <c r="G3100" s="3" t="str">
        <f t="shared" si="1"/>
        <v>ACTIVE</v>
      </c>
    </row>
    <row r="3101" ht="22.5" customHeight="1">
      <c r="A3101" s="11" t="str">
        <f t="array" ref="A3101">IFERROR(
  INDEX('Starlink Launches'!$A:$A, MATCH($E3101, 'Starlink Launches'!$B:$B, 0)),
  ""
)
</f>
        <v>9-8</v>
      </c>
      <c r="B3101" s="3" t="s">
        <v>25</v>
      </c>
      <c r="C3101" s="12" t="s">
        <v>3116</v>
      </c>
      <c r="D3101" s="13">
        <v>61261.0</v>
      </c>
      <c r="E3101" s="4">
        <v>45560.0</v>
      </c>
      <c r="F3101" s="4" t="str">
        <f>IF(D3101="","", IFNA(VLOOKUP(D3101, SATCAT_DECAY!A:B, 2, FALSE), ""))
</f>
        <v/>
      </c>
      <c r="G3101" s="3" t="str">
        <f t="shared" si="1"/>
        <v>ACTIVE</v>
      </c>
    </row>
    <row r="3102" ht="22.5" customHeight="1">
      <c r="A3102" s="11" t="str">
        <f t="array" ref="A3102">IFERROR(
  INDEX('Starlink Launches'!$A:$A, MATCH($E3102, 'Starlink Launches'!$B:$B, 0)),
  ""
)
</f>
        <v>9-8</v>
      </c>
      <c r="B3102" s="3" t="s">
        <v>25</v>
      </c>
      <c r="C3102" s="12" t="s">
        <v>3117</v>
      </c>
      <c r="D3102" s="13">
        <v>61262.0</v>
      </c>
      <c r="E3102" s="4">
        <v>45560.0</v>
      </c>
      <c r="F3102" s="4" t="str">
        <f>IF(D3102="","", IFNA(VLOOKUP(D3102, SATCAT_DECAY!A:B, 2, FALSE), ""))
</f>
        <v/>
      </c>
      <c r="G3102" s="3" t="str">
        <f t="shared" si="1"/>
        <v>ACTIVE</v>
      </c>
    </row>
    <row r="3103" ht="22.5" customHeight="1">
      <c r="A3103" s="11" t="str">
        <f t="array" ref="A3103">IFERROR(
  INDEX('Starlink Launches'!$A:$A, MATCH($E3103, 'Starlink Launches'!$B:$B, 0)),
  ""
)
</f>
        <v>9-7</v>
      </c>
      <c r="B3103" s="3" t="s">
        <v>25</v>
      </c>
      <c r="C3103" s="12" t="s">
        <v>3118</v>
      </c>
      <c r="D3103" s="13">
        <v>61532.0</v>
      </c>
      <c r="E3103" s="4">
        <v>45580.0</v>
      </c>
      <c r="F3103" s="4" t="str">
        <f>IF(D3103="","", IFNA(VLOOKUP(D3103, SATCAT_DECAY!A:B, 2, FALSE), ""))
</f>
        <v/>
      </c>
      <c r="G3103" s="3" t="str">
        <f t="shared" si="1"/>
        <v>ACTIVE</v>
      </c>
    </row>
    <row r="3104" ht="22.5" customHeight="1">
      <c r="A3104" s="11" t="str">
        <f t="array" ref="A3104">IFERROR(
  INDEX('Starlink Launches'!$A:$A, MATCH($E3104, 'Starlink Launches'!$B:$B, 0)),
  ""
)
</f>
        <v>9-7</v>
      </c>
      <c r="B3104" s="3" t="s">
        <v>25</v>
      </c>
      <c r="C3104" s="12" t="s">
        <v>3119</v>
      </c>
      <c r="D3104" s="13">
        <v>61533.0</v>
      </c>
      <c r="E3104" s="4">
        <v>45580.0</v>
      </c>
      <c r="F3104" s="4" t="str">
        <f>IF(D3104="","", IFNA(VLOOKUP(D3104, SATCAT_DECAY!A:B, 2, FALSE), ""))
</f>
        <v/>
      </c>
      <c r="G3104" s="3" t="str">
        <f t="shared" si="1"/>
        <v>ACTIVE</v>
      </c>
    </row>
    <row r="3105" ht="22.5" customHeight="1">
      <c r="A3105" s="11" t="str">
        <f t="array" ref="A3105">IFERROR(
  INDEX('Starlink Launches'!$A:$A, MATCH($E3105, 'Starlink Launches'!$B:$B, 0)),
  ""
)
</f>
        <v>9-7</v>
      </c>
      <c r="B3105" s="3" t="s">
        <v>25</v>
      </c>
      <c r="C3105" s="12" t="s">
        <v>3120</v>
      </c>
      <c r="D3105" s="13">
        <v>61534.0</v>
      </c>
      <c r="E3105" s="4">
        <v>45580.0</v>
      </c>
      <c r="F3105" s="4" t="str">
        <f>IF(D3105="","", IFNA(VLOOKUP(D3105, SATCAT_DECAY!A:B, 2, FALSE), ""))
</f>
        <v/>
      </c>
      <c r="G3105" s="3" t="str">
        <f t="shared" si="1"/>
        <v>ACTIVE</v>
      </c>
    </row>
    <row r="3106" ht="22.5" customHeight="1">
      <c r="A3106" s="11" t="str">
        <f t="array" ref="A3106">IFERROR(
  INDEX('Starlink Launches'!$A:$A, MATCH($E3106, 'Starlink Launches'!$B:$B, 0)),
  ""
)
</f>
        <v>9-7</v>
      </c>
      <c r="B3106" s="3" t="s">
        <v>25</v>
      </c>
      <c r="C3106" s="12" t="s">
        <v>3121</v>
      </c>
      <c r="D3106" s="13">
        <v>61535.0</v>
      </c>
      <c r="E3106" s="4">
        <v>45580.0</v>
      </c>
      <c r="F3106" s="4" t="str">
        <f>IF(D3106="","", IFNA(VLOOKUP(D3106, SATCAT_DECAY!A:B, 2, FALSE), ""))
</f>
        <v/>
      </c>
      <c r="G3106" s="3" t="str">
        <f t="shared" si="1"/>
        <v>ACTIVE</v>
      </c>
    </row>
    <row r="3107" ht="22.5" customHeight="1">
      <c r="A3107" s="11" t="str">
        <f t="array" ref="A3107">IFERROR(
  INDEX('Starlink Launches'!$A:$A, MATCH($E3107, 'Starlink Launches'!$B:$B, 0)),
  ""
)
</f>
        <v>9-7</v>
      </c>
      <c r="B3107" s="3" t="s">
        <v>25</v>
      </c>
      <c r="C3107" s="12" t="s">
        <v>3122</v>
      </c>
      <c r="D3107" s="13">
        <v>61536.0</v>
      </c>
      <c r="E3107" s="4">
        <v>45580.0</v>
      </c>
      <c r="F3107" s="4" t="str">
        <f>IF(D3107="","", IFNA(VLOOKUP(D3107, SATCAT_DECAY!A:B, 2, FALSE), ""))
</f>
        <v/>
      </c>
      <c r="G3107" s="3" t="str">
        <f t="shared" si="1"/>
        <v>ACTIVE</v>
      </c>
    </row>
    <row r="3108" ht="22.5" customHeight="1">
      <c r="A3108" s="11" t="str">
        <f t="array" ref="A3108">IFERROR(
  INDEX('Starlink Launches'!$A:$A, MATCH($E3108, 'Starlink Launches'!$B:$B, 0)),
  ""
)
</f>
        <v>9-7</v>
      </c>
      <c r="B3108" s="3" t="s">
        <v>25</v>
      </c>
      <c r="C3108" s="12" t="s">
        <v>3123</v>
      </c>
      <c r="D3108" s="13">
        <v>61537.0</v>
      </c>
      <c r="E3108" s="4">
        <v>45580.0</v>
      </c>
      <c r="F3108" s="4" t="str">
        <f>IF(D3108="","", IFNA(VLOOKUP(D3108, SATCAT_DECAY!A:B, 2, FALSE), ""))
</f>
        <v/>
      </c>
      <c r="G3108" s="3" t="str">
        <f t="shared" si="1"/>
        <v>ACTIVE</v>
      </c>
    </row>
    <row r="3109" ht="22.5" customHeight="1">
      <c r="A3109" s="11" t="str">
        <f t="array" ref="A3109">IFERROR(
  INDEX('Starlink Launches'!$A:$A, MATCH($E3109, 'Starlink Launches'!$B:$B, 0)),
  ""
)
</f>
        <v>9-7</v>
      </c>
      <c r="B3109" s="3" t="s">
        <v>25</v>
      </c>
      <c r="C3109" s="12" t="s">
        <v>3124</v>
      </c>
      <c r="D3109" s="13">
        <v>61538.0</v>
      </c>
      <c r="E3109" s="4">
        <v>45580.0</v>
      </c>
      <c r="F3109" s="4" t="str">
        <f>IF(D3109="","", IFNA(VLOOKUP(D3109, SATCAT_DECAY!A:B, 2, FALSE), ""))
</f>
        <v/>
      </c>
      <c r="G3109" s="3" t="str">
        <f t="shared" si="1"/>
        <v>ACTIVE</v>
      </c>
    </row>
    <row r="3110" ht="22.5" customHeight="1">
      <c r="A3110" s="11" t="str">
        <f t="array" ref="A3110">IFERROR(
  INDEX('Starlink Launches'!$A:$A, MATCH($E3110, 'Starlink Launches'!$B:$B, 0)),
  ""
)
</f>
        <v>9-7</v>
      </c>
      <c r="B3110" s="3" t="s">
        <v>25</v>
      </c>
      <c r="C3110" s="12" t="s">
        <v>3125</v>
      </c>
      <c r="D3110" s="13">
        <v>61539.0</v>
      </c>
      <c r="E3110" s="4">
        <v>45580.0</v>
      </c>
      <c r="F3110" s="4" t="str">
        <f>IF(D3110="","", IFNA(VLOOKUP(D3110, SATCAT_DECAY!A:B, 2, FALSE), ""))
</f>
        <v/>
      </c>
      <c r="G3110" s="3" t="str">
        <f t="shared" si="1"/>
        <v>ACTIVE</v>
      </c>
    </row>
    <row r="3111" ht="22.5" customHeight="1">
      <c r="A3111" s="11" t="str">
        <f t="array" ref="A3111">IFERROR(
  INDEX('Starlink Launches'!$A:$A, MATCH($E3111, 'Starlink Launches'!$B:$B, 0)),
  ""
)
</f>
        <v>9-7</v>
      </c>
      <c r="B3111" s="3" t="s">
        <v>25</v>
      </c>
      <c r="C3111" s="12" t="s">
        <v>3126</v>
      </c>
      <c r="D3111" s="13">
        <v>61540.0</v>
      </c>
      <c r="E3111" s="4">
        <v>45580.0</v>
      </c>
      <c r="F3111" s="4" t="str">
        <f>IF(D3111="","", IFNA(VLOOKUP(D3111, SATCAT_DECAY!A:B, 2, FALSE), ""))
</f>
        <v/>
      </c>
      <c r="G3111" s="3" t="str">
        <f t="shared" si="1"/>
        <v>ACTIVE</v>
      </c>
    </row>
    <row r="3112" ht="22.5" customHeight="1">
      <c r="A3112" s="11" t="str">
        <f t="array" ref="A3112">IFERROR(
  INDEX('Starlink Launches'!$A:$A, MATCH($E3112, 'Starlink Launches'!$B:$B, 0)),
  ""
)
</f>
        <v>9-7</v>
      </c>
      <c r="B3112" s="3" t="s">
        <v>25</v>
      </c>
      <c r="C3112" s="12" t="s">
        <v>3127</v>
      </c>
      <c r="D3112" s="13">
        <v>61541.0</v>
      </c>
      <c r="E3112" s="4">
        <v>45580.0</v>
      </c>
      <c r="F3112" s="4" t="str">
        <f>IF(D3112="","", IFNA(VLOOKUP(D3112, SATCAT_DECAY!A:B, 2, FALSE), ""))
</f>
        <v/>
      </c>
      <c r="G3112" s="3" t="str">
        <f t="shared" si="1"/>
        <v>ACTIVE</v>
      </c>
    </row>
    <row r="3113" ht="22.5" customHeight="1">
      <c r="A3113" s="11" t="str">
        <f t="array" ref="A3113">IFERROR(
  INDEX('Starlink Launches'!$A:$A, MATCH($E3113, 'Starlink Launches'!$B:$B, 0)),
  ""
)
</f>
        <v>9-7</v>
      </c>
      <c r="B3113" s="3" t="s">
        <v>25</v>
      </c>
      <c r="C3113" s="12" t="s">
        <v>3128</v>
      </c>
      <c r="D3113" s="13">
        <v>61542.0</v>
      </c>
      <c r="E3113" s="4">
        <v>45580.0</v>
      </c>
      <c r="F3113" s="4" t="str">
        <f>IF(D3113="","", IFNA(VLOOKUP(D3113, SATCAT_DECAY!A:B, 2, FALSE), ""))
</f>
        <v/>
      </c>
      <c r="G3113" s="3" t="str">
        <f t="shared" si="1"/>
        <v>ACTIVE</v>
      </c>
    </row>
    <row r="3114" ht="22.5" customHeight="1">
      <c r="A3114" s="11" t="str">
        <f t="array" ref="A3114">IFERROR(
  INDEX('Starlink Launches'!$A:$A, MATCH($E3114, 'Starlink Launches'!$B:$B, 0)),
  ""
)
</f>
        <v>9-7</v>
      </c>
      <c r="B3114" s="3" t="s">
        <v>25</v>
      </c>
      <c r="C3114" s="12" t="s">
        <v>3129</v>
      </c>
      <c r="D3114" s="13">
        <v>61543.0</v>
      </c>
      <c r="E3114" s="4">
        <v>45580.0</v>
      </c>
      <c r="F3114" s="4" t="str">
        <f>IF(D3114="","", IFNA(VLOOKUP(D3114, SATCAT_DECAY!A:B, 2, FALSE), ""))
</f>
        <v/>
      </c>
      <c r="G3114" s="3" t="str">
        <f t="shared" si="1"/>
        <v>ACTIVE</v>
      </c>
    </row>
    <row r="3115" ht="22.5" customHeight="1">
      <c r="A3115" s="11" t="str">
        <f t="array" ref="A3115">IFERROR(
  INDEX('Starlink Launches'!$A:$A, MATCH($E3115, 'Starlink Launches'!$B:$B, 0)),
  ""
)
</f>
        <v>9-7</v>
      </c>
      <c r="B3115" s="3" t="s">
        <v>25</v>
      </c>
      <c r="C3115" s="12" t="s">
        <v>3130</v>
      </c>
      <c r="D3115" s="13">
        <v>61544.0</v>
      </c>
      <c r="E3115" s="4">
        <v>45580.0</v>
      </c>
      <c r="F3115" s="4" t="str">
        <f>IF(D3115="","", IFNA(VLOOKUP(D3115, SATCAT_DECAY!A:B, 2, FALSE), ""))
</f>
        <v/>
      </c>
      <c r="G3115" s="3" t="str">
        <f t="shared" si="1"/>
        <v>ACTIVE</v>
      </c>
    </row>
    <row r="3116" ht="22.5" customHeight="1">
      <c r="A3116" s="11" t="str">
        <f t="array" ref="A3116">IFERROR(
  INDEX('Starlink Launches'!$A:$A, MATCH($E3116, 'Starlink Launches'!$B:$B, 0)),
  ""
)
</f>
        <v>9-7</v>
      </c>
      <c r="B3116" s="3" t="s">
        <v>25</v>
      </c>
      <c r="C3116" s="12" t="s">
        <v>3131</v>
      </c>
      <c r="D3116" s="13">
        <v>61545.0</v>
      </c>
      <c r="E3116" s="4">
        <v>45580.0</v>
      </c>
      <c r="F3116" s="4" t="str">
        <f>IF(D3116="","", IFNA(VLOOKUP(D3116, SATCAT_DECAY!A:B, 2, FALSE), ""))
</f>
        <v/>
      </c>
      <c r="G3116" s="3" t="str">
        <f t="shared" si="1"/>
        <v>ACTIVE</v>
      </c>
    </row>
    <row r="3117" ht="22.5" customHeight="1">
      <c r="A3117" s="11" t="str">
        <f t="array" ref="A3117">IFERROR(
  INDEX('Starlink Launches'!$A:$A, MATCH($E3117, 'Starlink Launches'!$B:$B, 0)),
  ""
)
</f>
        <v>9-7</v>
      </c>
      <c r="B3117" s="3" t="s">
        <v>25</v>
      </c>
      <c r="C3117" s="12" t="s">
        <v>3132</v>
      </c>
      <c r="D3117" s="13">
        <v>61546.0</v>
      </c>
      <c r="E3117" s="4">
        <v>45580.0</v>
      </c>
      <c r="F3117" s="4" t="str">
        <f>IF(D3117="","", IFNA(VLOOKUP(D3117, SATCAT_DECAY!A:B, 2, FALSE), ""))
</f>
        <v/>
      </c>
      <c r="G3117" s="3" t="str">
        <f t="shared" si="1"/>
        <v>ACTIVE</v>
      </c>
    </row>
    <row r="3118" ht="22.5" customHeight="1">
      <c r="A3118" s="11" t="str">
        <f t="array" ref="A3118">IFERROR(
  INDEX('Starlink Launches'!$A:$A, MATCH($E3118, 'Starlink Launches'!$B:$B, 0)),
  ""
)
</f>
        <v>9-7</v>
      </c>
      <c r="B3118" s="3" t="s">
        <v>25</v>
      </c>
      <c r="C3118" s="12" t="s">
        <v>3133</v>
      </c>
      <c r="D3118" s="13">
        <v>61547.0</v>
      </c>
      <c r="E3118" s="4">
        <v>45580.0</v>
      </c>
      <c r="F3118" s="4" t="str">
        <f>IF(D3118="","", IFNA(VLOOKUP(D3118, SATCAT_DECAY!A:B, 2, FALSE), ""))
</f>
        <v/>
      </c>
      <c r="G3118" s="3" t="str">
        <f t="shared" si="1"/>
        <v>ACTIVE</v>
      </c>
    </row>
    <row r="3119" ht="22.5" customHeight="1">
      <c r="A3119" s="11" t="str">
        <f t="array" ref="A3119">IFERROR(
  INDEX('Starlink Launches'!$A:$A, MATCH($E3119, 'Starlink Launches'!$B:$B, 0)),
  ""
)
</f>
        <v>9-7</v>
      </c>
      <c r="B3119" s="3" t="s">
        <v>25</v>
      </c>
      <c r="C3119" s="12" t="s">
        <v>3134</v>
      </c>
      <c r="D3119" s="13">
        <v>61548.0</v>
      </c>
      <c r="E3119" s="4">
        <v>45580.0</v>
      </c>
      <c r="F3119" s="4" t="str">
        <f>IF(D3119="","", IFNA(VLOOKUP(D3119, SATCAT_DECAY!A:B, 2, FALSE), ""))
</f>
        <v/>
      </c>
      <c r="G3119" s="3" t="str">
        <f t="shared" si="1"/>
        <v>ACTIVE</v>
      </c>
    </row>
    <row r="3120" ht="22.5" customHeight="1">
      <c r="A3120" s="11" t="str">
        <f t="array" ref="A3120">IFERROR(
  INDEX('Starlink Launches'!$A:$A, MATCH($E3120, 'Starlink Launches'!$B:$B, 0)),
  ""
)
</f>
        <v>9-7</v>
      </c>
      <c r="B3120" s="3" t="s">
        <v>25</v>
      </c>
      <c r="C3120" s="12" t="s">
        <v>3135</v>
      </c>
      <c r="D3120" s="13">
        <v>61549.0</v>
      </c>
      <c r="E3120" s="4">
        <v>45580.0</v>
      </c>
      <c r="F3120" s="4" t="str">
        <f>IF(D3120="","", IFNA(VLOOKUP(D3120, SATCAT_DECAY!A:B, 2, FALSE), ""))
</f>
        <v/>
      </c>
      <c r="G3120" s="3" t="str">
        <f t="shared" si="1"/>
        <v>ACTIVE</v>
      </c>
    </row>
    <row r="3121" ht="22.5" customHeight="1">
      <c r="A3121" s="11" t="str">
        <f t="array" ref="A3121">IFERROR(
  INDEX('Starlink Launches'!$A:$A, MATCH($E3121, 'Starlink Launches'!$B:$B, 0)),
  ""
)
</f>
        <v>9-7</v>
      </c>
      <c r="B3121" s="3" t="s">
        <v>25</v>
      </c>
      <c r="C3121" s="12" t="s">
        <v>3136</v>
      </c>
      <c r="D3121" s="13">
        <v>61550.0</v>
      </c>
      <c r="E3121" s="4">
        <v>45580.0</v>
      </c>
      <c r="F3121" s="4" t="str">
        <f>IF(D3121="","", IFNA(VLOOKUP(D3121, SATCAT_DECAY!A:B, 2, FALSE), ""))
</f>
        <v/>
      </c>
      <c r="G3121" s="3" t="str">
        <f t="shared" si="1"/>
        <v>ACTIVE</v>
      </c>
    </row>
    <row r="3122" ht="22.5" customHeight="1">
      <c r="A3122" s="11" t="str">
        <f t="array" ref="A3122">IFERROR(
  INDEX('Starlink Launches'!$A:$A, MATCH($E3122, 'Starlink Launches'!$B:$B, 0)),
  ""
)
</f>
        <v>9-7</v>
      </c>
      <c r="B3122" s="3" t="s">
        <v>25</v>
      </c>
      <c r="C3122" s="12" t="s">
        <v>3137</v>
      </c>
      <c r="D3122" s="13">
        <v>61551.0</v>
      </c>
      <c r="E3122" s="4">
        <v>45580.0</v>
      </c>
      <c r="F3122" s="4" t="str">
        <f>IF(D3122="","", IFNA(VLOOKUP(D3122, SATCAT_DECAY!A:B, 2, FALSE), ""))
</f>
        <v/>
      </c>
      <c r="G3122" s="3" t="str">
        <f t="shared" si="1"/>
        <v>ACTIVE</v>
      </c>
    </row>
    <row r="3123" ht="22.5" customHeight="1">
      <c r="A3123" s="11" t="str">
        <f t="array" ref="A3123">IFERROR(
  INDEX('Starlink Launches'!$A:$A, MATCH($E3123, 'Starlink Launches'!$B:$B, 0)),
  ""
)
</f>
        <v>9-9</v>
      </c>
      <c r="B3123" s="3" t="s">
        <v>25</v>
      </c>
      <c r="C3123" s="12" t="s">
        <v>3138</v>
      </c>
      <c r="D3123" s="13">
        <v>61687.0</v>
      </c>
      <c r="E3123" s="4">
        <v>45595.0</v>
      </c>
      <c r="F3123" s="4" t="str">
        <f>IF(D3123="","", IFNA(VLOOKUP(D3123, SATCAT_DECAY!A:B, 2, FALSE), ""))
</f>
        <v/>
      </c>
      <c r="G3123" s="3" t="str">
        <f t="shared" si="1"/>
        <v>ACTIVE</v>
      </c>
    </row>
    <row r="3124" ht="22.5" customHeight="1">
      <c r="A3124" s="11" t="str">
        <f t="array" ref="A3124">IFERROR(
  INDEX('Starlink Launches'!$A:$A, MATCH($E3124, 'Starlink Launches'!$B:$B, 0)),
  ""
)
</f>
        <v>9-9</v>
      </c>
      <c r="B3124" s="3" t="s">
        <v>25</v>
      </c>
      <c r="C3124" s="12" t="s">
        <v>3139</v>
      </c>
      <c r="D3124" s="13">
        <v>61688.0</v>
      </c>
      <c r="E3124" s="4">
        <v>45595.0</v>
      </c>
      <c r="F3124" s="4" t="str">
        <f>IF(D3124="","", IFNA(VLOOKUP(D3124, SATCAT_DECAY!A:B, 2, FALSE), ""))
</f>
        <v/>
      </c>
      <c r="G3124" s="3" t="str">
        <f t="shared" si="1"/>
        <v>ACTIVE</v>
      </c>
    </row>
    <row r="3125" ht="22.5" customHeight="1">
      <c r="A3125" s="11" t="str">
        <f t="array" ref="A3125">IFERROR(
  INDEX('Starlink Launches'!$A:$A, MATCH($E3125, 'Starlink Launches'!$B:$B, 0)),
  ""
)
</f>
        <v>9-9</v>
      </c>
      <c r="B3125" s="3" t="s">
        <v>25</v>
      </c>
      <c r="C3125" s="12" t="s">
        <v>3140</v>
      </c>
      <c r="D3125" s="13">
        <v>61689.0</v>
      </c>
      <c r="E3125" s="4">
        <v>45595.0</v>
      </c>
      <c r="F3125" s="4" t="str">
        <f>IF(D3125="","", IFNA(VLOOKUP(D3125, SATCAT_DECAY!A:B, 2, FALSE), ""))
</f>
        <v/>
      </c>
      <c r="G3125" s="3" t="str">
        <f t="shared" si="1"/>
        <v>ACTIVE</v>
      </c>
    </row>
    <row r="3126" ht="22.5" customHeight="1">
      <c r="A3126" s="11" t="str">
        <f t="array" ref="A3126">IFERROR(
  INDEX('Starlink Launches'!$A:$A, MATCH($E3126, 'Starlink Launches'!$B:$B, 0)),
  ""
)
</f>
        <v>9-9</v>
      </c>
      <c r="B3126" s="3" t="s">
        <v>25</v>
      </c>
      <c r="C3126" s="12" t="s">
        <v>3141</v>
      </c>
      <c r="D3126" s="13">
        <v>61690.0</v>
      </c>
      <c r="E3126" s="4">
        <v>45595.0</v>
      </c>
      <c r="F3126" s="4" t="str">
        <f>IF(D3126="","", IFNA(VLOOKUP(D3126, SATCAT_DECAY!A:B, 2, FALSE), ""))
</f>
        <v/>
      </c>
      <c r="G3126" s="3" t="str">
        <f t="shared" si="1"/>
        <v>ACTIVE</v>
      </c>
    </row>
    <row r="3127" ht="22.5" customHeight="1">
      <c r="A3127" s="11" t="str">
        <f t="array" ref="A3127">IFERROR(
  INDEX('Starlink Launches'!$A:$A, MATCH($E3127, 'Starlink Launches'!$B:$B, 0)),
  ""
)
</f>
        <v>9-9</v>
      </c>
      <c r="B3127" s="3" t="s">
        <v>25</v>
      </c>
      <c r="C3127" s="12" t="s">
        <v>3142</v>
      </c>
      <c r="D3127" s="13">
        <v>61691.0</v>
      </c>
      <c r="E3127" s="4">
        <v>45595.0</v>
      </c>
      <c r="F3127" s="4" t="str">
        <f>IF(D3127="","", IFNA(VLOOKUP(D3127, SATCAT_DECAY!A:B, 2, FALSE), ""))
</f>
        <v/>
      </c>
      <c r="G3127" s="3" t="str">
        <f t="shared" si="1"/>
        <v>ACTIVE</v>
      </c>
    </row>
    <row r="3128" ht="22.5" customHeight="1">
      <c r="A3128" s="11" t="str">
        <f t="array" ref="A3128">IFERROR(
  INDEX('Starlink Launches'!$A:$A, MATCH($E3128, 'Starlink Launches'!$B:$B, 0)),
  ""
)
</f>
        <v>9-9</v>
      </c>
      <c r="B3128" s="3" t="s">
        <v>25</v>
      </c>
      <c r="C3128" s="12" t="s">
        <v>3143</v>
      </c>
      <c r="D3128" s="13">
        <v>61692.0</v>
      </c>
      <c r="E3128" s="4">
        <v>45595.0</v>
      </c>
      <c r="F3128" s="4" t="str">
        <f>IF(D3128="","", IFNA(VLOOKUP(D3128, SATCAT_DECAY!A:B, 2, FALSE), ""))
</f>
        <v/>
      </c>
      <c r="G3128" s="3" t="str">
        <f t="shared" si="1"/>
        <v>ACTIVE</v>
      </c>
    </row>
    <row r="3129" ht="22.5" customHeight="1">
      <c r="A3129" s="11" t="str">
        <f t="array" ref="A3129">IFERROR(
  INDEX('Starlink Launches'!$A:$A, MATCH($E3129, 'Starlink Launches'!$B:$B, 0)),
  ""
)
</f>
        <v>9-9</v>
      </c>
      <c r="B3129" s="3" t="s">
        <v>25</v>
      </c>
      <c r="C3129" s="12" t="s">
        <v>3144</v>
      </c>
      <c r="D3129" s="13">
        <v>61693.0</v>
      </c>
      <c r="E3129" s="4">
        <v>45595.0</v>
      </c>
      <c r="F3129" s="4" t="str">
        <f>IF(D3129="","", IFNA(VLOOKUP(D3129, SATCAT_DECAY!A:B, 2, FALSE), ""))
</f>
        <v/>
      </c>
      <c r="G3129" s="3" t="str">
        <f t="shared" si="1"/>
        <v>ACTIVE</v>
      </c>
    </row>
    <row r="3130" ht="22.5" customHeight="1">
      <c r="A3130" s="11" t="str">
        <f t="array" ref="A3130">IFERROR(
  INDEX('Starlink Launches'!$A:$A, MATCH($E3130, 'Starlink Launches'!$B:$B, 0)),
  ""
)
</f>
        <v>9-9</v>
      </c>
      <c r="B3130" s="3" t="s">
        <v>25</v>
      </c>
      <c r="C3130" s="12" t="s">
        <v>3145</v>
      </c>
      <c r="D3130" s="13">
        <v>61694.0</v>
      </c>
      <c r="E3130" s="4">
        <v>45595.0</v>
      </c>
      <c r="F3130" s="4" t="str">
        <f>IF(D3130="","", IFNA(VLOOKUP(D3130, SATCAT_DECAY!A:B, 2, FALSE), ""))
</f>
        <v/>
      </c>
      <c r="G3130" s="3" t="str">
        <f t="shared" si="1"/>
        <v>ACTIVE</v>
      </c>
    </row>
    <row r="3131" ht="22.5" customHeight="1">
      <c r="A3131" s="11" t="str">
        <f t="array" ref="A3131">IFERROR(
  INDEX('Starlink Launches'!$A:$A, MATCH($E3131, 'Starlink Launches'!$B:$B, 0)),
  ""
)
</f>
        <v>9-9</v>
      </c>
      <c r="B3131" s="3" t="s">
        <v>25</v>
      </c>
      <c r="C3131" s="12" t="s">
        <v>3146</v>
      </c>
      <c r="D3131" s="13">
        <v>61695.0</v>
      </c>
      <c r="E3131" s="4">
        <v>45595.0</v>
      </c>
      <c r="F3131" s="4" t="str">
        <f>IF(D3131="","", IFNA(VLOOKUP(D3131, SATCAT_DECAY!A:B, 2, FALSE), ""))
</f>
        <v/>
      </c>
      <c r="G3131" s="3" t="str">
        <f t="shared" si="1"/>
        <v>ACTIVE</v>
      </c>
    </row>
    <row r="3132" ht="22.5" customHeight="1">
      <c r="A3132" s="11" t="str">
        <f t="array" ref="A3132">IFERROR(
  INDEX('Starlink Launches'!$A:$A, MATCH($E3132, 'Starlink Launches'!$B:$B, 0)),
  ""
)
</f>
        <v>9-9</v>
      </c>
      <c r="B3132" s="3" t="s">
        <v>25</v>
      </c>
      <c r="C3132" s="12" t="s">
        <v>3147</v>
      </c>
      <c r="D3132" s="13">
        <v>61696.0</v>
      </c>
      <c r="E3132" s="4">
        <v>45595.0</v>
      </c>
      <c r="F3132" s="4" t="str">
        <f>IF(D3132="","", IFNA(VLOOKUP(D3132, SATCAT_DECAY!A:B, 2, FALSE), ""))
</f>
        <v/>
      </c>
      <c r="G3132" s="3" t="str">
        <f t="shared" si="1"/>
        <v>ACTIVE</v>
      </c>
    </row>
    <row r="3133" ht="22.5" customHeight="1">
      <c r="A3133" s="11" t="str">
        <f t="array" ref="A3133">IFERROR(
  INDEX('Starlink Launches'!$A:$A, MATCH($E3133, 'Starlink Launches'!$B:$B, 0)),
  ""
)
</f>
        <v>9-9</v>
      </c>
      <c r="B3133" s="3" t="s">
        <v>25</v>
      </c>
      <c r="C3133" s="12" t="s">
        <v>3148</v>
      </c>
      <c r="D3133" s="13">
        <v>61697.0</v>
      </c>
      <c r="E3133" s="4">
        <v>45595.0</v>
      </c>
      <c r="F3133" s="4" t="str">
        <f>IF(D3133="","", IFNA(VLOOKUP(D3133, SATCAT_DECAY!A:B, 2, FALSE), ""))
</f>
        <v/>
      </c>
      <c r="G3133" s="3" t="str">
        <f t="shared" si="1"/>
        <v>ACTIVE</v>
      </c>
    </row>
    <row r="3134" ht="22.5" hidden="1" customHeight="1">
      <c r="A3134" s="11" t="str">
        <f t="array" ref="A3134">IFERROR(
  INDEX('Starlink Launches'!$A:$A, MATCH($E3134, 'Starlink Launches'!$B:$B, 0)),
  ""
)
</f>
        <v>9-9</v>
      </c>
      <c r="B3134" s="3" t="s">
        <v>25</v>
      </c>
      <c r="C3134" s="12" t="s">
        <v>3149</v>
      </c>
      <c r="D3134" s="13">
        <v>61698.0</v>
      </c>
      <c r="E3134" s="4">
        <v>45595.0</v>
      </c>
      <c r="F3134" s="4">
        <f>IF(D3134="","", IFNA(VLOOKUP(D3134, SATCAT_DECAY!A:B, 2, FALSE), ""))
</f>
        <v>46002</v>
      </c>
      <c r="G3134" s="3" t="str">
        <f t="shared" si="1"/>
        <v>DECAYED</v>
      </c>
    </row>
    <row r="3135" ht="22.5" customHeight="1">
      <c r="A3135" s="11" t="str">
        <f t="array" ref="A3135">IFERROR(
  INDEX('Starlink Launches'!$A:$A, MATCH($E3135, 'Starlink Launches'!$B:$B, 0)),
  ""
)
</f>
        <v>9-9</v>
      </c>
      <c r="B3135" s="3" t="s">
        <v>25</v>
      </c>
      <c r="C3135" s="12" t="s">
        <v>3150</v>
      </c>
      <c r="D3135" s="13">
        <v>61699.0</v>
      </c>
      <c r="E3135" s="4">
        <v>45595.0</v>
      </c>
      <c r="F3135" s="4" t="str">
        <f>IF(D3135="","", IFNA(VLOOKUP(D3135, SATCAT_DECAY!A:B, 2, FALSE), ""))
</f>
        <v/>
      </c>
      <c r="G3135" s="3" t="str">
        <f t="shared" si="1"/>
        <v>ACTIVE</v>
      </c>
    </row>
    <row r="3136" ht="22.5" customHeight="1">
      <c r="A3136" s="11" t="str">
        <f t="array" ref="A3136">IFERROR(
  INDEX('Starlink Launches'!$A:$A, MATCH($E3136, 'Starlink Launches'!$B:$B, 0)),
  ""
)
</f>
        <v>9-9</v>
      </c>
      <c r="B3136" s="3" t="s">
        <v>25</v>
      </c>
      <c r="C3136" s="12" t="s">
        <v>3151</v>
      </c>
      <c r="D3136" s="13">
        <v>61700.0</v>
      </c>
      <c r="E3136" s="4">
        <v>45595.0</v>
      </c>
      <c r="F3136" s="4" t="str">
        <f>IF(D3136="","", IFNA(VLOOKUP(D3136, SATCAT_DECAY!A:B, 2, FALSE), ""))
</f>
        <v/>
      </c>
      <c r="G3136" s="3" t="str">
        <f t="shared" si="1"/>
        <v>ACTIVE</v>
      </c>
    </row>
    <row r="3137" ht="22.5" customHeight="1">
      <c r="A3137" s="11" t="str">
        <f t="array" ref="A3137">IFERROR(
  INDEX('Starlink Launches'!$A:$A, MATCH($E3137, 'Starlink Launches'!$B:$B, 0)),
  ""
)
</f>
        <v>9-9</v>
      </c>
      <c r="B3137" s="3" t="s">
        <v>25</v>
      </c>
      <c r="C3137" s="12" t="s">
        <v>3152</v>
      </c>
      <c r="D3137" s="13">
        <v>61701.0</v>
      </c>
      <c r="E3137" s="4">
        <v>45595.0</v>
      </c>
      <c r="F3137" s="4" t="str">
        <f>IF(D3137="","", IFNA(VLOOKUP(D3137, SATCAT_DECAY!A:B, 2, FALSE), ""))
</f>
        <v/>
      </c>
      <c r="G3137" s="3" t="str">
        <f t="shared" si="1"/>
        <v>ACTIVE</v>
      </c>
    </row>
    <row r="3138" ht="22.5" customHeight="1">
      <c r="A3138" s="11" t="str">
        <f t="array" ref="A3138">IFERROR(
  INDEX('Starlink Launches'!$A:$A, MATCH($E3138, 'Starlink Launches'!$B:$B, 0)),
  ""
)
</f>
        <v>9-9</v>
      </c>
      <c r="B3138" s="3" t="s">
        <v>25</v>
      </c>
      <c r="C3138" s="12" t="s">
        <v>3153</v>
      </c>
      <c r="D3138" s="13">
        <v>61702.0</v>
      </c>
      <c r="E3138" s="4">
        <v>45595.0</v>
      </c>
      <c r="F3138" s="4" t="str">
        <f>IF(D3138="","", IFNA(VLOOKUP(D3138, SATCAT_DECAY!A:B, 2, FALSE), ""))
</f>
        <v/>
      </c>
      <c r="G3138" s="3" t="str">
        <f t="shared" si="1"/>
        <v>ACTIVE</v>
      </c>
    </row>
    <row r="3139" ht="22.5" customHeight="1">
      <c r="A3139" s="11" t="str">
        <f t="array" ref="A3139">IFERROR(
  INDEX('Starlink Launches'!$A:$A, MATCH($E3139, 'Starlink Launches'!$B:$B, 0)),
  ""
)
</f>
        <v>9-9</v>
      </c>
      <c r="B3139" s="3" t="s">
        <v>25</v>
      </c>
      <c r="C3139" s="12" t="s">
        <v>3154</v>
      </c>
      <c r="D3139" s="13">
        <v>61703.0</v>
      </c>
      <c r="E3139" s="4">
        <v>45595.0</v>
      </c>
      <c r="F3139" s="4" t="str">
        <f>IF(D3139="","", IFNA(VLOOKUP(D3139, SATCAT_DECAY!A:B, 2, FALSE), ""))
</f>
        <v/>
      </c>
      <c r="G3139" s="3" t="str">
        <f t="shared" si="1"/>
        <v>ACTIVE</v>
      </c>
    </row>
    <row r="3140" ht="22.5" customHeight="1">
      <c r="A3140" s="11" t="str">
        <f t="array" ref="A3140">IFERROR(
  INDEX('Starlink Launches'!$A:$A, MATCH($E3140, 'Starlink Launches'!$B:$B, 0)),
  ""
)
</f>
        <v>9-9</v>
      </c>
      <c r="B3140" s="3" t="s">
        <v>25</v>
      </c>
      <c r="C3140" s="12" t="s">
        <v>3155</v>
      </c>
      <c r="D3140" s="13">
        <v>61704.0</v>
      </c>
      <c r="E3140" s="4">
        <v>45595.0</v>
      </c>
      <c r="F3140" s="4" t="str">
        <f>IF(D3140="","", IFNA(VLOOKUP(D3140, SATCAT_DECAY!A:B, 2, FALSE), ""))
</f>
        <v/>
      </c>
      <c r="G3140" s="3" t="str">
        <f t="shared" si="1"/>
        <v>ACTIVE</v>
      </c>
    </row>
    <row r="3141" ht="22.5" customHeight="1">
      <c r="A3141" s="11" t="str">
        <f t="array" ref="A3141">IFERROR(
  INDEX('Starlink Launches'!$A:$A, MATCH($E3141, 'Starlink Launches'!$B:$B, 0)),
  ""
)
</f>
        <v>9-9</v>
      </c>
      <c r="B3141" s="3" t="s">
        <v>25</v>
      </c>
      <c r="C3141" s="12" t="s">
        <v>3156</v>
      </c>
      <c r="D3141" s="13">
        <v>61705.0</v>
      </c>
      <c r="E3141" s="4">
        <v>45595.0</v>
      </c>
      <c r="F3141" s="4" t="str">
        <f>IF(D3141="","", IFNA(VLOOKUP(D3141, SATCAT_DECAY!A:B, 2, FALSE), ""))
</f>
        <v/>
      </c>
      <c r="G3141" s="3" t="str">
        <f t="shared" si="1"/>
        <v>ACTIVE</v>
      </c>
    </row>
    <row r="3142" ht="22.5" customHeight="1">
      <c r="A3142" s="11" t="str">
        <f t="array" ref="A3142">IFERROR(
  INDEX('Starlink Launches'!$A:$A, MATCH($E3142, 'Starlink Launches'!$B:$B, 0)),
  ""
)
</f>
        <v>9-9</v>
      </c>
      <c r="B3142" s="3" t="s">
        <v>25</v>
      </c>
      <c r="C3142" s="12" t="s">
        <v>3157</v>
      </c>
      <c r="D3142" s="13">
        <v>61706.0</v>
      </c>
      <c r="E3142" s="4">
        <v>45595.0</v>
      </c>
      <c r="F3142" s="4" t="str">
        <f>IF(D3142="","", IFNA(VLOOKUP(D3142, SATCAT_DECAY!A:B, 2, FALSE), ""))
</f>
        <v/>
      </c>
      <c r="G3142" s="3" t="str">
        <f t="shared" si="1"/>
        <v>ACTIVE</v>
      </c>
    </row>
    <row r="3143" ht="22.5" customHeight="1">
      <c r="A3143" s="11" t="str">
        <f t="array" ref="A3143">IFERROR(
  INDEX('Starlink Launches'!$A:$A, MATCH($E3143, 'Starlink Launches'!$B:$B, 0)),
  ""
)
</f>
        <v>9-10</v>
      </c>
      <c r="B3143" s="3" t="s">
        <v>25</v>
      </c>
      <c r="C3143" s="12" t="s">
        <v>3158</v>
      </c>
      <c r="D3143" s="13">
        <v>61874.0</v>
      </c>
      <c r="E3143" s="4">
        <v>45605.0</v>
      </c>
      <c r="F3143" s="4" t="str">
        <f>IF(D3143="","", IFNA(VLOOKUP(D3143, SATCAT_DECAY!A:B, 2, FALSE), ""))
</f>
        <v/>
      </c>
      <c r="G3143" s="3" t="str">
        <f t="shared" si="1"/>
        <v>ACTIVE</v>
      </c>
    </row>
    <row r="3144" ht="22.5" customHeight="1">
      <c r="A3144" s="11" t="str">
        <f t="array" ref="A3144">IFERROR(
  INDEX('Starlink Launches'!$A:$A, MATCH($E3144, 'Starlink Launches'!$B:$B, 0)),
  ""
)
</f>
        <v>9-10</v>
      </c>
      <c r="B3144" s="3" t="s">
        <v>25</v>
      </c>
      <c r="C3144" s="12" t="s">
        <v>3159</v>
      </c>
      <c r="D3144" s="13">
        <v>61875.0</v>
      </c>
      <c r="E3144" s="4">
        <v>45605.0</v>
      </c>
      <c r="F3144" s="4" t="str">
        <f>IF(D3144="","", IFNA(VLOOKUP(D3144, SATCAT_DECAY!A:B, 2, FALSE), ""))
</f>
        <v/>
      </c>
      <c r="G3144" s="3" t="str">
        <f t="shared" si="1"/>
        <v>ACTIVE</v>
      </c>
    </row>
    <row r="3145" ht="22.5" customHeight="1">
      <c r="A3145" s="11" t="str">
        <f t="array" ref="A3145">IFERROR(
  INDEX('Starlink Launches'!$A:$A, MATCH($E3145, 'Starlink Launches'!$B:$B, 0)),
  ""
)
</f>
        <v>9-10</v>
      </c>
      <c r="B3145" s="3" t="s">
        <v>25</v>
      </c>
      <c r="C3145" s="12" t="s">
        <v>3160</v>
      </c>
      <c r="D3145" s="13">
        <v>61876.0</v>
      </c>
      <c r="E3145" s="4">
        <v>45605.0</v>
      </c>
      <c r="F3145" s="4" t="str">
        <f>IF(D3145="","", IFNA(VLOOKUP(D3145, SATCAT_DECAY!A:B, 2, FALSE), ""))
</f>
        <v/>
      </c>
      <c r="G3145" s="3" t="str">
        <f t="shared" si="1"/>
        <v>ACTIVE</v>
      </c>
    </row>
    <row r="3146" ht="22.5" customHeight="1">
      <c r="A3146" s="11" t="str">
        <f t="array" ref="A3146">IFERROR(
  INDEX('Starlink Launches'!$A:$A, MATCH($E3146, 'Starlink Launches'!$B:$B, 0)),
  ""
)
</f>
        <v>9-10</v>
      </c>
      <c r="B3146" s="3" t="s">
        <v>25</v>
      </c>
      <c r="C3146" s="12" t="s">
        <v>3161</v>
      </c>
      <c r="D3146" s="13">
        <v>61877.0</v>
      </c>
      <c r="E3146" s="4">
        <v>45605.0</v>
      </c>
      <c r="F3146" s="4" t="str">
        <f>IF(D3146="","", IFNA(VLOOKUP(D3146, SATCAT_DECAY!A:B, 2, FALSE), ""))
</f>
        <v/>
      </c>
      <c r="G3146" s="3" t="str">
        <f t="shared" si="1"/>
        <v>ACTIVE</v>
      </c>
    </row>
    <row r="3147" ht="22.5" customHeight="1">
      <c r="A3147" s="11" t="str">
        <f t="array" ref="A3147">IFERROR(
  INDEX('Starlink Launches'!$A:$A, MATCH($E3147, 'Starlink Launches'!$B:$B, 0)),
  ""
)
</f>
        <v>9-10</v>
      </c>
      <c r="B3147" s="3" t="s">
        <v>25</v>
      </c>
      <c r="C3147" s="12" t="s">
        <v>3162</v>
      </c>
      <c r="D3147" s="13">
        <v>61878.0</v>
      </c>
      <c r="E3147" s="4">
        <v>45605.0</v>
      </c>
      <c r="F3147" s="4" t="str">
        <f>IF(D3147="","", IFNA(VLOOKUP(D3147, SATCAT_DECAY!A:B, 2, FALSE), ""))
</f>
        <v/>
      </c>
      <c r="G3147" s="3" t="str">
        <f t="shared" si="1"/>
        <v>ACTIVE</v>
      </c>
    </row>
    <row r="3148" ht="22.5" customHeight="1">
      <c r="A3148" s="11" t="str">
        <f t="array" ref="A3148">IFERROR(
  INDEX('Starlink Launches'!$A:$A, MATCH($E3148, 'Starlink Launches'!$B:$B, 0)),
  ""
)
</f>
        <v>9-10</v>
      </c>
      <c r="B3148" s="3" t="s">
        <v>25</v>
      </c>
      <c r="C3148" s="12" t="s">
        <v>3163</v>
      </c>
      <c r="D3148" s="13">
        <v>61879.0</v>
      </c>
      <c r="E3148" s="4">
        <v>45605.0</v>
      </c>
      <c r="F3148" s="4" t="str">
        <f>IF(D3148="","", IFNA(VLOOKUP(D3148, SATCAT_DECAY!A:B, 2, FALSE), ""))
</f>
        <v/>
      </c>
      <c r="G3148" s="3" t="str">
        <f t="shared" si="1"/>
        <v>ACTIVE</v>
      </c>
    </row>
    <row r="3149" ht="22.5" customHeight="1">
      <c r="A3149" s="11" t="str">
        <f t="array" ref="A3149">IFERROR(
  INDEX('Starlink Launches'!$A:$A, MATCH($E3149, 'Starlink Launches'!$B:$B, 0)),
  ""
)
</f>
        <v>9-10</v>
      </c>
      <c r="B3149" s="3" t="s">
        <v>25</v>
      </c>
      <c r="C3149" s="12" t="s">
        <v>3164</v>
      </c>
      <c r="D3149" s="13">
        <v>61880.0</v>
      </c>
      <c r="E3149" s="4">
        <v>45605.0</v>
      </c>
      <c r="F3149" s="4" t="str">
        <f>IF(D3149="","", IFNA(VLOOKUP(D3149, SATCAT_DECAY!A:B, 2, FALSE), ""))
</f>
        <v/>
      </c>
      <c r="G3149" s="3" t="str">
        <f t="shared" si="1"/>
        <v>ACTIVE</v>
      </c>
    </row>
    <row r="3150" ht="22.5" customHeight="1">
      <c r="A3150" s="11" t="str">
        <f t="array" ref="A3150">IFERROR(
  INDEX('Starlink Launches'!$A:$A, MATCH($E3150, 'Starlink Launches'!$B:$B, 0)),
  ""
)
</f>
        <v>9-10</v>
      </c>
      <c r="B3150" s="3" t="s">
        <v>25</v>
      </c>
      <c r="C3150" s="12" t="s">
        <v>3165</v>
      </c>
      <c r="D3150" s="13">
        <v>61881.0</v>
      </c>
      <c r="E3150" s="4">
        <v>45605.0</v>
      </c>
      <c r="F3150" s="4" t="str">
        <f>IF(D3150="","", IFNA(VLOOKUP(D3150, SATCAT_DECAY!A:B, 2, FALSE), ""))
</f>
        <v/>
      </c>
      <c r="G3150" s="3" t="str">
        <f t="shared" si="1"/>
        <v>ACTIVE</v>
      </c>
    </row>
    <row r="3151" ht="22.5" customHeight="1">
      <c r="A3151" s="11" t="str">
        <f t="array" ref="A3151">IFERROR(
  INDEX('Starlink Launches'!$A:$A, MATCH($E3151, 'Starlink Launches'!$B:$B, 0)),
  ""
)
</f>
        <v>9-10</v>
      </c>
      <c r="B3151" s="3" t="s">
        <v>25</v>
      </c>
      <c r="C3151" s="12" t="s">
        <v>3166</v>
      </c>
      <c r="D3151" s="13">
        <v>61882.0</v>
      </c>
      <c r="E3151" s="4">
        <v>45605.0</v>
      </c>
      <c r="F3151" s="4" t="str">
        <f>IF(D3151="","", IFNA(VLOOKUP(D3151, SATCAT_DECAY!A:B, 2, FALSE), ""))
</f>
        <v/>
      </c>
      <c r="G3151" s="3" t="str">
        <f t="shared" si="1"/>
        <v>ACTIVE</v>
      </c>
    </row>
    <row r="3152" ht="22.5" customHeight="1">
      <c r="A3152" s="11" t="str">
        <f t="array" ref="A3152">IFERROR(
  INDEX('Starlink Launches'!$A:$A, MATCH($E3152, 'Starlink Launches'!$B:$B, 0)),
  ""
)
</f>
        <v>9-10</v>
      </c>
      <c r="B3152" s="3" t="s">
        <v>25</v>
      </c>
      <c r="C3152" s="12" t="s">
        <v>3167</v>
      </c>
      <c r="D3152" s="13">
        <v>61883.0</v>
      </c>
      <c r="E3152" s="4">
        <v>45605.0</v>
      </c>
      <c r="F3152" s="4" t="str">
        <f>IF(D3152="","", IFNA(VLOOKUP(D3152, SATCAT_DECAY!A:B, 2, FALSE), ""))
</f>
        <v/>
      </c>
      <c r="G3152" s="3" t="str">
        <f t="shared" si="1"/>
        <v>ACTIVE</v>
      </c>
    </row>
    <row r="3153" ht="22.5" customHeight="1">
      <c r="A3153" s="11" t="str">
        <f t="array" ref="A3153">IFERROR(
  INDEX('Starlink Launches'!$A:$A, MATCH($E3153, 'Starlink Launches'!$B:$B, 0)),
  ""
)
</f>
        <v>9-10</v>
      </c>
      <c r="B3153" s="3" t="s">
        <v>25</v>
      </c>
      <c r="C3153" s="12" t="s">
        <v>3168</v>
      </c>
      <c r="D3153" s="13">
        <v>61884.0</v>
      </c>
      <c r="E3153" s="4">
        <v>45605.0</v>
      </c>
      <c r="F3153" s="4" t="str">
        <f>IF(D3153="","", IFNA(VLOOKUP(D3153, SATCAT_DECAY!A:B, 2, FALSE), ""))
</f>
        <v/>
      </c>
      <c r="G3153" s="3" t="str">
        <f t="shared" si="1"/>
        <v>ACTIVE</v>
      </c>
    </row>
    <row r="3154" ht="22.5" customHeight="1">
      <c r="A3154" s="11" t="str">
        <f t="array" ref="A3154">IFERROR(
  INDEX('Starlink Launches'!$A:$A, MATCH($E3154, 'Starlink Launches'!$B:$B, 0)),
  ""
)
</f>
        <v>9-10</v>
      </c>
      <c r="B3154" s="3" t="s">
        <v>25</v>
      </c>
      <c r="C3154" s="12" t="s">
        <v>3169</v>
      </c>
      <c r="D3154" s="13">
        <v>61885.0</v>
      </c>
      <c r="E3154" s="4">
        <v>45605.0</v>
      </c>
      <c r="F3154" s="4" t="str">
        <f>IF(D3154="","", IFNA(VLOOKUP(D3154, SATCAT_DECAY!A:B, 2, FALSE), ""))
</f>
        <v/>
      </c>
      <c r="G3154" s="3" t="str">
        <f t="shared" si="1"/>
        <v>ACTIVE</v>
      </c>
    </row>
    <row r="3155" ht="22.5" customHeight="1">
      <c r="A3155" s="11" t="str">
        <f t="array" ref="A3155">IFERROR(
  INDEX('Starlink Launches'!$A:$A, MATCH($E3155, 'Starlink Launches'!$B:$B, 0)),
  ""
)
</f>
        <v>9-10</v>
      </c>
      <c r="B3155" s="3" t="s">
        <v>25</v>
      </c>
      <c r="C3155" s="12" t="s">
        <v>3170</v>
      </c>
      <c r="D3155" s="13">
        <v>61886.0</v>
      </c>
      <c r="E3155" s="4">
        <v>45605.0</v>
      </c>
      <c r="F3155" s="4" t="str">
        <f>IF(D3155="","", IFNA(VLOOKUP(D3155, SATCAT_DECAY!A:B, 2, FALSE), ""))
</f>
        <v/>
      </c>
      <c r="G3155" s="3" t="str">
        <f t="shared" si="1"/>
        <v>ACTIVE</v>
      </c>
    </row>
    <row r="3156" ht="22.5" customHeight="1">
      <c r="A3156" s="11" t="str">
        <f t="array" ref="A3156">IFERROR(
  INDEX('Starlink Launches'!$A:$A, MATCH($E3156, 'Starlink Launches'!$B:$B, 0)),
  ""
)
</f>
        <v>9-10</v>
      </c>
      <c r="B3156" s="3" t="s">
        <v>25</v>
      </c>
      <c r="C3156" s="12" t="s">
        <v>3171</v>
      </c>
      <c r="D3156" s="13">
        <v>61887.0</v>
      </c>
      <c r="E3156" s="4">
        <v>45605.0</v>
      </c>
      <c r="F3156" s="4" t="str">
        <f>IF(D3156="","", IFNA(VLOOKUP(D3156, SATCAT_DECAY!A:B, 2, FALSE), ""))
</f>
        <v/>
      </c>
      <c r="G3156" s="3" t="str">
        <f t="shared" si="1"/>
        <v>ACTIVE</v>
      </c>
    </row>
    <row r="3157" ht="22.5" customHeight="1">
      <c r="A3157" s="11" t="str">
        <f t="array" ref="A3157">IFERROR(
  INDEX('Starlink Launches'!$A:$A, MATCH($E3157, 'Starlink Launches'!$B:$B, 0)),
  ""
)
</f>
        <v>9-10</v>
      </c>
      <c r="B3157" s="3" t="s">
        <v>25</v>
      </c>
      <c r="C3157" s="12" t="s">
        <v>3172</v>
      </c>
      <c r="D3157" s="13">
        <v>61888.0</v>
      </c>
      <c r="E3157" s="4">
        <v>45605.0</v>
      </c>
      <c r="F3157" s="4" t="str">
        <f>IF(D3157="","", IFNA(VLOOKUP(D3157, SATCAT_DECAY!A:B, 2, FALSE), ""))
</f>
        <v/>
      </c>
      <c r="G3157" s="3" t="str">
        <f t="shared" si="1"/>
        <v>ACTIVE</v>
      </c>
    </row>
    <row r="3158" ht="22.5" customHeight="1">
      <c r="A3158" s="11" t="str">
        <f t="array" ref="A3158">IFERROR(
  INDEX('Starlink Launches'!$A:$A, MATCH($E3158, 'Starlink Launches'!$B:$B, 0)),
  ""
)
</f>
        <v>9-10</v>
      </c>
      <c r="B3158" s="3" t="s">
        <v>25</v>
      </c>
      <c r="C3158" s="12" t="s">
        <v>3173</v>
      </c>
      <c r="D3158" s="13">
        <v>61889.0</v>
      </c>
      <c r="E3158" s="4">
        <v>45605.0</v>
      </c>
      <c r="F3158" s="4" t="str">
        <f>IF(D3158="","", IFNA(VLOOKUP(D3158, SATCAT_DECAY!A:B, 2, FALSE), ""))
</f>
        <v/>
      </c>
      <c r="G3158" s="3" t="str">
        <f t="shared" si="1"/>
        <v>ACTIVE</v>
      </c>
    </row>
    <row r="3159" ht="22.5" customHeight="1">
      <c r="A3159" s="11" t="str">
        <f t="array" ref="A3159">IFERROR(
  INDEX('Starlink Launches'!$A:$A, MATCH($E3159, 'Starlink Launches'!$B:$B, 0)),
  ""
)
</f>
        <v>9-10</v>
      </c>
      <c r="B3159" s="3" t="s">
        <v>25</v>
      </c>
      <c r="C3159" s="12" t="s">
        <v>3174</v>
      </c>
      <c r="D3159" s="13">
        <v>61890.0</v>
      </c>
      <c r="E3159" s="4">
        <v>45605.0</v>
      </c>
      <c r="F3159" s="4" t="str">
        <f>IF(D3159="","", IFNA(VLOOKUP(D3159, SATCAT_DECAY!A:B, 2, FALSE), ""))
</f>
        <v/>
      </c>
      <c r="G3159" s="3" t="str">
        <f t="shared" si="1"/>
        <v>ACTIVE</v>
      </c>
    </row>
    <row r="3160" ht="22.5" customHeight="1">
      <c r="A3160" s="11" t="str">
        <f t="array" ref="A3160">IFERROR(
  INDEX('Starlink Launches'!$A:$A, MATCH($E3160, 'Starlink Launches'!$B:$B, 0)),
  ""
)
</f>
        <v>9-10</v>
      </c>
      <c r="B3160" s="3" t="s">
        <v>25</v>
      </c>
      <c r="C3160" s="12" t="s">
        <v>3175</v>
      </c>
      <c r="D3160" s="13">
        <v>61891.0</v>
      </c>
      <c r="E3160" s="4">
        <v>45605.0</v>
      </c>
      <c r="F3160" s="4" t="str">
        <f>IF(D3160="","", IFNA(VLOOKUP(D3160, SATCAT_DECAY!A:B, 2, FALSE), ""))
</f>
        <v/>
      </c>
      <c r="G3160" s="3" t="str">
        <f t="shared" si="1"/>
        <v>ACTIVE</v>
      </c>
    </row>
    <row r="3161" ht="22.5" customHeight="1">
      <c r="A3161" s="11" t="str">
        <f t="array" ref="A3161">IFERROR(
  INDEX('Starlink Launches'!$A:$A, MATCH($E3161, 'Starlink Launches'!$B:$B, 0)),
  ""
)
</f>
        <v>9-10</v>
      </c>
      <c r="B3161" s="3" t="s">
        <v>25</v>
      </c>
      <c r="C3161" s="12" t="s">
        <v>3176</v>
      </c>
      <c r="D3161" s="13">
        <v>61892.0</v>
      </c>
      <c r="E3161" s="4">
        <v>45605.0</v>
      </c>
      <c r="F3161" s="4" t="str">
        <f>IF(D3161="","", IFNA(VLOOKUP(D3161, SATCAT_DECAY!A:B, 2, FALSE), ""))
</f>
        <v/>
      </c>
      <c r="G3161" s="3" t="str">
        <f t="shared" si="1"/>
        <v>ACTIVE</v>
      </c>
    </row>
    <row r="3162" ht="22.5" customHeight="1">
      <c r="A3162" s="11" t="str">
        <f t="array" ref="A3162">IFERROR(
  INDEX('Starlink Launches'!$A:$A, MATCH($E3162, 'Starlink Launches'!$B:$B, 0)),
  ""
)
</f>
        <v>9-10</v>
      </c>
      <c r="B3162" s="3" t="s">
        <v>25</v>
      </c>
      <c r="C3162" s="12" t="s">
        <v>3177</v>
      </c>
      <c r="D3162" s="13">
        <v>61893.0</v>
      </c>
      <c r="E3162" s="4">
        <v>45605.0</v>
      </c>
      <c r="F3162" s="4" t="str">
        <f>IF(D3162="","", IFNA(VLOOKUP(D3162, SATCAT_DECAY!A:B, 2, FALSE), ""))
</f>
        <v/>
      </c>
      <c r="G3162" s="3" t="str">
        <f t="shared" si="1"/>
        <v>ACTIVE</v>
      </c>
    </row>
    <row r="3163" ht="22.5" customHeight="1">
      <c r="A3163" s="20" t="s">
        <v>3178</v>
      </c>
      <c r="B3163" s="3" t="s">
        <v>25</v>
      </c>
      <c r="C3163" s="12" t="s">
        <v>3179</v>
      </c>
      <c r="D3163" s="13">
        <v>61939.0</v>
      </c>
      <c r="E3163" s="4">
        <v>45610.0</v>
      </c>
      <c r="F3163" s="4" t="str">
        <f>IF(D3163="","", IFNA(VLOOKUP(D3163, SATCAT_DECAY!A:B, 2, FALSE), ""))
</f>
        <v/>
      </c>
      <c r="G3163" s="3" t="str">
        <f t="shared" si="1"/>
        <v>ACTIVE</v>
      </c>
    </row>
    <row r="3164" ht="22.5" customHeight="1">
      <c r="A3164" s="20" t="s">
        <v>3178</v>
      </c>
      <c r="B3164" s="3" t="s">
        <v>25</v>
      </c>
      <c r="C3164" s="12" t="s">
        <v>3180</v>
      </c>
      <c r="D3164" s="13">
        <v>61940.0</v>
      </c>
      <c r="E3164" s="4">
        <v>45610.0</v>
      </c>
      <c r="F3164" s="4" t="str">
        <f>IF(D3164="","", IFNA(VLOOKUP(D3164, SATCAT_DECAY!A:B, 2, FALSE), ""))
</f>
        <v/>
      </c>
      <c r="G3164" s="3" t="str">
        <f t="shared" si="1"/>
        <v>ACTIVE</v>
      </c>
    </row>
    <row r="3165" ht="22.5" customHeight="1">
      <c r="A3165" s="20" t="s">
        <v>3178</v>
      </c>
      <c r="B3165" s="3" t="s">
        <v>25</v>
      </c>
      <c r="C3165" s="12" t="s">
        <v>3181</v>
      </c>
      <c r="D3165" s="13">
        <v>61941.0</v>
      </c>
      <c r="E3165" s="4">
        <v>45610.0</v>
      </c>
      <c r="F3165" s="4" t="str">
        <f>IF(D3165="","", IFNA(VLOOKUP(D3165, SATCAT_DECAY!A:B, 2, FALSE), ""))
</f>
        <v/>
      </c>
      <c r="G3165" s="3" t="str">
        <f t="shared" si="1"/>
        <v>ACTIVE</v>
      </c>
    </row>
    <row r="3166" ht="22.5" customHeight="1">
      <c r="A3166" s="20" t="s">
        <v>3178</v>
      </c>
      <c r="B3166" s="3" t="s">
        <v>25</v>
      </c>
      <c r="C3166" s="12" t="s">
        <v>3182</v>
      </c>
      <c r="D3166" s="13">
        <v>61942.0</v>
      </c>
      <c r="E3166" s="4">
        <v>45610.0</v>
      </c>
      <c r="F3166" s="4" t="str">
        <f>IF(D3166="","", IFNA(VLOOKUP(D3166, SATCAT_DECAY!A:B, 2, FALSE), ""))
</f>
        <v/>
      </c>
      <c r="G3166" s="3" t="str">
        <f t="shared" si="1"/>
        <v>ACTIVE</v>
      </c>
    </row>
    <row r="3167" ht="22.5" customHeight="1">
      <c r="A3167" s="20" t="s">
        <v>3178</v>
      </c>
      <c r="B3167" s="3" t="s">
        <v>25</v>
      </c>
      <c r="C3167" s="12" t="s">
        <v>3183</v>
      </c>
      <c r="D3167" s="13">
        <v>61943.0</v>
      </c>
      <c r="E3167" s="4">
        <v>45610.0</v>
      </c>
      <c r="F3167" s="4" t="str">
        <f>IF(D3167="","", IFNA(VLOOKUP(D3167, SATCAT_DECAY!A:B, 2, FALSE), ""))
</f>
        <v/>
      </c>
      <c r="G3167" s="3" t="str">
        <f t="shared" si="1"/>
        <v>ACTIVE</v>
      </c>
    </row>
    <row r="3168" ht="22.5" customHeight="1">
      <c r="A3168" s="20" t="s">
        <v>3178</v>
      </c>
      <c r="B3168" s="3" t="s">
        <v>25</v>
      </c>
      <c r="C3168" s="12" t="s">
        <v>3184</v>
      </c>
      <c r="D3168" s="13">
        <v>61944.0</v>
      </c>
      <c r="E3168" s="4">
        <v>45610.0</v>
      </c>
      <c r="F3168" s="4" t="str">
        <f>IF(D3168="","", IFNA(VLOOKUP(D3168, SATCAT_DECAY!A:B, 2, FALSE), ""))
</f>
        <v/>
      </c>
      <c r="G3168" s="3" t="str">
        <f t="shared" si="1"/>
        <v>ACTIVE</v>
      </c>
    </row>
    <row r="3169" ht="22.5" customHeight="1">
      <c r="A3169" s="20" t="s">
        <v>3178</v>
      </c>
      <c r="B3169" s="3" t="s">
        <v>25</v>
      </c>
      <c r="C3169" s="12" t="s">
        <v>3185</v>
      </c>
      <c r="D3169" s="13">
        <v>61945.0</v>
      </c>
      <c r="E3169" s="4">
        <v>45610.0</v>
      </c>
      <c r="F3169" s="4" t="str">
        <f>IF(D3169="","", IFNA(VLOOKUP(D3169, SATCAT_DECAY!A:B, 2, FALSE), ""))
</f>
        <v/>
      </c>
      <c r="G3169" s="3" t="str">
        <f t="shared" si="1"/>
        <v>ACTIVE</v>
      </c>
    </row>
    <row r="3170" ht="22.5" customHeight="1">
      <c r="A3170" s="20" t="s">
        <v>3178</v>
      </c>
      <c r="B3170" s="3" t="s">
        <v>25</v>
      </c>
      <c r="C3170" s="12" t="s">
        <v>3186</v>
      </c>
      <c r="D3170" s="13">
        <v>61946.0</v>
      </c>
      <c r="E3170" s="4">
        <v>45610.0</v>
      </c>
      <c r="F3170" s="4" t="str">
        <f>IF(D3170="","", IFNA(VLOOKUP(D3170, SATCAT_DECAY!A:B, 2, FALSE), ""))
</f>
        <v/>
      </c>
      <c r="G3170" s="3" t="str">
        <f t="shared" si="1"/>
        <v>ACTIVE</v>
      </c>
    </row>
    <row r="3171" ht="22.5" customHeight="1">
      <c r="A3171" s="20" t="s">
        <v>3178</v>
      </c>
      <c r="B3171" s="3" t="s">
        <v>25</v>
      </c>
      <c r="C3171" s="12" t="s">
        <v>3187</v>
      </c>
      <c r="D3171" s="13">
        <v>61947.0</v>
      </c>
      <c r="E3171" s="4">
        <v>45610.0</v>
      </c>
      <c r="F3171" s="4" t="str">
        <f>IF(D3171="","", IFNA(VLOOKUP(D3171, SATCAT_DECAY!A:B, 2, FALSE), ""))
</f>
        <v/>
      </c>
      <c r="G3171" s="3" t="str">
        <f t="shared" si="1"/>
        <v>ACTIVE</v>
      </c>
    </row>
    <row r="3172" ht="22.5" customHeight="1">
      <c r="A3172" s="20" t="s">
        <v>3178</v>
      </c>
      <c r="B3172" s="3" t="s">
        <v>25</v>
      </c>
      <c r="C3172" s="12" t="s">
        <v>3188</v>
      </c>
      <c r="D3172" s="13">
        <v>61948.0</v>
      </c>
      <c r="E3172" s="4">
        <v>45610.0</v>
      </c>
      <c r="F3172" s="4" t="str">
        <f>IF(D3172="","", IFNA(VLOOKUP(D3172, SATCAT_DECAY!A:B, 2, FALSE), ""))
</f>
        <v/>
      </c>
      <c r="G3172" s="3" t="str">
        <f t="shared" si="1"/>
        <v>ACTIVE</v>
      </c>
    </row>
    <row r="3173" ht="22.5" customHeight="1">
      <c r="A3173" s="20" t="s">
        <v>3178</v>
      </c>
      <c r="B3173" s="3" t="s">
        <v>25</v>
      </c>
      <c r="C3173" s="12" t="s">
        <v>3189</v>
      </c>
      <c r="D3173" s="13">
        <v>61949.0</v>
      </c>
      <c r="E3173" s="4">
        <v>45610.0</v>
      </c>
      <c r="F3173" s="4" t="str">
        <f>IF(D3173="","", IFNA(VLOOKUP(D3173, SATCAT_DECAY!A:B, 2, FALSE), ""))
</f>
        <v/>
      </c>
      <c r="G3173" s="3" t="str">
        <f t="shared" si="1"/>
        <v>ACTIVE</v>
      </c>
    </row>
    <row r="3174" ht="22.5" customHeight="1">
      <c r="A3174" s="20" t="s">
        <v>3178</v>
      </c>
      <c r="B3174" s="3" t="s">
        <v>25</v>
      </c>
      <c r="C3174" s="12" t="s">
        <v>3190</v>
      </c>
      <c r="D3174" s="13">
        <v>61950.0</v>
      </c>
      <c r="E3174" s="4">
        <v>45610.0</v>
      </c>
      <c r="F3174" s="4" t="str">
        <f>IF(D3174="","", IFNA(VLOOKUP(D3174, SATCAT_DECAY!A:B, 2, FALSE), ""))
</f>
        <v/>
      </c>
      <c r="G3174" s="3" t="str">
        <f t="shared" si="1"/>
        <v>ACTIVE</v>
      </c>
    </row>
    <row r="3175" ht="22.5" customHeight="1">
      <c r="A3175" s="20" t="s">
        <v>3178</v>
      </c>
      <c r="B3175" s="3" t="s">
        <v>25</v>
      </c>
      <c r="C3175" s="12" t="s">
        <v>3191</v>
      </c>
      <c r="D3175" s="13">
        <v>61951.0</v>
      </c>
      <c r="E3175" s="4">
        <v>45610.0</v>
      </c>
      <c r="F3175" s="4" t="str">
        <f>IF(D3175="","", IFNA(VLOOKUP(D3175, SATCAT_DECAY!A:B, 2, FALSE), ""))
</f>
        <v/>
      </c>
      <c r="G3175" s="3" t="str">
        <f t="shared" si="1"/>
        <v>ACTIVE</v>
      </c>
    </row>
    <row r="3176" ht="22.5" customHeight="1">
      <c r="A3176" s="20" t="s">
        <v>3178</v>
      </c>
      <c r="B3176" s="3" t="s">
        <v>25</v>
      </c>
      <c r="C3176" s="12" t="s">
        <v>3192</v>
      </c>
      <c r="D3176" s="13">
        <v>61952.0</v>
      </c>
      <c r="E3176" s="4">
        <v>45610.0</v>
      </c>
      <c r="F3176" s="4" t="str">
        <f>IF(D3176="","", IFNA(VLOOKUP(D3176, SATCAT_DECAY!A:B, 2, FALSE), ""))
</f>
        <v/>
      </c>
      <c r="G3176" s="3" t="str">
        <f t="shared" si="1"/>
        <v>ACTIVE</v>
      </c>
    </row>
    <row r="3177" ht="22.5" customHeight="1">
      <c r="A3177" s="20" t="s">
        <v>3178</v>
      </c>
      <c r="B3177" s="3" t="s">
        <v>25</v>
      </c>
      <c r="C3177" s="12" t="s">
        <v>3193</v>
      </c>
      <c r="D3177" s="13">
        <v>61953.0</v>
      </c>
      <c r="E3177" s="4">
        <v>45610.0</v>
      </c>
      <c r="F3177" s="4" t="str">
        <f>IF(D3177="","", IFNA(VLOOKUP(D3177, SATCAT_DECAY!A:B, 2, FALSE), ""))
</f>
        <v/>
      </c>
      <c r="G3177" s="3" t="str">
        <f t="shared" si="1"/>
        <v>ACTIVE</v>
      </c>
    </row>
    <row r="3178" ht="22.5" customHeight="1">
      <c r="A3178" s="20" t="s">
        <v>3178</v>
      </c>
      <c r="B3178" s="3" t="s">
        <v>25</v>
      </c>
      <c r="C3178" s="12" t="s">
        <v>3194</v>
      </c>
      <c r="D3178" s="13">
        <v>61954.0</v>
      </c>
      <c r="E3178" s="4">
        <v>45610.0</v>
      </c>
      <c r="F3178" s="4" t="str">
        <f>IF(D3178="","", IFNA(VLOOKUP(D3178, SATCAT_DECAY!A:B, 2, FALSE), ""))
</f>
        <v/>
      </c>
      <c r="G3178" s="3" t="str">
        <f t="shared" si="1"/>
        <v>ACTIVE</v>
      </c>
    </row>
    <row r="3179" ht="22.5" customHeight="1">
      <c r="A3179" s="20" t="s">
        <v>3178</v>
      </c>
      <c r="B3179" s="3" t="s">
        <v>25</v>
      </c>
      <c r="C3179" s="12" t="s">
        <v>3195</v>
      </c>
      <c r="D3179" s="13">
        <v>61955.0</v>
      </c>
      <c r="E3179" s="4">
        <v>45610.0</v>
      </c>
      <c r="F3179" s="4" t="str">
        <f>IF(D3179="","", IFNA(VLOOKUP(D3179, SATCAT_DECAY!A:B, 2, FALSE), ""))
</f>
        <v/>
      </c>
      <c r="G3179" s="3" t="str">
        <f t="shared" si="1"/>
        <v>ACTIVE</v>
      </c>
    </row>
    <row r="3180" ht="22.5" customHeight="1">
      <c r="A3180" s="20" t="s">
        <v>3178</v>
      </c>
      <c r="B3180" s="3" t="s">
        <v>25</v>
      </c>
      <c r="C3180" s="12" t="s">
        <v>3196</v>
      </c>
      <c r="D3180" s="13">
        <v>61956.0</v>
      </c>
      <c r="E3180" s="4">
        <v>45610.0</v>
      </c>
      <c r="F3180" s="4" t="str">
        <f>IF(D3180="","", IFNA(VLOOKUP(D3180, SATCAT_DECAY!A:B, 2, FALSE), ""))
</f>
        <v/>
      </c>
      <c r="G3180" s="3" t="str">
        <f t="shared" si="1"/>
        <v>ACTIVE</v>
      </c>
    </row>
    <row r="3181" ht="22.5" customHeight="1">
      <c r="A3181" s="20" t="s">
        <v>3178</v>
      </c>
      <c r="B3181" s="3" t="s">
        <v>25</v>
      </c>
      <c r="C3181" s="12" t="s">
        <v>3197</v>
      </c>
      <c r="D3181" s="13">
        <v>61957.0</v>
      </c>
      <c r="E3181" s="4">
        <v>45610.0</v>
      </c>
      <c r="F3181" s="4" t="str">
        <f>IF(D3181="","", IFNA(VLOOKUP(D3181, SATCAT_DECAY!A:B, 2, FALSE), ""))
</f>
        <v/>
      </c>
      <c r="G3181" s="3" t="str">
        <f t="shared" si="1"/>
        <v>ACTIVE</v>
      </c>
    </row>
    <row r="3182" ht="22.5" customHeight="1">
      <c r="A3182" s="20" t="s">
        <v>3178</v>
      </c>
      <c r="B3182" s="3" t="s">
        <v>25</v>
      </c>
      <c r="C3182" s="12" t="s">
        <v>3198</v>
      </c>
      <c r="D3182" s="13">
        <v>61958.0</v>
      </c>
      <c r="E3182" s="4">
        <v>45610.0</v>
      </c>
      <c r="F3182" s="4" t="str">
        <f>IF(D3182="","", IFNA(VLOOKUP(D3182, SATCAT_DECAY!A:B, 2, FALSE), ""))
</f>
        <v/>
      </c>
      <c r="G3182" s="3" t="str">
        <f t="shared" si="1"/>
        <v>ACTIVE</v>
      </c>
    </row>
    <row r="3183" ht="22.5" customHeight="1">
      <c r="A3183" s="11" t="str">
        <f t="array" ref="A3183">IFERROR(
  INDEX('Starlink Launches'!$A:$A, MATCH($E3183, 'Starlink Launches'!$B:$B, 0)),
  ""
)
</f>
        <v>9-12</v>
      </c>
      <c r="B3183" s="3" t="s">
        <v>25</v>
      </c>
      <c r="C3183" s="12" t="s">
        <v>3199</v>
      </c>
      <c r="D3183" s="13">
        <v>62008.0</v>
      </c>
      <c r="E3183" s="4">
        <v>45614.0</v>
      </c>
      <c r="F3183" s="4" t="str">
        <f>IF(D3183="","", IFNA(VLOOKUP(D3183, SATCAT_DECAY!A:B, 2, FALSE), ""))
</f>
        <v/>
      </c>
      <c r="G3183" s="3" t="str">
        <f t="shared" si="1"/>
        <v>ACTIVE</v>
      </c>
    </row>
    <row r="3184" ht="22.5" customHeight="1">
      <c r="A3184" s="11" t="str">
        <f t="array" ref="A3184">IFERROR(
  INDEX('Starlink Launches'!$A:$A, MATCH($E3184, 'Starlink Launches'!$B:$B, 0)),
  ""
)
</f>
        <v>9-12</v>
      </c>
      <c r="B3184" s="3" t="s">
        <v>25</v>
      </c>
      <c r="C3184" s="12" t="s">
        <v>3200</v>
      </c>
      <c r="D3184" s="13">
        <v>62009.0</v>
      </c>
      <c r="E3184" s="4">
        <v>45614.0</v>
      </c>
      <c r="F3184" s="4" t="str">
        <f>IF(D3184="","", IFNA(VLOOKUP(D3184, SATCAT_DECAY!A:B, 2, FALSE), ""))
</f>
        <v/>
      </c>
      <c r="G3184" s="3" t="str">
        <f t="shared" si="1"/>
        <v>ACTIVE</v>
      </c>
    </row>
    <row r="3185" ht="22.5" customHeight="1">
      <c r="A3185" s="11" t="str">
        <f t="array" ref="A3185">IFERROR(
  INDEX('Starlink Launches'!$A:$A, MATCH($E3185, 'Starlink Launches'!$B:$B, 0)),
  ""
)
</f>
        <v>9-12</v>
      </c>
      <c r="B3185" s="3" t="s">
        <v>25</v>
      </c>
      <c r="C3185" s="12" t="s">
        <v>3201</v>
      </c>
      <c r="D3185" s="13">
        <v>62010.0</v>
      </c>
      <c r="E3185" s="4">
        <v>45614.0</v>
      </c>
      <c r="F3185" s="4" t="str">
        <f>IF(D3185="","", IFNA(VLOOKUP(D3185, SATCAT_DECAY!A:B, 2, FALSE), ""))
</f>
        <v/>
      </c>
      <c r="G3185" s="3" t="str">
        <f t="shared" si="1"/>
        <v>ACTIVE</v>
      </c>
    </row>
    <row r="3186" ht="22.5" customHeight="1">
      <c r="A3186" s="11" t="str">
        <f t="array" ref="A3186">IFERROR(
  INDEX('Starlink Launches'!$A:$A, MATCH($E3186, 'Starlink Launches'!$B:$B, 0)),
  ""
)
</f>
        <v>9-12</v>
      </c>
      <c r="B3186" s="3" t="s">
        <v>25</v>
      </c>
      <c r="C3186" s="12" t="s">
        <v>3202</v>
      </c>
      <c r="D3186" s="13">
        <v>62011.0</v>
      </c>
      <c r="E3186" s="4">
        <v>45614.0</v>
      </c>
      <c r="F3186" s="4" t="str">
        <f>IF(D3186="","", IFNA(VLOOKUP(D3186, SATCAT_DECAY!A:B, 2, FALSE), ""))
</f>
        <v/>
      </c>
      <c r="G3186" s="3" t="str">
        <f t="shared" si="1"/>
        <v>ACTIVE</v>
      </c>
    </row>
    <row r="3187" ht="22.5" customHeight="1">
      <c r="A3187" s="11" t="str">
        <f t="array" ref="A3187">IFERROR(
  INDEX('Starlink Launches'!$A:$A, MATCH($E3187, 'Starlink Launches'!$B:$B, 0)),
  ""
)
</f>
        <v>9-12</v>
      </c>
      <c r="B3187" s="3" t="s">
        <v>25</v>
      </c>
      <c r="C3187" s="12" t="s">
        <v>3203</v>
      </c>
      <c r="D3187" s="13">
        <v>62012.0</v>
      </c>
      <c r="E3187" s="4">
        <v>45614.0</v>
      </c>
      <c r="F3187" s="4" t="str">
        <f>IF(D3187="","", IFNA(VLOOKUP(D3187, SATCAT_DECAY!A:B, 2, FALSE), ""))
</f>
        <v/>
      </c>
      <c r="G3187" s="3" t="str">
        <f t="shared" si="1"/>
        <v>ACTIVE</v>
      </c>
    </row>
    <row r="3188" ht="22.5" customHeight="1">
      <c r="A3188" s="11" t="str">
        <f t="array" ref="A3188">IFERROR(
  INDEX('Starlink Launches'!$A:$A, MATCH($E3188, 'Starlink Launches'!$B:$B, 0)),
  ""
)
</f>
        <v>9-12</v>
      </c>
      <c r="B3188" s="3" t="s">
        <v>25</v>
      </c>
      <c r="C3188" s="12" t="s">
        <v>3204</v>
      </c>
      <c r="D3188" s="13">
        <v>62013.0</v>
      </c>
      <c r="E3188" s="4">
        <v>45614.0</v>
      </c>
      <c r="F3188" s="4" t="str">
        <f>IF(D3188="","", IFNA(VLOOKUP(D3188, SATCAT_DECAY!A:B, 2, FALSE), ""))
</f>
        <v/>
      </c>
      <c r="G3188" s="3" t="str">
        <f t="shared" si="1"/>
        <v>ACTIVE</v>
      </c>
    </row>
    <row r="3189" ht="22.5" customHeight="1">
      <c r="A3189" s="11" t="str">
        <f t="array" ref="A3189">IFERROR(
  INDEX('Starlink Launches'!$A:$A, MATCH($E3189, 'Starlink Launches'!$B:$B, 0)),
  ""
)
</f>
        <v>9-12</v>
      </c>
      <c r="B3189" s="3" t="s">
        <v>25</v>
      </c>
      <c r="C3189" s="12" t="s">
        <v>3205</v>
      </c>
      <c r="D3189" s="13">
        <v>62014.0</v>
      </c>
      <c r="E3189" s="4">
        <v>45614.0</v>
      </c>
      <c r="F3189" s="4" t="str">
        <f>IF(D3189="","", IFNA(VLOOKUP(D3189, SATCAT_DECAY!A:B, 2, FALSE), ""))
</f>
        <v/>
      </c>
      <c r="G3189" s="3" t="str">
        <f t="shared" si="1"/>
        <v>ACTIVE</v>
      </c>
    </row>
    <row r="3190" ht="22.5" customHeight="1">
      <c r="A3190" s="11" t="str">
        <f t="array" ref="A3190">IFERROR(
  INDEX('Starlink Launches'!$A:$A, MATCH($E3190, 'Starlink Launches'!$B:$B, 0)),
  ""
)
</f>
        <v>9-12</v>
      </c>
      <c r="B3190" s="3" t="s">
        <v>25</v>
      </c>
      <c r="C3190" s="12" t="s">
        <v>3206</v>
      </c>
      <c r="D3190" s="13">
        <v>62015.0</v>
      </c>
      <c r="E3190" s="4">
        <v>45614.0</v>
      </c>
      <c r="F3190" s="4" t="str">
        <f>IF(D3190="","", IFNA(VLOOKUP(D3190, SATCAT_DECAY!A:B, 2, FALSE), ""))
</f>
        <v/>
      </c>
      <c r="G3190" s="3" t="str">
        <f t="shared" si="1"/>
        <v>ACTIVE</v>
      </c>
    </row>
    <row r="3191" ht="22.5" customHeight="1">
      <c r="A3191" s="11" t="str">
        <f t="array" ref="A3191">IFERROR(
  INDEX('Starlink Launches'!$A:$A, MATCH($E3191, 'Starlink Launches'!$B:$B, 0)),
  ""
)
</f>
        <v>9-12</v>
      </c>
      <c r="B3191" s="3" t="s">
        <v>25</v>
      </c>
      <c r="C3191" s="12" t="s">
        <v>3207</v>
      </c>
      <c r="D3191" s="13">
        <v>62016.0</v>
      </c>
      <c r="E3191" s="4">
        <v>45614.0</v>
      </c>
      <c r="F3191" s="4" t="str">
        <f>IF(D3191="","", IFNA(VLOOKUP(D3191, SATCAT_DECAY!A:B, 2, FALSE), ""))
</f>
        <v/>
      </c>
      <c r="G3191" s="3" t="str">
        <f t="shared" si="1"/>
        <v>ACTIVE</v>
      </c>
    </row>
    <row r="3192" ht="22.5" customHeight="1">
      <c r="A3192" s="11" t="str">
        <f t="array" ref="A3192">IFERROR(
  INDEX('Starlink Launches'!$A:$A, MATCH($E3192, 'Starlink Launches'!$B:$B, 0)),
  ""
)
</f>
        <v>9-12</v>
      </c>
      <c r="B3192" s="3" t="s">
        <v>25</v>
      </c>
      <c r="C3192" s="12" t="s">
        <v>3208</v>
      </c>
      <c r="D3192" s="13">
        <v>62017.0</v>
      </c>
      <c r="E3192" s="4">
        <v>45614.0</v>
      </c>
      <c r="F3192" s="4" t="str">
        <f>IF(D3192="","", IFNA(VLOOKUP(D3192, SATCAT_DECAY!A:B, 2, FALSE), ""))
</f>
        <v/>
      </c>
      <c r="G3192" s="3" t="str">
        <f t="shared" si="1"/>
        <v>ACTIVE</v>
      </c>
    </row>
    <row r="3193" ht="22.5" customHeight="1">
      <c r="A3193" s="11" t="str">
        <f t="array" ref="A3193">IFERROR(
  INDEX('Starlink Launches'!$A:$A, MATCH($E3193, 'Starlink Launches'!$B:$B, 0)),
  ""
)
</f>
        <v>9-12</v>
      </c>
      <c r="B3193" s="3" t="s">
        <v>25</v>
      </c>
      <c r="C3193" s="12" t="s">
        <v>3209</v>
      </c>
      <c r="D3193" s="13">
        <v>62018.0</v>
      </c>
      <c r="E3193" s="4">
        <v>45614.0</v>
      </c>
      <c r="F3193" s="4" t="str">
        <f>IF(D3193="","", IFNA(VLOOKUP(D3193, SATCAT_DECAY!A:B, 2, FALSE), ""))
</f>
        <v/>
      </c>
      <c r="G3193" s="3" t="str">
        <f t="shared" si="1"/>
        <v>ACTIVE</v>
      </c>
    </row>
    <row r="3194" ht="22.5" customHeight="1">
      <c r="A3194" s="11" t="str">
        <f t="array" ref="A3194">IFERROR(
  INDEX('Starlink Launches'!$A:$A, MATCH($E3194, 'Starlink Launches'!$B:$B, 0)),
  ""
)
</f>
        <v>9-12</v>
      </c>
      <c r="B3194" s="3" t="s">
        <v>25</v>
      </c>
      <c r="C3194" s="12" t="s">
        <v>3210</v>
      </c>
      <c r="D3194" s="13">
        <v>62019.0</v>
      </c>
      <c r="E3194" s="4">
        <v>45614.0</v>
      </c>
      <c r="F3194" s="4" t="str">
        <f>IF(D3194="","", IFNA(VLOOKUP(D3194, SATCAT_DECAY!A:B, 2, FALSE), ""))
</f>
        <v/>
      </c>
      <c r="G3194" s="3" t="str">
        <f t="shared" si="1"/>
        <v>ACTIVE</v>
      </c>
    </row>
    <row r="3195" ht="22.5" customHeight="1">
      <c r="A3195" s="11" t="str">
        <f t="array" ref="A3195">IFERROR(
  INDEX('Starlink Launches'!$A:$A, MATCH($E3195, 'Starlink Launches'!$B:$B, 0)),
  ""
)
</f>
        <v>9-12</v>
      </c>
      <c r="B3195" s="3" t="s">
        <v>25</v>
      </c>
      <c r="C3195" s="12" t="s">
        <v>3211</v>
      </c>
      <c r="D3195" s="13">
        <v>62020.0</v>
      </c>
      <c r="E3195" s="4">
        <v>45614.0</v>
      </c>
      <c r="F3195" s="4" t="str">
        <f>IF(D3195="","", IFNA(VLOOKUP(D3195, SATCAT_DECAY!A:B, 2, FALSE), ""))
</f>
        <v/>
      </c>
      <c r="G3195" s="3" t="str">
        <f t="shared" si="1"/>
        <v>ACTIVE</v>
      </c>
    </row>
    <row r="3196" ht="22.5" customHeight="1">
      <c r="A3196" s="11" t="str">
        <f t="array" ref="A3196">IFERROR(
  INDEX('Starlink Launches'!$A:$A, MATCH($E3196, 'Starlink Launches'!$B:$B, 0)),
  ""
)
</f>
        <v>9-12</v>
      </c>
      <c r="B3196" s="3" t="s">
        <v>25</v>
      </c>
      <c r="C3196" s="12" t="s">
        <v>3212</v>
      </c>
      <c r="D3196" s="13">
        <v>62021.0</v>
      </c>
      <c r="E3196" s="4">
        <v>45614.0</v>
      </c>
      <c r="F3196" s="4" t="str">
        <f>IF(D3196="","", IFNA(VLOOKUP(D3196, SATCAT_DECAY!A:B, 2, FALSE), ""))
</f>
        <v/>
      </c>
      <c r="G3196" s="3" t="str">
        <f t="shared" si="1"/>
        <v>ACTIVE</v>
      </c>
    </row>
    <row r="3197" ht="22.5" customHeight="1">
      <c r="A3197" s="11" t="str">
        <f t="array" ref="A3197">IFERROR(
  INDEX('Starlink Launches'!$A:$A, MATCH($E3197, 'Starlink Launches'!$B:$B, 0)),
  ""
)
</f>
        <v>9-12</v>
      </c>
      <c r="B3197" s="3" t="s">
        <v>25</v>
      </c>
      <c r="C3197" s="12" t="s">
        <v>3213</v>
      </c>
      <c r="D3197" s="13">
        <v>62022.0</v>
      </c>
      <c r="E3197" s="4">
        <v>45614.0</v>
      </c>
      <c r="F3197" s="4" t="str">
        <f>IF(D3197="","", IFNA(VLOOKUP(D3197, SATCAT_DECAY!A:B, 2, FALSE), ""))
</f>
        <v/>
      </c>
      <c r="G3197" s="3" t="str">
        <f t="shared" si="1"/>
        <v>ACTIVE</v>
      </c>
    </row>
    <row r="3198" ht="22.5" customHeight="1">
      <c r="A3198" s="11" t="str">
        <f t="array" ref="A3198">IFERROR(
  INDEX('Starlink Launches'!$A:$A, MATCH($E3198, 'Starlink Launches'!$B:$B, 0)),
  ""
)
</f>
        <v>9-12</v>
      </c>
      <c r="B3198" s="3" t="s">
        <v>25</v>
      </c>
      <c r="C3198" s="12" t="s">
        <v>3214</v>
      </c>
      <c r="D3198" s="13">
        <v>62023.0</v>
      </c>
      <c r="E3198" s="4">
        <v>45614.0</v>
      </c>
      <c r="F3198" s="4" t="str">
        <f>IF(D3198="","", IFNA(VLOOKUP(D3198, SATCAT_DECAY!A:B, 2, FALSE), ""))
</f>
        <v/>
      </c>
      <c r="G3198" s="3" t="str">
        <f t="shared" si="1"/>
        <v>ACTIVE</v>
      </c>
    </row>
    <row r="3199" ht="22.5" customHeight="1">
      <c r="A3199" s="11" t="str">
        <f t="array" ref="A3199">IFERROR(
  INDEX('Starlink Launches'!$A:$A, MATCH($E3199, 'Starlink Launches'!$B:$B, 0)),
  ""
)
</f>
        <v>9-12</v>
      </c>
      <c r="B3199" s="3" t="s">
        <v>25</v>
      </c>
      <c r="C3199" s="12" t="s">
        <v>3215</v>
      </c>
      <c r="D3199" s="13">
        <v>62024.0</v>
      </c>
      <c r="E3199" s="4">
        <v>45614.0</v>
      </c>
      <c r="F3199" s="4" t="str">
        <f>IF(D3199="","", IFNA(VLOOKUP(D3199, SATCAT_DECAY!A:B, 2, FALSE), ""))
</f>
        <v/>
      </c>
      <c r="G3199" s="3" t="str">
        <f t="shared" si="1"/>
        <v>ACTIVE</v>
      </c>
    </row>
    <row r="3200" ht="22.5" customHeight="1">
      <c r="A3200" s="11" t="str">
        <f t="array" ref="A3200">IFERROR(
  INDEX('Starlink Launches'!$A:$A, MATCH($E3200, 'Starlink Launches'!$B:$B, 0)),
  ""
)
</f>
        <v>9-12</v>
      </c>
      <c r="B3200" s="3" t="s">
        <v>25</v>
      </c>
      <c r="C3200" s="12" t="s">
        <v>3216</v>
      </c>
      <c r="D3200" s="13">
        <v>62025.0</v>
      </c>
      <c r="E3200" s="4">
        <v>45614.0</v>
      </c>
      <c r="F3200" s="4" t="str">
        <f>IF(D3200="","", IFNA(VLOOKUP(D3200, SATCAT_DECAY!A:B, 2, FALSE), ""))
</f>
        <v/>
      </c>
      <c r="G3200" s="3" t="str">
        <f t="shared" si="1"/>
        <v>ACTIVE</v>
      </c>
    </row>
    <row r="3201" ht="22.5" customHeight="1">
      <c r="A3201" s="11" t="str">
        <f t="array" ref="A3201">IFERROR(
  INDEX('Starlink Launches'!$A:$A, MATCH($E3201, 'Starlink Launches'!$B:$B, 0)),
  ""
)
</f>
        <v>9-12</v>
      </c>
      <c r="B3201" s="3" t="s">
        <v>25</v>
      </c>
      <c r="C3201" s="12" t="s">
        <v>3217</v>
      </c>
      <c r="D3201" s="13">
        <v>62026.0</v>
      </c>
      <c r="E3201" s="4">
        <v>45614.0</v>
      </c>
      <c r="F3201" s="4" t="str">
        <f>IF(D3201="","", IFNA(VLOOKUP(D3201, SATCAT_DECAY!A:B, 2, FALSE), ""))
</f>
        <v/>
      </c>
      <c r="G3201" s="3" t="str">
        <f t="shared" si="1"/>
        <v>ACTIVE</v>
      </c>
    </row>
    <row r="3202" ht="22.5" customHeight="1">
      <c r="A3202" s="11" t="str">
        <f t="array" ref="A3202">IFERROR(
  INDEX('Starlink Launches'!$A:$A, MATCH($E3202, 'Starlink Launches'!$B:$B, 0)),
  ""
)
</f>
        <v>9-12</v>
      </c>
      <c r="B3202" s="3" t="s">
        <v>25</v>
      </c>
      <c r="C3202" s="12" t="s">
        <v>3218</v>
      </c>
      <c r="D3202" s="13">
        <v>62027.0</v>
      </c>
      <c r="E3202" s="4">
        <v>45614.0</v>
      </c>
      <c r="F3202" s="4" t="str">
        <f>IF(D3202="","", IFNA(VLOOKUP(D3202, SATCAT_DECAY!A:B, 2, FALSE), ""))
</f>
        <v/>
      </c>
      <c r="G3202" s="3" t="str">
        <f t="shared" si="1"/>
        <v>ACTIVE</v>
      </c>
    </row>
    <row r="3203" ht="22.5" customHeight="1">
      <c r="A3203" s="11" t="str">
        <f t="array" ref="A3203">IFERROR(
  INDEX('Starlink Launches'!$A:$A, MATCH($E3203, 'Starlink Launches'!$B:$B, 0)),
  ""
)
</f>
        <v>9-13</v>
      </c>
      <c r="B3203" s="3" t="s">
        <v>25</v>
      </c>
      <c r="C3203" s="12" t="s">
        <v>3219</v>
      </c>
      <c r="D3203" s="13">
        <v>62057.0</v>
      </c>
      <c r="E3203" s="4">
        <v>45620.0</v>
      </c>
      <c r="F3203" s="4" t="str">
        <f>IF(D3203="","", IFNA(VLOOKUP(D3203, SATCAT_DECAY!A:B, 2, FALSE), ""))
</f>
        <v/>
      </c>
      <c r="G3203" s="3" t="str">
        <f t="shared" si="1"/>
        <v>ACTIVE</v>
      </c>
    </row>
    <row r="3204" ht="22.5" customHeight="1">
      <c r="A3204" s="11" t="str">
        <f t="array" ref="A3204">IFERROR(
  INDEX('Starlink Launches'!$A:$A, MATCH($E3204, 'Starlink Launches'!$B:$B, 0)),
  ""
)
</f>
        <v>9-13</v>
      </c>
      <c r="B3204" s="3" t="s">
        <v>25</v>
      </c>
      <c r="C3204" s="12" t="s">
        <v>3220</v>
      </c>
      <c r="D3204" s="13">
        <v>62058.0</v>
      </c>
      <c r="E3204" s="4">
        <v>45620.0</v>
      </c>
      <c r="F3204" s="4" t="str">
        <f>IF(D3204="","", IFNA(VLOOKUP(D3204, SATCAT_DECAY!A:B, 2, FALSE), ""))
</f>
        <v/>
      </c>
      <c r="G3204" s="3" t="str">
        <f t="shared" si="1"/>
        <v>ACTIVE</v>
      </c>
    </row>
    <row r="3205" ht="22.5" customHeight="1">
      <c r="A3205" s="11" t="str">
        <f t="array" ref="A3205">IFERROR(
  INDEX('Starlink Launches'!$A:$A, MATCH($E3205, 'Starlink Launches'!$B:$B, 0)),
  ""
)
</f>
        <v>9-13</v>
      </c>
      <c r="B3205" s="3" t="s">
        <v>25</v>
      </c>
      <c r="C3205" s="12" t="s">
        <v>3221</v>
      </c>
      <c r="D3205" s="13">
        <v>62059.0</v>
      </c>
      <c r="E3205" s="4">
        <v>45620.0</v>
      </c>
      <c r="F3205" s="4" t="str">
        <f>IF(D3205="","", IFNA(VLOOKUP(D3205, SATCAT_DECAY!A:B, 2, FALSE), ""))
</f>
        <v/>
      </c>
      <c r="G3205" s="3" t="str">
        <f t="shared" si="1"/>
        <v>ACTIVE</v>
      </c>
    </row>
    <row r="3206" ht="22.5" customHeight="1">
      <c r="A3206" s="11" t="str">
        <f t="array" ref="A3206">IFERROR(
  INDEX('Starlink Launches'!$A:$A, MATCH($E3206, 'Starlink Launches'!$B:$B, 0)),
  ""
)
</f>
        <v>9-13</v>
      </c>
      <c r="B3206" s="3" t="s">
        <v>25</v>
      </c>
      <c r="C3206" s="12" t="s">
        <v>3222</v>
      </c>
      <c r="D3206" s="13">
        <v>62060.0</v>
      </c>
      <c r="E3206" s="4">
        <v>45620.0</v>
      </c>
      <c r="F3206" s="4" t="str">
        <f>IF(D3206="","", IFNA(VLOOKUP(D3206, SATCAT_DECAY!A:B, 2, FALSE), ""))
</f>
        <v/>
      </c>
      <c r="G3206" s="3" t="str">
        <f t="shared" si="1"/>
        <v>ACTIVE</v>
      </c>
    </row>
    <row r="3207" ht="22.5" customHeight="1">
      <c r="A3207" s="11" t="str">
        <f t="array" ref="A3207">IFERROR(
  INDEX('Starlink Launches'!$A:$A, MATCH($E3207, 'Starlink Launches'!$B:$B, 0)),
  ""
)
</f>
        <v>9-13</v>
      </c>
      <c r="B3207" s="3" t="s">
        <v>25</v>
      </c>
      <c r="C3207" s="12" t="s">
        <v>3223</v>
      </c>
      <c r="D3207" s="13">
        <v>62061.0</v>
      </c>
      <c r="E3207" s="4">
        <v>45620.0</v>
      </c>
      <c r="F3207" s="4" t="str">
        <f>IF(D3207="","", IFNA(VLOOKUP(D3207, SATCAT_DECAY!A:B, 2, FALSE), ""))
</f>
        <v/>
      </c>
      <c r="G3207" s="3" t="str">
        <f t="shared" si="1"/>
        <v>ACTIVE</v>
      </c>
    </row>
    <row r="3208" ht="22.5" customHeight="1">
      <c r="A3208" s="11" t="str">
        <f t="array" ref="A3208">IFERROR(
  INDEX('Starlink Launches'!$A:$A, MATCH($E3208, 'Starlink Launches'!$B:$B, 0)),
  ""
)
</f>
        <v>9-13</v>
      </c>
      <c r="B3208" s="3" t="s">
        <v>25</v>
      </c>
      <c r="C3208" s="12" t="s">
        <v>3224</v>
      </c>
      <c r="D3208" s="13">
        <v>62062.0</v>
      </c>
      <c r="E3208" s="4">
        <v>45620.0</v>
      </c>
      <c r="F3208" s="4" t="str">
        <f>IF(D3208="","", IFNA(VLOOKUP(D3208, SATCAT_DECAY!A:B, 2, FALSE), ""))
</f>
        <v/>
      </c>
      <c r="G3208" s="3" t="str">
        <f t="shared" si="1"/>
        <v>ACTIVE</v>
      </c>
    </row>
    <row r="3209" ht="22.5" customHeight="1">
      <c r="A3209" s="11" t="str">
        <f t="array" ref="A3209">IFERROR(
  INDEX('Starlink Launches'!$A:$A, MATCH($E3209, 'Starlink Launches'!$B:$B, 0)),
  ""
)
</f>
        <v>9-13</v>
      </c>
      <c r="B3209" s="3" t="s">
        <v>25</v>
      </c>
      <c r="C3209" s="12" t="s">
        <v>3225</v>
      </c>
      <c r="D3209" s="13">
        <v>62063.0</v>
      </c>
      <c r="E3209" s="4">
        <v>45620.0</v>
      </c>
      <c r="F3209" s="4" t="str">
        <f>IF(D3209="","", IFNA(VLOOKUP(D3209, SATCAT_DECAY!A:B, 2, FALSE), ""))
</f>
        <v/>
      </c>
      <c r="G3209" s="3" t="str">
        <f t="shared" si="1"/>
        <v>ACTIVE</v>
      </c>
    </row>
    <row r="3210" ht="22.5" customHeight="1">
      <c r="A3210" s="11" t="str">
        <f t="array" ref="A3210">IFERROR(
  INDEX('Starlink Launches'!$A:$A, MATCH($E3210, 'Starlink Launches'!$B:$B, 0)),
  ""
)
</f>
        <v>9-13</v>
      </c>
      <c r="B3210" s="3" t="s">
        <v>25</v>
      </c>
      <c r="C3210" s="12" t="s">
        <v>3226</v>
      </c>
      <c r="D3210" s="13">
        <v>62064.0</v>
      </c>
      <c r="E3210" s="4">
        <v>45620.0</v>
      </c>
      <c r="F3210" s="4" t="str">
        <f>IF(D3210="","", IFNA(VLOOKUP(D3210, SATCAT_DECAY!A:B, 2, FALSE), ""))
</f>
        <v/>
      </c>
      <c r="G3210" s="3" t="str">
        <f t="shared" si="1"/>
        <v>ACTIVE</v>
      </c>
    </row>
    <row r="3211" ht="22.5" customHeight="1">
      <c r="A3211" s="11" t="str">
        <f t="array" ref="A3211">IFERROR(
  INDEX('Starlink Launches'!$A:$A, MATCH($E3211, 'Starlink Launches'!$B:$B, 0)),
  ""
)
</f>
        <v>9-13</v>
      </c>
      <c r="B3211" s="3" t="s">
        <v>25</v>
      </c>
      <c r="C3211" s="12" t="s">
        <v>3227</v>
      </c>
      <c r="D3211" s="13">
        <v>62065.0</v>
      </c>
      <c r="E3211" s="4">
        <v>45620.0</v>
      </c>
      <c r="F3211" s="4" t="str">
        <f>IF(D3211="","", IFNA(VLOOKUP(D3211, SATCAT_DECAY!A:B, 2, FALSE), ""))
</f>
        <v/>
      </c>
      <c r="G3211" s="3" t="str">
        <f t="shared" si="1"/>
        <v>ACTIVE</v>
      </c>
    </row>
    <row r="3212" ht="22.5" customHeight="1">
      <c r="A3212" s="11" t="str">
        <f t="array" ref="A3212">IFERROR(
  INDEX('Starlink Launches'!$A:$A, MATCH($E3212, 'Starlink Launches'!$B:$B, 0)),
  ""
)
</f>
        <v>9-13</v>
      </c>
      <c r="B3212" s="3" t="s">
        <v>25</v>
      </c>
      <c r="C3212" s="12" t="s">
        <v>3228</v>
      </c>
      <c r="D3212" s="13">
        <v>62066.0</v>
      </c>
      <c r="E3212" s="4">
        <v>45620.0</v>
      </c>
      <c r="F3212" s="4" t="str">
        <f>IF(D3212="","", IFNA(VLOOKUP(D3212, SATCAT_DECAY!A:B, 2, FALSE), ""))
</f>
        <v/>
      </c>
      <c r="G3212" s="3" t="str">
        <f t="shared" si="1"/>
        <v>ACTIVE</v>
      </c>
    </row>
    <row r="3213" ht="22.5" customHeight="1">
      <c r="A3213" s="11" t="str">
        <f t="array" ref="A3213">IFERROR(
  INDEX('Starlink Launches'!$A:$A, MATCH($E3213, 'Starlink Launches'!$B:$B, 0)),
  ""
)
</f>
        <v>9-13</v>
      </c>
      <c r="B3213" s="3" t="s">
        <v>25</v>
      </c>
      <c r="C3213" s="12" t="s">
        <v>3229</v>
      </c>
      <c r="D3213" s="13">
        <v>62067.0</v>
      </c>
      <c r="E3213" s="4">
        <v>45620.0</v>
      </c>
      <c r="F3213" s="4" t="str">
        <f>IF(D3213="","", IFNA(VLOOKUP(D3213, SATCAT_DECAY!A:B, 2, FALSE), ""))
</f>
        <v/>
      </c>
      <c r="G3213" s="3" t="str">
        <f t="shared" si="1"/>
        <v>ACTIVE</v>
      </c>
    </row>
    <row r="3214" ht="22.5" customHeight="1">
      <c r="A3214" s="11" t="str">
        <f t="array" ref="A3214">IFERROR(
  INDEX('Starlink Launches'!$A:$A, MATCH($E3214, 'Starlink Launches'!$B:$B, 0)),
  ""
)
</f>
        <v>9-13</v>
      </c>
      <c r="B3214" s="3" t="s">
        <v>25</v>
      </c>
      <c r="C3214" s="12" t="s">
        <v>3230</v>
      </c>
      <c r="D3214" s="13">
        <v>62068.0</v>
      </c>
      <c r="E3214" s="4">
        <v>45620.0</v>
      </c>
      <c r="F3214" s="4" t="str">
        <f>IF(D3214="","", IFNA(VLOOKUP(D3214, SATCAT_DECAY!A:B, 2, FALSE), ""))
</f>
        <v/>
      </c>
      <c r="G3214" s="3" t="str">
        <f t="shared" si="1"/>
        <v>ACTIVE</v>
      </c>
    </row>
    <row r="3215" ht="22.5" customHeight="1">
      <c r="A3215" s="11" t="str">
        <f t="array" ref="A3215">IFERROR(
  INDEX('Starlink Launches'!$A:$A, MATCH($E3215, 'Starlink Launches'!$B:$B, 0)),
  ""
)
</f>
        <v>9-13</v>
      </c>
      <c r="B3215" s="3" t="s">
        <v>25</v>
      </c>
      <c r="C3215" s="12" t="s">
        <v>3231</v>
      </c>
      <c r="D3215" s="13">
        <v>62069.0</v>
      </c>
      <c r="E3215" s="4">
        <v>45620.0</v>
      </c>
      <c r="F3215" s="4" t="str">
        <f>IF(D3215="","", IFNA(VLOOKUP(D3215, SATCAT_DECAY!A:B, 2, FALSE), ""))
</f>
        <v/>
      </c>
      <c r="G3215" s="3" t="str">
        <f t="shared" si="1"/>
        <v>ACTIVE</v>
      </c>
    </row>
    <row r="3216" ht="22.5" customHeight="1">
      <c r="A3216" s="11" t="str">
        <f t="array" ref="A3216">IFERROR(
  INDEX('Starlink Launches'!$A:$A, MATCH($E3216, 'Starlink Launches'!$B:$B, 0)),
  ""
)
</f>
        <v>9-13</v>
      </c>
      <c r="B3216" s="3" t="s">
        <v>25</v>
      </c>
      <c r="C3216" s="12" t="s">
        <v>3232</v>
      </c>
      <c r="D3216" s="13">
        <v>62070.0</v>
      </c>
      <c r="E3216" s="4">
        <v>45620.0</v>
      </c>
      <c r="F3216" s="4" t="str">
        <f>IF(D3216="","", IFNA(VLOOKUP(D3216, SATCAT_DECAY!A:B, 2, FALSE), ""))
</f>
        <v/>
      </c>
      <c r="G3216" s="3" t="str">
        <f t="shared" si="1"/>
        <v>ACTIVE</v>
      </c>
    </row>
    <row r="3217" ht="22.5" customHeight="1">
      <c r="A3217" s="11" t="str">
        <f t="array" ref="A3217">IFERROR(
  INDEX('Starlink Launches'!$A:$A, MATCH($E3217, 'Starlink Launches'!$B:$B, 0)),
  ""
)
</f>
        <v>9-13</v>
      </c>
      <c r="B3217" s="3" t="s">
        <v>25</v>
      </c>
      <c r="C3217" s="12" t="s">
        <v>3233</v>
      </c>
      <c r="D3217" s="13">
        <v>62071.0</v>
      </c>
      <c r="E3217" s="4">
        <v>45620.0</v>
      </c>
      <c r="F3217" s="4" t="str">
        <f>IF(D3217="","", IFNA(VLOOKUP(D3217, SATCAT_DECAY!A:B, 2, FALSE), ""))
</f>
        <v/>
      </c>
      <c r="G3217" s="3" t="str">
        <f t="shared" si="1"/>
        <v>ACTIVE</v>
      </c>
    </row>
    <row r="3218" ht="22.5" customHeight="1">
      <c r="A3218" s="11" t="str">
        <f t="array" ref="A3218">IFERROR(
  INDEX('Starlink Launches'!$A:$A, MATCH($E3218, 'Starlink Launches'!$B:$B, 0)),
  ""
)
</f>
        <v>9-13</v>
      </c>
      <c r="B3218" s="3" t="s">
        <v>25</v>
      </c>
      <c r="C3218" s="12" t="s">
        <v>3234</v>
      </c>
      <c r="D3218" s="13">
        <v>62072.0</v>
      </c>
      <c r="E3218" s="4">
        <v>45620.0</v>
      </c>
      <c r="F3218" s="4" t="str">
        <f>IF(D3218="","", IFNA(VLOOKUP(D3218, SATCAT_DECAY!A:B, 2, FALSE), ""))
</f>
        <v/>
      </c>
      <c r="G3218" s="3" t="str">
        <f t="shared" si="1"/>
        <v>ACTIVE</v>
      </c>
    </row>
    <row r="3219" ht="22.5" customHeight="1">
      <c r="A3219" s="11" t="str">
        <f t="array" ref="A3219">IFERROR(
  INDEX('Starlink Launches'!$A:$A, MATCH($E3219, 'Starlink Launches'!$B:$B, 0)),
  ""
)
</f>
        <v>9-13</v>
      </c>
      <c r="B3219" s="3" t="s">
        <v>25</v>
      </c>
      <c r="C3219" s="12" t="s">
        <v>3235</v>
      </c>
      <c r="D3219" s="13">
        <v>62073.0</v>
      </c>
      <c r="E3219" s="4">
        <v>45620.0</v>
      </c>
      <c r="F3219" s="4" t="str">
        <f>IF(D3219="","", IFNA(VLOOKUP(D3219, SATCAT_DECAY!A:B, 2, FALSE), ""))
</f>
        <v/>
      </c>
      <c r="G3219" s="3" t="str">
        <f t="shared" si="1"/>
        <v>ACTIVE</v>
      </c>
    </row>
    <row r="3220" ht="22.5" customHeight="1">
      <c r="A3220" s="11" t="str">
        <f t="array" ref="A3220">IFERROR(
  INDEX('Starlink Launches'!$A:$A, MATCH($E3220, 'Starlink Launches'!$B:$B, 0)),
  ""
)
</f>
        <v>9-13</v>
      </c>
      <c r="B3220" s="3" t="s">
        <v>25</v>
      </c>
      <c r="C3220" s="12" t="s">
        <v>3236</v>
      </c>
      <c r="D3220" s="13">
        <v>62074.0</v>
      </c>
      <c r="E3220" s="4">
        <v>45620.0</v>
      </c>
      <c r="F3220" s="4" t="str">
        <f>IF(D3220="","", IFNA(VLOOKUP(D3220, SATCAT_DECAY!A:B, 2, FALSE), ""))
</f>
        <v/>
      </c>
      <c r="G3220" s="3" t="str">
        <f t="shared" si="1"/>
        <v>ACTIVE</v>
      </c>
    </row>
    <row r="3221" ht="22.5" customHeight="1">
      <c r="A3221" s="11" t="str">
        <f t="array" ref="A3221">IFERROR(
  INDEX('Starlink Launches'!$A:$A, MATCH($E3221, 'Starlink Launches'!$B:$B, 0)),
  ""
)
</f>
        <v>9-13</v>
      </c>
      <c r="B3221" s="3" t="s">
        <v>25</v>
      </c>
      <c r="C3221" s="12" t="s">
        <v>3237</v>
      </c>
      <c r="D3221" s="13">
        <v>62075.0</v>
      </c>
      <c r="E3221" s="4">
        <v>45620.0</v>
      </c>
      <c r="F3221" s="4" t="str">
        <f>IF(D3221="","", IFNA(VLOOKUP(D3221, SATCAT_DECAY!A:B, 2, FALSE), ""))
</f>
        <v/>
      </c>
      <c r="G3221" s="3" t="str">
        <f t="shared" si="1"/>
        <v>ACTIVE</v>
      </c>
    </row>
    <row r="3222" ht="22.5" customHeight="1">
      <c r="A3222" s="11" t="str">
        <f t="array" ref="A3222">IFERROR(
  INDEX('Starlink Launches'!$A:$A, MATCH($E3222, 'Starlink Launches'!$B:$B, 0)),
  ""
)
</f>
        <v>9-13</v>
      </c>
      <c r="B3222" s="3" t="s">
        <v>25</v>
      </c>
      <c r="C3222" s="12" t="s">
        <v>3238</v>
      </c>
      <c r="D3222" s="13">
        <v>62076.0</v>
      </c>
      <c r="E3222" s="4">
        <v>45620.0</v>
      </c>
      <c r="F3222" s="4" t="str">
        <f>IF(D3222="","", IFNA(VLOOKUP(D3222, SATCAT_DECAY!A:B, 2, FALSE), ""))
</f>
        <v/>
      </c>
      <c r="G3222" s="3" t="str">
        <f t="shared" si="1"/>
        <v>ACTIVE</v>
      </c>
    </row>
    <row r="3223" ht="22.5" customHeight="1">
      <c r="A3223" s="11" t="str">
        <f t="array" ref="A3223">IFERROR(
  INDEX('Starlink Launches'!$A:$A, MATCH($E3223, 'Starlink Launches'!$B:$B, 0)),
  ""
)
</f>
        <v>9-14</v>
      </c>
      <c r="B3223" s="3" t="s">
        <v>25</v>
      </c>
      <c r="C3223" s="12" t="s">
        <v>3239</v>
      </c>
      <c r="D3223" s="13">
        <v>62218.0</v>
      </c>
      <c r="E3223" s="4">
        <v>45631.0</v>
      </c>
      <c r="F3223" s="4" t="str">
        <f>IF(D3223="","", IFNA(VLOOKUP(D3223, SATCAT_DECAY!A:B, 2, FALSE), ""))
</f>
        <v/>
      </c>
      <c r="G3223" s="3" t="str">
        <f t="shared" si="1"/>
        <v>ACTIVE</v>
      </c>
    </row>
    <row r="3224" ht="22.5" customHeight="1">
      <c r="A3224" s="11" t="str">
        <f t="array" ref="A3224">IFERROR(
  INDEX('Starlink Launches'!$A:$A, MATCH($E3224, 'Starlink Launches'!$B:$B, 0)),
  ""
)
</f>
        <v>9-14</v>
      </c>
      <c r="B3224" s="3" t="s">
        <v>25</v>
      </c>
      <c r="C3224" s="12" t="s">
        <v>3240</v>
      </c>
      <c r="D3224" s="13">
        <v>62219.0</v>
      </c>
      <c r="E3224" s="4">
        <v>45631.0</v>
      </c>
      <c r="F3224" s="4" t="str">
        <f>IF(D3224="","", IFNA(VLOOKUP(D3224, SATCAT_DECAY!A:B, 2, FALSE), ""))
</f>
        <v/>
      </c>
      <c r="G3224" s="3" t="str">
        <f t="shared" si="1"/>
        <v>ACTIVE</v>
      </c>
    </row>
    <row r="3225" ht="22.5" customHeight="1">
      <c r="A3225" s="11" t="str">
        <f t="array" ref="A3225">IFERROR(
  INDEX('Starlink Launches'!$A:$A, MATCH($E3225, 'Starlink Launches'!$B:$B, 0)),
  ""
)
</f>
        <v>9-14</v>
      </c>
      <c r="B3225" s="3" t="s">
        <v>25</v>
      </c>
      <c r="C3225" s="12" t="s">
        <v>3241</v>
      </c>
      <c r="D3225" s="13">
        <v>62220.0</v>
      </c>
      <c r="E3225" s="4">
        <v>45631.0</v>
      </c>
      <c r="F3225" s="4" t="str">
        <f>IF(D3225="","", IFNA(VLOOKUP(D3225, SATCAT_DECAY!A:B, 2, FALSE), ""))
</f>
        <v/>
      </c>
      <c r="G3225" s="3" t="str">
        <f t="shared" si="1"/>
        <v>ACTIVE</v>
      </c>
    </row>
    <row r="3226" ht="22.5" customHeight="1">
      <c r="A3226" s="11" t="str">
        <f t="array" ref="A3226">IFERROR(
  INDEX('Starlink Launches'!$A:$A, MATCH($E3226, 'Starlink Launches'!$B:$B, 0)),
  ""
)
</f>
        <v>9-14</v>
      </c>
      <c r="B3226" s="3" t="s">
        <v>25</v>
      </c>
      <c r="C3226" s="12" t="s">
        <v>3242</v>
      </c>
      <c r="D3226" s="13">
        <v>62221.0</v>
      </c>
      <c r="E3226" s="4">
        <v>45631.0</v>
      </c>
      <c r="F3226" s="4" t="str">
        <f>IF(D3226="","", IFNA(VLOOKUP(D3226, SATCAT_DECAY!A:B, 2, FALSE), ""))
</f>
        <v/>
      </c>
      <c r="G3226" s="3" t="str">
        <f t="shared" si="1"/>
        <v>ACTIVE</v>
      </c>
    </row>
    <row r="3227" ht="22.5" customHeight="1">
      <c r="A3227" s="11" t="str">
        <f t="array" ref="A3227">IFERROR(
  INDEX('Starlink Launches'!$A:$A, MATCH($E3227, 'Starlink Launches'!$B:$B, 0)),
  ""
)
</f>
        <v>9-14</v>
      </c>
      <c r="B3227" s="3" t="s">
        <v>25</v>
      </c>
      <c r="C3227" s="12" t="s">
        <v>3243</v>
      </c>
      <c r="D3227" s="13">
        <v>62222.0</v>
      </c>
      <c r="E3227" s="4">
        <v>45631.0</v>
      </c>
      <c r="F3227" s="4" t="str">
        <f>IF(D3227="","", IFNA(VLOOKUP(D3227, SATCAT_DECAY!A:B, 2, FALSE), ""))
</f>
        <v/>
      </c>
      <c r="G3227" s="3" t="str">
        <f t="shared" si="1"/>
        <v>ACTIVE</v>
      </c>
    </row>
    <row r="3228" ht="22.5" customHeight="1">
      <c r="A3228" s="11" t="str">
        <f t="array" ref="A3228">IFERROR(
  INDEX('Starlink Launches'!$A:$A, MATCH($E3228, 'Starlink Launches'!$B:$B, 0)),
  ""
)
</f>
        <v>9-14</v>
      </c>
      <c r="B3228" s="3" t="s">
        <v>25</v>
      </c>
      <c r="C3228" s="12" t="s">
        <v>3244</v>
      </c>
      <c r="D3228" s="13">
        <v>62223.0</v>
      </c>
      <c r="E3228" s="4">
        <v>45631.0</v>
      </c>
      <c r="F3228" s="4" t="str">
        <f>IF(D3228="","", IFNA(VLOOKUP(D3228, SATCAT_DECAY!A:B, 2, FALSE), ""))
</f>
        <v/>
      </c>
      <c r="G3228" s="3" t="str">
        <f t="shared" si="1"/>
        <v>ACTIVE</v>
      </c>
    </row>
    <row r="3229" ht="22.5" customHeight="1">
      <c r="A3229" s="11" t="str">
        <f t="array" ref="A3229">IFERROR(
  INDEX('Starlink Launches'!$A:$A, MATCH($E3229, 'Starlink Launches'!$B:$B, 0)),
  ""
)
</f>
        <v>9-14</v>
      </c>
      <c r="B3229" s="3" t="s">
        <v>25</v>
      </c>
      <c r="C3229" s="12" t="s">
        <v>3245</v>
      </c>
      <c r="D3229" s="13">
        <v>62224.0</v>
      </c>
      <c r="E3229" s="4">
        <v>45631.0</v>
      </c>
      <c r="F3229" s="4" t="str">
        <f>IF(D3229="","", IFNA(VLOOKUP(D3229, SATCAT_DECAY!A:B, 2, FALSE), ""))
</f>
        <v/>
      </c>
      <c r="G3229" s="3" t="str">
        <f t="shared" si="1"/>
        <v>ACTIVE</v>
      </c>
    </row>
    <row r="3230" ht="22.5" customHeight="1">
      <c r="A3230" s="11" t="str">
        <f t="array" ref="A3230">IFERROR(
  INDEX('Starlink Launches'!$A:$A, MATCH($E3230, 'Starlink Launches'!$B:$B, 0)),
  ""
)
</f>
        <v>9-14</v>
      </c>
      <c r="B3230" s="3" t="s">
        <v>25</v>
      </c>
      <c r="C3230" s="12" t="s">
        <v>3246</v>
      </c>
      <c r="D3230" s="13">
        <v>62225.0</v>
      </c>
      <c r="E3230" s="4">
        <v>45631.0</v>
      </c>
      <c r="F3230" s="4" t="str">
        <f>IF(D3230="","", IFNA(VLOOKUP(D3230, SATCAT_DECAY!A:B, 2, FALSE), ""))
</f>
        <v/>
      </c>
      <c r="G3230" s="3" t="str">
        <f t="shared" si="1"/>
        <v>ACTIVE</v>
      </c>
    </row>
    <row r="3231" ht="22.5" customHeight="1">
      <c r="A3231" s="11" t="str">
        <f t="array" ref="A3231">IFERROR(
  INDEX('Starlink Launches'!$A:$A, MATCH($E3231, 'Starlink Launches'!$B:$B, 0)),
  ""
)
</f>
        <v>9-14</v>
      </c>
      <c r="B3231" s="3" t="s">
        <v>25</v>
      </c>
      <c r="C3231" s="12" t="s">
        <v>3247</v>
      </c>
      <c r="D3231" s="13">
        <v>62226.0</v>
      </c>
      <c r="E3231" s="4">
        <v>45631.0</v>
      </c>
      <c r="F3231" s="4" t="str">
        <f>IF(D3231="","", IFNA(VLOOKUP(D3231, SATCAT_DECAY!A:B, 2, FALSE), ""))
</f>
        <v/>
      </c>
      <c r="G3231" s="3" t="str">
        <f t="shared" si="1"/>
        <v>ACTIVE</v>
      </c>
    </row>
    <row r="3232" ht="22.5" customHeight="1">
      <c r="A3232" s="11" t="str">
        <f t="array" ref="A3232">IFERROR(
  INDEX('Starlink Launches'!$A:$A, MATCH($E3232, 'Starlink Launches'!$B:$B, 0)),
  ""
)
</f>
        <v>9-14</v>
      </c>
      <c r="B3232" s="3" t="s">
        <v>25</v>
      </c>
      <c r="C3232" s="12" t="s">
        <v>3248</v>
      </c>
      <c r="D3232" s="13">
        <v>62227.0</v>
      </c>
      <c r="E3232" s="4">
        <v>45631.0</v>
      </c>
      <c r="F3232" s="4" t="str">
        <f>IF(D3232="","", IFNA(VLOOKUP(D3232, SATCAT_DECAY!A:B, 2, FALSE), ""))
</f>
        <v/>
      </c>
      <c r="G3232" s="3" t="str">
        <f t="shared" si="1"/>
        <v>ACTIVE</v>
      </c>
    </row>
    <row r="3233" ht="22.5" customHeight="1">
      <c r="A3233" s="11" t="str">
        <f t="array" ref="A3233">IFERROR(
  INDEX('Starlink Launches'!$A:$A, MATCH($E3233, 'Starlink Launches'!$B:$B, 0)),
  ""
)
</f>
        <v>9-14</v>
      </c>
      <c r="B3233" s="3" t="s">
        <v>25</v>
      </c>
      <c r="C3233" s="12" t="s">
        <v>3249</v>
      </c>
      <c r="D3233" s="13">
        <v>62228.0</v>
      </c>
      <c r="E3233" s="4">
        <v>45631.0</v>
      </c>
      <c r="F3233" s="4" t="str">
        <f>IF(D3233="","", IFNA(VLOOKUP(D3233, SATCAT_DECAY!A:B, 2, FALSE), ""))
</f>
        <v/>
      </c>
      <c r="G3233" s="3" t="str">
        <f t="shared" si="1"/>
        <v>ACTIVE</v>
      </c>
    </row>
    <row r="3234" ht="22.5" customHeight="1">
      <c r="A3234" s="11" t="str">
        <f t="array" ref="A3234">IFERROR(
  INDEX('Starlink Launches'!$A:$A, MATCH($E3234, 'Starlink Launches'!$B:$B, 0)),
  ""
)
</f>
        <v>9-14</v>
      </c>
      <c r="B3234" s="3" t="s">
        <v>25</v>
      </c>
      <c r="C3234" s="12" t="s">
        <v>3250</v>
      </c>
      <c r="D3234" s="13">
        <v>62229.0</v>
      </c>
      <c r="E3234" s="4">
        <v>45631.0</v>
      </c>
      <c r="F3234" s="4" t="str">
        <f>IF(D3234="","", IFNA(VLOOKUP(D3234, SATCAT_DECAY!A:B, 2, FALSE), ""))
</f>
        <v/>
      </c>
      <c r="G3234" s="3" t="str">
        <f t="shared" si="1"/>
        <v>ACTIVE</v>
      </c>
    </row>
    <row r="3235" ht="22.5" customHeight="1">
      <c r="A3235" s="11" t="str">
        <f t="array" ref="A3235">IFERROR(
  INDEX('Starlink Launches'!$A:$A, MATCH($E3235, 'Starlink Launches'!$B:$B, 0)),
  ""
)
</f>
        <v>9-14</v>
      </c>
      <c r="B3235" s="3" t="s">
        <v>25</v>
      </c>
      <c r="C3235" s="12" t="s">
        <v>3251</v>
      </c>
      <c r="D3235" s="13">
        <v>62230.0</v>
      </c>
      <c r="E3235" s="4">
        <v>45631.0</v>
      </c>
      <c r="F3235" s="4" t="str">
        <f>IF(D3235="","", IFNA(VLOOKUP(D3235, SATCAT_DECAY!A:B, 2, FALSE), ""))
</f>
        <v/>
      </c>
      <c r="G3235" s="3" t="str">
        <f t="shared" si="1"/>
        <v>ACTIVE</v>
      </c>
    </row>
    <row r="3236" ht="22.5" customHeight="1">
      <c r="A3236" s="11" t="str">
        <f t="array" ref="A3236">IFERROR(
  INDEX('Starlink Launches'!$A:$A, MATCH($E3236, 'Starlink Launches'!$B:$B, 0)),
  ""
)
</f>
        <v>9-14</v>
      </c>
      <c r="B3236" s="3" t="s">
        <v>25</v>
      </c>
      <c r="C3236" s="12" t="s">
        <v>3252</v>
      </c>
      <c r="D3236" s="13">
        <v>62231.0</v>
      </c>
      <c r="E3236" s="4">
        <v>45631.0</v>
      </c>
      <c r="F3236" s="4" t="str">
        <f>IF(D3236="","", IFNA(VLOOKUP(D3236, SATCAT_DECAY!A:B, 2, FALSE), ""))
</f>
        <v/>
      </c>
      <c r="G3236" s="3" t="str">
        <f t="shared" si="1"/>
        <v>ACTIVE</v>
      </c>
    </row>
    <row r="3237" ht="22.5" customHeight="1">
      <c r="A3237" s="11" t="str">
        <f t="array" ref="A3237">IFERROR(
  INDEX('Starlink Launches'!$A:$A, MATCH($E3237, 'Starlink Launches'!$B:$B, 0)),
  ""
)
</f>
        <v>9-14</v>
      </c>
      <c r="B3237" s="3" t="s">
        <v>25</v>
      </c>
      <c r="C3237" s="12" t="s">
        <v>3253</v>
      </c>
      <c r="D3237" s="13">
        <v>62232.0</v>
      </c>
      <c r="E3237" s="4">
        <v>45631.0</v>
      </c>
      <c r="F3237" s="4" t="str">
        <f>IF(D3237="","", IFNA(VLOOKUP(D3237, SATCAT_DECAY!A:B, 2, FALSE), ""))
</f>
        <v/>
      </c>
      <c r="G3237" s="3" t="str">
        <f t="shared" si="1"/>
        <v>ACTIVE</v>
      </c>
    </row>
    <row r="3238" ht="22.5" customHeight="1">
      <c r="A3238" s="11" t="str">
        <f t="array" ref="A3238">IFERROR(
  INDEX('Starlink Launches'!$A:$A, MATCH($E3238, 'Starlink Launches'!$B:$B, 0)),
  ""
)
</f>
        <v>9-14</v>
      </c>
      <c r="B3238" s="3" t="s">
        <v>25</v>
      </c>
      <c r="C3238" s="12" t="s">
        <v>3254</v>
      </c>
      <c r="D3238" s="13">
        <v>62233.0</v>
      </c>
      <c r="E3238" s="4">
        <v>45631.0</v>
      </c>
      <c r="F3238" s="4" t="str">
        <f>IF(D3238="","", IFNA(VLOOKUP(D3238, SATCAT_DECAY!A:B, 2, FALSE), ""))
</f>
        <v/>
      </c>
      <c r="G3238" s="3" t="str">
        <f t="shared" si="1"/>
        <v>ACTIVE</v>
      </c>
    </row>
    <row r="3239" ht="22.5" customHeight="1">
      <c r="A3239" s="11" t="str">
        <f t="array" ref="A3239">IFERROR(
  INDEX('Starlink Launches'!$A:$A, MATCH($E3239, 'Starlink Launches'!$B:$B, 0)),
  ""
)
</f>
        <v>9-14</v>
      </c>
      <c r="B3239" s="3" t="s">
        <v>25</v>
      </c>
      <c r="C3239" s="12" t="s">
        <v>3255</v>
      </c>
      <c r="D3239" s="13">
        <v>62234.0</v>
      </c>
      <c r="E3239" s="4">
        <v>45631.0</v>
      </c>
      <c r="F3239" s="4" t="str">
        <f>IF(D3239="","", IFNA(VLOOKUP(D3239, SATCAT_DECAY!A:B, 2, FALSE), ""))
</f>
        <v/>
      </c>
      <c r="G3239" s="3" t="str">
        <f t="shared" si="1"/>
        <v>ACTIVE</v>
      </c>
    </row>
    <row r="3240" ht="22.5" customHeight="1">
      <c r="A3240" s="11" t="str">
        <f t="array" ref="A3240">IFERROR(
  INDEX('Starlink Launches'!$A:$A, MATCH($E3240, 'Starlink Launches'!$B:$B, 0)),
  ""
)
</f>
        <v>9-14</v>
      </c>
      <c r="B3240" s="3" t="s">
        <v>25</v>
      </c>
      <c r="C3240" s="12" t="s">
        <v>3256</v>
      </c>
      <c r="D3240" s="13">
        <v>62235.0</v>
      </c>
      <c r="E3240" s="4">
        <v>45631.0</v>
      </c>
      <c r="F3240" s="4" t="str">
        <f>IF(D3240="","", IFNA(VLOOKUP(D3240, SATCAT_DECAY!A:B, 2, FALSE), ""))
</f>
        <v/>
      </c>
      <c r="G3240" s="3" t="str">
        <f t="shared" si="1"/>
        <v>ACTIVE</v>
      </c>
    </row>
    <row r="3241" ht="22.5" customHeight="1">
      <c r="A3241" s="11" t="str">
        <f t="array" ref="A3241">IFERROR(
  INDEX('Starlink Launches'!$A:$A, MATCH($E3241, 'Starlink Launches'!$B:$B, 0)),
  ""
)
</f>
        <v>9-14</v>
      </c>
      <c r="B3241" s="3" t="s">
        <v>25</v>
      </c>
      <c r="C3241" s="12" t="s">
        <v>3257</v>
      </c>
      <c r="D3241" s="13">
        <v>62236.0</v>
      </c>
      <c r="E3241" s="4">
        <v>45631.0</v>
      </c>
      <c r="F3241" s="4" t="str">
        <f>IF(D3241="","", IFNA(VLOOKUP(D3241, SATCAT_DECAY!A:B, 2, FALSE), ""))
</f>
        <v/>
      </c>
      <c r="G3241" s="3" t="str">
        <f t="shared" si="1"/>
        <v>ACTIVE</v>
      </c>
    </row>
    <row r="3242" ht="22.5" customHeight="1">
      <c r="A3242" s="17" t="str">
        <f t="array" ref="A3242">IFERROR(
  INDEX('Starlink Launches'!$A:$A, MATCH($E3242, 'Starlink Launches'!$B:$B, 0)),
  ""
)
</f>
        <v>9-14</v>
      </c>
      <c r="B3242" s="9" t="s">
        <v>25</v>
      </c>
      <c r="C3242" s="18" t="s">
        <v>3258</v>
      </c>
      <c r="D3242" s="19">
        <v>62262.0</v>
      </c>
      <c r="E3242" s="10">
        <v>45631.0</v>
      </c>
      <c r="F3242" s="4" t="str">
        <f>IF(D3242="","", IFNA(VLOOKUP(D3242, SATCAT_DECAY!A:B, 2, FALSE), ""))
</f>
        <v/>
      </c>
      <c r="G3242" s="9" t="str">
        <f t="shared" si="1"/>
        <v>ACTIVE</v>
      </c>
    </row>
    <row r="3243" ht="22.5" customHeight="1">
      <c r="A3243" s="20" t="s">
        <v>3259</v>
      </c>
      <c r="B3243" s="3" t="s">
        <v>25</v>
      </c>
      <c r="C3243" s="12" t="s">
        <v>3260</v>
      </c>
      <c r="D3243" s="13">
        <v>60016.0</v>
      </c>
      <c r="E3243" s="4">
        <v>45451.0</v>
      </c>
      <c r="F3243" s="4" t="str">
        <f>IF(D3243="","", IFNA(VLOOKUP(D3243, SATCAT_DECAY!A:B, 2, FALSE), ""))
</f>
        <v/>
      </c>
      <c r="G3243" s="3" t="str">
        <f t="shared" si="1"/>
        <v>ACTIVE</v>
      </c>
    </row>
    <row r="3244" ht="22.5" customHeight="1">
      <c r="A3244" s="20" t="s">
        <v>3259</v>
      </c>
      <c r="B3244" s="3" t="s">
        <v>25</v>
      </c>
      <c r="C3244" s="12" t="s">
        <v>3261</v>
      </c>
      <c r="D3244" s="13">
        <v>60017.0</v>
      </c>
      <c r="E3244" s="4">
        <v>45451.0</v>
      </c>
      <c r="F3244" s="4" t="str">
        <f>IF(D3244="","", IFNA(VLOOKUP(D3244, SATCAT_DECAY!A:B, 2, FALSE), ""))
</f>
        <v/>
      </c>
      <c r="G3244" s="3" t="str">
        <f t="shared" si="1"/>
        <v>ACTIVE</v>
      </c>
    </row>
    <row r="3245" ht="22.5" customHeight="1">
      <c r="A3245" s="20" t="s">
        <v>3259</v>
      </c>
      <c r="B3245" s="3" t="s">
        <v>25</v>
      </c>
      <c r="C3245" s="12" t="s">
        <v>3262</v>
      </c>
      <c r="D3245" s="13">
        <v>60018.0</v>
      </c>
      <c r="E3245" s="4">
        <v>45451.0</v>
      </c>
      <c r="F3245" s="4" t="str">
        <f>IF(D3245="","", IFNA(VLOOKUP(D3245, SATCAT_DECAY!A:B, 2, FALSE), ""))
</f>
        <v/>
      </c>
      <c r="G3245" s="3" t="str">
        <f t="shared" si="1"/>
        <v>ACTIVE</v>
      </c>
    </row>
    <row r="3246" ht="22.5" customHeight="1">
      <c r="A3246" s="20" t="s">
        <v>3259</v>
      </c>
      <c r="B3246" s="3" t="s">
        <v>25</v>
      </c>
      <c r="C3246" s="12" t="s">
        <v>3263</v>
      </c>
      <c r="D3246" s="13">
        <v>60019.0</v>
      </c>
      <c r="E3246" s="4">
        <v>45451.0</v>
      </c>
      <c r="F3246" s="4" t="str">
        <f>IF(D3246="","", IFNA(VLOOKUP(D3246, SATCAT_DECAY!A:B, 2, FALSE), ""))
</f>
        <v/>
      </c>
      <c r="G3246" s="3" t="str">
        <f t="shared" si="1"/>
        <v>ACTIVE</v>
      </c>
    </row>
    <row r="3247" ht="22.5" customHeight="1">
      <c r="A3247" s="20" t="s">
        <v>3259</v>
      </c>
      <c r="B3247" s="3" t="s">
        <v>25</v>
      </c>
      <c r="C3247" s="12" t="s">
        <v>3264</v>
      </c>
      <c r="D3247" s="13">
        <v>60020.0</v>
      </c>
      <c r="E3247" s="4">
        <v>45451.0</v>
      </c>
      <c r="F3247" s="4" t="str">
        <f>IF(D3247="","", IFNA(VLOOKUP(D3247, SATCAT_DECAY!A:B, 2, FALSE), ""))
</f>
        <v/>
      </c>
      <c r="G3247" s="3" t="str">
        <f t="shared" si="1"/>
        <v>ACTIVE</v>
      </c>
    </row>
    <row r="3248" ht="22.5" customHeight="1">
      <c r="A3248" s="20" t="s">
        <v>3259</v>
      </c>
      <c r="B3248" s="3" t="s">
        <v>25</v>
      </c>
      <c r="C3248" s="12" t="s">
        <v>3265</v>
      </c>
      <c r="D3248" s="13">
        <v>60021.0</v>
      </c>
      <c r="E3248" s="4">
        <v>45451.0</v>
      </c>
      <c r="F3248" s="4" t="str">
        <f>IF(D3248="","", IFNA(VLOOKUP(D3248, SATCAT_DECAY!A:B, 2, FALSE), ""))
</f>
        <v/>
      </c>
      <c r="G3248" s="3" t="str">
        <f t="shared" si="1"/>
        <v>ACTIVE</v>
      </c>
    </row>
    <row r="3249" ht="22.5" customHeight="1">
      <c r="A3249" s="20" t="s">
        <v>3259</v>
      </c>
      <c r="B3249" s="3" t="s">
        <v>25</v>
      </c>
      <c r="C3249" s="12" t="s">
        <v>3266</v>
      </c>
      <c r="D3249" s="13">
        <v>60022.0</v>
      </c>
      <c r="E3249" s="4">
        <v>45451.0</v>
      </c>
      <c r="F3249" s="4" t="str">
        <f>IF(D3249="","", IFNA(VLOOKUP(D3249, SATCAT_DECAY!A:B, 2, FALSE), ""))
</f>
        <v/>
      </c>
      <c r="G3249" s="3" t="str">
        <f t="shared" si="1"/>
        <v>ACTIVE</v>
      </c>
    </row>
    <row r="3250" ht="22.5" customHeight="1">
      <c r="A3250" s="20" t="s">
        <v>3259</v>
      </c>
      <c r="B3250" s="3" t="s">
        <v>25</v>
      </c>
      <c r="C3250" s="12" t="s">
        <v>3267</v>
      </c>
      <c r="D3250" s="13">
        <v>60023.0</v>
      </c>
      <c r="E3250" s="4">
        <v>45451.0</v>
      </c>
      <c r="F3250" s="4" t="str">
        <f>IF(D3250="","", IFNA(VLOOKUP(D3250, SATCAT_DECAY!A:B, 2, FALSE), ""))
</f>
        <v/>
      </c>
      <c r="G3250" s="3" t="str">
        <f t="shared" si="1"/>
        <v>ACTIVE</v>
      </c>
    </row>
    <row r="3251" ht="22.5" customHeight="1">
      <c r="A3251" s="20" t="s">
        <v>3259</v>
      </c>
      <c r="B3251" s="3" t="s">
        <v>25</v>
      </c>
      <c r="C3251" s="12" t="s">
        <v>3268</v>
      </c>
      <c r="D3251" s="13">
        <v>60024.0</v>
      </c>
      <c r="E3251" s="4">
        <v>45451.0</v>
      </c>
      <c r="F3251" s="4" t="str">
        <f>IF(D3251="","", IFNA(VLOOKUP(D3251, SATCAT_DECAY!A:B, 2, FALSE), ""))
</f>
        <v/>
      </c>
      <c r="G3251" s="3" t="str">
        <f t="shared" si="1"/>
        <v>ACTIVE</v>
      </c>
    </row>
    <row r="3252" ht="22.5" hidden="1" customHeight="1">
      <c r="A3252" s="20" t="s">
        <v>3259</v>
      </c>
      <c r="B3252" s="3" t="s">
        <v>25</v>
      </c>
      <c r="C3252" s="12" t="s">
        <v>3269</v>
      </c>
      <c r="D3252" s="13">
        <v>60025.0</v>
      </c>
      <c r="E3252" s="4">
        <v>45451.0</v>
      </c>
      <c r="F3252" s="4">
        <f>IF(D3252="","", IFNA(VLOOKUP(D3252, SATCAT_DECAY!A:B, 2, FALSE), ""))
</f>
        <v>46019</v>
      </c>
      <c r="G3252" s="3" t="str">
        <f t="shared" si="1"/>
        <v>DECAYED</v>
      </c>
    </row>
    <row r="3253" ht="22.5" customHeight="1">
      <c r="A3253" s="20" t="s">
        <v>3259</v>
      </c>
      <c r="B3253" s="3" t="s">
        <v>25</v>
      </c>
      <c r="C3253" s="12" t="s">
        <v>3270</v>
      </c>
      <c r="D3253" s="13">
        <v>60026.0</v>
      </c>
      <c r="E3253" s="4">
        <v>45451.0</v>
      </c>
      <c r="F3253" s="4" t="str">
        <f>IF(D3253="","", IFNA(VLOOKUP(D3253, SATCAT_DECAY!A:B, 2, FALSE), ""))
</f>
        <v/>
      </c>
      <c r="G3253" s="3" t="str">
        <f t="shared" si="1"/>
        <v>ACTIVE</v>
      </c>
    </row>
    <row r="3254" ht="22.5" customHeight="1">
      <c r="A3254" s="20" t="s">
        <v>3259</v>
      </c>
      <c r="B3254" s="3" t="s">
        <v>25</v>
      </c>
      <c r="C3254" s="12" t="s">
        <v>3271</v>
      </c>
      <c r="D3254" s="13">
        <v>60027.0</v>
      </c>
      <c r="E3254" s="4">
        <v>45451.0</v>
      </c>
      <c r="F3254" s="4" t="str">
        <f>IF(D3254="","", IFNA(VLOOKUP(D3254, SATCAT_DECAY!A:B, 2, FALSE), ""))
</f>
        <v/>
      </c>
      <c r="G3254" s="3" t="str">
        <f t="shared" si="1"/>
        <v>ACTIVE</v>
      </c>
    </row>
    <row r="3255" ht="22.5" customHeight="1">
      <c r="A3255" s="20" t="s">
        <v>3259</v>
      </c>
      <c r="B3255" s="3" t="s">
        <v>25</v>
      </c>
      <c r="C3255" s="12" t="s">
        <v>3272</v>
      </c>
      <c r="D3255" s="13">
        <v>60028.0</v>
      </c>
      <c r="E3255" s="4">
        <v>45451.0</v>
      </c>
      <c r="F3255" s="4" t="str">
        <f>IF(D3255="","", IFNA(VLOOKUP(D3255, SATCAT_DECAY!A:B, 2, FALSE), ""))
</f>
        <v/>
      </c>
      <c r="G3255" s="3" t="str">
        <f t="shared" si="1"/>
        <v>ACTIVE</v>
      </c>
    </row>
    <row r="3256" ht="22.5" customHeight="1">
      <c r="A3256" s="20" t="s">
        <v>3259</v>
      </c>
      <c r="B3256" s="3" t="s">
        <v>25</v>
      </c>
      <c r="C3256" s="12" t="s">
        <v>3273</v>
      </c>
      <c r="D3256" s="13">
        <v>60029.0</v>
      </c>
      <c r="E3256" s="4">
        <v>45451.0</v>
      </c>
      <c r="F3256" s="4" t="str">
        <f>IF(D3256="","", IFNA(VLOOKUP(D3256, SATCAT_DECAY!A:B, 2, FALSE), ""))
</f>
        <v/>
      </c>
      <c r="G3256" s="3" t="str">
        <f t="shared" si="1"/>
        <v>ACTIVE</v>
      </c>
    </row>
    <row r="3257" ht="22.5" customHeight="1">
      <c r="A3257" s="20" t="s">
        <v>3259</v>
      </c>
      <c r="B3257" s="3" t="s">
        <v>25</v>
      </c>
      <c r="C3257" s="12" t="s">
        <v>3274</v>
      </c>
      <c r="D3257" s="13">
        <v>60030.0</v>
      </c>
      <c r="E3257" s="4">
        <v>45451.0</v>
      </c>
      <c r="F3257" s="4" t="str">
        <f>IF(D3257="","", IFNA(VLOOKUP(D3257, SATCAT_DECAY!A:B, 2, FALSE), ""))
</f>
        <v/>
      </c>
      <c r="G3257" s="3" t="str">
        <f t="shared" si="1"/>
        <v>ACTIVE</v>
      </c>
    </row>
    <row r="3258" ht="22.5" customHeight="1">
      <c r="A3258" s="20" t="s">
        <v>3259</v>
      </c>
      <c r="B3258" s="3" t="s">
        <v>25</v>
      </c>
      <c r="C3258" s="12" t="s">
        <v>3275</v>
      </c>
      <c r="D3258" s="13">
        <v>60031.0</v>
      </c>
      <c r="E3258" s="4">
        <v>45451.0</v>
      </c>
      <c r="F3258" s="4" t="str">
        <f>IF(D3258="","", IFNA(VLOOKUP(D3258, SATCAT_DECAY!A:B, 2, FALSE), ""))
</f>
        <v/>
      </c>
      <c r="G3258" s="3" t="str">
        <f t="shared" si="1"/>
        <v>ACTIVE</v>
      </c>
    </row>
    <row r="3259" ht="22.5" customHeight="1">
      <c r="A3259" s="20" t="s">
        <v>3259</v>
      </c>
      <c r="B3259" s="3" t="s">
        <v>25</v>
      </c>
      <c r="C3259" s="12" t="s">
        <v>3276</v>
      </c>
      <c r="D3259" s="13">
        <v>60032.0</v>
      </c>
      <c r="E3259" s="4">
        <v>45451.0</v>
      </c>
      <c r="F3259" s="4" t="str">
        <f>IF(D3259="","", IFNA(VLOOKUP(D3259, SATCAT_DECAY!A:B, 2, FALSE), ""))
</f>
        <v/>
      </c>
      <c r="G3259" s="3" t="str">
        <f t="shared" si="1"/>
        <v>ACTIVE</v>
      </c>
    </row>
    <row r="3260" ht="22.5" hidden="1" customHeight="1">
      <c r="A3260" s="20" t="s">
        <v>3259</v>
      </c>
      <c r="B3260" s="3" t="s">
        <v>25</v>
      </c>
      <c r="C3260" s="12" t="s">
        <v>3277</v>
      </c>
      <c r="D3260" s="13">
        <v>60033.0</v>
      </c>
      <c r="E3260" s="4">
        <v>45451.0</v>
      </c>
      <c r="F3260" s="4">
        <f>IF(D3260="","", IFNA(VLOOKUP(D3260, SATCAT_DECAY!A:B, 2, FALSE), ""))
</f>
        <v>45856</v>
      </c>
      <c r="G3260" s="3" t="str">
        <f t="shared" si="1"/>
        <v>DECAYED</v>
      </c>
    </row>
    <row r="3261" ht="22.5" customHeight="1">
      <c r="A3261" s="20" t="s">
        <v>3259</v>
      </c>
      <c r="B3261" s="3" t="s">
        <v>25</v>
      </c>
      <c r="C3261" s="12" t="s">
        <v>3278</v>
      </c>
      <c r="D3261" s="13">
        <v>60034.0</v>
      </c>
      <c r="E3261" s="4">
        <v>45451.0</v>
      </c>
      <c r="F3261" s="4" t="str">
        <f>IF(D3261="","", IFNA(VLOOKUP(D3261, SATCAT_DECAY!A:B, 2, FALSE), ""))
</f>
        <v/>
      </c>
      <c r="G3261" s="3" t="str">
        <f t="shared" si="1"/>
        <v>ACTIVE</v>
      </c>
    </row>
    <row r="3262" ht="22.5" customHeight="1">
      <c r="A3262" s="20" t="s">
        <v>3259</v>
      </c>
      <c r="B3262" s="3" t="s">
        <v>25</v>
      </c>
      <c r="C3262" s="12" t="s">
        <v>3279</v>
      </c>
      <c r="D3262" s="13">
        <v>60035.0</v>
      </c>
      <c r="E3262" s="4">
        <v>45451.0</v>
      </c>
      <c r="F3262" s="4" t="str">
        <f>IF(D3262="","", IFNA(VLOOKUP(D3262, SATCAT_DECAY!A:B, 2, FALSE), ""))
</f>
        <v/>
      </c>
      <c r="G3262" s="3" t="str">
        <f t="shared" si="1"/>
        <v>ACTIVE</v>
      </c>
    </row>
    <row r="3263" ht="22.5" customHeight="1">
      <c r="A3263" s="20" t="s">
        <v>3259</v>
      </c>
      <c r="B3263" s="3" t="s">
        <v>25</v>
      </c>
      <c r="C3263" s="12" t="s">
        <v>3280</v>
      </c>
      <c r="D3263" s="13">
        <v>60036.0</v>
      </c>
      <c r="E3263" s="4">
        <v>45451.0</v>
      </c>
      <c r="F3263" s="4" t="str">
        <f>IF(D3263="","", IFNA(VLOOKUP(D3263, SATCAT_DECAY!A:B, 2, FALSE), ""))
</f>
        <v/>
      </c>
      <c r="G3263" s="3" t="str">
        <f t="shared" si="1"/>
        <v>ACTIVE</v>
      </c>
    </row>
    <row r="3264" ht="22.5" customHeight="1">
      <c r="A3264" s="20" t="s">
        <v>3259</v>
      </c>
      <c r="B3264" s="3" t="s">
        <v>25</v>
      </c>
      <c r="C3264" s="12" t="s">
        <v>3281</v>
      </c>
      <c r="D3264" s="13">
        <v>60037.0</v>
      </c>
      <c r="E3264" s="4">
        <v>45451.0</v>
      </c>
      <c r="F3264" s="4" t="str">
        <f>IF(D3264="","", IFNA(VLOOKUP(D3264, SATCAT_DECAY!A:B, 2, FALSE), ""))
</f>
        <v/>
      </c>
      <c r="G3264" s="3" t="str">
        <f t="shared" si="1"/>
        <v>ACTIVE</v>
      </c>
    </row>
    <row r="3265" ht="22.5" customHeight="1">
      <c r="A3265" s="11" t="str">
        <f t="array" ref="A3265">IFERROR(
  INDEX('Starlink Launches'!$A:$A, MATCH($E3265, 'Starlink Launches'!$B:$B, 0)),
  ""
)
</f>
        <v>10-2</v>
      </c>
      <c r="B3265" s="3" t="s">
        <v>25</v>
      </c>
      <c r="C3265" s="12" t="s">
        <v>3282</v>
      </c>
      <c r="D3265" s="13">
        <v>60091.0</v>
      </c>
      <c r="E3265" s="4">
        <v>45466.0</v>
      </c>
      <c r="F3265" s="4" t="str">
        <f>IF(D3265="","", IFNA(VLOOKUP(D3265, SATCAT_DECAY!A:B, 2, FALSE), ""))
</f>
        <v/>
      </c>
      <c r="G3265" s="3" t="str">
        <f t="shared" si="1"/>
        <v>ACTIVE</v>
      </c>
    </row>
    <row r="3266" ht="22.5" customHeight="1">
      <c r="A3266" s="11" t="str">
        <f t="array" ref="A3266">IFERROR(
  INDEX('Starlink Launches'!$A:$A, MATCH($E3266, 'Starlink Launches'!$B:$B, 0)),
  ""
)
</f>
        <v>10-2</v>
      </c>
      <c r="B3266" s="3" t="s">
        <v>25</v>
      </c>
      <c r="C3266" s="12" t="s">
        <v>3283</v>
      </c>
      <c r="D3266" s="13">
        <v>60092.0</v>
      </c>
      <c r="E3266" s="4">
        <v>45466.0</v>
      </c>
      <c r="F3266" s="4" t="str">
        <f>IF(D3266="","", IFNA(VLOOKUP(D3266, SATCAT_DECAY!A:B, 2, FALSE), ""))
</f>
        <v/>
      </c>
      <c r="G3266" s="3" t="str">
        <f t="shared" si="1"/>
        <v>ACTIVE</v>
      </c>
    </row>
    <row r="3267" ht="22.5" customHeight="1">
      <c r="A3267" s="11" t="str">
        <f t="array" ref="A3267">IFERROR(
  INDEX('Starlink Launches'!$A:$A, MATCH($E3267, 'Starlink Launches'!$B:$B, 0)),
  ""
)
</f>
        <v>10-2</v>
      </c>
      <c r="B3267" s="3" t="s">
        <v>25</v>
      </c>
      <c r="C3267" s="12" t="s">
        <v>3284</v>
      </c>
      <c r="D3267" s="13">
        <v>60093.0</v>
      </c>
      <c r="E3267" s="4">
        <v>45466.0</v>
      </c>
      <c r="F3267" s="4" t="str">
        <f>IF(D3267="","", IFNA(VLOOKUP(D3267, SATCAT_DECAY!A:B, 2, FALSE), ""))
</f>
        <v/>
      </c>
      <c r="G3267" s="3" t="str">
        <f t="shared" si="1"/>
        <v>ACTIVE</v>
      </c>
    </row>
    <row r="3268" ht="22.5" customHeight="1">
      <c r="A3268" s="11" t="str">
        <f t="array" ref="A3268">IFERROR(
  INDEX('Starlink Launches'!$A:$A, MATCH($E3268, 'Starlink Launches'!$B:$B, 0)),
  ""
)
</f>
        <v>10-2</v>
      </c>
      <c r="B3268" s="3" t="s">
        <v>25</v>
      </c>
      <c r="C3268" s="12" t="s">
        <v>3285</v>
      </c>
      <c r="D3268" s="13">
        <v>60094.0</v>
      </c>
      <c r="E3268" s="4">
        <v>45466.0</v>
      </c>
      <c r="F3268" s="4" t="str">
        <f>IF(D3268="","", IFNA(VLOOKUP(D3268, SATCAT_DECAY!A:B, 2, FALSE), ""))
</f>
        <v/>
      </c>
      <c r="G3268" s="3" t="str">
        <f t="shared" si="1"/>
        <v>ACTIVE</v>
      </c>
    </row>
    <row r="3269" ht="22.5" customHeight="1">
      <c r="A3269" s="11" t="str">
        <f t="array" ref="A3269">IFERROR(
  INDEX('Starlink Launches'!$A:$A, MATCH($E3269, 'Starlink Launches'!$B:$B, 0)),
  ""
)
</f>
        <v>10-2</v>
      </c>
      <c r="B3269" s="3" t="s">
        <v>25</v>
      </c>
      <c r="C3269" s="12" t="s">
        <v>3286</v>
      </c>
      <c r="D3269" s="13">
        <v>60095.0</v>
      </c>
      <c r="E3269" s="4">
        <v>45466.0</v>
      </c>
      <c r="F3269" s="4" t="str">
        <f>IF(D3269="","", IFNA(VLOOKUP(D3269, SATCAT_DECAY!A:B, 2, FALSE), ""))
</f>
        <v/>
      </c>
      <c r="G3269" s="3" t="str">
        <f t="shared" si="1"/>
        <v>ACTIVE</v>
      </c>
    </row>
    <row r="3270" ht="22.5" customHeight="1">
      <c r="A3270" s="11" t="str">
        <f t="array" ref="A3270">IFERROR(
  INDEX('Starlink Launches'!$A:$A, MATCH($E3270, 'Starlink Launches'!$B:$B, 0)),
  ""
)
</f>
        <v>10-2</v>
      </c>
      <c r="B3270" s="3" t="s">
        <v>25</v>
      </c>
      <c r="C3270" s="12" t="s">
        <v>3287</v>
      </c>
      <c r="D3270" s="13">
        <v>60096.0</v>
      </c>
      <c r="E3270" s="4">
        <v>45466.0</v>
      </c>
      <c r="F3270" s="4" t="str">
        <f>IF(D3270="","", IFNA(VLOOKUP(D3270, SATCAT_DECAY!A:B, 2, FALSE), ""))
</f>
        <v/>
      </c>
      <c r="G3270" s="3" t="str">
        <f t="shared" si="1"/>
        <v>ACTIVE</v>
      </c>
    </row>
    <row r="3271" ht="22.5" customHeight="1">
      <c r="A3271" s="11" t="str">
        <f t="array" ref="A3271">IFERROR(
  INDEX('Starlink Launches'!$A:$A, MATCH($E3271, 'Starlink Launches'!$B:$B, 0)),
  ""
)
</f>
        <v>10-2</v>
      </c>
      <c r="B3271" s="3" t="s">
        <v>25</v>
      </c>
      <c r="C3271" s="12" t="s">
        <v>3288</v>
      </c>
      <c r="D3271" s="13">
        <v>60097.0</v>
      </c>
      <c r="E3271" s="4">
        <v>45466.0</v>
      </c>
      <c r="F3271" s="4" t="str">
        <f>IF(D3271="","", IFNA(VLOOKUP(D3271, SATCAT_DECAY!A:B, 2, FALSE), ""))
</f>
        <v/>
      </c>
      <c r="G3271" s="3" t="str">
        <f t="shared" si="1"/>
        <v>ACTIVE</v>
      </c>
    </row>
    <row r="3272" ht="22.5" customHeight="1">
      <c r="A3272" s="11" t="str">
        <f t="array" ref="A3272">IFERROR(
  INDEX('Starlink Launches'!$A:$A, MATCH($E3272, 'Starlink Launches'!$B:$B, 0)),
  ""
)
</f>
        <v>10-2</v>
      </c>
      <c r="B3272" s="3" t="s">
        <v>25</v>
      </c>
      <c r="C3272" s="12" t="s">
        <v>3289</v>
      </c>
      <c r="D3272" s="13">
        <v>60098.0</v>
      </c>
      <c r="E3272" s="4">
        <v>45466.0</v>
      </c>
      <c r="F3272" s="4" t="str">
        <f>IF(D3272="","", IFNA(VLOOKUP(D3272, SATCAT_DECAY!A:B, 2, FALSE), ""))
</f>
        <v/>
      </c>
      <c r="G3272" s="3" t="str">
        <f t="shared" si="1"/>
        <v>ACTIVE</v>
      </c>
    </row>
    <row r="3273" ht="22.5" customHeight="1">
      <c r="A3273" s="11" t="str">
        <f t="array" ref="A3273">IFERROR(
  INDEX('Starlink Launches'!$A:$A, MATCH($E3273, 'Starlink Launches'!$B:$B, 0)),
  ""
)
</f>
        <v>10-2</v>
      </c>
      <c r="B3273" s="3" t="s">
        <v>25</v>
      </c>
      <c r="C3273" s="12" t="s">
        <v>3290</v>
      </c>
      <c r="D3273" s="13">
        <v>60099.0</v>
      </c>
      <c r="E3273" s="4">
        <v>45466.0</v>
      </c>
      <c r="F3273" s="4" t="str">
        <f>IF(D3273="","", IFNA(VLOOKUP(D3273, SATCAT_DECAY!A:B, 2, FALSE), ""))
</f>
        <v/>
      </c>
      <c r="G3273" s="3" t="str">
        <f t="shared" si="1"/>
        <v>ACTIVE</v>
      </c>
    </row>
    <row r="3274" ht="22.5" customHeight="1">
      <c r="A3274" s="11" t="str">
        <f t="array" ref="A3274">IFERROR(
  INDEX('Starlink Launches'!$A:$A, MATCH($E3274, 'Starlink Launches'!$B:$B, 0)),
  ""
)
</f>
        <v>10-2</v>
      </c>
      <c r="B3274" s="3" t="s">
        <v>25</v>
      </c>
      <c r="C3274" s="12" t="s">
        <v>3291</v>
      </c>
      <c r="D3274" s="13">
        <v>60100.0</v>
      </c>
      <c r="E3274" s="4">
        <v>45466.0</v>
      </c>
      <c r="F3274" s="4" t="str">
        <f>IF(D3274="","", IFNA(VLOOKUP(D3274, SATCAT_DECAY!A:B, 2, FALSE), ""))
</f>
        <v/>
      </c>
      <c r="G3274" s="3" t="str">
        <f t="shared" si="1"/>
        <v>ACTIVE</v>
      </c>
    </row>
    <row r="3275" ht="22.5" customHeight="1">
      <c r="A3275" s="11" t="str">
        <f t="array" ref="A3275">IFERROR(
  INDEX('Starlink Launches'!$A:$A, MATCH($E3275, 'Starlink Launches'!$B:$B, 0)),
  ""
)
</f>
        <v>10-2</v>
      </c>
      <c r="B3275" s="3" t="s">
        <v>25</v>
      </c>
      <c r="C3275" s="12" t="s">
        <v>3292</v>
      </c>
      <c r="D3275" s="13">
        <v>60101.0</v>
      </c>
      <c r="E3275" s="4">
        <v>45466.0</v>
      </c>
      <c r="F3275" s="4" t="str">
        <f>IF(D3275="","", IFNA(VLOOKUP(D3275, SATCAT_DECAY!A:B, 2, FALSE), ""))
</f>
        <v/>
      </c>
      <c r="G3275" s="3" t="str">
        <f t="shared" si="1"/>
        <v>ACTIVE</v>
      </c>
    </row>
    <row r="3276" ht="22.5" customHeight="1">
      <c r="A3276" s="11" t="str">
        <f t="array" ref="A3276">IFERROR(
  INDEX('Starlink Launches'!$A:$A, MATCH($E3276, 'Starlink Launches'!$B:$B, 0)),
  ""
)
</f>
        <v>10-2</v>
      </c>
      <c r="B3276" s="3" t="s">
        <v>25</v>
      </c>
      <c r="C3276" s="12" t="s">
        <v>3293</v>
      </c>
      <c r="D3276" s="13">
        <v>60102.0</v>
      </c>
      <c r="E3276" s="4">
        <v>45466.0</v>
      </c>
      <c r="F3276" s="4" t="str">
        <f>IF(D3276="","", IFNA(VLOOKUP(D3276, SATCAT_DECAY!A:B, 2, FALSE), ""))
</f>
        <v/>
      </c>
      <c r="G3276" s="3" t="str">
        <f t="shared" si="1"/>
        <v>ACTIVE</v>
      </c>
    </row>
    <row r="3277" ht="22.5" customHeight="1">
      <c r="A3277" s="11" t="str">
        <f t="array" ref="A3277">IFERROR(
  INDEX('Starlink Launches'!$A:$A, MATCH($E3277, 'Starlink Launches'!$B:$B, 0)),
  ""
)
</f>
        <v>10-2</v>
      </c>
      <c r="B3277" s="3" t="s">
        <v>25</v>
      </c>
      <c r="C3277" s="12" t="s">
        <v>3294</v>
      </c>
      <c r="D3277" s="13">
        <v>60103.0</v>
      </c>
      <c r="E3277" s="4">
        <v>45466.0</v>
      </c>
      <c r="F3277" s="4" t="str">
        <f>IF(D3277="","", IFNA(VLOOKUP(D3277, SATCAT_DECAY!A:B, 2, FALSE), ""))
</f>
        <v/>
      </c>
      <c r="G3277" s="3" t="str">
        <f t="shared" si="1"/>
        <v>ACTIVE</v>
      </c>
    </row>
    <row r="3278" ht="22.5" customHeight="1">
      <c r="A3278" s="11" t="str">
        <f t="array" ref="A3278">IFERROR(
  INDEX('Starlink Launches'!$A:$A, MATCH($E3278, 'Starlink Launches'!$B:$B, 0)),
  ""
)
</f>
        <v>10-2</v>
      </c>
      <c r="B3278" s="3" t="s">
        <v>25</v>
      </c>
      <c r="C3278" s="12" t="s">
        <v>3295</v>
      </c>
      <c r="D3278" s="13">
        <v>60104.0</v>
      </c>
      <c r="E3278" s="4">
        <v>45466.0</v>
      </c>
      <c r="F3278" s="4" t="str">
        <f>IF(D3278="","", IFNA(VLOOKUP(D3278, SATCAT_DECAY!A:B, 2, FALSE), ""))
</f>
        <v/>
      </c>
      <c r="G3278" s="3" t="str">
        <f t="shared" si="1"/>
        <v>ACTIVE</v>
      </c>
    </row>
    <row r="3279" ht="22.5" customHeight="1">
      <c r="A3279" s="11" t="str">
        <f t="array" ref="A3279">IFERROR(
  INDEX('Starlink Launches'!$A:$A, MATCH($E3279, 'Starlink Launches'!$B:$B, 0)),
  ""
)
</f>
        <v>10-2</v>
      </c>
      <c r="B3279" s="3" t="s">
        <v>25</v>
      </c>
      <c r="C3279" s="12" t="s">
        <v>3296</v>
      </c>
      <c r="D3279" s="13">
        <v>60105.0</v>
      </c>
      <c r="E3279" s="4">
        <v>45466.0</v>
      </c>
      <c r="F3279" s="4" t="str">
        <f>IF(D3279="","", IFNA(VLOOKUP(D3279, SATCAT_DECAY!A:B, 2, FALSE), ""))
</f>
        <v/>
      </c>
      <c r="G3279" s="3" t="str">
        <f t="shared" si="1"/>
        <v>ACTIVE</v>
      </c>
    </row>
    <row r="3280" ht="22.5" customHeight="1">
      <c r="A3280" s="11" t="str">
        <f t="array" ref="A3280">IFERROR(
  INDEX('Starlink Launches'!$A:$A, MATCH($E3280, 'Starlink Launches'!$B:$B, 0)),
  ""
)
</f>
        <v>10-2</v>
      </c>
      <c r="B3280" s="3" t="s">
        <v>25</v>
      </c>
      <c r="C3280" s="12" t="s">
        <v>3297</v>
      </c>
      <c r="D3280" s="13">
        <v>60106.0</v>
      </c>
      <c r="E3280" s="4">
        <v>45466.0</v>
      </c>
      <c r="F3280" s="4" t="str">
        <f>IF(D3280="","", IFNA(VLOOKUP(D3280, SATCAT_DECAY!A:B, 2, FALSE), ""))
</f>
        <v/>
      </c>
      <c r="G3280" s="3" t="str">
        <f t="shared" si="1"/>
        <v>ACTIVE</v>
      </c>
    </row>
    <row r="3281" ht="22.5" customHeight="1">
      <c r="A3281" s="11" t="str">
        <f t="array" ref="A3281">IFERROR(
  INDEX('Starlink Launches'!$A:$A, MATCH($E3281, 'Starlink Launches'!$B:$B, 0)),
  ""
)
</f>
        <v>10-2</v>
      </c>
      <c r="B3281" s="3" t="s">
        <v>25</v>
      </c>
      <c r="C3281" s="12" t="s">
        <v>3298</v>
      </c>
      <c r="D3281" s="13">
        <v>60107.0</v>
      </c>
      <c r="E3281" s="4">
        <v>45466.0</v>
      </c>
      <c r="F3281" s="4" t="str">
        <f>IF(D3281="","", IFNA(VLOOKUP(D3281, SATCAT_DECAY!A:B, 2, FALSE), ""))
</f>
        <v/>
      </c>
      <c r="G3281" s="3" t="str">
        <f t="shared" si="1"/>
        <v>ACTIVE</v>
      </c>
    </row>
    <row r="3282" ht="22.5" customHeight="1">
      <c r="A3282" s="11" t="str">
        <f t="array" ref="A3282">IFERROR(
  INDEX('Starlink Launches'!$A:$A, MATCH($E3282, 'Starlink Launches'!$B:$B, 0)),
  ""
)
</f>
        <v>10-2</v>
      </c>
      <c r="B3282" s="3" t="s">
        <v>25</v>
      </c>
      <c r="C3282" s="12" t="s">
        <v>3299</v>
      </c>
      <c r="D3282" s="13">
        <v>60108.0</v>
      </c>
      <c r="E3282" s="4">
        <v>45466.0</v>
      </c>
      <c r="F3282" s="4" t="str">
        <f>IF(D3282="","", IFNA(VLOOKUP(D3282, SATCAT_DECAY!A:B, 2, FALSE), ""))
</f>
        <v/>
      </c>
      <c r="G3282" s="3" t="str">
        <f t="shared" si="1"/>
        <v>ACTIVE</v>
      </c>
    </row>
    <row r="3283" ht="22.5" customHeight="1">
      <c r="A3283" s="11" t="str">
        <f t="array" ref="A3283">IFERROR(
  INDEX('Starlink Launches'!$A:$A, MATCH($E3283, 'Starlink Launches'!$B:$B, 0)),
  ""
)
</f>
        <v>10-2</v>
      </c>
      <c r="B3283" s="3" t="s">
        <v>25</v>
      </c>
      <c r="C3283" s="12" t="s">
        <v>3300</v>
      </c>
      <c r="D3283" s="13">
        <v>60109.0</v>
      </c>
      <c r="E3283" s="4">
        <v>45466.0</v>
      </c>
      <c r="F3283" s="4" t="str">
        <f>IF(D3283="","", IFNA(VLOOKUP(D3283, SATCAT_DECAY!A:B, 2, FALSE), ""))
</f>
        <v/>
      </c>
      <c r="G3283" s="3" t="str">
        <f t="shared" si="1"/>
        <v>ACTIVE</v>
      </c>
    </row>
    <row r="3284" ht="22.5" customHeight="1">
      <c r="A3284" s="11" t="str">
        <f t="array" ref="A3284">IFERROR(
  INDEX('Starlink Launches'!$A:$A, MATCH($E3284, 'Starlink Launches'!$B:$B, 0)),
  ""
)
</f>
        <v>10-2</v>
      </c>
      <c r="B3284" s="3" t="s">
        <v>25</v>
      </c>
      <c r="C3284" s="12" t="s">
        <v>3301</v>
      </c>
      <c r="D3284" s="13">
        <v>60110.0</v>
      </c>
      <c r="E3284" s="4">
        <v>45466.0</v>
      </c>
      <c r="F3284" s="4" t="str">
        <f>IF(D3284="","", IFNA(VLOOKUP(D3284, SATCAT_DECAY!A:B, 2, FALSE), ""))
</f>
        <v/>
      </c>
      <c r="G3284" s="3" t="str">
        <f t="shared" si="1"/>
        <v>ACTIVE</v>
      </c>
    </row>
    <row r="3285" ht="22.5" customHeight="1">
      <c r="A3285" s="11" t="str">
        <f t="array" ref="A3285">IFERROR(
  INDEX('Starlink Launches'!$A:$A, MATCH($E3285, 'Starlink Launches'!$B:$B, 0)),
  ""
)
</f>
        <v>10-2</v>
      </c>
      <c r="B3285" s="3" t="s">
        <v>25</v>
      </c>
      <c r="C3285" s="12" t="s">
        <v>3302</v>
      </c>
      <c r="D3285" s="13">
        <v>60111.0</v>
      </c>
      <c r="E3285" s="4">
        <v>45466.0</v>
      </c>
      <c r="F3285" s="4" t="str">
        <f>IF(D3285="","", IFNA(VLOOKUP(D3285, SATCAT_DECAY!A:B, 2, FALSE), ""))
</f>
        <v/>
      </c>
      <c r="G3285" s="3" t="str">
        <f t="shared" si="1"/>
        <v>ACTIVE</v>
      </c>
    </row>
    <row r="3286" ht="22.5" customHeight="1">
      <c r="A3286" s="11" t="str">
        <f t="array" ref="A3286">IFERROR(
  INDEX('Starlink Launches'!$A:$A, MATCH($E3286, 'Starlink Launches'!$B:$B, 0)),
  ""
)
</f>
        <v>10-2</v>
      </c>
      <c r="B3286" s="3" t="s">
        <v>25</v>
      </c>
      <c r="C3286" s="12" t="s">
        <v>3303</v>
      </c>
      <c r="D3286" s="13">
        <v>60112.0</v>
      </c>
      <c r="E3286" s="4">
        <v>45466.0</v>
      </c>
      <c r="F3286" s="4" t="str">
        <f>IF(D3286="","", IFNA(VLOOKUP(D3286, SATCAT_DECAY!A:B, 2, FALSE), ""))
</f>
        <v/>
      </c>
      <c r="G3286" s="3" t="str">
        <f t="shared" si="1"/>
        <v>ACTIVE</v>
      </c>
    </row>
    <row r="3287" ht="22.5" customHeight="1">
      <c r="A3287" s="11" t="str">
        <f t="array" ref="A3287">IFERROR(
  INDEX('Starlink Launches'!$A:$A, MATCH($E3287, 'Starlink Launches'!$B:$B, 0)),
  ""
)
</f>
        <v>10-3</v>
      </c>
      <c r="B3287" s="3" t="s">
        <v>25</v>
      </c>
      <c r="C3287" s="12" t="s">
        <v>3304</v>
      </c>
      <c r="D3287" s="13">
        <v>60135.0</v>
      </c>
      <c r="E3287" s="4">
        <v>45470.0</v>
      </c>
      <c r="F3287" s="4" t="str">
        <f>IF(D3287="","", IFNA(VLOOKUP(D3287, SATCAT_DECAY!A:B, 2, FALSE), ""))
</f>
        <v/>
      </c>
      <c r="G3287" s="3" t="str">
        <f t="shared" si="1"/>
        <v>ACTIVE</v>
      </c>
    </row>
    <row r="3288" ht="22.5" customHeight="1">
      <c r="A3288" s="11" t="str">
        <f t="array" ref="A3288">IFERROR(
  INDEX('Starlink Launches'!$A:$A, MATCH($E3288, 'Starlink Launches'!$B:$B, 0)),
  ""
)
</f>
        <v>10-3</v>
      </c>
      <c r="B3288" s="3" t="s">
        <v>25</v>
      </c>
      <c r="C3288" s="12" t="s">
        <v>3305</v>
      </c>
      <c r="D3288" s="13">
        <v>60136.0</v>
      </c>
      <c r="E3288" s="4">
        <v>45470.0</v>
      </c>
      <c r="F3288" s="4" t="str">
        <f>IF(D3288="","", IFNA(VLOOKUP(D3288, SATCAT_DECAY!A:B, 2, FALSE), ""))
</f>
        <v/>
      </c>
      <c r="G3288" s="3" t="str">
        <f t="shared" si="1"/>
        <v>ACTIVE</v>
      </c>
    </row>
    <row r="3289" ht="22.5" customHeight="1">
      <c r="A3289" s="11" t="str">
        <f t="array" ref="A3289">IFERROR(
  INDEX('Starlink Launches'!$A:$A, MATCH($E3289, 'Starlink Launches'!$B:$B, 0)),
  ""
)
</f>
        <v>10-3</v>
      </c>
      <c r="B3289" s="3" t="s">
        <v>25</v>
      </c>
      <c r="C3289" s="12" t="s">
        <v>3306</v>
      </c>
      <c r="D3289" s="13">
        <v>60137.0</v>
      </c>
      <c r="E3289" s="4">
        <v>45470.0</v>
      </c>
      <c r="F3289" s="4" t="str">
        <f>IF(D3289="","", IFNA(VLOOKUP(D3289, SATCAT_DECAY!A:B, 2, FALSE), ""))
</f>
        <v/>
      </c>
      <c r="G3289" s="3" t="str">
        <f t="shared" si="1"/>
        <v>ACTIVE</v>
      </c>
    </row>
    <row r="3290" ht="22.5" customHeight="1">
      <c r="A3290" s="11" t="str">
        <f t="array" ref="A3290">IFERROR(
  INDEX('Starlink Launches'!$A:$A, MATCH($E3290, 'Starlink Launches'!$B:$B, 0)),
  ""
)
</f>
        <v>10-3</v>
      </c>
      <c r="B3290" s="3" t="s">
        <v>25</v>
      </c>
      <c r="C3290" s="12" t="s">
        <v>3307</v>
      </c>
      <c r="D3290" s="13">
        <v>60138.0</v>
      </c>
      <c r="E3290" s="4">
        <v>45470.0</v>
      </c>
      <c r="F3290" s="4" t="str">
        <f>IF(D3290="","", IFNA(VLOOKUP(D3290, SATCAT_DECAY!A:B, 2, FALSE), ""))
</f>
        <v/>
      </c>
      <c r="G3290" s="3" t="str">
        <f t="shared" si="1"/>
        <v>ACTIVE</v>
      </c>
    </row>
    <row r="3291" ht="22.5" customHeight="1">
      <c r="A3291" s="11" t="str">
        <f t="array" ref="A3291">IFERROR(
  INDEX('Starlink Launches'!$A:$A, MATCH($E3291, 'Starlink Launches'!$B:$B, 0)),
  ""
)
</f>
        <v>10-3</v>
      </c>
      <c r="B3291" s="3" t="s">
        <v>25</v>
      </c>
      <c r="C3291" s="12" t="s">
        <v>3308</v>
      </c>
      <c r="D3291" s="13">
        <v>60139.0</v>
      </c>
      <c r="E3291" s="4">
        <v>45470.0</v>
      </c>
      <c r="F3291" s="4" t="str">
        <f>IF(D3291="","", IFNA(VLOOKUP(D3291, SATCAT_DECAY!A:B, 2, FALSE), ""))
</f>
        <v/>
      </c>
      <c r="G3291" s="3" t="str">
        <f t="shared" si="1"/>
        <v>ACTIVE</v>
      </c>
    </row>
    <row r="3292" ht="22.5" customHeight="1">
      <c r="A3292" s="11" t="str">
        <f t="array" ref="A3292">IFERROR(
  INDEX('Starlink Launches'!$A:$A, MATCH($E3292, 'Starlink Launches'!$B:$B, 0)),
  ""
)
</f>
        <v>10-3</v>
      </c>
      <c r="B3292" s="3" t="s">
        <v>25</v>
      </c>
      <c r="C3292" s="12" t="s">
        <v>3309</v>
      </c>
      <c r="D3292" s="13">
        <v>60140.0</v>
      </c>
      <c r="E3292" s="4">
        <v>45470.0</v>
      </c>
      <c r="F3292" s="4" t="str">
        <f>IF(D3292="","", IFNA(VLOOKUP(D3292, SATCAT_DECAY!A:B, 2, FALSE), ""))
</f>
        <v/>
      </c>
      <c r="G3292" s="3" t="str">
        <f t="shared" si="1"/>
        <v>ACTIVE</v>
      </c>
    </row>
    <row r="3293" ht="22.5" customHeight="1">
      <c r="A3293" s="11" t="str">
        <f t="array" ref="A3293">IFERROR(
  INDEX('Starlink Launches'!$A:$A, MATCH($E3293, 'Starlink Launches'!$B:$B, 0)),
  ""
)
</f>
        <v>10-3</v>
      </c>
      <c r="B3293" s="3" t="s">
        <v>25</v>
      </c>
      <c r="C3293" s="12" t="s">
        <v>3310</v>
      </c>
      <c r="D3293" s="13">
        <v>60141.0</v>
      </c>
      <c r="E3293" s="4">
        <v>45470.0</v>
      </c>
      <c r="F3293" s="4" t="str">
        <f>IF(D3293="","", IFNA(VLOOKUP(D3293, SATCAT_DECAY!A:B, 2, FALSE), ""))
</f>
        <v/>
      </c>
      <c r="G3293" s="3" t="str">
        <f t="shared" si="1"/>
        <v>ACTIVE</v>
      </c>
    </row>
    <row r="3294" ht="22.5" customHeight="1">
      <c r="A3294" s="11" t="str">
        <f t="array" ref="A3294">IFERROR(
  INDEX('Starlink Launches'!$A:$A, MATCH($E3294, 'Starlink Launches'!$B:$B, 0)),
  ""
)
</f>
        <v>10-3</v>
      </c>
      <c r="B3294" s="3" t="s">
        <v>25</v>
      </c>
      <c r="C3294" s="12" t="s">
        <v>3311</v>
      </c>
      <c r="D3294" s="13">
        <v>60142.0</v>
      </c>
      <c r="E3294" s="4">
        <v>45470.0</v>
      </c>
      <c r="F3294" s="4" t="str">
        <f>IF(D3294="","", IFNA(VLOOKUP(D3294, SATCAT_DECAY!A:B, 2, FALSE), ""))
</f>
        <v/>
      </c>
      <c r="G3294" s="3" t="str">
        <f t="shared" si="1"/>
        <v>ACTIVE</v>
      </c>
    </row>
    <row r="3295" ht="22.5" customHeight="1">
      <c r="A3295" s="11" t="str">
        <f t="array" ref="A3295">IFERROR(
  INDEX('Starlink Launches'!$A:$A, MATCH($E3295, 'Starlink Launches'!$B:$B, 0)),
  ""
)
</f>
        <v>10-3</v>
      </c>
      <c r="B3295" s="3" t="s">
        <v>25</v>
      </c>
      <c r="C3295" s="12" t="s">
        <v>3312</v>
      </c>
      <c r="D3295" s="13">
        <v>60143.0</v>
      </c>
      <c r="E3295" s="4">
        <v>45470.0</v>
      </c>
      <c r="F3295" s="4" t="str">
        <f>IF(D3295="","", IFNA(VLOOKUP(D3295, SATCAT_DECAY!A:B, 2, FALSE), ""))
</f>
        <v/>
      </c>
      <c r="G3295" s="3" t="str">
        <f t="shared" si="1"/>
        <v>ACTIVE</v>
      </c>
    </row>
    <row r="3296" ht="22.5" customHeight="1">
      <c r="A3296" s="11" t="str">
        <f t="array" ref="A3296">IFERROR(
  INDEX('Starlink Launches'!$A:$A, MATCH($E3296, 'Starlink Launches'!$B:$B, 0)),
  ""
)
</f>
        <v>10-3</v>
      </c>
      <c r="B3296" s="3" t="s">
        <v>25</v>
      </c>
      <c r="C3296" s="12" t="s">
        <v>3313</v>
      </c>
      <c r="D3296" s="13">
        <v>60144.0</v>
      </c>
      <c r="E3296" s="4">
        <v>45470.0</v>
      </c>
      <c r="F3296" s="4" t="str">
        <f>IF(D3296="","", IFNA(VLOOKUP(D3296, SATCAT_DECAY!A:B, 2, FALSE), ""))
</f>
        <v/>
      </c>
      <c r="G3296" s="3" t="str">
        <f t="shared" si="1"/>
        <v>ACTIVE</v>
      </c>
    </row>
    <row r="3297" ht="22.5" customHeight="1">
      <c r="A3297" s="11" t="str">
        <f t="array" ref="A3297">IFERROR(
  INDEX('Starlink Launches'!$A:$A, MATCH($E3297, 'Starlink Launches'!$B:$B, 0)),
  ""
)
</f>
        <v>10-3</v>
      </c>
      <c r="B3297" s="3" t="s">
        <v>25</v>
      </c>
      <c r="C3297" s="12" t="s">
        <v>3314</v>
      </c>
      <c r="D3297" s="13">
        <v>60145.0</v>
      </c>
      <c r="E3297" s="4">
        <v>45470.0</v>
      </c>
      <c r="F3297" s="4" t="str">
        <f>IF(D3297="","", IFNA(VLOOKUP(D3297, SATCAT_DECAY!A:B, 2, FALSE), ""))
</f>
        <v/>
      </c>
      <c r="G3297" s="3" t="str">
        <f t="shared" si="1"/>
        <v>ACTIVE</v>
      </c>
    </row>
    <row r="3298" ht="22.5" customHeight="1">
      <c r="A3298" s="11" t="str">
        <f t="array" ref="A3298">IFERROR(
  INDEX('Starlink Launches'!$A:$A, MATCH($E3298, 'Starlink Launches'!$B:$B, 0)),
  ""
)
</f>
        <v>10-3</v>
      </c>
      <c r="B3298" s="3" t="s">
        <v>25</v>
      </c>
      <c r="C3298" s="12" t="s">
        <v>3315</v>
      </c>
      <c r="D3298" s="13">
        <v>60146.0</v>
      </c>
      <c r="E3298" s="4">
        <v>45470.0</v>
      </c>
      <c r="F3298" s="4" t="str">
        <f>IF(D3298="","", IFNA(VLOOKUP(D3298, SATCAT_DECAY!A:B, 2, FALSE), ""))
</f>
        <v/>
      </c>
      <c r="G3298" s="3" t="str">
        <f t="shared" si="1"/>
        <v>ACTIVE</v>
      </c>
    </row>
    <row r="3299" ht="22.5" customHeight="1">
      <c r="A3299" s="11" t="str">
        <f t="array" ref="A3299">IFERROR(
  INDEX('Starlink Launches'!$A:$A, MATCH($E3299, 'Starlink Launches'!$B:$B, 0)),
  ""
)
</f>
        <v>10-3</v>
      </c>
      <c r="B3299" s="3" t="s">
        <v>25</v>
      </c>
      <c r="C3299" s="12" t="s">
        <v>3316</v>
      </c>
      <c r="D3299" s="13">
        <v>60147.0</v>
      </c>
      <c r="E3299" s="4">
        <v>45470.0</v>
      </c>
      <c r="F3299" s="4" t="str">
        <f>IF(D3299="","", IFNA(VLOOKUP(D3299, SATCAT_DECAY!A:B, 2, FALSE), ""))
</f>
        <v/>
      </c>
      <c r="G3299" s="3" t="str">
        <f t="shared" si="1"/>
        <v>ACTIVE</v>
      </c>
    </row>
    <row r="3300" ht="22.5" customHeight="1">
      <c r="A3300" s="11" t="str">
        <f t="array" ref="A3300">IFERROR(
  INDEX('Starlink Launches'!$A:$A, MATCH($E3300, 'Starlink Launches'!$B:$B, 0)),
  ""
)
</f>
        <v>10-3</v>
      </c>
      <c r="B3300" s="3" t="s">
        <v>25</v>
      </c>
      <c r="C3300" s="12" t="s">
        <v>3317</v>
      </c>
      <c r="D3300" s="13">
        <v>60148.0</v>
      </c>
      <c r="E3300" s="4">
        <v>45470.0</v>
      </c>
      <c r="F3300" s="4" t="str">
        <f>IF(D3300="","", IFNA(VLOOKUP(D3300, SATCAT_DECAY!A:B, 2, FALSE), ""))
</f>
        <v/>
      </c>
      <c r="G3300" s="3" t="str">
        <f t="shared" si="1"/>
        <v>ACTIVE</v>
      </c>
    </row>
    <row r="3301" ht="22.5" customHeight="1">
      <c r="A3301" s="11" t="str">
        <f t="array" ref="A3301">IFERROR(
  INDEX('Starlink Launches'!$A:$A, MATCH($E3301, 'Starlink Launches'!$B:$B, 0)),
  ""
)
</f>
        <v>10-3</v>
      </c>
      <c r="B3301" s="3" t="s">
        <v>25</v>
      </c>
      <c r="C3301" s="12" t="s">
        <v>3318</v>
      </c>
      <c r="D3301" s="13">
        <v>60149.0</v>
      </c>
      <c r="E3301" s="4">
        <v>45470.0</v>
      </c>
      <c r="F3301" s="4" t="str">
        <f>IF(D3301="","", IFNA(VLOOKUP(D3301, SATCAT_DECAY!A:B, 2, FALSE), ""))
</f>
        <v/>
      </c>
      <c r="G3301" s="3" t="str">
        <f t="shared" si="1"/>
        <v>ACTIVE</v>
      </c>
    </row>
    <row r="3302" ht="22.5" customHeight="1">
      <c r="A3302" s="11" t="str">
        <f t="array" ref="A3302">IFERROR(
  INDEX('Starlink Launches'!$A:$A, MATCH($E3302, 'Starlink Launches'!$B:$B, 0)),
  ""
)
</f>
        <v>10-3</v>
      </c>
      <c r="B3302" s="3" t="s">
        <v>25</v>
      </c>
      <c r="C3302" s="12" t="s">
        <v>3319</v>
      </c>
      <c r="D3302" s="13">
        <v>60150.0</v>
      </c>
      <c r="E3302" s="4">
        <v>45470.0</v>
      </c>
      <c r="F3302" s="4" t="str">
        <f>IF(D3302="","", IFNA(VLOOKUP(D3302, SATCAT_DECAY!A:B, 2, FALSE), ""))
</f>
        <v/>
      </c>
      <c r="G3302" s="3" t="str">
        <f t="shared" si="1"/>
        <v>ACTIVE</v>
      </c>
    </row>
    <row r="3303" ht="22.5" customHeight="1">
      <c r="A3303" s="11" t="str">
        <f t="array" ref="A3303">IFERROR(
  INDEX('Starlink Launches'!$A:$A, MATCH($E3303, 'Starlink Launches'!$B:$B, 0)),
  ""
)
</f>
        <v>10-3</v>
      </c>
      <c r="B3303" s="3" t="s">
        <v>25</v>
      </c>
      <c r="C3303" s="12" t="s">
        <v>3320</v>
      </c>
      <c r="D3303" s="13">
        <v>60151.0</v>
      </c>
      <c r="E3303" s="4">
        <v>45470.0</v>
      </c>
      <c r="F3303" s="4" t="str">
        <f>IF(D3303="","", IFNA(VLOOKUP(D3303, SATCAT_DECAY!A:B, 2, FALSE), ""))
</f>
        <v/>
      </c>
      <c r="G3303" s="3" t="str">
        <f t="shared" si="1"/>
        <v>ACTIVE</v>
      </c>
    </row>
    <row r="3304" ht="22.5" customHeight="1">
      <c r="A3304" s="11" t="str">
        <f t="array" ref="A3304">IFERROR(
  INDEX('Starlink Launches'!$A:$A, MATCH($E3304, 'Starlink Launches'!$B:$B, 0)),
  ""
)
</f>
        <v>10-3</v>
      </c>
      <c r="B3304" s="3" t="s">
        <v>25</v>
      </c>
      <c r="C3304" s="12" t="s">
        <v>3321</v>
      </c>
      <c r="D3304" s="13">
        <v>60152.0</v>
      </c>
      <c r="E3304" s="4">
        <v>45470.0</v>
      </c>
      <c r="F3304" s="4" t="str">
        <f>IF(D3304="","", IFNA(VLOOKUP(D3304, SATCAT_DECAY!A:B, 2, FALSE), ""))
</f>
        <v/>
      </c>
      <c r="G3304" s="3" t="str">
        <f t="shared" si="1"/>
        <v>ACTIVE</v>
      </c>
    </row>
    <row r="3305" ht="22.5" customHeight="1">
      <c r="A3305" s="11" t="str">
        <f t="array" ref="A3305">IFERROR(
  INDEX('Starlink Launches'!$A:$A, MATCH($E3305, 'Starlink Launches'!$B:$B, 0)),
  ""
)
</f>
        <v>10-3</v>
      </c>
      <c r="B3305" s="3" t="s">
        <v>25</v>
      </c>
      <c r="C3305" s="12" t="s">
        <v>3322</v>
      </c>
      <c r="D3305" s="13">
        <v>60153.0</v>
      </c>
      <c r="E3305" s="4">
        <v>45470.0</v>
      </c>
      <c r="F3305" s="4" t="str">
        <f>IF(D3305="","", IFNA(VLOOKUP(D3305, SATCAT_DECAY!A:B, 2, FALSE), ""))
</f>
        <v/>
      </c>
      <c r="G3305" s="3" t="str">
        <f t="shared" si="1"/>
        <v>ACTIVE</v>
      </c>
    </row>
    <row r="3306" ht="22.5" customHeight="1">
      <c r="A3306" s="11" t="str">
        <f t="array" ref="A3306">IFERROR(
  INDEX('Starlink Launches'!$A:$A, MATCH($E3306, 'Starlink Launches'!$B:$B, 0)),
  ""
)
</f>
        <v>10-3</v>
      </c>
      <c r="B3306" s="3" t="s">
        <v>25</v>
      </c>
      <c r="C3306" s="12" t="s">
        <v>3323</v>
      </c>
      <c r="D3306" s="13">
        <v>60154.0</v>
      </c>
      <c r="E3306" s="4">
        <v>45470.0</v>
      </c>
      <c r="F3306" s="4" t="str">
        <f>IF(D3306="","", IFNA(VLOOKUP(D3306, SATCAT_DECAY!A:B, 2, FALSE), ""))
</f>
        <v/>
      </c>
      <c r="G3306" s="3" t="str">
        <f t="shared" si="1"/>
        <v>ACTIVE</v>
      </c>
    </row>
    <row r="3307" ht="22.5" customHeight="1">
      <c r="A3307" s="11" t="str">
        <f t="array" ref="A3307">IFERROR(
  INDEX('Starlink Launches'!$A:$A, MATCH($E3307, 'Starlink Launches'!$B:$B, 0)),
  ""
)
</f>
        <v>10-3</v>
      </c>
      <c r="B3307" s="3" t="s">
        <v>25</v>
      </c>
      <c r="C3307" s="12" t="s">
        <v>3324</v>
      </c>
      <c r="D3307" s="13">
        <v>60155.0</v>
      </c>
      <c r="E3307" s="4">
        <v>45470.0</v>
      </c>
      <c r="F3307" s="4" t="str">
        <f>IF(D3307="","", IFNA(VLOOKUP(D3307, SATCAT_DECAY!A:B, 2, FALSE), ""))
</f>
        <v/>
      </c>
      <c r="G3307" s="3" t="str">
        <f t="shared" si="1"/>
        <v>ACTIVE</v>
      </c>
    </row>
    <row r="3308" ht="22.5" customHeight="1">
      <c r="A3308" s="11" t="str">
        <f t="array" ref="A3308">IFERROR(
  INDEX('Starlink Launches'!$A:$A, MATCH($E3308, 'Starlink Launches'!$B:$B, 0)),
  ""
)
</f>
        <v>10-3</v>
      </c>
      <c r="B3308" s="3" t="s">
        <v>25</v>
      </c>
      <c r="C3308" s="12" t="s">
        <v>3325</v>
      </c>
      <c r="D3308" s="13">
        <v>60156.0</v>
      </c>
      <c r="E3308" s="4">
        <v>45470.0</v>
      </c>
      <c r="F3308" s="4" t="str">
        <f>IF(D3308="","", IFNA(VLOOKUP(D3308, SATCAT_DECAY!A:B, 2, FALSE), ""))
</f>
        <v/>
      </c>
      <c r="G3308" s="3" t="str">
        <f t="shared" si="1"/>
        <v>ACTIVE</v>
      </c>
    </row>
    <row r="3309" ht="22.5" customHeight="1">
      <c r="A3309" s="11" t="str">
        <f t="array" ref="A3309">IFERROR(
  INDEX('Starlink Launches'!$A:$A, MATCH($E3309, 'Starlink Launches'!$B:$B, 0)),
  ""
)
</f>
        <v>10-3</v>
      </c>
      <c r="B3309" s="3" t="s">
        <v>25</v>
      </c>
      <c r="C3309" s="12" t="s">
        <v>3326</v>
      </c>
      <c r="D3309" s="13">
        <v>60157.0</v>
      </c>
      <c r="E3309" s="4">
        <v>45470.0</v>
      </c>
      <c r="F3309" s="4" t="str">
        <f>IF(D3309="","", IFNA(VLOOKUP(D3309, SATCAT_DECAY!A:B, 2, FALSE), ""))
</f>
        <v/>
      </c>
      <c r="G3309" s="3" t="str">
        <f t="shared" si="1"/>
        <v>ACTIVE</v>
      </c>
    </row>
    <row r="3310" ht="22.5" customHeight="1">
      <c r="A3310" s="11" t="str">
        <f t="array" ref="A3310">IFERROR(
  INDEX('Starlink Launches'!$A:$A, MATCH($E3310, 'Starlink Launches'!$B:$B, 0)),
  ""
)
</f>
        <v>10-9</v>
      </c>
      <c r="B3310" s="3" t="s">
        <v>25</v>
      </c>
      <c r="C3310" s="12" t="s">
        <v>3327</v>
      </c>
      <c r="D3310" s="13">
        <v>60255.0</v>
      </c>
      <c r="E3310" s="4">
        <v>45500.0</v>
      </c>
      <c r="F3310" s="4" t="str">
        <f>IF(D3310="","", IFNA(VLOOKUP(D3310, SATCAT_DECAY!A:B, 2, FALSE), ""))
</f>
        <v/>
      </c>
      <c r="G3310" s="3" t="str">
        <f t="shared" si="1"/>
        <v>ACTIVE</v>
      </c>
    </row>
    <row r="3311" ht="22.5" customHeight="1">
      <c r="A3311" s="11" t="str">
        <f t="array" ref="A3311">IFERROR(
  INDEX('Starlink Launches'!$A:$A, MATCH($E3311, 'Starlink Launches'!$B:$B, 0)),
  ""
)
</f>
        <v>10-9</v>
      </c>
      <c r="B3311" s="3" t="s">
        <v>25</v>
      </c>
      <c r="C3311" s="12" t="s">
        <v>3328</v>
      </c>
      <c r="D3311" s="13">
        <v>60256.0</v>
      </c>
      <c r="E3311" s="4">
        <v>45500.0</v>
      </c>
      <c r="F3311" s="4" t="str">
        <f>IF(D3311="","", IFNA(VLOOKUP(D3311, SATCAT_DECAY!A:B, 2, FALSE), ""))
</f>
        <v/>
      </c>
      <c r="G3311" s="3" t="str">
        <f t="shared" si="1"/>
        <v>ACTIVE</v>
      </c>
    </row>
    <row r="3312" ht="22.5" customHeight="1">
      <c r="A3312" s="11" t="str">
        <f t="array" ref="A3312">IFERROR(
  INDEX('Starlink Launches'!$A:$A, MATCH($E3312, 'Starlink Launches'!$B:$B, 0)),
  ""
)
</f>
        <v>10-9</v>
      </c>
      <c r="B3312" s="3" t="s">
        <v>25</v>
      </c>
      <c r="C3312" s="12" t="s">
        <v>3329</v>
      </c>
      <c r="D3312" s="13">
        <v>60257.0</v>
      </c>
      <c r="E3312" s="4">
        <v>45500.0</v>
      </c>
      <c r="F3312" s="4" t="str">
        <f>IF(D3312="","", IFNA(VLOOKUP(D3312, SATCAT_DECAY!A:B, 2, FALSE), ""))
</f>
        <v/>
      </c>
      <c r="G3312" s="3" t="str">
        <f t="shared" si="1"/>
        <v>ACTIVE</v>
      </c>
    </row>
    <row r="3313" ht="22.5" customHeight="1">
      <c r="A3313" s="11" t="str">
        <f t="array" ref="A3313">IFERROR(
  INDEX('Starlink Launches'!$A:$A, MATCH($E3313, 'Starlink Launches'!$B:$B, 0)),
  ""
)
</f>
        <v>10-9</v>
      </c>
      <c r="B3313" s="3" t="s">
        <v>25</v>
      </c>
      <c r="C3313" s="12" t="s">
        <v>3330</v>
      </c>
      <c r="D3313" s="13">
        <v>60258.0</v>
      </c>
      <c r="E3313" s="4">
        <v>45500.0</v>
      </c>
      <c r="F3313" s="4" t="str">
        <f>IF(D3313="","", IFNA(VLOOKUP(D3313, SATCAT_DECAY!A:B, 2, FALSE), ""))
</f>
        <v/>
      </c>
      <c r="G3313" s="3" t="str">
        <f t="shared" si="1"/>
        <v>ACTIVE</v>
      </c>
    </row>
    <row r="3314" ht="22.5" customHeight="1">
      <c r="A3314" s="11" t="str">
        <f t="array" ref="A3314">IFERROR(
  INDEX('Starlink Launches'!$A:$A, MATCH($E3314, 'Starlink Launches'!$B:$B, 0)),
  ""
)
</f>
        <v>10-9</v>
      </c>
      <c r="B3314" s="3" t="s">
        <v>25</v>
      </c>
      <c r="C3314" s="12" t="s">
        <v>3331</v>
      </c>
      <c r="D3314" s="13">
        <v>60259.0</v>
      </c>
      <c r="E3314" s="4">
        <v>45500.0</v>
      </c>
      <c r="F3314" s="4" t="str">
        <f>IF(D3314="","", IFNA(VLOOKUP(D3314, SATCAT_DECAY!A:B, 2, FALSE), ""))
</f>
        <v/>
      </c>
      <c r="G3314" s="3" t="str">
        <f t="shared" si="1"/>
        <v>ACTIVE</v>
      </c>
    </row>
    <row r="3315" ht="22.5" customHeight="1">
      <c r="A3315" s="11" t="str">
        <f t="array" ref="A3315">IFERROR(
  INDEX('Starlink Launches'!$A:$A, MATCH($E3315, 'Starlink Launches'!$B:$B, 0)),
  ""
)
</f>
        <v>10-9</v>
      </c>
      <c r="B3315" s="3" t="s">
        <v>25</v>
      </c>
      <c r="C3315" s="12" t="s">
        <v>3332</v>
      </c>
      <c r="D3315" s="13">
        <v>60260.0</v>
      </c>
      <c r="E3315" s="4">
        <v>45500.0</v>
      </c>
      <c r="F3315" s="4" t="str">
        <f>IF(D3315="","", IFNA(VLOOKUP(D3315, SATCAT_DECAY!A:B, 2, FALSE), ""))
</f>
        <v/>
      </c>
      <c r="G3315" s="3" t="str">
        <f t="shared" si="1"/>
        <v>ACTIVE</v>
      </c>
    </row>
    <row r="3316" ht="22.5" customHeight="1">
      <c r="A3316" s="11" t="str">
        <f t="array" ref="A3316">IFERROR(
  INDEX('Starlink Launches'!$A:$A, MATCH($E3316, 'Starlink Launches'!$B:$B, 0)),
  ""
)
</f>
        <v>10-9</v>
      </c>
      <c r="B3316" s="3" t="s">
        <v>25</v>
      </c>
      <c r="C3316" s="12" t="s">
        <v>3333</v>
      </c>
      <c r="D3316" s="13">
        <v>60261.0</v>
      </c>
      <c r="E3316" s="4">
        <v>45500.0</v>
      </c>
      <c r="F3316" s="4" t="str">
        <f>IF(D3316="","", IFNA(VLOOKUP(D3316, SATCAT_DECAY!A:B, 2, FALSE), ""))
</f>
        <v/>
      </c>
      <c r="G3316" s="3" t="str">
        <f t="shared" si="1"/>
        <v>ACTIVE</v>
      </c>
    </row>
    <row r="3317" ht="22.5" customHeight="1">
      <c r="A3317" s="11" t="str">
        <f t="array" ref="A3317">IFERROR(
  INDEX('Starlink Launches'!$A:$A, MATCH($E3317, 'Starlink Launches'!$B:$B, 0)),
  ""
)
</f>
        <v>10-9</v>
      </c>
      <c r="B3317" s="3" t="s">
        <v>25</v>
      </c>
      <c r="C3317" s="12" t="s">
        <v>3334</v>
      </c>
      <c r="D3317" s="13">
        <v>60262.0</v>
      </c>
      <c r="E3317" s="4">
        <v>45500.0</v>
      </c>
      <c r="F3317" s="4" t="str">
        <f>IF(D3317="","", IFNA(VLOOKUP(D3317, SATCAT_DECAY!A:B, 2, FALSE), ""))
</f>
        <v/>
      </c>
      <c r="G3317" s="3" t="str">
        <f t="shared" si="1"/>
        <v>ACTIVE</v>
      </c>
    </row>
    <row r="3318" ht="22.5" customHeight="1">
      <c r="A3318" s="11" t="str">
        <f t="array" ref="A3318">IFERROR(
  INDEX('Starlink Launches'!$A:$A, MATCH($E3318, 'Starlink Launches'!$B:$B, 0)),
  ""
)
</f>
        <v>10-9</v>
      </c>
      <c r="B3318" s="3" t="s">
        <v>25</v>
      </c>
      <c r="C3318" s="12" t="s">
        <v>3335</v>
      </c>
      <c r="D3318" s="13">
        <v>60263.0</v>
      </c>
      <c r="E3318" s="4">
        <v>45500.0</v>
      </c>
      <c r="F3318" s="4" t="str">
        <f>IF(D3318="","", IFNA(VLOOKUP(D3318, SATCAT_DECAY!A:B, 2, FALSE), ""))
</f>
        <v/>
      </c>
      <c r="G3318" s="3" t="str">
        <f t="shared" si="1"/>
        <v>ACTIVE</v>
      </c>
    </row>
    <row r="3319" ht="22.5" customHeight="1">
      <c r="A3319" s="11" t="str">
        <f t="array" ref="A3319">IFERROR(
  INDEX('Starlink Launches'!$A:$A, MATCH($E3319, 'Starlink Launches'!$B:$B, 0)),
  ""
)
</f>
        <v>10-9</v>
      </c>
      <c r="B3319" s="3" t="s">
        <v>25</v>
      </c>
      <c r="C3319" s="12" t="s">
        <v>3336</v>
      </c>
      <c r="D3319" s="13">
        <v>60264.0</v>
      </c>
      <c r="E3319" s="4">
        <v>45500.0</v>
      </c>
      <c r="F3319" s="4" t="str">
        <f>IF(D3319="","", IFNA(VLOOKUP(D3319, SATCAT_DECAY!A:B, 2, FALSE), ""))
</f>
        <v/>
      </c>
      <c r="G3319" s="3" t="str">
        <f t="shared" si="1"/>
        <v>ACTIVE</v>
      </c>
    </row>
    <row r="3320" ht="22.5" customHeight="1">
      <c r="A3320" s="11" t="str">
        <f t="array" ref="A3320">IFERROR(
  INDEX('Starlink Launches'!$A:$A, MATCH($E3320, 'Starlink Launches'!$B:$B, 0)),
  ""
)
</f>
        <v>10-9</v>
      </c>
      <c r="B3320" s="3" t="s">
        <v>25</v>
      </c>
      <c r="C3320" s="12" t="s">
        <v>3337</v>
      </c>
      <c r="D3320" s="13">
        <v>60265.0</v>
      </c>
      <c r="E3320" s="4">
        <v>45500.0</v>
      </c>
      <c r="F3320" s="4" t="str">
        <f>IF(D3320="","", IFNA(VLOOKUP(D3320, SATCAT_DECAY!A:B, 2, FALSE), ""))
</f>
        <v/>
      </c>
      <c r="G3320" s="3" t="str">
        <f t="shared" si="1"/>
        <v>ACTIVE</v>
      </c>
    </row>
    <row r="3321" ht="22.5" customHeight="1">
      <c r="A3321" s="11" t="str">
        <f t="array" ref="A3321">IFERROR(
  INDEX('Starlink Launches'!$A:$A, MATCH($E3321, 'Starlink Launches'!$B:$B, 0)),
  ""
)
</f>
        <v>10-9</v>
      </c>
      <c r="B3321" s="3" t="s">
        <v>25</v>
      </c>
      <c r="C3321" s="12" t="s">
        <v>3338</v>
      </c>
      <c r="D3321" s="13">
        <v>60266.0</v>
      </c>
      <c r="E3321" s="4">
        <v>45500.0</v>
      </c>
      <c r="F3321" s="4" t="str">
        <f>IF(D3321="","", IFNA(VLOOKUP(D3321, SATCAT_DECAY!A:B, 2, FALSE), ""))
</f>
        <v/>
      </c>
      <c r="G3321" s="3" t="str">
        <f t="shared" si="1"/>
        <v>ACTIVE</v>
      </c>
    </row>
    <row r="3322" ht="22.5" customHeight="1">
      <c r="A3322" s="11" t="str">
        <f t="array" ref="A3322">IFERROR(
  INDEX('Starlink Launches'!$A:$A, MATCH($E3322, 'Starlink Launches'!$B:$B, 0)),
  ""
)
</f>
        <v>10-9</v>
      </c>
      <c r="B3322" s="3" t="s">
        <v>25</v>
      </c>
      <c r="C3322" s="12" t="s">
        <v>3339</v>
      </c>
      <c r="D3322" s="13">
        <v>60267.0</v>
      </c>
      <c r="E3322" s="4">
        <v>45500.0</v>
      </c>
      <c r="F3322" s="4" t="str">
        <f>IF(D3322="","", IFNA(VLOOKUP(D3322, SATCAT_DECAY!A:B, 2, FALSE), ""))
</f>
        <v/>
      </c>
      <c r="G3322" s="3" t="str">
        <f t="shared" si="1"/>
        <v>ACTIVE</v>
      </c>
    </row>
    <row r="3323" ht="22.5" customHeight="1">
      <c r="A3323" s="11" t="str">
        <f t="array" ref="A3323">IFERROR(
  INDEX('Starlink Launches'!$A:$A, MATCH($E3323, 'Starlink Launches'!$B:$B, 0)),
  ""
)
</f>
        <v>10-9</v>
      </c>
      <c r="B3323" s="3" t="s">
        <v>25</v>
      </c>
      <c r="C3323" s="12" t="s">
        <v>3340</v>
      </c>
      <c r="D3323" s="13">
        <v>60268.0</v>
      </c>
      <c r="E3323" s="4">
        <v>45500.0</v>
      </c>
      <c r="F3323" s="4" t="str">
        <f>IF(D3323="","", IFNA(VLOOKUP(D3323, SATCAT_DECAY!A:B, 2, FALSE), ""))
</f>
        <v/>
      </c>
      <c r="G3323" s="3" t="str">
        <f t="shared" si="1"/>
        <v>ACTIVE</v>
      </c>
    </row>
    <row r="3324" ht="22.5" customHeight="1">
      <c r="A3324" s="11" t="str">
        <f t="array" ref="A3324">IFERROR(
  INDEX('Starlink Launches'!$A:$A, MATCH($E3324, 'Starlink Launches'!$B:$B, 0)),
  ""
)
</f>
        <v>10-9</v>
      </c>
      <c r="B3324" s="3" t="s">
        <v>25</v>
      </c>
      <c r="C3324" s="12" t="s">
        <v>3341</v>
      </c>
      <c r="D3324" s="13">
        <v>60269.0</v>
      </c>
      <c r="E3324" s="4">
        <v>45500.0</v>
      </c>
      <c r="F3324" s="4" t="str">
        <f>IF(D3324="","", IFNA(VLOOKUP(D3324, SATCAT_DECAY!A:B, 2, FALSE), ""))
</f>
        <v/>
      </c>
      <c r="G3324" s="3" t="str">
        <f t="shared" si="1"/>
        <v>ACTIVE</v>
      </c>
    </row>
    <row r="3325" ht="22.5" customHeight="1">
      <c r="A3325" s="11" t="str">
        <f t="array" ref="A3325">IFERROR(
  INDEX('Starlink Launches'!$A:$A, MATCH($E3325, 'Starlink Launches'!$B:$B, 0)),
  ""
)
</f>
        <v>10-9</v>
      </c>
      <c r="B3325" s="3" t="s">
        <v>25</v>
      </c>
      <c r="C3325" s="12" t="s">
        <v>3342</v>
      </c>
      <c r="D3325" s="13">
        <v>60270.0</v>
      </c>
      <c r="E3325" s="4">
        <v>45500.0</v>
      </c>
      <c r="F3325" s="4" t="str">
        <f>IF(D3325="","", IFNA(VLOOKUP(D3325, SATCAT_DECAY!A:B, 2, FALSE), ""))
</f>
        <v/>
      </c>
      <c r="G3325" s="3" t="str">
        <f t="shared" si="1"/>
        <v>ACTIVE</v>
      </c>
    </row>
    <row r="3326" ht="22.5" customHeight="1">
      <c r="A3326" s="11" t="str">
        <f t="array" ref="A3326">IFERROR(
  INDEX('Starlink Launches'!$A:$A, MATCH($E3326, 'Starlink Launches'!$B:$B, 0)),
  ""
)
</f>
        <v>10-9</v>
      </c>
      <c r="B3326" s="3" t="s">
        <v>25</v>
      </c>
      <c r="C3326" s="12" t="s">
        <v>3343</v>
      </c>
      <c r="D3326" s="13">
        <v>60271.0</v>
      </c>
      <c r="E3326" s="4">
        <v>45500.0</v>
      </c>
      <c r="F3326" s="4" t="str">
        <f>IF(D3326="","", IFNA(VLOOKUP(D3326, SATCAT_DECAY!A:B, 2, FALSE), ""))
</f>
        <v/>
      </c>
      <c r="G3326" s="3" t="str">
        <f t="shared" si="1"/>
        <v>ACTIVE</v>
      </c>
    </row>
    <row r="3327" ht="22.5" customHeight="1">
      <c r="A3327" s="11" t="str">
        <f t="array" ref="A3327">IFERROR(
  INDEX('Starlink Launches'!$A:$A, MATCH($E3327, 'Starlink Launches'!$B:$B, 0)),
  ""
)
</f>
        <v>10-9</v>
      </c>
      <c r="B3327" s="3" t="s">
        <v>25</v>
      </c>
      <c r="C3327" s="12" t="s">
        <v>3344</v>
      </c>
      <c r="D3327" s="13">
        <v>60272.0</v>
      </c>
      <c r="E3327" s="4">
        <v>45500.0</v>
      </c>
      <c r="F3327" s="4" t="str">
        <f>IF(D3327="","", IFNA(VLOOKUP(D3327, SATCAT_DECAY!A:B, 2, FALSE), ""))
</f>
        <v/>
      </c>
      <c r="G3327" s="3" t="str">
        <f t="shared" si="1"/>
        <v>ACTIVE</v>
      </c>
    </row>
    <row r="3328" ht="22.5" customHeight="1">
      <c r="A3328" s="11" t="str">
        <f t="array" ref="A3328">IFERROR(
  INDEX('Starlink Launches'!$A:$A, MATCH($E3328, 'Starlink Launches'!$B:$B, 0)),
  ""
)
</f>
        <v>10-9</v>
      </c>
      <c r="B3328" s="3" t="s">
        <v>25</v>
      </c>
      <c r="C3328" s="12" t="s">
        <v>3345</v>
      </c>
      <c r="D3328" s="13">
        <v>60273.0</v>
      </c>
      <c r="E3328" s="4">
        <v>45500.0</v>
      </c>
      <c r="F3328" s="4" t="str">
        <f>IF(D3328="","", IFNA(VLOOKUP(D3328, SATCAT_DECAY!A:B, 2, FALSE), ""))
</f>
        <v/>
      </c>
      <c r="G3328" s="3" t="str">
        <f t="shared" si="1"/>
        <v>ACTIVE</v>
      </c>
    </row>
    <row r="3329" ht="22.5" customHeight="1">
      <c r="A3329" s="11" t="str">
        <f t="array" ref="A3329">IFERROR(
  INDEX('Starlink Launches'!$A:$A, MATCH($E3329, 'Starlink Launches'!$B:$B, 0)),
  ""
)
</f>
        <v>10-9</v>
      </c>
      <c r="B3329" s="3" t="s">
        <v>25</v>
      </c>
      <c r="C3329" s="12" t="s">
        <v>3346</v>
      </c>
      <c r="D3329" s="13">
        <v>60274.0</v>
      </c>
      <c r="E3329" s="4">
        <v>45500.0</v>
      </c>
      <c r="F3329" s="4" t="str">
        <f>IF(D3329="","", IFNA(VLOOKUP(D3329, SATCAT_DECAY!A:B, 2, FALSE), ""))
</f>
        <v/>
      </c>
      <c r="G3329" s="3" t="str">
        <f t="shared" si="1"/>
        <v>ACTIVE</v>
      </c>
    </row>
    <row r="3330" ht="22.5" customHeight="1">
      <c r="A3330" s="11" t="str">
        <f t="array" ref="A3330">IFERROR(
  INDEX('Starlink Launches'!$A:$A, MATCH($E3330, 'Starlink Launches'!$B:$B, 0)),
  ""
)
</f>
        <v>10-9</v>
      </c>
      <c r="B3330" s="3" t="s">
        <v>25</v>
      </c>
      <c r="C3330" s="12" t="s">
        <v>3347</v>
      </c>
      <c r="D3330" s="13">
        <v>60275.0</v>
      </c>
      <c r="E3330" s="4">
        <v>45500.0</v>
      </c>
      <c r="F3330" s="4" t="str">
        <f>IF(D3330="","", IFNA(VLOOKUP(D3330, SATCAT_DECAY!A:B, 2, FALSE), ""))
</f>
        <v/>
      </c>
      <c r="G3330" s="3" t="str">
        <f t="shared" si="1"/>
        <v>ACTIVE</v>
      </c>
    </row>
    <row r="3331" ht="22.5" customHeight="1">
      <c r="A3331" s="11" t="str">
        <f t="array" ref="A3331">IFERROR(
  INDEX('Starlink Launches'!$A:$A, MATCH($E3331, 'Starlink Launches'!$B:$B, 0)),
  ""
)
</f>
        <v>10-9</v>
      </c>
      <c r="B3331" s="3" t="s">
        <v>25</v>
      </c>
      <c r="C3331" s="12" t="s">
        <v>3348</v>
      </c>
      <c r="D3331" s="13">
        <v>60276.0</v>
      </c>
      <c r="E3331" s="4">
        <v>45500.0</v>
      </c>
      <c r="F3331" s="4" t="str">
        <f>IF(D3331="","", IFNA(VLOOKUP(D3331, SATCAT_DECAY!A:B, 2, FALSE), ""))
</f>
        <v/>
      </c>
      <c r="G3331" s="3" t="str">
        <f t="shared" si="1"/>
        <v>ACTIVE</v>
      </c>
    </row>
    <row r="3332" ht="22.5" customHeight="1">
      <c r="A3332" s="11" t="str">
        <f t="array" ref="A3332">IFERROR(
  INDEX('Starlink Launches'!$A:$A, MATCH($E3332, 'Starlink Launches'!$B:$B, 0)),
  ""
)
</f>
        <v>10-9</v>
      </c>
      <c r="B3332" s="3" t="s">
        <v>25</v>
      </c>
      <c r="C3332" s="12" t="s">
        <v>3349</v>
      </c>
      <c r="D3332" s="13">
        <v>60277.0</v>
      </c>
      <c r="E3332" s="4">
        <v>45500.0</v>
      </c>
      <c r="F3332" s="4" t="str">
        <f>IF(D3332="","", IFNA(VLOOKUP(D3332, SATCAT_DECAY!A:B, 2, FALSE), ""))
</f>
        <v/>
      </c>
      <c r="G3332" s="3" t="str">
        <f t="shared" si="1"/>
        <v>ACTIVE</v>
      </c>
    </row>
    <row r="3333" ht="22.5" customHeight="1">
      <c r="A3333" s="20" t="s">
        <v>3350</v>
      </c>
      <c r="B3333" s="3" t="s">
        <v>25</v>
      </c>
      <c r="C3333" s="12" t="s">
        <v>3351</v>
      </c>
      <c r="D3333" s="13">
        <v>60278.0</v>
      </c>
      <c r="E3333" s="4">
        <v>45501.0</v>
      </c>
      <c r="F3333" s="4" t="str">
        <f>IF(D3333="","", IFNA(VLOOKUP(D3333, SATCAT_DECAY!A:B, 2, FALSE), ""))
</f>
        <v/>
      </c>
      <c r="G3333" s="3" t="str">
        <f t="shared" si="1"/>
        <v>ACTIVE</v>
      </c>
    </row>
    <row r="3334" ht="22.5" customHeight="1">
      <c r="A3334" s="20" t="s">
        <v>3350</v>
      </c>
      <c r="B3334" s="3" t="s">
        <v>25</v>
      </c>
      <c r="C3334" s="12" t="s">
        <v>3352</v>
      </c>
      <c r="D3334" s="13">
        <v>60279.0</v>
      </c>
      <c r="E3334" s="4">
        <v>45501.0</v>
      </c>
      <c r="F3334" s="4" t="str">
        <f>IF(D3334="","", IFNA(VLOOKUP(D3334, SATCAT_DECAY!A:B, 2, FALSE), ""))
</f>
        <v/>
      </c>
      <c r="G3334" s="3" t="str">
        <f t="shared" si="1"/>
        <v>ACTIVE</v>
      </c>
    </row>
    <row r="3335" ht="22.5" customHeight="1">
      <c r="A3335" s="20" t="s">
        <v>3350</v>
      </c>
      <c r="B3335" s="3" t="s">
        <v>25</v>
      </c>
      <c r="C3335" s="12" t="s">
        <v>3353</v>
      </c>
      <c r="D3335" s="13">
        <v>60280.0</v>
      </c>
      <c r="E3335" s="4">
        <v>45501.0</v>
      </c>
      <c r="F3335" s="4" t="str">
        <f>IF(D3335="","", IFNA(VLOOKUP(D3335, SATCAT_DECAY!A:B, 2, FALSE), ""))
</f>
        <v/>
      </c>
      <c r="G3335" s="3" t="str">
        <f t="shared" si="1"/>
        <v>ACTIVE</v>
      </c>
    </row>
    <row r="3336" ht="22.5" customHeight="1">
      <c r="A3336" s="20" t="s">
        <v>3350</v>
      </c>
      <c r="B3336" s="3" t="s">
        <v>25</v>
      </c>
      <c r="C3336" s="12" t="s">
        <v>3354</v>
      </c>
      <c r="D3336" s="13">
        <v>60281.0</v>
      </c>
      <c r="E3336" s="4">
        <v>45501.0</v>
      </c>
      <c r="F3336" s="4" t="str">
        <f>IF(D3336="","", IFNA(VLOOKUP(D3336, SATCAT_DECAY!A:B, 2, FALSE), ""))
</f>
        <v/>
      </c>
      <c r="G3336" s="3" t="str">
        <f t="shared" si="1"/>
        <v>ACTIVE</v>
      </c>
    </row>
    <row r="3337" ht="22.5" customHeight="1">
      <c r="A3337" s="20" t="s">
        <v>3350</v>
      </c>
      <c r="B3337" s="3" t="s">
        <v>25</v>
      </c>
      <c r="C3337" s="12" t="s">
        <v>3355</v>
      </c>
      <c r="D3337" s="13">
        <v>60282.0</v>
      </c>
      <c r="E3337" s="4">
        <v>45501.0</v>
      </c>
      <c r="F3337" s="4" t="str">
        <f>IF(D3337="","", IFNA(VLOOKUP(D3337, SATCAT_DECAY!A:B, 2, FALSE), ""))
</f>
        <v/>
      </c>
      <c r="G3337" s="3" t="str">
        <f t="shared" si="1"/>
        <v>ACTIVE</v>
      </c>
    </row>
    <row r="3338" ht="22.5" customHeight="1">
      <c r="A3338" s="20" t="s">
        <v>3350</v>
      </c>
      <c r="B3338" s="3" t="s">
        <v>25</v>
      </c>
      <c r="C3338" s="12" t="s">
        <v>3356</v>
      </c>
      <c r="D3338" s="13">
        <v>60283.0</v>
      </c>
      <c r="E3338" s="4">
        <v>45501.0</v>
      </c>
      <c r="F3338" s="4" t="str">
        <f>IF(D3338="","", IFNA(VLOOKUP(D3338, SATCAT_DECAY!A:B, 2, FALSE), ""))
</f>
        <v/>
      </c>
      <c r="G3338" s="3" t="str">
        <f t="shared" si="1"/>
        <v>ACTIVE</v>
      </c>
    </row>
    <row r="3339" ht="22.5" customHeight="1">
      <c r="A3339" s="20" t="s">
        <v>3350</v>
      </c>
      <c r="B3339" s="3" t="s">
        <v>25</v>
      </c>
      <c r="C3339" s="12" t="s">
        <v>3357</v>
      </c>
      <c r="D3339" s="13">
        <v>60284.0</v>
      </c>
      <c r="E3339" s="4">
        <v>45501.0</v>
      </c>
      <c r="F3339" s="4" t="str">
        <f>IF(D3339="","", IFNA(VLOOKUP(D3339, SATCAT_DECAY!A:B, 2, FALSE), ""))
</f>
        <v/>
      </c>
      <c r="G3339" s="3" t="str">
        <f t="shared" si="1"/>
        <v>ACTIVE</v>
      </c>
    </row>
    <row r="3340" ht="22.5" customHeight="1">
      <c r="A3340" s="20" t="s">
        <v>3350</v>
      </c>
      <c r="B3340" s="3" t="s">
        <v>25</v>
      </c>
      <c r="C3340" s="12" t="s">
        <v>3358</v>
      </c>
      <c r="D3340" s="13">
        <v>60285.0</v>
      </c>
      <c r="E3340" s="4">
        <v>45501.0</v>
      </c>
      <c r="F3340" s="4" t="str">
        <f>IF(D3340="","", IFNA(VLOOKUP(D3340, SATCAT_DECAY!A:B, 2, FALSE), ""))
</f>
        <v/>
      </c>
      <c r="G3340" s="3" t="str">
        <f t="shared" si="1"/>
        <v>ACTIVE</v>
      </c>
    </row>
    <row r="3341" ht="22.5" customHeight="1">
      <c r="A3341" s="20" t="s">
        <v>3350</v>
      </c>
      <c r="B3341" s="3" t="s">
        <v>25</v>
      </c>
      <c r="C3341" s="12" t="s">
        <v>3359</v>
      </c>
      <c r="D3341" s="13">
        <v>60286.0</v>
      </c>
      <c r="E3341" s="4">
        <v>45501.0</v>
      </c>
      <c r="F3341" s="4" t="str">
        <f>IF(D3341="","", IFNA(VLOOKUP(D3341, SATCAT_DECAY!A:B, 2, FALSE), ""))
</f>
        <v/>
      </c>
      <c r="G3341" s="3" t="str">
        <f t="shared" si="1"/>
        <v>ACTIVE</v>
      </c>
    </row>
    <row r="3342" ht="22.5" customHeight="1">
      <c r="A3342" s="20" t="s">
        <v>3350</v>
      </c>
      <c r="B3342" s="3" t="s">
        <v>25</v>
      </c>
      <c r="C3342" s="12" t="s">
        <v>3360</v>
      </c>
      <c r="D3342" s="13">
        <v>60287.0</v>
      </c>
      <c r="E3342" s="4">
        <v>45501.0</v>
      </c>
      <c r="F3342" s="4" t="str">
        <f>IF(D3342="","", IFNA(VLOOKUP(D3342, SATCAT_DECAY!A:B, 2, FALSE), ""))
</f>
        <v/>
      </c>
      <c r="G3342" s="3" t="str">
        <f t="shared" si="1"/>
        <v>ACTIVE</v>
      </c>
    </row>
    <row r="3343" ht="22.5" customHeight="1">
      <c r="A3343" s="20" t="s">
        <v>3350</v>
      </c>
      <c r="B3343" s="3" t="s">
        <v>25</v>
      </c>
      <c r="C3343" s="12" t="s">
        <v>3361</v>
      </c>
      <c r="D3343" s="13">
        <v>60288.0</v>
      </c>
      <c r="E3343" s="4">
        <v>45501.0</v>
      </c>
      <c r="F3343" s="4" t="str">
        <f>IF(D3343="","", IFNA(VLOOKUP(D3343, SATCAT_DECAY!A:B, 2, FALSE), ""))
</f>
        <v/>
      </c>
      <c r="G3343" s="3" t="str">
        <f t="shared" si="1"/>
        <v>ACTIVE</v>
      </c>
    </row>
    <row r="3344" ht="22.5" customHeight="1">
      <c r="A3344" s="20" t="s">
        <v>3350</v>
      </c>
      <c r="B3344" s="3" t="s">
        <v>25</v>
      </c>
      <c r="C3344" s="12" t="s">
        <v>3362</v>
      </c>
      <c r="D3344" s="13">
        <v>60289.0</v>
      </c>
      <c r="E3344" s="4">
        <v>45501.0</v>
      </c>
      <c r="F3344" s="4" t="str">
        <f>IF(D3344="","", IFNA(VLOOKUP(D3344, SATCAT_DECAY!A:B, 2, FALSE), ""))
</f>
        <v/>
      </c>
      <c r="G3344" s="3" t="str">
        <f t="shared" si="1"/>
        <v>ACTIVE</v>
      </c>
    </row>
    <row r="3345" ht="22.5" customHeight="1">
      <c r="A3345" s="20" t="s">
        <v>3350</v>
      </c>
      <c r="B3345" s="3" t="s">
        <v>25</v>
      </c>
      <c r="C3345" s="12" t="s">
        <v>3363</v>
      </c>
      <c r="D3345" s="13">
        <v>60290.0</v>
      </c>
      <c r="E3345" s="4">
        <v>45501.0</v>
      </c>
      <c r="F3345" s="4" t="str">
        <f>IF(D3345="","", IFNA(VLOOKUP(D3345, SATCAT_DECAY!A:B, 2, FALSE), ""))
</f>
        <v/>
      </c>
      <c r="G3345" s="3" t="str">
        <f t="shared" si="1"/>
        <v>ACTIVE</v>
      </c>
    </row>
    <row r="3346" ht="22.5" customHeight="1">
      <c r="A3346" s="20" t="s">
        <v>3350</v>
      </c>
      <c r="B3346" s="3" t="s">
        <v>25</v>
      </c>
      <c r="C3346" s="12" t="s">
        <v>3364</v>
      </c>
      <c r="D3346" s="13">
        <v>60291.0</v>
      </c>
      <c r="E3346" s="4">
        <v>45501.0</v>
      </c>
      <c r="F3346" s="4" t="str">
        <f>IF(D3346="","", IFNA(VLOOKUP(D3346, SATCAT_DECAY!A:B, 2, FALSE), ""))
</f>
        <v/>
      </c>
      <c r="G3346" s="3" t="str">
        <f t="shared" si="1"/>
        <v>ACTIVE</v>
      </c>
    </row>
    <row r="3347" ht="22.5" customHeight="1">
      <c r="A3347" s="20" t="s">
        <v>3350</v>
      </c>
      <c r="B3347" s="3" t="s">
        <v>25</v>
      </c>
      <c r="C3347" s="12" t="s">
        <v>3365</v>
      </c>
      <c r="D3347" s="13">
        <v>60292.0</v>
      </c>
      <c r="E3347" s="4">
        <v>45501.0</v>
      </c>
      <c r="F3347" s="4" t="str">
        <f>IF(D3347="","", IFNA(VLOOKUP(D3347, SATCAT_DECAY!A:B, 2, FALSE), ""))
</f>
        <v/>
      </c>
      <c r="G3347" s="3" t="str">
        <f t="shared" si="1"/>
        <v>ACTIVE</v>
      </c>
    </row>
    <row r="3348" ht="22.5" customHeight="1">
      <c r="A3348" s="20" t="s">
        <v>3350</v>
      </c>
      <c r="B3348" s="3" t="s">
        <v>25</v>
      </c>
      <c r="C3348" s="12" t="s">
        <v>3366</v>
      </c>
      <c r="D3348" s="13">
        <v>60293.0</v>
      </c>
      <c r="E3348" s="4">
        <v>45501.0</v>
      </c>
      <c r="F3348" s="4" t="str">
        <f>IF(D3348="","", IFNA(VLOOKUP(D3348, SATCAT_DECAY!A:B, 2, FALSE), ""))
</f>
        <v/>
      </c>
      <c r="G3348" s="3" t="str">
        <f t="shared" si="1"/>
        <v>ACTIVE</v>
      </c>
    </row>
    <row r="3349" ht="22.5" customHeight="1">
      <c r="A3349" s="20" t="s">
        <v>3350</v>
      </c>
      <c r="B3349" s="3" t="s">
        <v>25</v>
      </c>
      <c r="C3349" s="12" t="s">
        <v>3367</v>
      </c>
      <c r="D3349" s="13">
        <v>60294.0</v>
      </c>
      <c r="E3349" s="4">
        <v>45501.0</v>
      </c>
      <c r="F3349" s="4" t="str">
        <f>IF(D3349="","", IFNA(VLOOKUP(D3349, SATCAT_DECAY!A:B, 2, FALSE), ""))
</f>
        <v/>
      </c>
      <c r="G3349" s="3" t="str">
        <f t="shared" si="1"/>
        <v>ACTIVE</v>
      </c>
    </row>
    <row r="3350" ht="22.5" customHeight="1">
      <c r="A3350" s="20" t="s">
        <v>3350</v>
      </c>
      <c r="B3350" s="3" t="s">
        <v>25</v>
      </c>
      <c r="C3350" s="12" t="s">
        <v>3368</v>
      </c>
      <c r="D3350" s="13">
        <v>60295.0</v>
      </c>
      <c r="E3350" s="4">
        <v>45501.0</v>
      </c>
      <c r="F3350" s="4" t="str">
        <f>IF(D3350="","", IFNA(VLOOKUP(D3350, SATCAT_DECAY!A:B, 2, FALSE), ""))
</f>
        <v/>
      </c>
      <c r="G3350" s="3" t="str">
        <f t="shared" si="1"/>
        <v>ACTIVE</v>
      </c>
    </row>
    <row r="3351" ht="22.5" customHeight="1">
      <c r="A3351" s="20" t="s">
        <v>3350</v>
      </c>
      <c r="B3351" s="3" t="s">
        <v>25</v>
      </c>
      <c r="C3351" s="12" t="s">
        <v>3369</v>
      </c>
      <c r="D3351" s="13">
        <v>60296.0</v>
      </c>
      <c r="E3351" s="4">
        <v>45501.0</v>
      </c>
      <c r="F3351" s="4" t="str">
        <f>IF(D3351="","", IFNA(VLOOKUP(D3351, SATCAT_DECAY!A:B, 2, FALSE), ""))
</f>
        <v/>
      </c>
      <c r="G3351" s="3" t="str">
        <f t="shared" si="1"/>
        <v>ACTIVE</v>
      </c>
    </row>
    <row r="3352" ht="22.5" customHeight="1">
      <c r="A3352" s="20" t="s">
        <v>3350</v>
      </c>
      <c r="B3352" s="3" t="s">
        <v>25</v>
      </c>
      <c r="C3352" s="12" t="s">
        <v>3370</v>
      </c>
      <c r="D3352" s="13">
        <v>60297.0</v>
      </c>
      <c r="E3352" s="4">
        <v>45501.0</v>
      </c>
      <c r="F3352" s="4" t="str">
        <f>IF(D3352="","", IFNA(VLOOKUP(D3352, SATCAT_DECAY!A:B, 2, FALSE), ""))
</f>
        <v/>
      </c>
      <c r="G3352" s="3" t="str">
        <f t="shared" si="1"/>
        <v>ACTIVE</v>
      </c>
    </row>
    <row r="3353" ht="22.5" customHeight="1">
      <c r="A3353" s="20" t="s">
        <v>3350</v>
      </c>
      <c r="B3353" s="3" t="s">
        <v>25</v>
      </c>
      <c r="C3353" s="12" t="s">
        <v>3371</v>
      </c>
      <c r="D3353" s="13">
        <v>60298.0</v>
      </c>
      <c r="E3353" s="4">
        <v>45501.0</v>
      </c>
      <c r="F3353" s="4" t="str">
        <f>IF(D3353="","", IFNA(VLOOKUP(D3353, SATCAT_DECAY!A:B, 2, FALSE), ""))
</f>
        <v/>
      </c>
      <c r="G3353" s="3" t="str">
        <f t="shared" si="1"/>
        <v>ACTIVE</v>
      </c>
    </row>
    <row r="3354" ht="22.5" customHeight="1">
      <c r="A3354" s="20" t="s">
        <v>3350</v>
      </c>
      <c r="B3354" s="3" t="s">
        <v>25</v>
      </c>
      <c r="C3354" s="12" t="s">
        <v>3372</v>
      </c>
      <c r="D3354" s="13">
        <v>60299.0</v>
      </c>
      <c r="E3354" s="4">
        <v>45501.0</v>
      </c>
      <c r="F3354" s="4" t="str">
        <f>IF(D3354="","", IFNA(VLOOKUP(D3354, SATCAT_DECAY!A:B, 2, FALSE), ""))
</f>
        <v/>
      </c>
      <c r="G3354" s="3" t="str">
        <f t="shared" si="1"/>
        <v>ACTIVE</v>
      </c>
    </row>
    <row r="3355" ht="22.5" customHeight="1">
      <c r="A3355" s="20" t="s">
        <v>3350</v>
      </c>
      <c r="B3355" s="3" t="s">
        <v>25</v>
      </c>
      <c r="C3355" s="12" t="s">
        <v>3373</v>
      </c>
      <c r="D3355" s="13">
        <v>60300.0</v>
      </c>
      <c r="E3355" s="4">
        <v>45501.0</v>
      </c>
      <c r="F3355" s="4" t="str">
        <f>IF(D3355="","", IFNA(VLOOKUP(D3355, SATCAT_DECAY!A:B, 2, FALSE), ""))
</f>
        <v/>
      </c>
      <c r="G3355" s="3" t="str">
        <f t="shared" si="1"/>
        <v>ACTIVE</v>
      </c>
    </row>
    <row r="3356" ht="22.5" customHeight="1">
      <c r="A3356" s="11" t="str">
        <f t="array" ref="A3356">IFERROR(
  INDEX('Starlink Launches'!$A:$A, MATCH($E3356, 'Starlink Launches'!$B:$B, 0)),
  ""
)
</f>
        <v>10-6</v>
      </c>
      <c r="B3356" s="3" t="s">
        <v>25</v>
      </c>
      <c r="C3356" s="12" t="s">
        <v>3374</v>
      </c>
      <c r="D3356" s="13">
        <v>60329.0</v>
      </c>
      <c r="E3356" s="4">
        <v>45506.0</v>
      </c>
      <c r="F3356" s="4" t="str">
        <f>IF(D3356="","", IFNA(VLOOKUP(D3356, SATCAT_DECAY!A:B, 2, FALSE), ""))
</f>
        <v/>
      </c>
      <c r="G3356" s="3" t="str">
        <f t="shared" si="1"/>
        <v>ACTIVE</v>
      </c>
    </row>
    <row r="3357" ht="22.5" customHeight="1">
      <c r="A3357" s="11" t="str">
        <f t="array" ref="A3357">IFERROR(
  INDEX('Starlink Launches'!$A:$A, MATCH($E3357, 'Starlink Launches'!$B:$B, 0)),
  ""
)
</f>
        <v>10-6</v>
      </c>
      <c r="B3357" s="3" t="s">
        <v>25</v>
      </c>
      <c r="C3357" s="12" t="s">
        <v>3375</v>
      </c>
      <c r="D3357" s="13">
        <v>60330.0</v>
      </c>
      <c r="E3357" s="4">
        <v>45506.0</v>
      </c>
      <c r="F3357" s="4" t="str">
        <f>IF(D3357="","", IFNA(VLOOKUP(D3357, SATCAT_DECAY!A:B, 2, FALSE), ""))
</f>
        <v/>
      </c>
      <c r="G3357" s="3" t="str">
        <f t="shared" si="1"/>
        <v>ACTIVE</v>
      </c>
    </row>
    <row r="3358" ht="22.5" customHeight="1">
      <c r="A3358" s="11" t="str">
        <f t="array" ref="A3358">IFERROR(
  INDEX('Starlink Launches'!$A:$A, MATCH($E3358, 'Starlink Launches'!$B:$B, 0)),
  ""
)
</f>
        <v>10-6</v>
      </c>
      <c r="B3358" s="3" t="s">
        <v>25</v>
      </c>
      <c r="C3358" s="12" t="s">
        <v>3376</v>
      </c>
      <c r="D3358" s="13">
        <v>60331.0</v>
      </c>
      <c r="E3358" s="4">
        <v>45506.0</v>
      </c>
      <c r="F3358" s="4" t="str">
        <f>IF(D3358="","", IFNA(VLOOKUP(D3358, SATCAT_DECAY!A:B, 2, FALSE), ""))
</f>
        <v/>
      </c>
      <c r="G3358" s="3" t="str">
        <f t="shared" si="1"/>
        <v>ACTIVE</v>
      </c>
    </row>
    <row r="3359" ht="22.5" customHeight="1">
      <c r="A3359" s="11" t="str">
        <f t="array" ref="A3359">IFERROR(
  INDEX('Starlink Launches'!$A:$A, MATCH($E3359, 'Starlink Launches'!$B:$B, 0)),
  ""
)
</f>
        <v>10-6</v>
      </c>
      <c r="B3359" s="3" t="s">
        <v>25</v>
      </c>
      <c r="C3359" s="12" t="s">
        <v>3377</v>
      </c>
      <c r="D3359" s="13">
        <v>60332.0</v>
      </c>
      <c r="E3359" s="4">
        <v>45506.0</v>
      </c>
      <c r="F3359" s="4" t="str">
        <f>IF(D3359="","", IFNA(VLOOKUP(D3359, SATCAT_DECAY!A:B, 2, FALSE), ""))
</f>
        <v/>
      </c>
      <c r="G3359" s="3" t="str">
        <f t="shared" si="1"/>
        <v>ACTIVE</v>
      </c>
    </row>
    <row r="3360" ht="22.5" customHeight="1">
      <c r="A3360" s="11" t="str">
        <f t="array" ref="A3360">IFERROR(
  INDEX('Starlink Launches'!$A:$A, MATCH($E3360, 'Starlink Launches'!$B:$B, 0)),
  ""
)
</f>
        <v>10-6</v>
      </c>
      <c r="B3360" s="3" t="s">
        <v>25</v>
      </c>
      <c r="C3360" s="12" t="s">
        <v>3378</v>
      </c>
      <c r="D3360" s="13">
        <v>60333.0</v>
      </c>
      <c r="E3360" s="4">
        <v>45506.0</v>
      </c>
      <c r="F3360" s="4" t="str">
        <f>IF(D3360="","", IFNA(VLOOKUP(D3360, SATCAT_DECAY!A:B, 2, FALSE), ""))
</f>
        <v/>
      </c>
      <c r="G3360" s="3" t="str">
        <f t="shared" si="1"/>
        <v>ACTIVE</v>
      </c>
    </row>
    <row r="3361" ht="22.5" customHeight="1">
      <c r="A3361" s="11" t="str">
        <f t="array" ref="A3361">IFERROR(
  INDEX('Starlink Launches'!$A:$A, MATCH($E3361, 'Starlink Launches'!$B:$B, 0)),
  ""
)
</f>
        <v>10-6</v>
      </c>
      <c r="B3361" s="3" t="s">
        <v>25</v>
      </c>
      <c r="C3361" s="12" t="s">
        <v>3379</v>
      </c>
      <c r="D3361" s="13">
        <v>60334.0</v>
      </c>
      <c r="E3361" s="4">
        <v>45506.0</v>
      </c>
      <c r="F3361" s="4" t="str">
        <f>IF(D3361="","", IFNA(VLOOKUP(D3361, SATCAT_DECAY!A:B, 2, FALSE), ""))
</f>
        <v/>
      </c>
      <c r="G3361" s="3" t="str">
        <f t="shared" si="1"/>
        <v>ACTIVE</v>
      </c>
    </row>
    <row r="3362" ht="22.5" customHeight="1">
      <c r="A3362" s="11" t="str">
        <f t="array" ref="A3362">IFERROR(
  INDEX('Starlink Launches'!$A:$A, MATCH($E3362, 'Starlink Launches'!$B:$B, 0)),
  ""
)
</f>
        <v>10-6</v>
      </c>
      <c r="B3362" s="3" t="s">
        <v>25</v>
      </c>
      <c r="C3362" s="12" t="s">
        <v>3380</v>
      </c>
      <c r="D3362" s="13">
        <v>60335.0</v>
      </c>
      <c r="E3362" s="4">
        <v>45506.0</v>
      </c>
      <c r="F3362" s="4" t="str">
        <f>IF(D3362="","", IFNA(VLOOKUP(D3362, SATCAT_DECAY!A:B, 2, FALSE), ""))
</f>
        <v/>
      </c>
      <c r="G3362" s="3" t="str">
        <f t="shared" si="1"/>
        <v>ACTIVE</v>
      </c>
    </row>
    <row r="3363" ht="22.5" customHeight="1">
      <c r="A3363" s="11" t="str">
        <f t="array" ref="A3363">IFERROR(
  INDEX('Starlink Launches'!$A:$A, MATCH($E3363, 'Starlink Launches'!$B:$B, 0)),
  ""
)
</f>
        <v>10-6</v>
      </c>
      <c r="B3363" s="3" t="s">
        <v>25</v>
      </c>
      <c r="C3363" s="12" t="s">
        <v>3381</v>
      </c>
      <c r="D3363" s="13">
        <v>60336.0</v>
      </c>
      <c r="E3363" s="4">
        <v>45506.0</v>
      </c>
      <c r="F3363" s="4" t="str">
        <f>IF(D3363="","", IFNA(VLOOKUP(D3363, SATCAT_DECAY!A:B, 2, FALSE), ""))
</f>
        <v/>
      </c>
      <c r="G3363" s="3" t="str">
        <f t="shared" si="1"/>
        <v>ACTIVE</v>
      </c>
    </row>
    <row r="3364" ht="22.5" customHeight="1">
      <c r="A3364" s="11" t="str">
        <f t="array" ref="A3364">IFERROR(
  INDEX('Starlink Launches'!$A:$A, MATCH($E3364, 'Starlink Launches'!$B:$B, 0)),
  ""
)
</f>
        <v>10-6</v>
      </c>
      <c r="B3364" s="3" t="s">
        <v>25</v>
      </c>
      <c r="C3364" s="12" t="s">
        <v>3382</v>
      </c>
      <c r="D3364" s="13">
        <v>60338.0</v>
      </c>
      <c r="E3364" s="4">
        <v>45506.0</v>
      </c>
      <c r="F3364" s="4" t="str">
        <f>IF(D3364="","", IFNA(VLOOKUP(D3364, SATCAT_DECAY!A:B, 2, FALSE), ""))
</f>
        <v/>
      </c>
      <c r="G3364" s="3" t="str">
        <f t="shared" si="1"/>
        <v>ACTIVE</v>
      </c>
    </row>
    <row r="3365" ht="22.5" customHeight="1">
      <c r="A3365" s="11" t="str">
        <f t="array" ref="A3365">IFERROR(
  INDEX('Starlink Launches'!$A:$A, MATCH($E3365, 'Starlink Launches'!$B:$B, 0)),
  ""
)
</f>
        <v>10-6</v>
      </c>
      <c r="B3365" s="3" t="s">
        <v>25</v>
      </c>
      <c r="C3365" s="12" t="s">
        <v>3383</v>
      </c>
      <c r="D3365" s="13">
        <v>60339.0</v>
      </c>
      <c r="E3365" s="4">
        <v>45506.0</v>
      </c>
      <c r="F3365" s="4" t="str">
        <f>IF(D3365="","", IFNA(VLOOKUP(D3365, SATCAT_DECAY!A:B, 2, FALSE), ""))
</f>
        <v/>
      </c>
      <c r="G3365" s="3" t="str">
        <f t="shared" si="1"/>
        <v>ACTIVE</v>
      </c>
    </row>
    <row r="3366" ht="22.5" customHeight="1">
      <c r="A3366" s="11" t="str">
        <f t="array" ref="A3366">IFERROR(
  INDEX('Starlink Launches'!$A:$A, MATCH($E3366, 'Starlink Launches'!$B:$B, 0)),
  ""
)
</f>
        <v>10-6</v>
      </c>
      <c r="B3366" s="3" t="s">
        <v>25</v>
      </c>
      <c r="C3366" s="12" t="s">
        <v>3384</v>
      </c>
      <c r="D3366" s="13">
        <v>60340.0</v>
      </c>
      <c r="E3366" s="4">
        <v>45506.0</v>
      </c>
      <c r="F3366" s="4" t="str">
        <f>IF(D3366="","", IFNA(VLOOKUP(D3366, SATCAT_DECAY!A:B, 2, FALSE), ""))
</f>
        <v/>
      </c>
      <c r="G3366" s="3" t="str">
        <f t="shared" si="1"/>
        <v>ACTIVE</v>
      </c>
    </row>
    <row r="3367" ht="22.5" customHeight="1">
      <c r="A3367" s="11" t="str">
        <f t="array" ref="A3367">IFERROR(
  INDEX('Starlink Launches'!$A:$A, MATCH($E3367, 'Starlink Launches'!$B:$B, 0)),
  ""
)
</f>
        <v>10-6</v>
      </c>
      <c r="B3367" s="3" t="s">
        <v>25</v>
      </c>
      <c r="C3367" s="12" t="s">
        <v>3385</v>
      </c>
      <c r="D3367" s="13">
        <v>60341.0</v>
      </c>
      <c r="E3367" s="4">
        <v>45506.0</v>
      </c>
      <c r="F3367" s="4" t="str">
        <f>IF(D3367="","", IFNA(VLOOKUP(D3367, SATCAT_DECAY!A:B, 2, FALSE), ""))
</f>
        <v/>
      </c>
      <c r="G3367" s="3" t="str">
        <f t="shared" si="1"/>
        <v>ACTIVE</v>
      </c>
    </row>
    <row r="3368" ht="22.5" customHeight="1">
      <c r="A3368" s="11" t="str">
        <f t="array" ref="A3368">IFERROR(
  INDEX('Starlink Launches'!$A:$A, MATCH($E3368, 'Starlink Launches'!$B:$B, 0)),
  ""
)
</f>
        <v>10-6</v>
      </c>
      <c r="B3368" s="3" t="s">
        <v>25</v>
      </c>
      <c r="C3368" s="12" t="s">
        <v>3386</v>
      </c>
      <c r="D3368" s="13">
        <v>60342.0</v>
      </c>
      <c r="E3368" s="4">
        <v>45506.0</v>
      </c>
      <c r="F3368" s="4" t="str">
        <f>IF(D3368="","", IFNA(VLOOKUP(D3368, SATCAT_DECAY!A:B, 2, FALSE), ""))
</f>
        <v/>
      </c>
      <c r="G3368" s="3" t="str">
        <f t="shared" si="1"/>
        <v>ACTIVE</v>
      </c>
    </row>
    <row r="3369" ht="22.5" customHeight="1">
      <c r="A3369" s="11" t="str">
        <f t="array" ref="A3369">IFERROR(
  INDEX('Starlink Launches'!$A:$A, MATCH($E3369, 'Starlink Launches'!$B:$B, 0)),
  ""
)
</f>
        <v>10-6</v>
      </c>
      <c r="B3369" s="3" t="s">
        <v>25</v>
      </c>
      <c r="C3369" s="12" t="s">
        <v>3387</v>
      </c>
      <c r="D3369" s="13">
        <v>60343.0</v>
      </c>
      <c r="E3369" s="4">
        <v>45506.0</v>
      </c>
      <c r="F3369" s="4" t="str">
        <f>IF(D3369="","", IFNA(VLOOKUP(D3369, SATCAT_DECAY!A:B, 2, FALSE), ""))
</f>
        <v/>
      </c>
      <c r="G3369" s="3" t="str">
        <f t="shared" si="1"/>
        <v>ACTIVE</v>
      </c>
    </row>
    <row r="3370" ht="22.5" customHeight="1">
      <c r="A3370" s="11" t="str">
        <f t="array" ref="A3370">IFERROR(
  INDEX('Starlink Launches'!$A:$A, MATCH($E3370, 'Starlink Launches'!$B:$B, 0)),
  ""
)
</f>
        <v>10-6</v>
      </c>
      <c r="B3370" s="3" t="s">
        <v>25</v>
      </c>
      <c r="C3370" s="12" t="s">
        <v>3388</v>
      </c>
      <c r="D3370" s="13">
        <v>60344.0</v>
      </c>
      <c r="E3370" s="4">
        <v>45506.0</v>
      </c>
      <c r="F3370" s="4" t="str">
        <f>IF(D3370="","", IFNA(VLOOKUP(D3370, SATCAT_DECAY!A:B, 2, FALSE), ""))
</f>
        <v/>
      </c>
      <c r="G3370" s="3" t="str">
        <f t="shared" si="1"/>
        <v>ACTIVE</v>
      </c>
    </row>
    <row r="3371" ht="22.5" customHeight="1">
      <c r="A3371" s="11" t="str">
        <f t="array" ref="A3371">IFERROR(
  INDEX('Starlink Launches'!$A:$A, MATCH($E3371, 'Starlink Launches'!$B:$B, 0)),
  ""
)
</f>
        <v>10-6</v>
      </c>
      <c r="B3371" s="3" t="s">
        <v>25</v>
      </c>
      <c r="C3371" s="12" t="s">
        <v>3389</v>
      </c>
      <c r="D3371" s="13">
        <v>60345.0</v>
      </c>
      <c r="E3371" s="4">
        <v>45506.0</v>
      </c>
      <c r="F3371" s="4" t="str">
        <f>IF(D3371="","", IFNA(VLOOKUP(D3371, SATCAT_DECAY!A:B, 2, FALSE), ""))
</f>
        <v/>
      </c>
      <c r="G3371" s="3" t="str">
        <f t="shared" si="1"/>
        <v>ACTIVE</v>
      </c>
    </row>
    <row r="3372" ht="22.5" customHeight="1">
      <c r="A3372" s="11" t="str">
        <f t="array" ref="A3372">IFERROR(
  INDEX('Starlink Launches'!$A:$A, MATCH($E3372, 'Starlink Launches'!$B:$B, 0)),
  ""
)
</f>
        <v>10-6</v>
      </c>
      <c r="B3372" s="3" t="s">
        <v>25</v>
      </c>
      <c r="C3372" s="12" t="s">
        <v>3390</v>
      </c>
      <c r="D3372" s="13">
        <v>60346.0</v>
      </c>
      <c r="E3372" s="4">
        <v>45506.0</v>
      </c>
      <c r="F3372" s="4" t="str">
        <f>IF(D3372="","", IFNA(VLOOKUP(D3372, SATCAT_DECAY!A:B, 2, FALSE), ""))
</f>
        <v/>
      </c>
      <c r="G3372" s="3" t="str">
        <f t="shared" si="1"/>
        <v>ACTIVE</v>
      </c>
    </row>
    <row r="3373" ht="22.5" customHeight="1">
      <c r="A3373" s="11" t="str">
        <f t="array" ref="A3373">IFERROR(
  INDEX('Starlink Launches'!$A:$A, MATCH($E3373, 'Starlink Launches'!$B:$B, 0)),
  ""
)
</f>
        <v>10-6</v>
      </c>
      <c r="B3373" s="3" t="s">
        <v>25</v>
      </c>
      <c r="C3373" s="12" t="s">
        <v>3391</v>
      </c>
      <c r="D3373" s="13">
        <v>60347.0</v>
      </c>
      <c r="E3373" s="4">
        <v>45506.0</v>
      </c>
      <c r="F3373" s="4" t="str">
        <f>IF(D3373="","", IFNA(VLOOKUP(D3373, SATCAT_DECAY!A:B, 2, FALSE), ""))
</f>
        <v/>
      </c>
      <c r="G3373" s="3" t="str">
        <f t="shared" si="1"/>
        <v>ACTIVE</v>
      </c>
    </row>
    <row r="3374" ht="22.5" customHeight="1">
      <c r="A3374" s="11" t="str">
        <f t="array" ref="A3374">IFERROR(
  INDEX('Starlink Launches'!$A:$A, MATCH($E3374, 'Starlink Launches'!$B:$B, 0)),
  ""
)
</f>
        <v>10-6</v>
      </c>
      <c r="B3374" s="3" t="s">
        <v>25</v>
      </c>
      <c r="C3374" s="12" t="s">
        <v>3392</v>
      </c>
      <c r="D3374" s="13">
        <v>60348.0</v>
      </c>
      <c r="E3374" s="4">
        <v>45506.0</v>
      </c>
      <c r="F3374" s="4" t="str">
        <f>IF(D3374="","", IFNA(VLOOKUP(D3374, SATCAT_DECAY!A:B, 2, FALSE), ""))
</f>
        <v/>
      </c>
      <c r="G3374" s="3" t="str">
        <f t="shared" si="1"/>
        <v>ACTIVE</v>
      </c>
    </row>
    <row r="3375" ht="22.5" customHeight="1">
      <c r="A3375" s="11" t="str">
        <f t="array" ref="A3375">IFERROR(
  INDEX('Starlink Launches'!$A:$A, MATCH($E3375, 'Starlink Launches'!$B:$B, 0)),
  ""
)
</f>
        <v>10-6</v>
      </c>
      <c r="B3375" s="3" t="s">
        <v>25</v>
      </c>
      <c r="C3375" s="12" t="s">
        <v>3393</v>
      </c>
      <c r="D3375" s="13">
        <v>60349.0</v>
      </c>
      <c r="E3375" s="4">
        <v>45506.0</v>
      </c>
      <c r="F3375" s="4" t="str">
        <f>IF(D3375="","", IFNA(VLOOKUP(D3375, SATCAT_DECAY!A:B, 2, FALSE), ""))
</f>
        <v/>
      </c>
      <c r="G3375" s="3" t="str">
        <f t="shared" si="1"/>
        <v>ACTIVE</v>
      </c>
    </row>
    <row r="3376" ht="22.5" customHeight="1">
      <c r="A3376" s="11" t="str">
        <f t="array" ref="A3376">IFERROR(
  INDEX('Starlink Launches'!$A:$A, MATCH($E3376, 'Starlink Launches'!$B:$B, 0)),
  ""
)
</f>
        <v>10-6</v>
      </c>
      <c r="B3376" s="3" t="s">
        <v>25</v>
      </c>
      <c r="C3376" s="12" t="s">
        <v>3394</v>
      </c>
      <c r="D3376" s="13">
        <v>60350.0</v>
      </c>
      <c r="E3376" s="4">
        <v>45506.0</v>
      </c>
      <c r="F3376" s="4" t="str">
        <f>IF(D3376="","", IFNA(VLOOKUP(D3376, SATCAT_DECAY!A:B, 2, FALSE), ""))
</f>
        <v/>
      </c>
      <c r="G3376" s="3" t="str">
        <f t="shared" si="1"/>
        <v>ACTIVE</v>
      </c>
    </row>
    <row r="3377" ht="22.5" customHeight="1">
      <c r="A3377" s="11" t="str">
        <f t="array" ref="A3377">IFERROR(
  INDEX('Starlink Launches'!$A:$A, MATCH($E3377, 'Starlink Launches'!$B:$B, 0)),
  ""
)
</f>
        <v>10-6</v>
      </c>
      <c r="B3377" s="3" t="s">
        <v>25</v>
      </c>
      <c r="C3377" s="12" t="s">
        <v>3395</v>
      </c>
      <c r="D3377" s="13">
        <v>60351.0</v>
      </c>
      <c r="E3377" s="4">
        <v>45506.0</v>
      </c>
      <c r="F3377" s="4" t="str">
        <f>IF(D3377="","", IFNA(VLOOKUP(D3377, SATCAT_DECAY!A:B, 2, FALSE), ""))
</f>
        <v/>
      </c>
      <c r="G3377" s="3" t="str">
        <f t="shared" si="1"/>
        <v>ACTIVE</v>
      </c>
    </row>
    <row r="3378" ht="22.5" customHeight="1">
      <c r="A3378" s="11" t="str">
        <f t="array" ref="A3378">IFERROR(
  INDEX('Starlink Launches'!$A:$A, MATCH($E3378, 'Starlink Launches'!$B:$B, 0)),
  ""
)
</f>
        <v>10-7</v>
      </c>
      <c r="B3378" s="3" t="s">
        <v>25</v>
      </c>
      <c r="C3378" s="12" t="s">
        <v>3396</v>
      </c>
      <c r="D3378" s="13">
        <v>60425.0</v>
      </c>
      <c r="E3378" s="4">
        <v>45516.0</v>
      </c>
      <c r="F3378" s="4" t="str">
        <f>IF(D3378="","", IFNA(VLOOKUP(D3378, SATCAT_DECAY!A:B, 2, FALSE), ""))
</f>
        <v/>
      </c>
      <c r="G3378" s="3" t="str">
        <f t="shared" si="1"/>
        <v>ACTIVE</v>
      </c>
    </row>
    <row r="3379" ht="22.5" customHeight="1">
      <c r="A3379" s="11" t="str">
        <f t="array" ref="A3379">IFERROR(
  INDEX('Starlink Launches'!$A:$A, MATCH($E3379, 'Starlink Launches'!$B:$B, 0)),
  ""
)
</f>
        <v>10-7</v>
      </c>
      <c r="B3379" s="3" t="s">
        <v>25</v>
      </c>
      <c r="C3379" s="12" t="s">
        <v>3397</v>
      </c>
      <c r="D3379" s="13">
        <v>60426.0</v>
      </c>
      <c r="E3379" s="4">
        <v>45516.0</v>
      </c>
      <c r="F3379" s="4" t="str">
        <f>IF(D3379="","", IFNA(VLOOKUP(D3379, SATCAT_DECAY!A:B, 2, FALSE), ""))
</f>
        <v/>
      </c>
      <c r="G3379" s="3" t="str">
        <f t="shared" si="1"/>
        <v>ACTIVE</v>
      </c>
    </row>
    <row r="3380" ht="22.5" customHeight="1">
      <c r="A3380" s="11" t="str">
        <f t="array" ref="A3380">IFERROR(
  INDEX('Starlink Launches'!$A:$A, MATCH($E3380, 'Starlink Launches'!$B:$B, 0)),
  ""
)
</f>
        <v>10-7</v>
      </c>
      <c r="B3380" s="3" t="s">
        <v>25</v>
      </c>
      <c r="C3380" s="12" t="s">
        <v>3398</v>
      </c>
      <c r="D3380" s="13">
        <v>60427.0</v>
      </c>
      <c r="E3380" s="4">
        <v>45516.0</v>
      </c>
      <c r="F3380" s="4" t="str">
        <f>IF(D3380="","", IFNA(VLOOKUP(D3380, SATCAT_DECAY!A:B, 2, FALSE), ""))
</f>
        <v/>
      </c>
      <c r="G3380" s="3" t="str">
        <f t="shared" si="1"/>
        <v>ACTIVE</v>
      </c>
    </row>
    <row r="3381" ht="22.5" customHeight="1">
      <c r="A3381" s="11" t="str">
        <f t="array" ref="A3381">IFERROR(
  INDEX('Starlink Launches'!$A:$A, MATCH($E3381, 'Starlink Launches'!$B:$B, 0)),
  ""
)
</f>
        <v>10-7</v>
      </c>
      <c r="B3381" s="3" t="s">
        <v>25</v>
      </c>
      <c r="C3381" s="12" t="s">
        <v>3399</v>
      </c>
      <c r="D3381" s="13">
        <v>60428.0</v>
      </c>
      <c r="E3381" s="4">
        <v>45516.0</v>
      </c>
      <c r="F3381" s="4" t="str">
        <f>IF(D3381="","", IFNA(VLOOKUP(D3381, SATCAT_DECAY!A:B, 2, FALSE), ""))
</f>
        <v/>
      </c>
      <c r="G3381" s="3" t="str">
        <f t="shared" si="1"/>
        <v>ACTIVE</v>
      </c>
    </row>
    <row r="3382" ht="22.5" customHeight="1">
      <c r="A3382" s="11" t="str">
        <f t="array" ref="A3382">IFERROR(
  INDEX('Starlink Launches'!$A:$A, MATCH($E3382, 'Starlink Launches'!$B:$B, 0)),
  ""
)
</f>
        <v>10-7</v>
      </c>
      <c r="B3382" s="3" t="s">
        <v>25</v>
      </c>
      <c r="C3382" s="12" t="s">
        <v>3400</v>
      </c>
      <c r="D3382" s="13">
        <v>60429.0</v>
      </c>
      <c r="E3382" s="4">
        <v>45516.0</v>
      </c>
      <c r="F3382" s="4" t="str">
        <f>IF(D3382="","", IFNA(VLOOKUP(D3382, SATCAT_DECAY!A:B, 2, FALSE), ""))
</f>
        <v/>
      </c>
      <c r="G3382" s="3" t="str">
        <f t="shared" si="1"/>
        <v>ACTIVE</v>
      </c>
    </row>
    <row r="3383" ht="22.5" customHeight="1">
      <c r="A3383" s="11" t="str">
        <f t="array" ref="A3383">IFERROR(
  INDEX('Starlink Launches'!$A:$A, MATCH($E3383, 'Starlink Launches'!$B:$B, 0)),
  ""
)
</f>
        <v>10-7</v>
      </c>
      <c r="B3383" s="3" t="s">
        <v>25</v>
      </c>
      <c r="C3383" s="12" t="s">
        <v>3401</v>
      </c>
      <c r="D3383" s="13">
        <v>60430.0</v>
      </c>
      <c r="E3383" s="4">
        <v>45516.0</v>
      </c>
      <c r="F3383" s="4" t="str">
        <f>IF(D3383="","", IFNA(VLOOKUP(D3383, SATCAT_DECAY!A:B, 2, FALSE), ""))
</f>
        <v/>
      </c>
      <c r="G3383" s="3" t="str">
        <f t="shared" si="1"/>
        <v>ACTIVE</v>
      </c>
    </row>
    <row r="3384" ht="22.5" customHeight="1">
      <c r="A3384" s="11" t="str">
        <f t="array" ref="A3384">IFERROR(
  INDEX('Starlink Launches'!$A:$A, MATCH($E3384, 'Starlink Launches'!$B:$B, 0)),
  ""
)
</f>
        <v>10-7</v>
      </c>
      <c r="B3384" s="3" t="s">
        <v>25</v>
      </c>
      <c r="C3384" s="12" t="s">
        <v>3402</v>
      </c>
      <c r="D3384" s="13">
        <v>60431.0</v>
      </c>
      <c r="E3384" s="4">
        <v>45516.0</v>
      </c>
      <c r="F3384" s="4" t="str">
        <f>IF(D3384="","", IFNA(VLOOKUP(D3384, SATCAT_DECAY!A:B, 2, FALSE), ""))
</f>
        <v/>
      </c>
      <c r="G3384" s="3" t="str">
        <f t="shared" si="1"/>
        <v>ACTIVE</v>
      </c>
    </row>
    <row r="3385" ht="22.5" customHeight="1">
      <c r="A3385" s="11" t="str">
        <f t="array" ref="A3385">IFERROR(
  INDEX('Starlink Launches'!$A:$A, MATCH($E3385, 'Starlink Launches'!$B:$B, 0)),
  ""
)
</f>
        <v>10-7</v>
      </c>
      <c r="B3385" s="3" t="s">
        <v>25</v>
      </c>
      <c r="C3385" s="12" t="s">
        <v>3403</v>
      </c>
      <c r="D3385" s="13">
        <v>60432.0</v>
      </c>
      <c r="E3385" s="4">
        <v>45516.0</v>
      </c>
      <c r="F3385" s="4" t="str">
        <f>IF(D3385="","", IFNA(VLOOKUP(D3385, SATCAT_DECAY!A:B, 2, FALSE), ""))
</f>
        <v/>
      </c>
      <c r="G3385" s="3" t="str">
        <f t="shared" si="1"/>
        <v>ACTIVE</v>
      </c>
    </row>
    <row r="3386" ht="22.5" customHeight="1">
      <c r="A3386" s="11" t="str">
        <f t="array" ref="A3386">IFERROR(
  INDEX('Starlink Launches'!$A:$A, MATCH($E3386, 'Starlink Launches'!$B:$B, 0)),
  ""
)
</f>
        <v>10-7</v>
      </c>
      <c r="B3386" s="3" t="s">
        <v>25</v>
      </c>
      <c r="C3386" s="12" t="s">
        <v>3404</v>
      </c>
      <c r="D3386" s="13">
        <v>60433.0</v>
      </c>
      <c r="E3386" s="4">
        <v>45516.0</v>
      </c>
      <c r="F3386" s="4" t="str">
        <f>IF(D3386="","", IFNA(VLOOKUP(D3386, SATCAT_DECAY!A:B, 2, FALSE), ""))
</f>
        <v/>
      </c>
      <c r="G3386" s="3" t="str">
        <f t="shared" si="1"/>
        <v>ACTIVE</v>
      </c>
    </row>
    <row r="3387" ht="22.5" customHeight="1">
      <c r="A3387" s="11" t="str">
        <f t="array" ref="A3387">IFERROR(
  INDEX('Starlink Launches'!$A:$A, MATCH($E3387, 'Starlink Launches'!$B:$B, 0)),
  ""
)
</f>
        <v>10-7</v>
      </c>
      <c r="B3387" s="3" t="s">
        <v>25</v>
      </c>
      <c r="C3387" s="12" t="s">
        <v>3405</v>
      </c>
      <c r="D3387" s="13">
        <v>60434.0</v>
      </c>
      <c r="E3387" s="4">
        <v>45516.0</v>
      </c>
      <c r="F3387" s="4" t="str">
        <f>IF(D3387="","", IFNA(VLOOKUP(D3387, SATCAT_DECAY!A:B, 2, FALSE), ""))
</f>
        <v/>
      </c>
      <c r="G3387" s="3" t="str">
        <f t="shared" si="1"/>
        <v>ACTIVE</v>
      </c>
    </row>
    <row r="3388" ht="22.5" customHeight="1">
      <c r="A3388" s="11" t="str">
        <f t="array" ref="A3388">IFERROR(
  INDEX('Starlink Launches'!$A:$A, MATCH($E3388, 'Starlink Launches'!$B:$B, 0)),
  ""
)
</f>
        <v>10-7</v>
      </c>
      <c r="B3388" s="3" t="s">
        <v>25</v>
      </c>
      <c r="C3388" s="12" t="s">
        <v>3406</v>
      </c>
      <c r="D3388" s="13">
        <v>60435.0</v>
      </c>
      <c r="E3388" s="4">
        <v>45516.0</v>
      </c>
      <c r="F3388" s="4" t="str">
        <f>IF(D3388="","", IFNA(VLOOKUP(D3388, SATCAT_DECAY!A:B, 2, FALSE), ""))
</f>
        <v/>
      </c>
      <c r="G3388" s="3" t="str">
        <f t="shared" si="1"/>
        <v>ACTIVE</v>
      </c>
    </row>
    <row r="3389" ht="22.5" customHeight="1">
      <c r="A3389" s="11" t="str">
        <f t="array" ref="A3389">IFERROR(
  INDEX('Starlink Launches'!$A:$A, MATCH($E3389, 'Starlink Launches'!$B:$B, 0)),
  ""
)
</f>
        <v>10-7</v>
      </c>
      <c r="B3389" s="3" t="s">
        <v>25</v>
      </c>
      <c r="C3389" s="12" t="s">
        <v>3407</v>
      </c>
      <c r="D3389" s="13">
        <v>60436.0</v>
      </c>
      <c r="E3389" s="4">
        <v>45516.0</v>
      </c>
      <c r="F3389" s="4" t="str">
        <f>IF(D3389="","", IFNA(VLOOKUP(D3389, SATCAT_DECAY!A:B, 2, FALSE), ""))
</f>
        <v/>
      </c>
      <c r="G3389" s="3" t="str">
        <f t="shared" si="1"/>
        <v>ACTIVE</v>
      </c>
    </row>
    <row r="3390" ht="22.5" customHeight="1">
      <c r="A3390" s="11" t="str">
        <f t="array" ref="A3390">IFERROR(
  INDEX('Starlink Launches'!$A:$A, MATCH($E3390, 'Starlink Launches'!$B:$B, 0)),
  ""
)
</f>
        <v>10-7</v>
      </c>
      <c r="B3390" s="3" t="s">
        <v>25</v>
      </c>
      <c r="C3390" s="12" t="s">
        <v>3408</v>
      </c>
      <c r="D3390" s="13">
        <v>60437.0</v>
      </c>
      <c r="E3390" s="4">
        <v>45516.0</v>
      </c>
      <c r="F3390" s="4" t="str">
        <f>IF(D3390="","", IFNA(VLOOKUP(D3390, SATCAT_DECAY!A:B, 2, FALSE), ""))
</f>
        <v/>
      </c>
      <c r="G3390" s="3" t="str">
        <f t="shared" si="1"/>
        <v>ACTIVE</v>
      </c>
    </row>
    <row r="3391" ht="22.5" customHeight="1">
      <c r="A3391" s="11" t="str">
        <f t="array" ref="A3391">IFERROR(
  INDEX('Starlink Launches'!$A:$A, MATCH($E3391, 'Starlink Launches'!$B:$B, 0)),
  ""
)
</f>
        <v>10-7</v>
      </c>
      <c r="B3391" s="3" t="s">
        <v>25</v>
      </c>
      <c r="C3391" s="12" t="s">
        <v>3409</v>
      </c>
      <c r="D3391" s="13">
        <v>60438.0</v>
      </c>
      <c r="E3391" s="4">
        <v>45516.0</v>
      </c>
      <c r="F3391" s="4" t="str">
        <f>IF(D3391="","", IFNA(VLOOKUP(D3391, SATCAT_DECAY!A:B, 2, FALSE), ""))
</f>
        <v/>
      </c>
      <c r="G3391" s="3" t="str">
        <f t="shared" si="1"/>
        <v>ACTIVE</v>
      </c>
    </row>
    <row r="3392" ht="22.5" customHeight="1">
      <c r="A3392" s="11" t="str">
        <f t="array" ref="A3392">IFERROR(
  INDEX('Starlink Launches'!$A:$A, MATCH($E3392, 'Starlink Launches'!$B:$B, 0)),
  ""
)
</f>
        <v>10-7</v>
      </c>
      <c r="B3392" s="3" t="s">
        <v>25</v>
      </c>
      <c r="C3392" s="12" t="s">
        <v>3410</v>
      </c>
      <c r="D3392" s="13">
        <v>60439.0</v>
      </c>
      <c r="E3392" s="4">
        <v>45516.0</v>
      </c>
      <c r="F3392" s="4" t="str">
        <f>IF(D3392="","", IFNA(VLOOKUP(D3392, SATCAT_DECAY!A:B, 2, FALSE), ""))
</f>
        <v/>
      </c>
      <c r="G3392" s="3" t="str">
        <f t="shared" si="1"/>
        <v>ACTIVE</v>
      </c>
    </row>
    <row r="3393" ht="22.5" customHeight="1">
      <c r="A3393" s="11" t="str">
        <f t="array" ref="A3393">IFERROR(
  INDEX('Starlink Launches'!$A:$A, MATCH($E3393, 'Starlink Launches'!$B:$B, 0)),
  ""
)
</f>
        <v>10-7</v>
      </c>
      <c r="B3393" s="3" t="s">
        <v>25</v>
      </c>
      <c r="C3393" s="12" t="s">
        <v>3411</v>
      </c>
      <c r="D3393" s="13">
        <v>60440.0</v>
      </c>
      <c r="E3393" s="4">
        <v>45516.0</v>
      </c>
      <c r="F3393" s="4" t="str">
        <f>IF(D3393="","", IFNA(VLOOKUP(D3393, SATCAT_DECAY!A:B, 2, FALSE), ""))
</f>
        <v/>
      </c>
      <c r="G3393" s="3" t="str">
        <f t="shared" si="1"/>
        <v>ACTIVE</v>
      </c>
    </row>
    <row r="3394" ht="22.5" customHeight="1">
      <c r="A3394" s="11" t="str">
        <f t="array" ref="A3394">IFERROR(
  INDEX('Starlink Launches'!$A:$A, MATCH($E3394, 'Starlink Launches'!$B:$B, 0)),
  ""
)
</f>
        <v>10-7</v>
      </c>
      <c r="B3394" s="3" t="s">
        <v>25</v>
      </c>
      <c r="C3394" s="12" t="s">
        <v>3412</v>
      </c>
      <c r="D3394" s="13">
        <v>60441.0</v>
      </c>
      <c r="E3394" s="4">
        <v>45516.0</v>
      </c>
      <c r="F3394" s="4" t="str">
        <f>IF(D3394="","", IFNA(VLOOKUP(D3394, SATCAT_DECAY!A:B, 2, FALSE), ""))
</f>
        <v/>
      </c>
      <c r="G3394" s="3" t="str">
        <f t="shared" si="1"/>
        <v>ACTIVE</v>
      </c>
    </row>
    <row r="3395" ht="22.5" customHeight="1">
      <c r="A3395" s="11" t="str">
        <f t="array" ref="A3395">IFERROR(
  INDEX('Starlink Launches'!$A:$A, MATCH($E3395, 'Starlink Launches'!$B:$B, 0)),
  ""
)
</f>
        <v>10-7</v>
      </c>
      <c r="B3395" s="3" t="s">
        <v>25</v>
      </c>
      <c r="C3395" s="12" t="s">
        <v>3413</v>
      </c>
      <c r="D3395" s="13">
        <v>60442.0</v>
      </c>
      <c r="E3395" s="4">
        <v>45516.0</v>
      </c>
      <c r="F3395" s="4" t="str">
        <f>IF(D3395="","", IFNA(VLOOKUP(D3395, SATCAT_DECAY!A:B, 2, FALSE), ""))
</f>
        <v/>
      </c>
      <c r="G3395" s="3" t="str">
        <f t="shared" si="1"/>
        <v>ACTIVE</v>
      </c>
    </row>
    <row r="3396" ht="22.5" customHeight="1">
      <c r="A3396" s="11" t="str">
        <f t="array" ref="A3396">IFERROR(
  INDEX('Starlink Launches'!$A:$A, MATCH($E3396, 'Starlink Launches'!$B:$B, 0)),
  ""
)
</f>
        <v>10-7</v>
      </c>
      <c r="B3396" s="3" t="s">
        <v>25</v>
      </c>
      <c r="C3396" s="12" t="s">
        <v>3414</v>
      </c>
      <c r="D3396" s="13">
        <v>60443.0</v>
      </c>
      <c r="E3396" s="4">
        <v>45516.0</v>
      </c>
      <c r="F3396" s="4" t="str">
        <f>IF(D3396="","", IFNA(VLOOKUP(D3396, SATCAT_DECAY!A:B, 2, FALSE), ""))
</f>
        <v/>
      </c>
      <c r="G3396" s="3" t="str">
        <f t="shared" si="1"/>
        <v>ACTIVE</v>
      </c>
    </row>
    <row r="3397" ht="22.5" customHeight="1">
      <c r="A3397" s="11" t="str">
        <f t="array" ref="A3397">IFERROR(
  INDEX('Starlink Launches'!$A:$A, MATCH($E3397, 'Starlink Launches'!$B:$B, 0)),
  ""
)
</f>
        <v>10-7</v>
      </c>
      <c r="B3397" s="3" t="s">
        <v>25</v>
      </c>
      <c r="C3397" s="12" t="s">
        <v>3415</v>
      </c>
      <c r="D3397" s="13">
        <v>60444.0</v>
      </c>
      <c r="E3397" s="4">
        <v>45516.0</v>
      </c>
      <c r="F3397" s="4" t="str">
        <f>IF(D3397="","", IFNA(VLOOKUP(D3397, SATCAT_DECAY!A:B, 2, FALSE), ""))
</f>
        <v/>
      </c>
      <c r="G3397" s="3" t="str">
        <f t="shared" si="1"/>
        <v>ACTIVE</v>
      </c>
    </row>
    <row r="3398" ht="22.5" customHeight="1">
      <c r="A3398" s="11" t="str">
        <f t="array" ref="A3398">IFERROR(
  INDEX('Starlink Launches'!$A:$A, MATCH($E3398, 'Starlink Launches'!$B:$B, 0)),
  ""
)
</f>
        <v>10-7</v>
      </c>
      <c r="B3398" s="3" t="s">
        <v>25</v>
      </c>
      <c r="C3398" s="12" t="s">
        <v>3416</v>
      </c>
      <c r="D3398" s="13">
        <v>60445.0</v>
      </c>
      <c r="E3398" s="4">
        <v>45516.0</v>
      </c>
      <c r="F3398" s="4" t="str">
        <f>IF(D3398="","", IFNA(VLOOKUP(D3398, SATCAT_DECAY!A:B, 2, FALSE), ""))
</f>
        <v/>
      </c>
      <c r="G3398" s="3" t="str">
        <f t="shared" si="1"/>
        <v>ACTIVE</v>
      </c>
    </row>
    <row r="3399" ht="22.5" customHeight="1">
      <c r="A3399" s="11" t="str">
        <f t="array" ref="A3399">IFERROR(
  INDEX('Starlink Launches'!$A:$A, MATCH($E3399, 'Starlink Launches'!$B:$B, 0)),
  ""
)
</f>
        <v>10-7</v>
      </c>
      <c r="B3399" s="3" t="s">
        <v>25</v>
      </c>
      <c r="C3399" s="12" t="s">
        <v>3417</v>
      </c>
      <c r="D3399" s="13">
        <v>60446.0</v>
      </c>
      <c r="E3399" s="4">
        <v>45516.0</v>
      </c>
      <c r="F3399" s="4" t="str">
        <f>IF(D3399="","", IFNA(VLOOKUP(D3399, SATCAT_DECAY!A:B, 2, FALSE), ""))
</f>
        <v/>
      </c>
      <c r="G3399" s="3" t="str">
        <f t="shared" si="1"/>
        <v>ACTIVE</v>
      </c>
    </row>
    <row r="3400" ht="22.5" customHeight="1">
      <c r="A3400" s="11" t="str">
        <f t="array" ref="A3400">IFERROR(
  INDEX('Starlink Launches'!$A:$A, MATCH($E3400, 'Starlink Launches'!$B:$B, 0)),
  ""
)
</f>
        <v>10-7</v>
      </c>
      <c r="B3400" s="3" t="s">
        <v>25</v>
      </c>
      <c r="C3400" s="12" t="s">
        <v>3418</v>
      </c>
      <c r="D3400" s="13">
        <v>60447.0</v>
      </c>
      <c r="E3400" s="4">
        <v>45516.0</v>
      </c>
      <c r="F3400" s="4" t="str">
        <f>IF(D3400="","", IFNA(VLOOKUP(D3400, SATCAT_DECAY!A:B, 2, FALSE), ""))
</f>
        <v/>
      </c>
      <c r="G3400" s="3" t="str">
        <f t="shared" si="1"/>
        <v>ACTIVE</v>
      </c>
    </row>
    <row r="3401" ht="22.5" customHeight="1">
      <c r="A3401" s="11" t="str">
        <f t="array" ref="A3401">IFERROR(
  INDEX('Starlink Launches'!$A:$A, MATCH($E3401, 'Starlink Launches'!$B:$B, 0)),
  ""
)
</f>
        <v>10-5</v>
      </c>
      <c r="B3401" s="3" t="s">
        <v>25</v>
      </c>
      <c r="C3401" s="12" t="s">
        <v>3419</v>
      </c>
      <c r="D3401" s="13">
        <v>60583.0</v>
      </c>
      <c r="E3401" s="4">
        <v>45524.0</v>
      </c>
      <c r="F3401" s="4" t="str">
        <f>IF(D3401="","", IFNA(VLOOKUP(D3401, SATCAT_DECAY!A:B, 2, FALSE), ""))
</f>
        <v/>
      </c>
      <c r="G3401" s="3" t="str">
        <f t="shared" si="1"/>
        <v>ACTIVE</v>
      </c>
    </row>
    <row r="3402" ht="22.5" customHeight="1">
      <c r="A3402" s="11" t="str">
        <f t="array" ref="A3402">IFERROR(
  INDEX('Starlink Launches'!$A:$A, MATCH($E3402, 'Starlink Launches'!$B:$B, 0)),
  ""
)
</f>
        <v>10-5</v>
      </c>
      <c r="B3402" s="3" t="s">
        <v>25</v>
      </c>
      <c r="C3402" s="12" t="s">
        <v>3420</v>
      </c>
      <c r="D3402" s="13">
        <v>60584.0</v>
      </c>
      <c r="E3402" s="4">
        <v>45524.0</v>
      </c>
      <c r="F3402" s="4" t="str">
        <f>IF(D3402="","", IFNA(VLOOKUP(D3402, SATCAT_DECAY!A:B, 2, FALSE), ""))
</f>
        <v/>
      </c>
      <c r="G3402" s="3" t="str">
        <f t="shared" si="1"/>
        <v>ACTIVE</v>
      </c>
    </row>
    <row r="3403" ht="22.5" customHeight="1">
      <c r="A3403" s="11" t="str">
        <f t="array" ref="A3403">IFERROR(
  INDEX('Starlink Launches'!$A:$A, MATCH($E3403, 'Starlink Launches'!$B:$B, 0)),
  ""
)
</f>
        <v>10-5</v>
      </c>
      <c r="B3403" s="3" t="s">
        <v>25</v>
      </c>
      <c r="C3403" s="12" t="s">
        <v>3421</v>
      </c>
      <c r="D3403" s="13">
        <v>60585.0</v>
      </c>
      <c r="E3403" s="4">
        <v>45524.0</v>
      </c>
      <c r="F3403" s="4" t="str">
        <f>IF(D3403="","", IFNA(VLOOKUP(D3403, SATCAT_DECAY!A:B, 2, FALSE), ""))
</f>
        <v/>
      </c>
      <c r="G3403" s="3" t="str">
        <f t="shared" si="1"/>
        <v>ACTIVE</v>
      </c>
    </row>
    <row r="3404" ht="22.5" customHeight="1">
      <c r="A3404" s="11" t="str">
        <f t="array" ref="A3404">IFERROR(
  INDEX('Starlink Launches'!$A:$A, MATCH($E3404, 'Starlink Launches'!$B:$B, 0)),
  ""
)
</f>
        <v>10-5</v>
      </c>
      <c r="B3404" s="3" t="s">
        <v>25</v>
      </c>
      <c r="C3404" s="12" t="s">
        <v>3422</v>
      </c>
      <c r="D3404" s="13">
        <v>60586.0</v>
      </c>
      <c r="E3404" s="4">
        <v>45524.0</v>
      </c>
      <c r="F3404" s="4" t="str">
        <f>IF(D3404="","", IFNA(VLOOKUP(D3404, SATCAT_DECAY!A:B, 2, FALSE), ""))
</f>
        <v/>
      </c>
      <c r="G3404" s="3" t="str">
        <f t="shared" si="1"/>
        <v>ACTIVE</v>
      </c>
    </row>
    <row r="3405" ht="22.5" customHeight="1">
      <c r="A3405" s="11" t="str">
        <f t="array" ref="A3405">IFERROR(
  INDEX('Starlink Launches'!$A:$A, MATCH($E3405, 'Starlink Launches'!$B:$B, 0)),
  ""
)
</f>
        <v>10-5</v>
      </c>
      <c r="B3405" s="3" t="s">
        <v>25</v>
      </c>
      <c r="C3405" s="12" t="s">
        <v>3423</v>
      </c>
      <c r="D3405" s="13">
        <v>60587.0</v>
      </c>
      <c r="E3405" s="4">
        <v>45524.0</v>
      </c>
      <c r="F3405" s="4" t="str">
        <f>IF(D3405="","", IFNA(VLOOKUP(D3405, SATCAT_DECAY!A:B, 2, FALSE), ""))
</f>
        <v/>
      </c>
      <c r="G3405" s="3" t="str">
        <f t="shared" si="1"/>
        <v>ACTIVE</v>
      </c>
    </row>
    <row r="3406" ht="22.5" customHeight="1">
      <c r="A3406" s="11" t="str">
        <f t="array" ref="A3406">IFERROR(
  INDEX('Starlink Launches'!$A:$A, MATCH($E3406, 'Starlink Launches'!$B:$B, 0)),
  ""
)
</f>
        <v>10-5</v>
      </c>
      <c r="B3406" s="3" t="s">
        <v>25</v>
      </c>
      <c r="C3406" s="12" t="s">
        <v>3424</v>
      </c>
      <c r="D3406" s="13">
        <v>60588.0</v>
      </c>
      <c r="E3406" s="4">
        <v>45524.0</v>
      </c>
      <c r="F3406" s="4" t="str">
        <f>IF(D3406="","", IFNA(VLOOKUP(D3406, SATCAT_DECAY!A:B, 2, FALSE), ""))
</f>
        <v/>
      </c>
      <c r="G3406" s="3" t="str">
        <f t="shared" si="1"/>
        <v>ACTIVE</v>
      </c>
    </row>
    <row r="3407" ht="22.5" customHeight="1">
      <c r="A3407" s="11" t="str">
        <f t="array" ref="A3407">IFERROR(
  INDEX('Starlink Launches'!$A:$A, MATCH($E3407, 'Starlink Launches'!$B:$B, 0)),
  ""
)
</f>
        <v>10-5</v>
      </c>
      <c r="B3407" s="3" t="s">
        <v>25</v>
      </c>
      <c r="C3407" s="12" t="s">
        <v>3425</v>
      </c>
      <c r="D3407" s="13">
        <v>60589.0</v>
      </c>
      <c r="E3407" s="4">
        <v>45524.0</v>
      </c>
      <c r="F3407" s="4" t="str">
        <f>IF(D3407="","", IFNA(VLOOKUP(D3407, SATCAT_DECAY!A:B, 2, FALSE), ""))
</f>
        <v/>
      </c>
      <c r="G3407" s="3" t="str">
        <f t="shared" si="1"/>
        <v>ACTIVE</v>
      </c>
    </row>
    <row r="3408" ht="22.5" customHeight="1">
      <c r="A3408" s="11" t="str">
        <f t="array" ref="A3408">IFERROR(
  INDEX('Starlink Launches'!$A:$A, MATCH($E3408, 'Starlink Launches'!$B:$B, 0)),
  ""
)
</f>
        <v>10-5</v>
      </c>
      <c r="B3408" s="3" t="s">
        <v>25</v>
      </c>
      <c r="C3408" s="12" t="s">
        <v>3426</v>
      </c>
      <c r="D3408" s="13">
        <v>60590.0</v>
      </c>
      <c r="E3408" s="4">
        <v>45524.0</v>
      </c>
      <c r="F3408" s="4" t="str">
        <f>IF(D3408="","", IFNA(VLOOKUP(D3408, SATCAT_DECAY!A:B, 2, FALSE), ""))
</f>
        <v/>
      </c>
      <c r="G3408" s="3" t="str">
        <f t="shared" si="1"/>
        <v>ACTIVE</v>
      </c>
    </row>
    <row r="3409" ht="22.5" customHeight="1">
      <c r="A3409" s="11" t="str">
        <f t="array" ref="A3409">IFERROR(
  INDEX('Starlink Launches'!$A:$A, MATCH($E3409, 'Starlink Launches'!$B:$B, 0)),
  ""
)
</f>
        <v>10-5</v>
      </c>
      <c r="B3409" s="3" t="s">
        <v>25</v>
      </c>
      <c r="C3409" s="12" t="s">
        <v>3427</v>
      </c>
      <c r="D3409" s="13">
        <v>60591.0</v>
      </c>
      <c r="E3409" s="4">
        <v>45524.0</v>
      </c>
      <c r="F3409" s="4" t="str">
        <f>IF(D3409="","", IFNA(VLOOKUP(D3409, SATCAT_DECAY!A:B, 2, FALSE), ""))
</f>
        <v/>
      </c>
      <c r="G3409" s="3" t="str">
        <f t="shared" si="1"/>
        <v>ACTIVE</v>
      </c>
    </row>
    <row r="3410" ht="22.5" customHeight="1">
      <c r="A3410" s="11" t="str">
        <f t="array" ref="A3410">IFERROR(
  INDEX('Starlink Launches'!$A:$A, MATCH($E3410, 'Starlink Launches'!$B:$B, 0)),
  ""
)
</f>
        <v>10-5</v>
      </c>
      <c r="B3410" s="3" t="s">
        <v>25</v>
      </c>
      <c r="C3410" s="12" t="s">
        <v>3428</v>
      </c>
      <c r="D3410" s="13">
        <v>60592.0</v>
      </c>
      <c r="E3410" s="4">
        <v>45524.0</v>
      </c>
      <c r="F3410" s="4" t="str">
        <f>IF(D3410="","", IFNA(VLOOKUP(D3410, SATCAT_DECAY!A:B, 2, FALSE), ""))
</f>
        <v/>
      </c>
      <c r="G3410" s="3" t="str">
        <f t="shared" si="1"/>
        <v>ACTIVE</v>
      </c>
    </row>
    <row r="3411" ht="22.5" customHeight="1">
      <c r="A3411" s="11" t="str">
        <f t="array" ref="A3411">IFERROR(
  INDEX('Starlink Launches'!$A:$A, MATCH($E3411, 'Starlink Launches'!$B:$B, 0)),
  ""
)
</f>
        <v>10-5</v>
      </c>
      <c r="B3411" s="3" t="s">
        <v>25</v>
      </c>
      <c r="C3411" s="12" t="s">
        <v>3429</v>
      </c>
      <c r="D3411" s="13">
        <v>60593.0</v>
      </c>
      <c r="E3411" s="4">
        <v>45524.0</v>
      </c>
      <c r="F3411" s="4" t="str">
        <f>IF(D3411="","", IFNA(VLOOKUP(D3411, SATCAT_DECAY!A:B, 2, FALSE), ""))
</f>
        <v/>
      </c>
      <c r="G3411" s="3" t="str">
        <f t="shared" si="1"/>
        <v>ACTIVE</v>
      </c>
    </row>
    <row r="3412" ht="22.5" customHeight="1">
      <c r="A3412" s="11" t="str">
        <f t="array" ref="A3412">IFERROR(
  INDEX('Starlink Launches'!$A:$A, MATCH($E3412, 'Starlink Launches'!$B:$B, 0)),
  ""
)
</f>
        <v>10-5</v>
      </c>
      <c r="B3412" s="3" t="s">
        <v>25</v>
      </c>
      <c r="C3412" s="12" t="s">
        <v>3430</v>
      </c>
      <c r="D3412" s="13">
        <v>60594.0</v>
      </c>
      <c r="E3412" s="4">
        <v>45524.0</v>
      </c>
      <c r="F3412" s="4" t="str">
        <f>IF(D3412="","", IFNA(VLOOKUP(D3412, SATCAT_DECAY!A:B, 2, FALSE), ""))
</f>
        <v/>
      </c>
      <c r="G3412" s="3" t="str">
        <f t="shared" si="1"/>
        <v>ACTIVE</v>
      </c>
    </row>
    <row r="3413" ht="22.5" customHeight="1">
      <c r="A3413" s="11" t="str">
        <f t="array" ref="A3413">IFERROR(
  INDEX('Starlink Launches'!$A:$A, MATCH($E3413, 'Starlink Launches'!$B:$B, 0)),
  ""
)
</f>
        <v>10-5</v>
      </c>
      <c r="B3413" s="3" t="s">
        <v>25</v>
      </c>
      <c r="C3413" s="12" t="s">
        <v>3431</v>
      </c>
      <c r="D3413" s="13">
        <v>60595.0</v>
      </c>
      <c r="E3413" s="4">
        <v>45524.0</v>
      </c>
      <c r="F3413" s="4" t="str">
        <f>IF(D3413="","", IFNA(VLOOKUP(D3413, SATCAT_DECAY!A:B, 2, FALSE), ""))
</f>
        <v/>
      </c>
      <c r="G3413" s="3" t="str">
        <f t="shared" si="1"/>
        <v>ACTIVE</v>
      </c>
    </row>
    <row r="3414" ht="22.5" customHeight="1">
      <c r="A3414" s="11" t="str">
        <f t="array" ref="A3414">IFERROR(
  INDEX('Starlink Launches'!$A:$A, MATCH($E3414, 'Starlink Launches'!$B:$B, 0)),
  ""
)
</f>
        <v>10-5</v>
      </c>
      <c r="B3414" s="3" t="s">
        <v>25</v>
      </c>
      <c r="C3414" s="12" t="s">
        <v>3432</v>
      </c>
      <c r="D3414" s="13">
        <v>60596.0</v>
      </c>
      <c r="E3414" s="4">
        <v>45524.0</v>
      </c>
      <c r="F3414" s="4" t="str">
        <f>IF(D3414="","", IFNA(VLOOKUP(D3414, SATCAT_DECAY!A:B, 2, FALSE), ""))
</f>
        <v/>
      </c>
      <c r="G3414" s="3" t="str">
        <f t="shared" si="1"/>
        <v>ACTIVE</v>
      </c>
    </row>
    <row r="3415" ht="22.5" customHeight="1">
      <c r="A3415" s="11" t="str">
        <f t="array" ref="A3415">IFERROR(
  INDEX('Starlink Launches'!$A:$A, MATCH($E3415, 'Starlink Launches'!$B:$B, 0)),
  ""
)
</f>
        <v>10-5</v>
      </c>
      <c r="B3415" s="3" t="s">
        <v>25</v>
      </c>
      <c r="C3415" s="12" t="s">
        <v>3433</v>
      </c>
      <c r="D3415" s="13">
        <v>60597.0</v>
      </c>
      <c r="E3415" s="4">
        <v>45524.0</v>
      </c>
      <c r="F3415" s="4" t="str">
        <f>IF(D3415="","", IFNA(VLOOKUP(D3415, SATCAT_DECAY!A:B, 2, FALSE), ""))
</f>
        <v/>
      </c>
      <c r="G3415" s="3" t="str">
        <f t="shared" si="1"/>
        <v>ACTIVE</v>
      </c>
    </row>
    <row r="3416" ht="22.5" customHeight="1">
      <c r="A3416" s="11" t="str">
        <f t="array" ref="A3416">IFERROR(
  INDEX('Starlink Launches'!$A:$A, MATCH($E3416, 'Starlink Launches'!$B:$B, 0)),
  ""
)
</f>
        <v>10-5</v>
      </c>
      <c r="B3416" s="3" t="s">
        <v>25</v>
      </c>
      <c r="C3416" s="12" t="s">
        <v>3434</v>
      </c>
      <c r="D3416" s="13">
        <v>60598.0</v>
      </c>
      <c r="E3416" s="4">
        <v>45524.0</v>
      </c>
      <c r="F3416" s="4" t="str">
        <f>IF(D3416="","", IFNA(VLOOKUP(D3416, SATCAT_DECAY!A:B, 2, FALSE), ""))
</f>
        <v/>
      </c>
      <c r="G3416" s="3" t="str">
        <f t="shared" si="1"/>
        <v>ACTIVE</v>
      </c>
    </row>
    <row r="3417" ht="22.5" customHeight="1">
      <c r="A3417" s="11" t="str">
        <f t="array" ref="A3417">IFERROR(
  INDEX('Starlink Launches'!$A:$A, MATCH($E3417, 'Starlink Launches'!$B:$B, 0)),
  ""
)
</f>
        <v>10-5</v>
      </c>
      <c r="B3417" s="3" t="s">
        <v>25</v>
      </c>
      <c r="C3417" s="12" t="s">
        <v>3435</v>
      </c>
      <c r="D3417" s="13">
        <v>60599.0</v>
      </c>
      <c r="E3417" s="4">
        <v>45524.0</v>
      </c>
      <c r="F3417" s="4" t="str">
        <f>IF(D3417="","", IFNA(VLOOKUP(D3417, SATCAT_DECAY!A:B, 2, FALSE), ""))
</f>
        <v/>
      </c>
      <c r="G3417" s="3" t="str">
        <f t="shared" si="1"/>
        <v>ACTIVE</v>
      </c>
    </row>
    <row r="3418" ht="22.5" customHeight="1">
      <c r="A3418" s="11" t="str">
        <f t="array" ref="A3418">IFERROR(
  INDEX('Starlink Launches'!$A:$A, MATCH($E3418, 'Starlink Launches'!$B:$B, 0)),
  ""
)
</f>
        <v>10-5</v>
      </c>
      <c r="B3418" s="3" t="s">
        <v>25</v>
      </c>
      <c r="C3418" s="12" t="s">
        <v>3436</v>
      </c>
      <c r="D3418" s="13">
        <v>60600.0</v>
      </c>
      <c r="E3418" s="4">
        <v>45524.0</v>
      </c>
      <c r="F3418" s="4" t="str">
        <f>IF(D3418="","", IFNA(VLOOKUP(D3418, SATCAT_DECAY!A:B, 2, FALSE), ""))
</f>
        <v/>
      </c>
      <c r="G3418" s="3" t="str">
        <f t="shared" si="1"/>
        <v>ACTIVE</v>
      </c>
    </row>
    <row r="3419" ht="22.5" customHeight="1">
      <c r="A3419" s="11" t="str">
        <f t="array" ref="A3419">IFERROR(
  INDEX('Starlink Launches'!$A:$A, MATCH($E3419, 'Starlink Launches'!$B:$B, 0)),
  ""
)
</f>
        <v>10-5</v>
      </c>
      <c r="B3419" s="3" t="s">
        <v>25</v>
      </c>
      <c r="C3419" s="12" t="s">
        <v>3437</v>
      </c>
      <c r="D3419" s="13">
        <v>60601.0</v>
      </c>
      <c r="E3419" s="4">
        <v>45524.0</v>
      </c>
      <c r="F3419" s="4" t="str">
        <f>IF(D3419="","", IFNA(VLOOKUP(D3419, SATCAT_DECAY!A:B, 2, FALSE), ""))
</f>
        <v/>
      </c>
      <c r="G3419" s="3" t="str">
        <f t="shared" si="1"/>
        <v>ACTIVE</v>
      </c>
    </row>
    <row r="3420" ht="22.5" customHeight="1">
      <c r="A3420" s="11" t="str">
        <f t="array" ref="A3420">IFERROR(
  INDEX('Starlink Launches'!$A:$A, MATCH($E3420, 'Starlink Launches'!$B:$B, 0)),
  ""
)
</f>
        <v>10-5</v>
      </c>
      <c r="B3420" s="3" t="s">
        <v>25</v>
      </c>
      <c r="C3420" s="12" t="s">
        <v>3438</v>
      </c>
      <c r="D3420" s="13">
        <v>60602.0</v>
      </c>
      <c r="E3420" s="4">
        <v>45524.0</v>
      </c>
      <c r="F3420" s="4" t="str">
        <f>IF(D3420="","", IFNA(VLOOKUP(D3420, SATCAT_DECAY!A:B, 2, FALSE), ""))
</f>
        <v/>
      </c>
      <c r="G3420" s="3" t="str">
        <f t="shared" si="1"/>
        <v>ACTIVE</v>
      </c>
    </row>
    <row r="3421" ht="22.5" customHeight="1">
      <c r="A3421" s="11" t="str">
        <f t="array" ref="A3421">IFERROR(
  INDEX('Starlink Launches'!$A:$A, MATCH($E3421, 'Starlink Launches'!$B:$B, 0)),
  ""
)
</f>
        <v>10-5</v>
      </c>
      <c r="B3421" s="3" t="s">
        <v>25</v>
      </c>
      <c r="C3421" s="12" t="s">
        <v>3439</v>
      </c>
      <c r="D3421" s="13">
        <v>60603.0</v>
      </c>
      <c r="E3421" s="4">
        <v>45524.0</v>
      </c>
      <c r="F3421" s="4" t="str">
        <f>IF(D3421="","", IFNA(VLOOKUP(D3421, SATCAT_DECAY!A:B, 2, FALSE), ""))
</f>
        <v/>
      </c>
      <c r="G3421" s="3" t="str">
        <f t="shared" si="1"/>
        <v>ACTIVE</v>
      </c>
    </row>
    <row r="3422" ht="22.5" customHeight="1">
      <c r="A3422" s="11" t="str">
        <f t="array" ref="A3422">IFERROR(
  INDEX('Starlink Launches'!$A:$A, MATCH($E3422, 'Starlink Launches'!$B:$B, 0)),
  ""
)
</f>
        <v>10-5</v>
      </c>
      <c r="B3422" s="3" t="s">
        <v>25</v>
      </c>
      <c r="C3422" s="12" t="s">
        <v>3440</v>
      </c>
      <c r="D3422" s="13">
        <v>60604.0</v>
      </c>
      <c r="E3422" s="4">
        <v>45524.0</v>
      </c>
      <c r="F3422" s="4" t="str">
        <f>IF(D3422="","", IFNA(VLOOKUP(D3422, SATCAT_DECAY!A:B, 2, FALSE), ""))
</f>
        <v/>
      </c>
      <c r="G3422" s="3" t="str">
        <f t="shared" si="1"/>
        <v>ACTIVE</v>
      </c>
    </row>
    <row r="3423" ht="22.5" customHeight="1">
      <c r="A3423" s="20" t="s">
        <v>3441</v>
      </c>
      <c r="B3423" s="3" t="s">
        <v>25</v>
      </c>
      <c r="C3423" s="12" t="s">
        <v>3442</v>
      </c>
      <c r="D3423" s="13">
        <v>61509.0</v>
      </c>
      <c r="E3423" s="4">
        <v>45580.0</v>
      </c>
      <c r="F3423" s="4" t="str">
        <f>IF(D3423="","", IFNA(VLOOKUP(D3423, SATCAT_DECAY!A:B, 2, FALSE), ""))
</f>
        <v/>
      </c>
      <c r="G3423" s="3" t="str">
        <f t="shared" si="1"/>
        <v>ACTIVE</v>
      </c>
    </row>
    <row r="3424" ht="22.5" customHeight="1">
      <c r="A3424" s="20" t="s">
        <v>3441</v>
      </c>
      <c r="B3424" s="3" t="s">
        <v>25</v>
      </c>
      <c r="C3424" s="12" t="s">
        <v>3443</v>
      </c>
      <c r="D3424" s="13">
        <v>61510.0</v>
      </c>
      <c r="E3424" s="4">
        <v>45580.0</v>
      </c>
      <c r="F3424" s="4" t="str">
        <f>IF(D3424="","", IFNA(VLOOKUP(D3424, SATCAT_DECAY!A:B, 2, FALSE), ""))
</f>
        <v/>
      </c>
      <c r="G3424" s="3" t="str">
        <f t="shared" si="1"/>
        <v>ACTIVE</v>
      </c>
    </row>
    <row r="3425" ht="22.5" customHeight="1">
      <c r="A3425" s="20" t="s">
        <v>3441</v>
      </c>
      <c r="B3425" s="3" t="s">
        <v>25</v>
      </c>
      <c r="C3425" s="12" t="s">
        <v>3444</v>
      </c>
      <c r="D3425" s="13">
        <v>61511.0</v>
      </c>
      <c r="E3425" s="4">
        <v>45580.0</v>
      </c>
      <c r="F3425" s="4" t="str">
        <f>IF(D3425="","", IFNA(VLOOKUP(D3425, SATCAT_DECAY!A:B, 2, FALSE), ""))
</f>
        <v/>
      </c>
      <c r="G3425" s="3" t="str">
        <f t="shared" si="1"/>
        <v>ACTIVE</v>
      </c>
    </row>
    <row r="3426" ht="22.5" customHeight="1">
      <c r="A3426" s="20" t="s">
        <v>3441</v>
      </c>
      <c r="B3426" s="3" t="s">
        <v>25</v>
      </c>
      <c r="C3426" s="12" t="s">
        <v>3445</v>
      </c>
      <c r="D3426" s="13">
        <v>61512.0</v>
      </c>
      <c r="E3426" s="4">
        <v>45580.0</v>
      </c>
      <c r="F3426" s="4" t="str">
        <f>IF(D3426="","", IFNA(VLOOKUP(D3426, SATCAT_DECAY!A:B, 2, FALSE), ""))
</f>
        <v/>
      </c>
      <c r="G3426" s="3" t="str">
        <f t="shared" si="1"/>
        <v>ACTIVE</v>
      </c>
    </row>
    <row r="3427" ht="22.5" customHeight="1">
      <c r="A3427" s="20" t="s">
        <v>3441</v>
      </c>
      <c r="B3427" s="3" t="s">
        <v>25</v>
      </c>
      <c r="C3427" s="12" t="s">
        <v>3446</v>
      </c>
      <c r="D3427" s="13">
        <v>61513.0</v>
      </c>
      <c r="E3427" s="4">
        <v>45580.0</v>
      </c>
      <c r="F3427" s="4" t="str">
        <f>IF(D3427="","", IFNA(VLOOKUP(D3427, SATCAT_DECAY!A:B, 2, FALSE), ""))
</f>
        <v/>
      </c>
      <c r="G3427" s="3" t="str">
        <f t="shared" si="1"/>
        <v>ACTIVE</v>
      </c>
    </row>
    <row r="3428" ht="22.5" customHeight="1">
      <c r="A3428" s="20" t="s">
        <v>3441</v>
      </c>
      <c r="B3428" s="3" t="s">
        <v>25</v>
      </c>
      <c r="C3428" s="12" t="s">
        <v>3447</v>
      </c>
      <c r="D3428" s="13">
        <v>61514.0</v>
      </c>
      <c r="E3428" s="4">
        <v>45580.0</v>
      </c>
      <c r="F3428" s="4" t="str">
        <f>IF(D3428="","", IFNA(VLOOKUP(D3428, SATCAT_DECAY!A:B, 2, FALSE), ""))
</f>
        <v/>
      </c>
      <c r="G3428" s="3" t="str">
        <f t="shared" si="1"/>
        <v>ACTIVE</v>
      </c>
    </row>
    <row r="3429" ht="22.5" customHeight="1">
      <c r="A3429" s="20" t="s">
        <v>3441</v>
      </c>
      <c r="B3429" s="3" t="s">
        <v>25</v>
      </c>
      <c r="C3429" s="12" t="s">
        <v>3448</v>
      </c>
      <c r="D3429" s="13">
        <v>61515.0</v>
      </c>
      <c r="E3429" s="4">
        <v>45580.0</v>
      </c>
      <c r="F3429" s="4" t="str">
        <f>IF(D3429="","", IFNA(VLOOKUP(D3429, SATCAT_DECAY!A:B, 2, FALSE), ""))
</f>
        <v/>
      </c>
      <c r="G3429" s="3" t="str">
        <f t="shared" si="1"/>
        <v>ACTIVE</v>
      </c>
    </row>
    <row r="3430" ht="22.5" customHeight="1">
      <c r="A3430" s="20" t="s">
        <v>3441</v>
      </c>
      <c r="B3430" s="3" t="s">
        <v>25</v>
      </c>
      <c r="C3430" s="12" t="s">
        <v>3449</v>
      </c>
      <c r="D3430" s="13">
        <v>61516.0</v>
      </c>
      <c r="E3430" s="4">
        <v>45580.0</v>
      </c>
      <c r="F3430" s="4" t="str">
        <f>IF(D3430="","", IFNA(VLOOKUP(D3430, SATCAT_DECAY!A:B, 2, FALSE), ""))
</f>
        <v/>
      </c>
      <c r="G3430" s="3" t="str">
        <f t="shared" si="1"/>
        <v>ACTIVE</v>
      </c>
    </row>
    <row r="3431" ht="22.5" customHeight="1">
      <c r="A3431" s="20" t="s">
        <v>3441</v>
      </c>
      <c r="B3431" s="3" t="s">
        <v>25</v>
      </c>
      <c r="C3431" s="12" t="s">
        <v>3450</v>
      </c>
      <c r="D3431" s="13">
        <v>61517.0</v>
      </c>
      <c r="E3431" s="4">
        <v>45580.0</v>
      </c>
      <c r="F3431" s="4" t="str">
        <f>IF(D3431="","", IFNA(VLOOKUP(D3431, SATCAT_DECAY!A:B, 2, FALSE), ""))
</f>
        <v/>
      </c>
      <c r="G3431" s="3" t="str">
        <f t="shared" si="1"/>
        <v>ACTIVE</v>
      </c>
    </row>
    <row r="3432" ht="22.5" customHeight="1">
      <c r="A3432" s="20" t="s">
        <v>3441</v>
      </c>
      <c r="B3432" s="3" t="s">
        <v>25</v>
      </c>
      <c r="C3432" s="12" t="s">
        <v>3451</v>
      </c>
      <c r="D3432" s="13">
        <v>61518.0</v>
      </c>
      <c r="E3432" s="4">
        <v>45580.0</v>
      </c>
      <c r="F3432" s="4" t="str">
        <f>IF(D3432="","", IFNA(VLOOKUP(D3432, SATCAT_DECAY!A:B, 2, FALSE), ""))
</f>
        <v/>
      </c>
      <c r="G3432" s="3" t="str">
        <f t="shared" si="1"/>
        <v>ACTIVE</v>
      </c>
    </row>
    <row r="3433" ht="22.5" customHeight="1">
      <c r="A3433" s="20" t="s">
        <v>3441</v>
      </c>
      <c r="B3433" s="3" t="s">
        <v>25</v>
      </c>
      <c r="C3433" s="12" t="s">
        <v>3452</v>
      </c>
      <c r="D3433" s="13">
        <v>61519.0</v>
      </c>
      <c r="E3433" s="4">
        <v>45580.0</v>
      </c>
      <c r="F3433" s="4" t="str">
        <f>IF(D3433="","", IFNA(VLOOKUP(D3433, SATCAT_DECAY!A:B, 2, FALSE), ""))
</f>
        <v/>
      </c>
      <c r="G3433" s="3" t="str">
        <f t="shared" si="1"/>
        <v>ACTIVE</v>
      </c>
    </row>
    <row r="3434" ht="22.5" customHeight="1">
      <c r="A3434" s="20" t="s">
        <v>3441</v>
      </c>
      <c r="B3434" s="3" t="s">
        <v>25</v>
      </c>
      <c r="C3434" s="12" t="s">
        <v>3453</v>
      </c>
      <c r="D3434" s="13">
        <v>61520.0</v>
      </c>
      <c r="E3434" s="4">
        <v>45580.0</v>
      </c>
      <c r="F3434" s="4" t="str">
        <f>IF(D3434="","", IFNA(VLOOKUP(D3434, SATCAT_DECAY!A:B, 2, FALSE), ""))
</f>
        <v/>
      </c>
      <c r="G3434" s="3" t="str">
        <f t="shared" si="1"/>
        <v>ACTIVE</v>
      </c>
    </row>
    <row r="3435" ht="22.5" customHeight="1">
      <c r="A3435" s="20" t="s">
        <v>3441</v>
      </c>
      <c r="B3435" s="3" t="s">
        <v>25</v>
      </c>
      <c r="C3435" s="12" t="s">
        <v>3454</v>
      </c>
      <c r="D3435" s="13">
        <v>61521.0</v>
      </c>
      <c r="E3435" s="4">
        <v>45580.0</v>
      </c>
      <c r="F3435" s="4" t="str">
        <f>IF(D3435="","", IFNA(VLOOKUP(D3435, SATCAT_DECAY!A:B, 2, FALSE), ""))
</f>
        <v/>
      </c>
      <c r="G3435" s="3" t="str">
        <f t="shared" si="1"/>
        <v>ACTIVE</v>
      </c>
    </row>
    <row r="3436" ht="22.5" customHeight="1">
      <c r="A3436" s="20" t="s">
        <v>3441</v>
      </c>
      <c r="B3436" s="3" t="s">
        <v>25</v>
      </c>
      <c r="C3436" s="12" t="s">
        <v>3455</v>
      </c>
      <c r="D3436" s="13">
        <v>61522.0</v>
      </c>
      <c r="E3436" s="4">
        <v>45580.0</v>
      </c>
      <c r="F3436" s="4" t="str">
        <f>IF(D3436="","", IFNA(VLOOKUP(D3436, SATCAT_DECAY!A:B, 2, FALSE), ""))
</f>
        <v/>
      </c>
      <c r="G3436" s="3" t="str">
        <f t="shared" si="1"/>
        <v>ACTIVE</v>
      </c>
    </row>
    <row r="3437" ht="22.5" customHeight="1">
      <c r="A3437" s="20" t="s">
        <v>3441</v>
      </c>
      <c r="B3437" s="3" t="s">
        <v>25</v>
      </c>
      <c r="C3437" s="12" t="s">
        <v>3456</v>
      </c>
      <c r="D3437" s="13">
        <v>61523.0</v>
      </c>
      <c r="E3437" s="4">
        <v>45580.0</v>
      </c>
      <c r="F3437" s="4" t="str">
        <f>IF(D3437="","", IFNA(VLOOKUP(D3437, SATCAT_DECAY!A:B, 2, FALSE), ""))
</f>
        <v/>
      </c>
      <c r="G3437" s="3" t="str">
        <f t="shared" si="1"/>
        <v>ACTIVE</v>
      </c>
    </row>
    <row r="3438" ht="22.5" customHeight="1">
      <c r="A3438" s="20" t="s">
        <v>3441</v>
      </c>
      <c r="B3438" s="3" t="s">
        <v>25</v>
      </c>
      <c r="C3438" s="12" t="s">
        <v>3457</v>
      </c>
      <c r="D3438" s="13">
        <v>61524.0</v>
      </c>
      <c r="E3438" s="4">
        <v>45580.0</v>
      </c>
      <c r="F3438" s="4" t="str">
        <f>IF(D3438="","", IFNA(VLOOKUP(D3438, SATCAT_DECAY!A:B, 2, FALSE), ""))
</f>
        <v/>
      </c>
      <c r="G3438" s="3" t="str">
        <f t="shared" si="1"/>
        <v>ACTIVE</v>
      </c>
    </row>
    <row r="3439" ht="22.5" customHeight="1">
      <c r="A3439" s="20" t="s">
        <v>3441</v>
      </c>
      <c r="B3439" s="3" t="s">
        <v>25</v>
      </c>
      <c r="C3439" s="12" t="s">
        <v>3458</v>
      </c>
      <c r="D3439" s="13">
        <v>61525.0</v>
      </c>
      <c r="E3439" s="4">
        <v>45580.0</v>
      </c>
      <c r="F3439" s="4" t="str">
        <f>IF(D3439="","", IFNA(VLOOKUP(D3439, SATCAT_DECAY!A:B, 2, FALSE), ""))
</f>
        <v/>
      </c>
      <c r="G3439" s="3" t="str">
        <f t="shared" si="1"/>
        <v>ACTIVE</v>
      </c>
    </row>
    <row r="3440" ht="22.5" customHeight="1">
      <c r="A3440" s="20" t="s">
        <v>3441</v>
      </c>
      <c r="B3440" s="3" t="s">
        <v>25</v>
      </c>
      <c r="C3440" s="12" t="s">
        <v>3459</v>
      </c>
      <c r="D3440" s="13">
        <v>61526.0</v>
      </c>
      <c r="E3440" s="4">
        <v>45580.0</v>
      </c>
      <c r="F3440" s="4" t="str">
        <f>IF(D3440="","", IFNA(VLOOKUP(D3440, SATCAT_DECAY!A:B, 2, FALSE), ""))
</f>
        <v/>
      </c>
      <c r="G3440" s="3" t="str">
        <f t="shared" si="1"/>
        <v>ACTIVE</v>
      </c>
    </row>
    <row r="3441" ht="22.5" customHeight="1">
      <c r="A3441" s="20" t="s">
        <v>3441</v>
      </c>
      <c r="B3441" s="3" t="s">
        <v>25</v>
      </c>
      <c r="C3441" s="12" t="s">
        <v>3460</v>
      </c>
      <c r="D3441" s="13">
        <v>61527.0</v>
      </c>
      <c r="E3441" s="4">
        <v>45580.0</v>
      </c>
      <c r="F3441" s="4" t="str">
        <f>IF(D3441="","", IFNA(VLOOKUP(D3441, SATCAT_DECAY!A:B, 2, FALSE), ""))
</f>
        <v/>
      </c>
      <c r="G3441" s="3" t="str">
        <f t="shared" si="1"/>
        <v>ACTIVE</v>
      </c>
    </row>
    <row r="3442" ht="22.5" customHeight="1">
      <c r="A3442" s="20" t="s">
        <v>3441</v>
      </c>
      <c r="B3442" s="3" t="s">
        <v>25</v>
      </c>
      <c r="C3442" s="12" t="s">
        <v>3461</v>
      </c>
      <c r="D3442" s="13">
        <v>61528.0</v>
      </c>
      <c r="E3442" s="4">
        <v>45580.0</v>
      </c>
      <c r="F3442" s="4" t="str">
        <f>IF(D3442="","", IFNA(VLOOKUP(D3442, SATCAT_DECAY!A:B, 2, FALSE), ""))
</f>
        <v/>
      </c>
      <c r="G3442" s="3" t="str">
        <f t="shared" si="1"/>
        <v>ACTIVE</v>
      </c>
    </row>
    <row r="3443" ht="22.5" customHeight="1">
      <c r="A3443" s="20" t="s">
        <v>3441</v>
      </c>
      <c r="B3443" s="3" t="s">
        <v>25</v>
      </c>
      <c r="C3443" s="12" t="s">
        <v>3462</v>
      </c>
      <c r="D3443" s="13">
        <v>61529.0</v>
      </c>
      <c r="E3443" s="4">
        <v>45580.0</v>
      </c>
      <c r="F3443" s="4" t="str">
        <f>IF(D3443="","", IFNA(VLOOKUP(D3443, SATCAT_DECAY!A:B, 2, FALSE), ""))
</f>
        <v/>
      </c>
      <c r="G3443" s="3" t="str">
        <f t="shared" si="1"/>
        <v>ACTIVE</v>
      </c>
    </row>
    <row r="3444" ht="22.5" customHeight="1">
      <c r="A3444" s="20" t="s">
        <v>3441</v>
      </c>
      <c r="B3444" s="3" t="s">
        <v>25</v>
      </c>
      <c r="C3444" s="12" t="s">
        <v>3463</v>
      </c>
      <c r="D3444" s="13">
        <v>61530.0</v>
      </c>
      <c r="E3444" s="4">
        <v>45580.0</v>
      </c>
      <c r="F3444" s="4" t="str">
        <f>IF(D3444="","", IFNA(VLOOKUP(D3444, SATCAT_DECAY!A:B, 2, FALSE), ""))
</f>
        <v/>
      </c>
      <c r="G3444" s="3" t="str">
        <f t="shared" si="1"/>
        <v>ACTIVE</v>
      </c>
    </row>
    <row r="3445" ht="22.5" customHeight="1">
      <c r="A3445" s="20" t="s">
        <v>3441</v>
      </c>
      <c r="B3445" s="3" t="s">
        <v>25</v>
      </c>
      <c r="C3445" s="12" t="s">
        <v>3464</v>
      </c>
      <c r="D3445" s="13">
        <v>61531.0</v>
      </c>
      <c r="E3445" s="4">
        <v>45580.0</v>
      </c>
      <c r="F3445" s="4" t="str">
        <f>IF(D3445="","", IFNA(VLOOKUP(D3445, SATCAT_DECAY!A:B, 2, FALSE), ""))
</f>
        <v/>
      </c>
      <c r="G3445" s="3" t="str">
        <f t="shared" si="1"/>
        <v>ACTIVE</v>
      </c>
    </row>
    <row r="3446" ht="22.5" customHeight="1">
      <c r="A3446" s="11" t="str">
        <f t="array" ref="A3446">IFERROR(
  INDEX('Starlink Launches'!$A:$A, MATCH($E3446, 'Starlink Launches'!$B:$B, 0)),
  ""
)
</f>
        <v>10-8</v>
      </c>
      <c r="B3446" s="3" t="s">
        <v>25</v>
      </c>
      <c r="C3446" s="12" t="s">
        <v>3465</v>
      </c>
      <c r="D3446" s="13">
        <v>61661.0</v>
      </c>
      <c r="E3446" s="4">
        <v>45591.0</v>
      </c>
      <c r="F3446" s="4" t="str">
        <f>IF(D3446="","", IFNA(VLOOKUP(D3446, SATCAT_DECAY!A:B, 2, FALSE), ""))
</f>
        <v/>
      </c>
      <c r="G3446" s="3" t="str">
        <f t="shared" si="1"/>
        <v>ACTIVE</v>
      </c>
    </row>
    <row r="3447" ht="22.5" customHeight="1">
      <c r="A3447" s="11" t="str">
        <f t="array" ref="A3447">IFERROR(
  INDEX('Starlink Launches'!$A:$A, MATCH($E3447, 'Starlink Launches'!$B:$B, 0)),
  ""
)
</f>
        <v>10-8</v>
      </c>
      <c r="B3447" s="3" t="s">
        <v>25</v>
      </c>
      <c r="C3447" s="12" t="s">
        <v>3466</v>
      </c>
      <c r="D3447" s="13">
        <v>61662.0</v>
      </c>
      <c r="E3447" s="4">
        <v>45591.0</v>
      </c>
      <c r="F3447" s="4" t="str">
        <f>IF(D3447="","", IFNA(VLOOKUP(D3447, SATCAT_DECAY!A:B, 2, FALSE), ""))
</f>
        <v/>
      </c>
      <c r="G3447" s="3" t="str">
        <f t="shared" si="1"/>
        <v>ACTIVE</v>
      </c>
    </row>
    <row r="3448" ht="22.5" customHeight="1">
      <c r="A3448" s="11" t="str">
        <f t="array" ref="A3448">IFERROR(
  INDEX('Starlink Launches'!$A:$A, MATCH($E3448, 'Starlink Launches'!$B:$B, 0)),
  ""
)
</f>
        <v>10-8</v>
      </c>
      <c r="B3448" s="3" t="s">
        <v>25</v>
      </c>
      <c r="C3448" s="12" t="s">
        <v>3467</v>
      </c>
      <c r="D3448" s="13">
        <v>61663.0</v>
      </c>
      <c r="E3448" s="4">
        <v>45591.0</v>
      </c>
      <c r="F3448" s="4" t="str">
        <f>IF(D3448="","", IFNA(VLOOKUP(D3448, SATCAT_DECAY!A:B, 2, FALSE), ""))
</f>
        <v/>
      </c>
      <c r="G3448" s="3" t="str">
        <f t="shared" si="1"/>
        <v>ACTIVE</v>
      </c>
    </row>
    <row r="3449" ht="22.5" customHeight="1">
      <c r="A3449" s="11" t="str">
        <f t="array" ref="A3449">IFERROR(
  INDEX('Starlink Launches'!$A:$A, MATCH($E3449, 'Starlink Launches'!$B:$B, 0)),
  ""
)
</f>
        <v>10-8</v>
      </c>
      <c r="B3449" s="3" t="s">
        <v>25</v>
      </c>
      <c r="C3449" s="12" t="s">
        <v>3468</v>
      </c>
      <c r="D3449" s="13">
        <v>61664.0</v>
      </c>
      <c r="E3449" s="4">
        <v>45591.0</v>
      </c>
      <c r="F3449" s="4" t="str">
        <f>IF(D3449="","", IFNA(VLOOKUP(D3449, SATCAT_DECAY!A:B, 2, FALSE), ""))
</f>
        <v/>
      </c>
      <c r="G3449" s="3" t="str">
        <f t="shared" si="1"/>
        <v>ACTIVE</v>
      </c>
    </row>
    <row r="3450" ht="22.5" customHeight="1">
      <c r="A3450" s="11" t="str">
        <f t="array" ref="A3450">IFERROR(
  INDEX('Starlink Launches'!$A:$A, MATCH($E3450, 'Starlink Launches'!$B:$B, 0)),
  ""
)
</f>
        <v>10-8</v>
      </c>
      <c r="B3450" s="3" t="s">
        <v>25</v>
      </c>
      <c r="C3450" s="12" t="s">
        <v>3469</v>
      </c>
      <c r="D3450" s="13">
        <v>61665.0</v>
      </c>
      <c r="E3450" s="4">
        <v>45591.0</v>
      </c>
      <c r="F3450" s="4" t="str">
        <f>IF(D3450="","", IFNA(VLOOKUP(D3450, SATCAT_DECAY!A:B, 2, FALSE), ""))
</f>
        <v/>
      </c>
      <c r="G3450" s="3" t="str">
        <f t="shared" si="1"/>
        <v>ACTIVE</v>
      </c>
    </row>
    <row r="3451" ht="22.5" customHeight="1">
      <c r="A3451" s="11" t="str">
        <f t="array" ref="A3451">IFERROR(
  INDEX('Starlink Launches'!$A:$A, MATCH($E3451, 'Starlink Launches'!$B:$B, 0)),
  ""
)
</f>
        <v>10-8</v>
      </c>
      <c r="B3451" s="3" t="s">
        <v>25</v>
      </c>
      <c r="C3451" s="12" t="s">
        <v>3470</v>
      </c>
      <c r="D3451" s="13">
        <v>61666.0</v>
      </c>
      <c r="E3451" s="4">
        <v>45591.0</v>
      </c>
      <c r="F3451" s="4" t="str">
        <f>IF(D3451="","", IFNA(VLOOKUP(D3451, SATCAT_DECAY!A:B, 2, FALSE), ""))
</f>
        <v/>
      </c>
      <c r="G3451" s="3" t="str">
        <f t="shared" si="1"/>
        <v>ACTIVE</v>
      </c>
    </row>
    <row r="3452" ht="22.5" customHeight="1">
      <c r="A3452" s="11" t="str">
        <f t="array" ref="A3452">IFERROR(
  INDEX('Starlink Launches'!$A:$A, MATCH($E3452, 'Starlink Launches'!$B:$B, 0)),
  ""
)
</f>
        <v>10-8</v>
      </c>
      <c r="B3452" s="3" t="s">
        <v>25</v>
      </c>
      <c r="C3452" s="12" t="s">
        <v>3471</v>
      </c>
      <c r="D3452" s="13">
        <v>61667.0</v>
      </c>
      <c r="E3452" s="4">
        <v>45591.0</v>
      </c>
      <c r="F3452" s="4" t="str">
        <f>IF(D3452="","", IFNA(VLOOKUP(D3452, SATCAT_DECAY!A:B, 2, FALSE), ""))
</f>
        <v/>
      </c>
      <c r="G3452" s="3" t="str">
        <f t="shared" si="1"/>
        <v>ACTIVE</v>
      </c>
    </row>
    <row r="3453" ht="22.5" customHeight="1">
      <c r="A3453" s="11" t="str">
        <f t="array" ref="A3453">IFERROR(
  INDEX('Starlink Launches'!$A:$A, MATCH($E3453, 'Starlink Launches'!$B:$B, 0)),
  ""
)
</f>
        <v>10-8</v>
      </c>
      <c r="B3453" s="3" t="s">
        <v>25</v>
      </c>
      <c r="C3453" s="12" t="s">
        <v>3472</v>
      </c>
      <c r="D3453" s="13">
        <v>61668.0</v>
      </c>
      <c r="E3453" s="4">
        <v>45591.0</v>
      </c>
      <c r="F3453" s="4" t="str">
        <f>IF(D3453="","", IFNA(VLOOKUP(D3453, SATCAT_DECAY!A:B, 2, FALSE), ""))
</f>
        <v/>
      </c>
      <c r="G3453" s="3" t="str">
        <f t="shared" si="1"/>
        <v>ACTIVE</v>
      </c>
    </row>
    <row r="3454" ht="22.5" customHeight="1">
      <c r="A3454" s="11" t="str">
        <f t="array" ref="A3454">IFERROR(
  INDEX('Starlink Launches'!$A:$A, MATCH($E3454, 'Starlink Launches'!$B:$B, 0)),
  ""
)
</f>
        <v>10-8</v>
      </c>
      <c r="B3454" s="3" t="s">
        <v>25</v>
      </c>
      <c r="C3454" s="12" t="s">
        <v>3473</v>
      </c>
      <c r="D3454" s="13">
        <v>61669.0</v>
      </c>
      <c r="E3454" s="4">
        <v>45591.0</v>
      </c>
      <c r="F3454" s="4" t="str">
        <f>IF(D3454="","", IFNA(VLOOKUP(D3454, SATCAT_DECAY!A:B, 2, FALSE), ""))
</f>
        <v/>
      </c>
      <c r="G3454" s="3" t="str">
        <f t="shared" si="1"/>
        <v>ACTIVE</v>
      </c>
    </row>
    <row r="3455" ht="22.5" customHeight="1">
      <c r="A3455" s="11" t="str">
        <f t="array" ref="A3455">IFERROR(
  INDEX('Starlink Launches'!$A:$A, MATCH($E3455, 'Starlink Launches'!$B:$B, 0)),
  ""
)
</f>
        <v>10-8</v>
      </c>
      <c r="B3455" s="3" t="s">
        <v>25</v>
      </c>
      <c r="C3455" s="12" t="s">
        <v>3474</v>
      </c>
      <c r="D3455" s="13">
        <v>61670.0</v>
      </c>
      <c r="E3455" s="4">
        <v>45591.0</v>
      </c>
      <c r="F3455" s="4" t="str">
        <f>IF(D3455="","", IFNA(VLOOKUP(D3455, SATCAT_DECAY!A:B, 2, FALSE), ""))
</f>
        <v/>
      </c>
      <c r="G3455" s="3" t="str">
        <f t="shared" si="1"/>
        <v>ACTIVE</v>
      </c>
    </row>
    <row r="3456" ht="22.5" customHeight="1">
      <c r="A3456" s="11" t="str">
        <f t="array" ref="A3456">IFERROR(
  INDEX('Starlink Launches'!$A:$A, MATCH($E3456, 'Starlink Launches'!$B:$B, 0)),
  ""
)
</f>
        <v>10-8</v>
      </c>
      <c r="B3456" s="3" t="s">
        <v>25</v>
      </c>
      <c r="C3456" s="12" t="s">
        <v>3475</v>
      </c>
      <c r="D3456" s="13">
        <v>61671.0</v>
      </c>
      <c r="E3456" s="4">
        <v>45591.0</v>
      </c>
      <c r="F3456" s="4" t="str">
        <f>IF(D3456="","", IFNA(VLOOKUP(D3456, SATCAT_DECAY!A:B, 2, FALSE), ""))
</f>
        <v/>
      </c>
      <c r="G3456" s="3" t="str">
        <f t="shared" si="1"/>
        <v>ACTIVE</v>
      </c>
    </row>
    <row r="3457" ht="22.5" customHeight="1">
      <c r="A3457" s="11" t="str">
        <f t="array" ref="A3457">IFERROR(
  INDEX('Starlink Launches'!$A:$A, MATCH($E3457, 'Starlink Launches'!$B:$B, 0)),
  ""
)
</f>
        <v>10-8</v>
      </c>
      <c r="B3457" s="3" t="s">
        <v>25</v>
      </c>
      <c r="C3457" s="12" t="s">
        <v>3476</v>
      </c>
      <c r="D3457" s="13">
        <v>61672.0</v>
      </c>
      <c r="E3457" s="4">
        <v>45591.0</v>
      </c>
      <c r="F3457" s="4" t="str">
        <f>IF(D3457="","", IFNA(VLOOKUP(D3457, SATCAT_DECAY!A:B, 2, FALSE), ""))
</f>
        <v/>
      </c>
      <c r="G3457" s="3" t="str">
        <f t="shared" si="1"/>
        <v>ACTIVE</v>
      </c>
    </row>
    <row r="3458" ht="22.5" customHeight="1">
      <c r="A3458" s="11" t="str">
        <f t="array" ref="A3458">IFERROR(
  INDEX('Starlink Launches'!$A:$A, MATCH($E3458, 'Starlink Launches'!$B:$B, 0)),
  ""
)
</f>
        <v>10-8</v>
      </c>
      <c r="B3458" s="3" t="s">
        <v>25</v>
      </c>
      <c r="C3458" s="12" t="s">
        <v>3477</v>
      </c>
      <c r="D3458" s="13">
        <v>61673.0</v>
      </c>
      <c r="E3458" s="4">
        <v>45591.0</v>
      </c>
      <c r="F3458" s="4" t="str">
        <f>IF(D3458="","", IFNA(VLOOKUP(D3458, SATCAT_DECAY!A:B, 2, FALSE), ""))
</f>
        <v/>
      </c>
      <c r="G3458" s="3" t="str">
        <f t="shared" si="1"/>
        <v>ACTIVE</v>
      </c>
    </row>
    <row r="3459" ht="22.5" customHeight="1">
      <c r="A3459" s="11" t="str">
        <f t="array" ref="A3459">IFERROR(
  INDEX('Starlink Launches'!$A:$A, MATCH($E3459, 'Starlink Launches'!$B:$B, 0)),
  ""
)
</f>
        <v>10-8</v>
      </c>
      <c r="B3459" s="3" t="s">
        <v>25</v>
      </c>
      <c r="C3459" s="12" t="s">
        <v>3478</v>
      </c>
      <c r="D3459" s="13">
        <v>61674.0</v>
      </c>
      <c r="E3459" s="4">
        <v>45591.0</v>
      </c>
      <c r="F3459" s="4" t="str">
        <f>IF(D3459="","", IFNA(VLOOKUP(D3459, SATCAT_DECAY!A:B, 2, FALSE), ""))
</f>
        <v/>
      </c>
      <c r="G3459" s="3" t="str">
        <f t="shared" si="1"/>
        <v>ACTIVE</v>
      </c>
    </row>
    <row r="3460" ht="22.5" customHeight="1">
      <c r="A3460" s="11" t="str">
        <f t="array" ref="A3460">IFERROR(
  INDEX('Starlink Launches'!$A:$A, MATCH($E3460, 'Starlink Launches'!$B:$B, 0)),
  ""
)
</f>
        <v>10-8</v>
      </c>
      <c r="B3460" s="3" t="s">
        <v>25</v>
      </c>
      <c r="C3460" s="12" t="s">
        <v>3479</v>
      </c>
      <c r="D3460" s="13">
        <v>61675.0</v>
      </c>
      <c r="E3460" s="4">
        <v>45591.0</v>
      </c>
      <c r="F3460" s="4" t="str">
        <f>IF(D3460="","", IFNA(VLOOKUP(D3460, SATCAT_DECAY!A:B, 2, FALSE), ""))
</f>
        <v/>
      </c>
      <c r="G3460" s="3" t="str">
        <f t="shared" si="1"/>
        <v>ACTIVE</v>
      </c>
    </row>
    <row r="3461" ht="22.5" customHeight="1">
      <c r="A3461" s="11" t="str">
        <f t="array" ref="A3461">IFERROR(
  INDEX('Starlink Launches'!$A:$A, MATCH($E3461, 'Starlink Launches'!$B:$B, 0)),
  ""
)
</f>
        <v>10-8</v>
      </c>
      <c r="B3461" s="3" t="s">
        <v>25</v>
      </c>
      <c r="C3461" s="12" t="s">
        <v>3480</v>
      </c>
      <c r="D3461" s="13">
        <v>61676.0</v>
      </c>
      <c r="E3461" s="4">
        <v>45591.0</v>
      </c>
      <c r="F3461" s="4" t="str">
        <f>IF(D3461="","", IFNA(VLOOKUP(D3461, SATCAT_DECAY!A:B, 2, FALSE), ""))
</f>
        <v/>
      </c>
      <c r="G3461" s="3" t="str">
        <f t="shared" si="1"/>
        <v>ACTIVE</v>
      </c>
    </row>
    <row r="3462" ht="22.5" customHeight="1">
      <c r="A3462" s="11" t="str">
        <f t="array" ref="A3462">IFERROR(
  INDEX('Starlink Launches'!$A:$A, MATCH($E3462, 'Starlink Launches'!$B:$B, 0)),
  ""
)
</f>
        <v>10-8</v>
      </c>
      <c r="B3462" s="3" t="s">
        <v>25</v>
      </c>
      <c r="C3462" s="12" t="s">
        <v>3481</v>
      </c>
      <c r="D3462" s="13">
        <v>61677.0</v>
      </c>
      <c r="E3462" s="4">
        <v>45591.0</v>
      </c>
      <c r="F3462" s="4" t="str">
        <f>IF(D3462="","", IFNA(VLOOKUP(D3462, SATCAT_DECAY!A:B, 2, FALSE), ""))
</f>
        <v/>
      </c>
      <c r="G3462" s="3" t="str">
        <f t="shared" si="1"/>
        <v>ACTIVE</v>
      </c>
    </row>
    <row r="3463" ht="22.5" customHeight="1">
      <c r="A3463" s="11" t="str">
        <f t="array" ref="A3463">IFERROR(
  INDEX('Starlink Launches'!$A:$A, MATCH($E3463, 'Starlink Launches'!$B:$B, 0)),
  ""
)
</f>
        <v>10-8</v>
      </c>
      <c r="B3463" s="3" t="s">
        <v>25</v>
      </c>
      <c r="C3463" s="12" t="s">
        <v>3482</v>
      </c>
      <c r="D3463" s="13">
        <v>61678.0</v>
      </c>
      <c r="E3463" s="4">
        <v>45591.0</v>
      </c>
      <c r="F3463" s="4" t="str">
        <f>IF(D3463="","", IFNA(VLOOKUP(D3463, SATCAT_DECAY!A:B, 2, FALSE), ""))
</f>
        <v/>
      </c>
      <c r="G3463" s="3" t="str">
        <f t="shared" si="1"/>
        <v>ACTIVE</v>
      </c>
    </row>
    <row r="3464" ht="22.5" customHeight="1">
      <c r="A3464" s="11" t="str">
        <f t="array" ref="A3464">IFERROR(
  INDEX('Starlink Launches'!$A:$A, MATCH($E3464, 'Starlink Launches'!$B:$B, 0)),
  ""
)
</f>
        <v>10-8</v>
      </c>
      <c r="B3464" s="3" t="s">
        <v>25</v>
      </c>
      <c r="C3464" s="12" t="s">
        <v>3483</v>
      </c>
      <c r="D3464" s="13">
        <v>61679.0</v>
      </c>
      <c r="E3464" s="4">
        <v>45591.0</v>
      </c>
      <c r="F3464" s="4" t="str">
        <f>IF(D3464="","", IFNA(VLOOKUP(D3464, SATCAT_DECAY!A:B, 2, FALSE), ""))
</f>
        <v/>
      </c>
      <c r="G3464" s="3" t="str">
        <f t="shared" si="1"/>
        <v>ACTIVE</v>
      </c>
    </row>
    <row r="3465" ht="22.5" customHeight="1">
      <c r="A3465" s="11" t="str">
        <f t="array" ref="A3465">IFERROR(
  INDEX('Starlink Launches'!$A:$A, MATCH($E3465, 'Starlink Launches'!$B:$B, 0)),
  ""
)
</f>
        <v>10-8</v>
      </c>
      <c r="B3465" s="3" t="s">
        <v>25</v>
      </c>
      <c r="C3465" s="12" t="s">
        <v>3484</v>
      </c>
      <c r="D3465" s="13">
        <v>61680.0</v>
      </c>
      <c r="E3465" s="4">
        <v>45591.0</v>
      </c>
      <c r="F3465" s="4" t="str">
        <f>IF(D3465="","", IFNA(VLOOKUP(D3465, SATCAT_DECAY!A:B, 2, FALSE), ""))
</f>
        <v/>
      </c>
      <c r="G3465" s="3" t="str">
        <f t="shared" si="1"/>
        <v>ACTIVE</v>
      </c>
    </row>
    <row r="3466" ht="22.5" customHeight="1">
      <c r="A3466" s="11" t="str">
        <f t="array" ref="A3466">IFERROR(
  INDEX('Starlink Launches'!$A:$A, MATCH($E3466, 'Starlink Launches'!$B:$B, 0)),
  ""
)
</f>
        <v>10-8</v>
      </c>
      <c r="B3466" s="3" t="s">
        <v>25</v>
      </c>
      <c r="C3466" s="12" t="s">
        <v>3485</v>
      </c>
      <c r="D3466" s="13">
        <v>61681.0</v>
      </c>
      <c r="E3466" s="4">
        <v>45591.0</v>
      </c>
      <c r="F3466" s="4" t="str">
        <f>IF(D3466="","", IFNA(VLOOKUP(D3466, SATCAT_DECAY!A:B, 2, FALSE), ""))
</f>
        <v/>
      </c>
      <c r="G3466" s="3" t="str">
        <f t="shared" si="1"/>
        <v>ACTIVE</v>
      </c>
    </row>
    <row r="3467" ht="22.5" customHeight="1">
      <c r="A3467" s="11" t="str">
        <f t="array" ref="A3467">IFERROR(
  INDEX('Starlink Launches'!$A:$A, MATCH($E3467, 'Starlink Launches'!$B:$B, 0)),
  ""
)
</f>
        <v>10-8</v>
      </c>
      <c r="B3467" s="3" t="s">
        <v>25</v>
      </c>
      <c r="C3467" s="12" t="s">
        <v>3486</v>
      </c>
      <c r="D3467" s="13">
        <v>61682.0</v>
      </c>
      <c r="E3467" s="4">
        <v>45591.0</v>
      </c>
      <c r="F3467" s="4" t="str">
        <f>IF(D3467="","", IFNA(VLOOKUP(D3467, SATCAT_DECAY!A:B, 2, FALSE), ""))
</f>
        <v/>
      </c>
      <c r="G3467" s="3" t="str">
        <f t="shared" si="1"/>
        <v>ACTIVE</v>
      </c>
    </row>
    <row r="3468" ht="22.5" customHeight="1">
      <c r="A3468" s="20" t="s">
        <v>3487</v>
      </c>
      <c r="B3468" s="3" t="s">
        <v>25</v>
      </c>
      <c r="C3468" s="12" t="s">
        <v>3488</v>
      </c>
      <c r="D3468" s="13">
        <v>61707.0</v>
      </c>
      <c r="E3468" s="4">
        <v>45595.0</v>
      </c>
      <c r="F3468" s="4" t="str">
        <f>IF(D3468="","", IFNA(VLOOKUP(D3468, SATCAT_DECAY!A:B, 2, FALSE), ""))
</f>
        <v/>
      </c>
      <c r="G3468" s="3" t="str">
        <f t="shared" si="1"/>
        <v>ACTIVE</v>
      </c>
    </row>
    <row r="3469" ht="22.5" customHeight="1">
      <c r="A3469" s="20" t="s">
        <v>3487</v>
      </c>
      <c r="B3469" s="3" t="s">
        <v>25</v>
      </c>
      <c r="C3469" s="12" t="s">
        <v>3489</v>
      </c>
      <c r="D3469" s="13">
        <v>61708.0</v>
      </c>
      <c r="E3469" s="4">
        <v>45595.0</v>
      </c>
      <c r="F3469" s="4" t="str">
        <f>IF(D3469="","", IFNA(VLOOKUP(D3469, SATCAT_DECAY!A:B, 2, FALSE), ""))
</f>
        <v/>
      </c>
      <c r="G3469" s="3" t="str">
        <f t="shared" si="1"/>
        <v>ACTIVE</v>
      </c>
    </row>
    <row r="3470" ht="22.5" customHeight="1">
      <c r="A3470" s="20" t="s">
        <v>3487</v>
      </c>
      <c r="B3470" s="3" t="s">
        <v>25</v>
      </c>
      <c r="C3470" s="12" t="s">
        <v>3490</v>
      </c>
      <c r="D3470" s="13">
        <v>61709.0</v>
      </c>
      <c r="E3470" s="4">
        <v>45595.0</v>
      </c>
      <c r="F3470" s="4" t="str">
        <f>IF(D3470="","", IFNA(VLOOKUP(D3470, SATCAT_DECAY!A:B, 2, FALSE), ""))
</f>
        <v/>
      </c>
      <c r="G3470" s="3" t="str">
        <f t="shared" si="1"/>
        <v>ACTIVE</v>
      </c>
    </row>
    <row r="3471" ht="22.5" customHeight="1">
      <c r="A3471" s="20" t="s">
        <v>3487</v>
      </c>
      <c r="B3471" s="3" t="s">
        <v>25</v>
      </c>
      <c r="C3471" s="12" t="s">
        <v>3491</v>
      </c>
      <c r="D3471" s="13">
        <v>61710.0</v>
      </c>
      <c r="E3471" s="4">
        <v>45595.0</v>
      </c>
      <c r="F3471" s="4" t="str">
        <f>IF(D3471="","", IFNA(VLOOKUP(D3471, SATCAT_DECAY!A:B, 2, FALSE), ""))
</f>
        <v/>
      </c>
      <c r="G3471" s="3" t="str">
        <f t="shared" si="1"/>
        <v>ACTIVE</v>
      </c>
    </row>
    <row r="3472" ht="22.5" customHeight="1">
      <c r="A3472" s="20" t="s">
        <v>3487</v>
      </c>
      <c r="B3472" s="3" t="s">
        <v>25</v>
      </c>
      <c r="C3472" s="12" t="s">
        <v>3492</v>
      </c>
      <c r="D3472" s="13">
        <v>61711.0</v>
      </c>
      <c r="E3472" s="4">
        <v>45595.0</v>
      </c>
      <c r="F3472" s="4" t="str">
        <f>IF(D3472="","", IFNA(VLOOKUP(D3472, SATCAT_DECAY!A:B, 2, FALSE), ""))
</f>
        <v/>
      </c>
      <c r="G3472" s="3" t="str">
        <f t="shared" si="1"/>
        <v>ACTIVE</v>
      </c>
    </row>
    <row r="3473" ht="22.5" customHeight="1">
      <c r="A3473" s="20" t="s">
        <v>3487</v>
      </c>
      <c r="B3473" s="3" t="s">
        <v>25</v>
      </c>
      <c r="C3473" s="12" t="s">
        <v>3493</v>
      </c>
      <c r="D3473" s="13">
        <v>61712.0</v>
      </c>
      <c r="E3473" s="4">
        <v>45595.0</v>
      </c>
      <c r="F3473" s="4" t="str">
        <f>IF(D3473="","", IFNA(VLOOKUP(D3473, SATCAT_DECAY!A:B, 2, FALSE), ""))
</f>
        <v/>
      </c>
      <c r="G3473" s="3" t="str">
        <f t="shared" si="1"/>
        <v>ACTIVE</v>
      </c>
    </row>
    <row r="3474" ht="22.5" customHeight="1">
      <c r="A3474" s="20" t="s">
        <v>3487</v>
      </c>
      <c r="B3474" s="3" t="s">
        <v>25</v>
      </c>
      <c r="C3474" s="12" t="s">
        <v>3494</v>
      </c>
      <c r="D3474" s="13">
        <v>61713.0</v>
      </c>
      <c r="E3474" s="4">
        <v>45595.0</v>
      </c>
      <c r="F3474" s="4" t="str">
        <f>IF(D3474="","", IFNA(VLOOKUP(D3474, SATCAT_DECAY!A:B, 2, FALSE), ""))
</f>
        <v/>
      </c>
      <c r="G3474" s="3" t="str">
        <f t="shared" si="1"/>
        <v>ACTIVE</v>
      </c>
    </row>
    <row r="3475" ht="22.5" customHeight="1">
      <c r="A3475" s="20" t="s">
        <v>3487</v>
      </c>
      <c r="B3475" s="3" t="s">
        <v>25</v>
      </c>
      <c r="C3475" s="12" t="s">
        <v>3495</v>
      </c>
      <c r="D3475" s="13">
        <v>61714.0</v>
      </c>
      <c r="E3475" s="4">
        <v>45595.0</v>
      </c>
      <c r="F3475" s="4" t="str">
        <f>IF(D3475="","", IFNA(VLOOKUP(D3475, SATCAT_DECAY!A:B, 2, FALSE), ""))
</f>
        <v/>
      </c>
      <c r="G3475" s="3" t="str">
        <f t="shared" si="1"/>
        <v>ACTIVE</v>
      </c>
    </row>
    <row r="3476" ht="22.5" customHeight="1">
      <c r="A3476" s="20" t="s">
        <v>3487</v>
      </c>
      <c r="B3476" s="3" t="s">
        <v>25</v>
      </c>
      <c r="C3476" s="12" t="s">
        <v>3496</v>
      </c>
      <c r="D3476" s="13">
        <v>61715.0</v>
      </c>
      <c r="E3476" s="4">
        <v>45595.0</v>
      </c>
      <c r="F3476" s="4" t="str">
        <f>IF(D3476="","", IFNA(VLOOKUP(D3476, SATCAT_DECAY!A:B, 2, FALSE), ""))
</f>
        <v/>
      </c>
      <c r="G3476" s="3" t="str">
        <f t="shared" si="1"/>
        <v>ACTIVE</v>
      </c>
    </row>
    <row r="3477" ht="22.5" customHeight="1">
      <c r="A3477" s="20" t="s">
        <v>3487</v>
      </c>
      <c r="B3477" s="3" t="s">
        <v>25</v>
      </c>
      <c r="C3477" s="12" t="s">
        <v>3497</v>
      </c>
      <c r="D3477" s="13">
        <v>61716.0</v>
      </c>
      <c r="E3477" s="4">
        <v>45595.0</v>
      </c>
      <c r="F3477" s="4" t="str">
        <f>IF(D3477="","", IFNA(VLOOKUP(D3477, SATCAT_DECAY!A:B, 2, FALSE), ""))
</f>
        <v/>
      </c>
      <c r="G3477" s="3" t="str">
        <f t="shared" si="1"/>
        <v>ACTIVE</v>
      </c>
    </row>
    <row r="3478" ht="22.5" customHeight="1">
      <c r="A3478" s="20" t="s">
        <v>3487</v>
      </c>
      <c r="B3478" s="3" t="s">
        <v>25</v>
      </c>
      <c r="C3478" s="12" t="s">
        <v>3498</v>
      </c>
      <c r="D3478" s="13">
        <v>61717.0</v>
      </c>
      <c r="E3478" s="4">
        <v>45595.0</v>
      </c>
      <c r="F3478" s="4" t="str">
        <f>IF(D3478="","", IFNA(VLOOKUP(D3478, SATCAT_DECAY!A:B, 2, FALSE), ""))
</f>
        <v/>
      </c>
      <c r="G3478" s="3" t="str">
        <f t="shared" si="1"/>
        <v>ACTIVE</v>
      </c>
    </row>
    <row r="3479" ht="22.5" customHeight="1">
      <c r="A3479" s="20" t="s">
        <v>3487</v>
      </c>
      <c r="B3479" s="3" t="s">
        <v>25</v>
      </c>
      <c r="C3479" s="12" t="s">
        <v>3499</v>
      </c>
      <c r="D3479" s="13">
        <v>61718.0</v>
      </c>
      <c r="E3479" s="4">
        <v>45595.0</v>
      </c>
      <c r="F3479" s="4" t="str">
        <f>IF(D3479="","", IFNA(VLOOKUP(D3479, SATCAT_DECAY!A:B, 2, FALSE), ""))
</f>
        <v/>
      </c>
      <c r="G3479" s="3" t="str">
        <f t="shared" si="1"/>
        <v>ACTIVE</v>
      </c>
    </row>
    <row r="3480" ht="22.5" customHeight="1">
      <c r="A3480" s="20" t="s">
        <v>3487</v>
      </c>
      <c r="B3480" s="3" t="s">
        <v>25</v>
      </c>
      <c r="C3480" s="12" t="s">
        <v>3500</v>
      </c>
      <c r="D3480" s="13">
        <v>61719.0</v>
      </c>
      <c r="E3480" s="4">
        <v>45595.0</v>
      </c>
      <c r="F3480" s="4" t="str">
        <f>IF(D3480="","", IFNA(VLOOKUP(D3480, SATCAT_DECAY!A:B, 2, FALSE), ""))
</f>
        <v/>
      </c>
      <c r="G3480" s="3" t="str">
        <f t="shared" si="1"/>
        <v>ACTIVE</v>
      </c>
    </row>
    <row r="3481" ht="22.5" customHeight="1">
      <c r="A3481" s="20" t="s">
        <v>3487</v>
      </c>
      <c r="B3481" s="3" t="s">
        <v>25</v>
      </c>
      <c r="C3481" s="12" t="s">
        <v>3501</v>
      </c>
      <c r="D3481" s="13">
        <v>61720.0</v>
      </c>
      <c r="E3481" s="4">
        <v>45595.0</v>
      </c>
      <c r="F3481" s="4" t="str">
        <f>IF(D3481="","", IFNA(VLOOKUP(D3481, SATCAT_DECAY!A:B, 2, FALSE), ""))
</f>
        <v/>
      </c>
      <c r="G3481" s="3" t="str">
        <f t="shared" si="1"/>
        <v>ACTIVE</v>
      </c>
    </row>
    <row r="3482" ht="22.5" customHeight="1">
      <c r="A3482" s="20" t="s">
        <v>3487</v>
      </c>
      <c r="B3482" s="3" t="s">
        <v>25</v>
      </c>
      <c r="C3482" s="12" t="s">
        <v>3502</v>
      </c>
      <c r="D3482" s="13">
        <v>61721.0</v>
      </c>
      <c r="E3482" s="4">
        <v>45595.0</v>
      </c>
      <c r="F3482" s="4" t="str">
        <f>IF(D3482="","", IFNA(VLOOKUP(D3482, SATCAT_DECAY!A:B, 2, FALSE), ""))
</f>
        <v/>
      </c>
      <c r="G3482" s="3" t="str">
        <f t="shared" si="1"/>
        <v>ACTIVE</v>
      </c>
    </row>
    <row r="3483" ht="22.5" customHeight="1">
      <c r="A3483" s="20" t="s">
        <v>3487</v>
      </c>
      <c r="B3483" s="3" t="s">
        <v>25</v>
      </c>
      <c r="C3483" s="12" t="s">
        <v>3503</v>
      </c>
      <c r="D3483" s="13">
        <v>61722.0</v>
      </c>
      <c r="E3483" s="4">
        <v>45595.0</v>
      </c>
      <c r="F3483" s="4" t="str">
        <f>IF(D3483="","", IFNA(VLOOKUP(D3483, SATCAT_DECAY!A:B, 2, FALSE), ""))
</f>
        <v/>
      </c>
      <c r="G3483" s="3" t="str">
        <f t="shared" si="1"/>
        <v>ACTIVE</v>
      </c>
    </row>
    <row r="3484" ht="22.5" customHeight="1">
      <c r="A3484" s="20" t="s">
        <v>3487</v>
      </c>
      <c r="B3484" s="3" t="s">
        <v>25</v>
      </c>
      <c r="C3484" s="12" t="s">
        <v>3504</v>
      </c>
      <c r="D3484" s="13">
        <v>61723.0</v>
      </c>
      <c r="E3484" s="4">
        <v>45595.0</v>
      </c>
      <c r="F3484" s="4" t="str">
        <f>IF(D3484="","", IFNA(VLOOKUP(D3484, SATCAT_DECAY!A:B, 2, FALSE), ""))
</f>
        <v/>
      </c>
      <c r="G3484" s="3" t="str">
        <f t="shared" si="1"/>
        <v>ACTIVE</v>
      </c>
    </row>
    <row r="3485" ht="22.5" customHeight="1">
      <c r="A3485" s="20" t="s">
        <v>3487</v>
      </c>
      <c r="B3485" s="3" t="s">
        <v>25</v>
      </c>
      <c r="C3485" s="12" t="s">
        <v>3505</v>
      </c>
      <c r="D3485" s="13">
        <v>61724.0</v>
      </c>
      <c r="E3485" s="4">
        <v>45595.0</v>
      </c>
      <c r="F3485" s="4" t="str">
        <f>IF(D3485="","", IFNA(VLOOKUP(D3485, SATCAT_DECAY!A:B, 2, FALSE), ""))
</f>
        <v/>
      </c>
      <c r="G3485" s="3" t="str">
        <f t="shared" si="1"/>
        <v>ACTIVE</v>
      </c>
    </row>
    <row r="3486" ht="22.5" customHeight="1">
      <c r="A3486" s="20" t="s">
        <v>3487</v>
      </c>
      <c r="B3486" s="3" t="s">
        <v>25</v>
      </c>
      <c r="C3486" s="12" t="s">
        <v>3506</v>
      </c>
      <c r="D3486" s="13">
        <v>61725.0</v>
      </c>
      <c r="E3486" s="4">
        <v>45595.0</v>
      </c>
      <c r="F3486" s="4" t="str">
        <f>IF(D3486="","", IFNA(VLOOKUP(D3486, SATCAT_DECAY!A:B, 2, FALSE), ""))
</f>
        <v/>
      </c>
      <c r="G3486" s="3" t="str">
        <f t="shared" si="1"/>
        <v>ACTIVE</v>
      </c>
    </row>
    <row r="3487" ht="22.5" customHeight="1">
      <c r="A3487" s="20" t="s">
        <v>3487</v>
      </c>
      <c r="B3487" s="3" t="s">
        <v>25</v>
      </c>
      <c r="C3487" s="12" t="s">
        <v>3507</v>
      </c>
      <c r="D3487" s="13">
        <v>61726.0</v>
      </c>
      <c r="E3487" s="4">
        <v>45595.0</v>
      </c>
      <c r="F3487" s="4" t="str">
        <f>IF(D3487="","", IFNA(VLOOKUP(D3487, SATCAT_DECAY!A:B, 2, FALSE), ""))
</f>
        <v/>
      </c>
      <c r="G3487" s="3" t="str">
        <f t="shared" si="1"/>
        <v>ACTIVE</v>
      </c>
    </row>
    <row r="3488" ht="22.5" customHeight="1">
      <c r="A3488" s="20" t="s">
        <v>3487</v>
      </c>
      <c r="B3488" s="3" t="s">
        <v>25</v>
      </c>
      <c r="C3488" s="12" t="s">
        <v>3508</v>
      </c>
      <c r="D3488" s="13">
        <v>61727.0</v>
      </c>
      <c r="E3488" s="4">
        <v>45595.0</v>
      </c>
      <c r="F3488" s="4" t="str">
        <f>IF(D3488="","", IFNA(VLOOKUP(D3488, SATCAT_DECAY!A:B, 2, FALSE), ""))
</f>
        <v/>
      </c>
      <c r="G3488" s="3" t="str">
        <f t="shared" si="1"/>
        <v>ACTIVE</v>
      </c>
    </row>
    <row r="3489" ht="22.5" customHeight="1">
      <c r="A3489" s="20" t="s">
        <v>3487</v>
      </c>
      <c r="B3489" s="3" t="s">
        <v>25</v>
      </c>
      <c r="C3489" s="12" t="s">
        <v>3509</v>
      </c>
      <c r="D3489" s="13">
        <v>61728.0</v>
      </c>
      <c r="E3489" s="4">
        <v>45595.0</v>
      </c>
      <c r="F3489" s="4" t="str">
        <f>IF(D3489="","", IFNA(VLOOKUP(D3489, SATCAT_DECAY!A:B, 2, FALSE), ""))
</f>
        <v/>
      </c>
      <c r="G3489" s="3" t="str">
        <f t="shared" si="1"/>
        <v>ACTIVE</v>
      </c>
    </row>
    <row r="3490" ht="22.5" customHeight="1">
      <c r="A3490" s="20" t="s">
        <v>3487</v>
      </c>
      <c r="B3490" s="3" t="s">
        <v>25</v>
      </c>
      <c r="C3490" s="12" t="s">
        <v>3510</v>
      </c>
      <c r="D3490" s="13">
        <v>61729.0</v>
      </c>
      <c r="E3490" s="4">
        <v>45595.0</v>
      </c>
      <c r="F3490" s="4" t="str">
        <f>IF(D3490="","", IFNA(VLOOKUP(D3490, SATCAT_DECAY!A:B, 2, FALSE), ""))
</f>
        <v/>
      </c>
      <c r="G3490" s="3" t="str">
        <f t="shared" si="1"/>
        <v>ACTIVE</v>
      </c>
    </row>
    <row r="3491" ht="22.5" customHeight="1">
      <c r="A3491" s="11" t="str">
        <f t="array" ref="A3491">IFERROR(
  INDEX('Starlink Launches'!$A:$A, MATCH($E3491, 'Starlink Launches'!$B:$B, 0)),
  ""
)
</f>
        <v>10-12</v>
      </c>
      <c r="B3491" s="3" t="s">
        <v>25</v>
      </c>
      <c r="C3491" s="12" t="s">
        <v>3511</v>
      </c>
      <c r="D3491" s="13">
        <v>63029.0</v>
      </c>
      <c r="E3491" s="4">
        <v>45706.0</v>
      </c>
      <c r="F3491" s="4" t="str">
        <f>IF(D3491="","", IFNA(VLOOKUP(D3491, SATCAT_DECAY!A:B, 2, FALSE), ""))
</f>
        <v/>
      </c>
      <c r="G3491" s="3" t="str">
        <f t="shared" si="1"/>
        <v>ACTIVE</v>
      </c>
    </row>
    <row r="3492" ht="22.5" customHeight="1">
      <c r="A3492" s="11" t="str">
        <f t="array" ref="A3492">IFERROR(
  INDEX('Starlink Launches'!$A:$A, MATCH($E3492, 'Starlink Launches'!$B:$B, 0)),
  ""
)
</f>
        <v>10-12</v>
      </c>
      <c r="B3492" s="3" t="s">
        <v>25</v>
      </c>
      <c r="C3492" s="12" t="s">
        <v>3512</v>
      </c>
      <c r="D3492" s="13">
        <v>63030.0</v>
      </c>
      <c r="E3492" s="4">
        <v>45706.0</v>
      </c>
      <c r="F3492" s="4" t="str">
        <f>IF(D3492="","", IFNA(VLOOKUP(D3492, SATCAT_DECAY!A:B, 2, FALSE), ""))
</f>
        <v/>
      </c>
      <c r="G3492" s="3" t="str">
        <f t="shared" si="1"/>
        <v>ACTIVE</v>
      </c>
    </row>
    <row r="3493" ht="22.5" customHeight="1">
      <c r="A3493" s="11" t="str">
        <f t="array" ref="A3493">IFERROR(
  INDEX('Starlink Launches'!$A:$A, MATCH($E3493, 'Starlink Launches'!$B:$B, 0)),
  ""
)
</f>
        <v>10-12</v>
      </c>
      <c r="B3493" s="3" t="s">
        <v>25</v>
      </c>
      <c r="C3493" s="12" t="s">
        <v>3513</v>
      </c>
      <c r="D3493" s="13">
        <v>63031.0</v>
      </c>
      <c r="E3493" s="4">
        <v>45706.0</v>
      </c>
      <c r="F3493" s="4" t="str">
        <f>IF(D3493="","", IFNA(VLOOKUP(D3493, SATCAT_DECAY!A:B, 2, FALSE), ""))
</f>
        <v/>
      </c>
      <c r="G3493" s="3" t="str">
        <f t="shared" si="1"/>
        <v>ACTIVE</v>
      </c>
    </row>
    <row r="3494" ht="22.5" customHeight="1">
      <c r="A3494" s="11" t="str">
        <f t="array" ref="A3494">IFERROR(
  INDEX('Starlink Launches'!$A:$A, MATCH($E3494, 'Starlink Launches'!$B:$B, 0)),
  ""
)
</f>
        <v>10-12</v>
      </c>
      <c r="B3494" s="3" t="s">
        <v>25</v>
      </c>
      <c r="C3494" s="12" t="s">
        <v>3514</v>
      </c>
      <c r="D3494" s="13">
        <v>63032.0</v>
      </c>
      <c r="E3494" s="4">
        <v>45706.0</v>
      </c>
      <c r="F3494" s="4" t="str">
        <f>IF(D3494="","", IFNA(VLOOKUP(D3494, SATCAT_DECAY!A:B, 2, FALSE), ""))
</f>
        <v/>
      </c>
      <c r="G3494" s="3" t="str">
        <f t="shared" si="1"/>
        <v>ACTIVE</v>
      </c>
    </row>
    <row r="3495" ht="22.5" customHeight="1">
      <c r="A3495" s="11" t="str">
        <f t="array" ref="A3495">IFERROR(
  INDEX('Starlink Launches'!$A:$A, MATCH($E3495, 'Starlink Launches'!$B:$B, 0)),
  ""
)
</f>
        <v>10-12</v>
      </c>
      <c r="B3495" s="3" t="s">
        <v>25</v>
      </c>
      <c r="C3495" s="12" t="s">
        <v>3515</v>
      </c>
      <c r="D3495" s="13">
        <v>63033.0</v>
      </c>
      <c r="E3495" s="4">
        <v>45706.0</v>
      </c>
      <c r="F3495" s="4" t="str">
        <f>IF(D3495="","", IFNA(VLOOKUP(D3495, SATCAT_DECAY!A:B, 2, FALSE), ""))
</f>
        <v/>
      </c>
      <c r="G3495" s="3" t="str">
        <f t="shared" si="1"/>
        <v>ACTIVE</v>
      </c>
    </row>
    <row r="3496" ht="22.5" customHeight="1">
      <c r="A3496" s="11" t="str">
        <f t="array" ref="A3496">IFERROR(
  INDEX('Starlink Launches'!$A:$A, MATCH($E3496, 'Starlink Launches'!$B:$B, 0)),
  ""
)
</f>
        <v>10-12</v>
      </c>
      <c r="B3496" s="3" t="s">
        <v>25</v>
      </c>
      <c r="C3496" s="12" t="s">
        <v>3516</v>
      </c>
      <c r="D3496" s="13">
        <v>63034.0</v>
      </c>
      <c r="E3496" s="4">
        <v>45706.0</v>
      </c>
      <c r="F3496" s="4" t="str">
        <f>IF(D3496="","", IFNA(VLOOKUP(D3496, SATCAT_DECAY!A:B, 2, FALSE), ""))
</f>
        <v/>
      </c>
      <c r="G3496" s="3" t="str">
        <f t="shared" si="1"/>
        <v>ACTIVE</v>
      </c>
    </row>
    <row r="3497" ht="22.5" customHeight="1">
      <c r="A3497" s="11" t="str">
        <f t="array" ref="A3497">IFERROR(
  INDEX('Starlink Launches'!$A:$A, MATCH($E3497, 'Starlink Launches'!$B:$B, 0)),
  ""
)
</f>
        <v>10-12</v>
      </c>
      <c r="B3497" s="3" t="s">
        <v>25</v>
      </c>
      <c r="C3497" s="12" t="s">
        <v>3517</v>
      </c>
      <c r="D3497" s="13">
        <v>63035.0</v>
      </c>
      <c r="E3497" s="4">
        <v>45706.0</v>
      </c>
      <c r="F3497" s="4" t="str">
        <f>IF(D3497="","", IFNA(VLOOKUP(D3497, SATCAT_DECAY!A:B, 2, FALSE), ""))
</f>
        <v/>
      </c>
      <c r="G3497" s="3" t="str">
        <f t="shared" si="1"/>
        <v>ACTIVE</v>
      </c>
    </row>
    <row r="3498" ht="22.5" customHeight="1">
      <c r="A3498" s="11" t="str">
        <f t="array" ref="A3498">IFERROR(
  INDEX('Starlink Launches'!$A:$A, MATCH($E3498, 'Starlink Launches'!$B:$B, 0)),
  ""
)
</f>
        <v>10-12</v>
      </c>
      <c r="B3498" s="3" t="s">
        <v>25</v>
      </c>
      <c r="C3498" s="12" t="s">
        <v>3518</v>
      </c>
      <c r="D3498" s="13">
        <v>63036.0</v>
      </c>
      <c r="E3498" s="4">
        <v>45706.0</v>
      </c>
      <c r="F3498" s="4" t="str">
        <f>IF(D3498="","", IFNA(VLOOKUP(D3498, SATCAT_DECAY!A:B, 2, FALSE), ""))
</f>
        <v/>
      </c>
      <c r="G3498" s="3" t="str">
        <f t="shared" si="1"/>
        <v>ACTIVE</v>
      </c>
    </row>
    <row r="3499" ht="22.5" customHeight="1">
      <c r="A3499" s="11" t="str">
        <f t="array" ref="A3499">IFERROR(
  INDEX('Starlink Launches'!$A:$A, MATCH($E3499, 'Starlink Launches'!$B:$B, 0)),
  ""
)
</f>
        <v>10-12</v>
      </c>
      <c r="B3499" s="3" t="s">
        <v>25</v>
      </c>
      <c r="C3499" s="12" t="s">
        <v>3519</v>
      </c>
      <c r="D3499" s="13">
        <v>63037.0</v>
      </c>
      <c r="E3499" s="4">
        <v>45706.0</v>
      </c>
      <c r="F3499" s="4" t="str">
        <f>IF(D3499="","", IFNA(VLOOKUP(D3499, SATCAT_DECAY!A:B, 2, FALSE), ""))
</f>
        <v/>
      </c>
      <c r="G3499" s="3" t="str">
        <f t="shared" si="1"/>
        <v>ACTIVE</v>
      </c>
    </row>
    <row r="3500" ht="22.5" customHeight="1">
      <c r="A3500" s="11" t="str">
        <f t="array" ref="A3500">IFERROR(
  INDEX('Starlink Launches'!$A:$A, MATCH($E3500, 'Starlink Launches'!$B:$B, 0)),
  ""
)
</f>
        <v>10-12</v>
      </c>
      <c r="B3500" s="3" t="s">
        <v>25</v>
      </c>
      <c r="C3500" s="12" t="s">
        <v>3520</v>
      </c>
      <c r="D3500" s="13">
        <v>63038.0</v>
      </c>
      <c r="E3500" s="4">
        <v>45706.0</v>
      </c>
      <c r="F3500" s="4" t="str">
        <f>IF(D3500="","", IFNA(VLOOKUP(D3500, SATCAT_DECAY!A:B, 2, FALSE), ""))
</f>
        <v/>
      </c>
      <c r="G3500" s="3" t="str">
        <f t="shared" si="1"/>
        <v>ACTIVE</v>
      </c>
    </row>
    <row r="3501" ht="22.5" customHeight="1">
      <c r="A3501" s="11" t="str">
        <f t="array" ref="A3501">IFERROR(
  INDEX('Starlink Launches'!$A:$A, MATCH($E3501, 'Starlink Launches'!$B:$B, 0)),
  ""
)
</f>
        <v>10-12</v>
      </c>
      <c r="B3501" s="3" t="s">
        <v>25</v>
      </c>
      <c r="C3501" s="12" t="s">
        <v>3521</v>
      </c>
      <c r="D3501" s="13">
        <v>63039.0</v>
      </c>
      <c r="E3501" s="4">
        <v>45706.0</v>
      </c>
      <c r="F3501" s="4" t="str">
        <f>IF(D3501="","", IFNA(VLOOKUP(D3501, SATCAT_DECAY!A:B, 2, FALSE), ""))
</f>
        <v/>
      </c>
      <c r="G3501" s="3" t="str">
        <f t="shared" si="1"/>
        <v>ACTIVE</v>
      </c>
    </row>
    <row r="3502" ht="22.5" customHeight="1">
      <c r="A3502" s="11" t="str">
        <f t="array" ref="A3502">IFERROR(
  INDEX('Starlink Launches'!$A:$A, MATCH($E3502, 'Starlink Launches'!$B:$B, 0)),
  ""
)
</f>
        <v>10-12</v>
      </c>
      <c r="B3502" s="3" t="s">
        <v>25</v>
      </c>
      <c r="C3502" s="12" t="s">
        <v>3522</v>
      </c>
      <c r="D3502" s="13">
        <v>63040.0</v>
      </c>
      <c r="E3502" s="4">
        <v>45706.0</v>
      </c>
      <c r="F3502" s="4" t="str">
        <f>IF(D3502="","", IFNA(VLOOKUP(D3502, SATCAT_DECAY!A:B, 2, FALSE), ""))
</f>
        <v/>
      </c>
      <c r="G3502" s="3" t="str">
        <f t="shared" si="1"/>
        <v>ACTIVE</v>
      </c>
    </row>
    <row r="3503" ht="22.5" customHeight="1">
      <c r="A3503" s="11" t="str">
        <f t="array" ref="A3503">IFERROR(
  INDEX('Starlink Launches'!$A:$A, MATCH($E3503, 'Starlink Launches'!$B:$B, 0)),
  ""
)
</f>
        <v>10-12</v>
      </c>
      <c r="B3503" s="3" t="s">
        <v>25</v>
      </c>
      <c r="C3503" s="12" t="s">
        <v>3523</v>
      </c>
      <c r="D3503" s="13">
        <v>63041.0</v>
      </c>
      <c r="E3503" s="4">
        <v>45706.0</v>
      </c>
      <c r="F3503" s="4" t="str">
        <f>IF(D3503="","", IFNA(VLOOKUP(D3503, SATCAT_DECAY!A:B, 2, FALSE), ""))
</f>
        <v/>
      </c>
      <c r="G3503" s="3" t="str">
        <f t="shared" si="1"/>
        <v>ACTIVE</v>
      </c>
    </row>
    <row r="3504" ht="22.5" customHeight="1">
      <c r="A3504" s="11" t="str">
        <f t="array" ref="A3504">IFERROR(
  INDEX('Starlink Launches'!$A:$A, MATCH($E3504, 'Starlink Launches'!$B:$B, 0)),
  ""
)
</f>
        <v>10-12</v>
      </c>
      <c r="B3504" s="3" t="s">
        <v>25</v>
      </c>
      <c r="C3504" s="12" t="s">
        <v>3524</v>
      </c>
      <c r="D3504" s="13">
        <v>63042.0</v>
      </c>
      <c r="E3504" s="4">
        <v>45706.0</v>
      </c>
      <c r="F3504" s="4" t="str">
        <f>IF(D3504="","", IFNA(VLOOKUP(D3504, SATCAT_DECAY!A:B, 2, FALSE), ""))
</f>
        <v/>
      </c>
      <c r="G3504" s="3" t="str">
        <f t="shared" si="1"/>
        <v>ACTIVE</v>
      </c>
    </row>
    <row r="3505" ht="22.5" customHeight="1">
      <c r="A3505" s="11" t="str">
        <f t="array" ref="A3505">IFERROR(
  INDEX('Starlink Launches'!$A:$A, MATCH($E3505, 'Starlink Launches'!$B:$B, 0)),
  ""
)
</f>
        <v>10-12</v>
      </c>
      <c r="B3505" s="3" t="s">
        <v>25</v>
      </c>
      <c r="C3505" s="12" t="s">
        <v>3525</v>
      </c>
      <c r="D3505" s="13">
        <v>63043.0</v>
      </c>
      <c r="E3505" s="4">
        <v>45706.0</v>
      </c>
      <c r="F3505" s="4" t="str">
        <f>IF(D3505="","", IFNA(VLOOKUP(D3505, SATCAT_DECAY!A:B, 2, FALSE), ""))
</f>
        <v/>
      </c>
      <c r="G3505" s="3" t="str">
        <f t="shared" si="1"/>
        <v>ACTIVE</v>
      </c>
    </row>
    <row r="3506" ht="22.5" customHeight="1">
      <c r="A3506" s="11" t="str">
        <f t="array" ref="A3506">IFERROR(
  INDEX('Starlink Launches'!$A:$A, MATCH($E3506, 'Starlink Launches'!$B:$B, 0)),
  ""
)
</f>
        <v>10-12</v>
      </c>
      <c r="B3506" s="3" t="s">
        <v>25</v>
      </c>
      <c r="C3506" s="12" t="s">
        <v>3526</v>
      </c>
      <c r="D3506" s="13">
        <v>63044.0</v>
      </c>
      <c r="E3506" s="4">
        <v>45706.0</v>
      </c>
      <c r="F3506" s="4" t="str">
        <f>IF(D3506="","", IFNA(VLOOKUP(D3506, SATCAT_DECAY!A:B, 2, FALSE), ""))
</f>
        <v/>
      </c>
      <c r="G3506" s="3" t="str">
        <f t="shared" si="1"/>
        <v>ACTIVE</v>
      </c>
    </row>
    <row r="3507" ht="22.5" customHeight="1">
      <c r="A3507" s="11" t="str">
        <f t="array" ref="A3507">IFERROR(
  INDEX('Starlink Launches'!$A:$A, MATCH($E3507, 'Starlink Launches'!$B:$B, 0)),
  ""
)
</f>
        <v>10-12</v>
      </c>
      <c r="B3507" s="3" t="s">
        <v>25</v>
      </c>
      <c r="C3507" s="12" t="s">
        <v>3527</v>
      </c>
      <c r="D3507" s="13">
        <v>63045.0</v>
      </c>
      <c r="E3507" s="4">
        <v>45706.0</v>
      </c>
      <c r="F3507" s="4" t="str">
        <f>IF(D3507="","", IFNA(VLOOKUP(D3507, SATCAT_DECAY!A:B, 2, FALSE), ""))
</f>
        <v/>
      </c>
      <c r="G3507" s="3" t="str">
        <f t="shared" si="1"/>
        <v>ACTIVE</v>
      </c>
    </row>
    <row r="3508" ht="22.5" customHeight="1">
      <c r="A3508" s="11" t="str">
        <f t="array" ref="A3508">IFERROR(
  INDEX('Starlink Launches'!$A:$A, MATCH($E3508, 'Starlink Launches'!$B:$B, 0)),
  ""
)
</f>
        <v>10-12</v>
      </c>
      <c r="B3508" s="3" t="s">
        <v>25</v>
      </c>
      <c r="C3508" s="12" t="s">
        <v>3528</v>
      </c>
      <c r="D3508" s="13">
        <v>63046.0</v>
      </c>
      <c r="E3508" s="4">
        <v>45706.0</v>
      </c>
      <c r="F3508" s="4" t="str">
        <f>IF(D3508="","", IFNA(VLOOKUP(D3508, SATCAT_DECAY!A:B, 2, FALSE), ""))
</f>
        <v/>
      </c>
      <c r="G3508" s="3" t="str">
        <f t="shared" si="1"/>
        <v>ACTIVE</v>
      </c>
    </row>
    <row r="3509" ht="22.5" customHeight="1">
      <c r="A3509" s="11" t="str">
        <f t="array" ref="A3509">IFERROR(
  INDEX('Starlink Launches'!$A:$A, MATCH($E3509, 'Starlink Launches'!$B:$B, 0)),
  ""
)
</f>
        <v>10-12</v>
      </c>
      <c r="B3509" s="3" t="s">
        <v>25</v>
      </c>
      <c r="C3509" s="12" t="s">
        <v>3529</v>
      </c>
      <c r="D3509" s="13">
        <v>63047.0</v>
      </c>
      <c r="E3509" s="4">
        <v>45706.0</v>
      </c>
      <c r="F3509" s="4" t="str">
        <f>IF(D3509="","", IFNA(VLOOKUP(D3509, SATCAT_DECAY!A:B, 2, FALSE), ""))
</f>
        <v/>
      </c>
      <c r="G3509" s="3" t="str">
        <f t="shared" si="1"/>
        <v>ACTIVE</v>
      </c>
    </row>
    <row r="3510" ht="22.5" customHeight="1">
      <c r="A3510" s="11" t="str">
        <f t="array" ref="A3510">IFERROR(
  INDEX('Starlink Launches'!$A:$A, MATCH($E3510, 'Starlink Launches'!$B:$B, 0)),
  ""
)
</f>
        <v>10-12</v>
      </c>
      <c r="B3510" s="3" t="s">
        <v>25</v>
      </c>
      <c r="C3510" s="12" t="s">
        <v>3530</v>
      </c>
      <c r="D3510" s="13">
        <v>63048.0</v>
      </c>
      <c r="E3510" s="4">
        <v>45706.0</v>
      </c>
      <c r="F3510" s="4" t="str">
        <f>IF(D3510="","", IFNA(VLOOKUP(D3510, SATCAT_DECAY!A:B, 2, FALSE), ""))
</f>
        <v/>
      </c>
      <c r="G3510" s="3" t="str">
        <f t="shared" si="1"/>
        <v>ACTIVE</v>
      </c>
    </row>
    <row r="3511" ht="22.5" customHeight="1">
      <c r="A3511" s="11" t="str">
        <f t="array" ref="A3511">IFERROR(
  INDEX('Starlink Launches'!$A:$A, MATCH($E3511, 'Starlink Launches'!$B:$B, 0)),
  ""
)
</f>
        <v>10-12</v>
      </c>
      <c r="B3511" s="3" t="s">
        <v>25</v>
      </c>
      <c r="C3511" s="12" t="s">
        <v>3531</v>
      </c>
      <c r="D3511" s="13">
        <v>63049.0</v>
      </c>
      <c r="E3511" s="4">
        <v>45706.0</v>
      </c>
      <c r="F3511" s="4" t="str">
        <f>IF(D3511="","", IFNA(VLOOKUP(D3511, SATCAT_DECAY!A:B, 2, FALSE), ""))
</f>
        <v/>
      </c>
      <c r="G3511" s="3" t="str">
        <f t="shared" si="1"/>
        <v>ACTIVE</v>
      </c>
    </row>
    <row r="3512" ht="22.5" customHeight="1">
      <c r="A3512" s="11" t="str">
        <f t="array" ref="A3512">IFERROR(
  INDEX('Starlink Launches'!$A:$A, MATCH($E3512, 'Starlink Launches'!$B:$B, 0)),
  ""
)
</f>
        <v>10-12</v>
      </c>
      <c r="B3512" s="3" t="s">
        <v>25</v>
      </c>
      <c r="C3512" s="12" t="s">
        <v>3532</v>
      </c>
      <c r="D3512" s="13">
        <v>63050.0</v>
      </c>
      <c r="E3512" s="4">
        <v>45706.0</v>
      </c>
      <c r="F3512" s="4" t="str">
        <f>IF(D3512="","", IFNA(VLOOKUP(D3512, SATCAT_DECAY!A:B, 2, FALSE), ""))
</f>
        <v/>
      </c>
      <c r="G3512" s="3" t="str">
        <f t="shared" si="1"/>
        <v>ACTIVE</v>
      </c>
    </row>
    <row r="3513" ht="22.5" customHeight="1">
      <c r="A3513" s="11" t="str">
        <f t="array" ref="A3513">IFERROR(
  INDEX('Starlink Launches'!$A:$A, MATCH($E3513, 'Starlink Launches'!$B:$B, 0)),
  ""
)
</f>
        <v>10-12</v>
      </c>
      <c r="B3513" s="3" t="s">
        <v>25</v>
      </c>
      <c r="C3513" s="12" t="s">
        <v>3533</v>
      </c>
      <c r="D3513" s="13">
        <v>63051.0</v>
      </c>
      <c r="E3513" s="4">
        <v>45706.0</v>
      </c>
      <c r="F3513" s="4" t="str">
        <f>IF(D3513="","", IFNA(VLOOKUP(D3513, SATCAT_DECAY!A:B, 2, FALSE), ""))
</f>
        <v/>
      </c>
      <c r="G3513" s="3" t="str">
        <f t="shared" si="1"/>
        <v>ACTIVE</v>
      </c>
    </row>
    <row r="3514" ht="22.5" customHeight="1">
      <c r="A3514" s="11" t="str">
        <f t="array" ref="A3514">IFERROR(
  INDEX('Starlink Launches'!$A:$A, MATCH($E3514, 'Starlink Launches'!$B:$B, 0)),
  ""
)
</f>
        <v>10-32</v>
      </c>
      <c r="B3514" s="3" t="s">
        <v>25</v>
      </c>
      <c r="C3514" s="12" t="s">
        <v>3534</v>
      </c>
      <c r="D3514" s="13">
        <v>64170.0</v>
      </c>
      <c r="E3514" s="4">
        <v>45805.0</v>
      </c>
      <c r="F3514" s="4" t="str">
        <f>IF(D3514="","", IFNA(VLOOKUP(D3514, SATCAT_DECAY!A:B, 2, FALSE), ""))
</f>
        <v/>
      </c>
      <c r="G3514" s="3" t="str">
        <f t="shared" si="1"/>
        <v>ACTIVE</v>
      </c>
    </row>
    <row r="3515" ht="22.5" customHeight="1">
      <c r="A3515" s="11" t="str">
        <f t="array" ref="A3515">IFERROR(
  INDEX('Starlink Launches'!$A:$A, MATCH($E3515, 'Starlink Launches'!$B:$B, 0)),
  ""
)
</f>
        <v>10-32</v>
      </c>
      <c r="B3515" s="3" t="s">
        <v>25</v>
      </c>
      <c r="C3515" s="12" t="s">
        <v>3535</v>
      </c>
      <c r="D3515" s="13">
        <v>64171.0</v>
      </c>
      <c r="E3515" s="4">
        <v>45805.0</v>
      </c>
      <c r="F3515" s="4" t="str">
        <f>IF(D3515="","", IFNA(VLOOKUP(D3515, SATCAT_DECAY!A:B, 2, FALSE), ""))
</f>
        <v/>
      </c>
      <c r="G3515" s="3" t="str">
        <f t="shared" si="1"/>
        <v>ACTIVE</v>
      </c>
    </row>
    <row r="3516" ht="22.5" customHeight="1">
      <c r="A3516" s="11" t="str">
        <f t="array" ref="A3516">IFERROR(
  INDEX('Starlink Launches'!$A:$A, MATCH($E3516, 'Starlink Launches'!$B:$B, 0)),
  ""
)
</f>
        <v>10-32</v>
      </c>
      <c r="B3516" s="3" t="s">
        <v>25</v>
      </c>
      <c r="C3516" s="12" t="s">
        <v>3536</v>
      </c>
      <c r="D3516" s="13">
        <v>64172.0</v>
      </c>
      <c r="E3516" s="4">
        <v>45805.0</v>
      </c>
      <c r="F3516" s="4" t="str">
        <f>IF(D3516="","", IFNA(VLOOKUP(D3516, SATCAT_DECAY!A:B, 2, FALSE), ""))
</f>
        <v/>
      </c>
      <c r="G3516" s="3" t="str">
        <f t="shared" si="1"/>
        <v>ACTIVE</v>
      </c>
    </row>
    <row r="3517" ht="22.5" customHeight="1">
      <c r="A3517" s="11" t="str">
        <f t="array" ref="A3517">IFERROR(
  INDEX('Starlink Launches'!$A:$A, MATCH($E3517, 'Starlink Launches'!$B:$B, 0)),
  ""
)
</f>
        <v>10-32</v>
      </c>
      <c r="B3517" s="3" t="s">
        <v>25</v>
      </c>
      <c r="C3517" s="12" t="s">
        <v>3537</v>
      </c>
      <c r="D3517" s="13">
        <v>64173.0</v>
      </c>
      <c r="E3517" s="4">
        <v>45805.0</v>
      </c>
      <c r="F3517" s="4" t="str">
        <f>IF(D3517="","", IFNA(VLOOKUP(D3517, SATCAT_DECAY!A:B, 2, FALSE), ""))
</f>
        <v/>
      </c>
      <c r="G3517" s="3" t="str">
        <f t="shared" si="1"/>
        <v>ACTIVE</v>
      </c>
    </row>
    <row r="3518" ht="22.5" customHeight="1">
      <c r="A3518" s="11" t="str">
        <f t="array" ref="A3518">IFERROR(
  INDEX('Starlink Launches'!$A:$A, MATCH($E3518, 'Starlink Launches'!$B:$B, 0)),
  ""
)
</f>
        <v>10-32</v>
      </c>
      <c r="B3518" s="3" t="s">
        <v>25</v>
      </c>
      <c r="C3518" s="12" t="s">
        <v>3538</v>
      </c>
      <c r="D3518" s="13">
        <v>64174.0</v>
      </c>
      <c r="E3518" s="4">
        <v>45805.0</v>
      </c>
      <c r="F3518" s="4" t="str">
        <f>IF(D3518="","", IFNA(VLOOKUP(D3518, SATCAT_DECAY!A:B, 2, FALSE), ""))
</f>
        <v/>
      </c>
      <c r="G3518" s="3" t="str">
        <f t="shared" si="1"/>
        <v>ACTIVE</v>
      </c>
    </row>
    <row r="3519" ht="22.5" customHeight="1">
      <c r="A3519" s="11" t="str">
        <f t="array" ref="A3519">IFERROR(
  INDEX('Starlink Launches'!$A:$A, MATCH($E3519, 'Starlink Launches'!$B:$B, 0)),
  ""
)
</f>
        <v>10-32</v>
      </c>
      <c r="B3519" s="3" t="s">
        <v>25</v>
      </c>
      <c r="C3519" s="12" t="s">
        <v>3539</v>
      </c>
      <c r="D3519" s="13">
        <v>64175.0</v>
      </c>
      <c r="E3519" s="4">
        <v>45805.0</v>
      </c>
      <c r="F3519" s="4" t="str">
        <f>IF(D3519="","", IFNA(VLOOKUP(D3519, SATCAT_DECAY!A:B, 2, FALSE), ""))
</f>
        <v/>
      </c>
      <c r="G3519" s="3" t="str">
        <f t="shared" si="1"/>
        <v>ACTIVE</v>
      </c>
    </row>
    <row r="3520" ht="22.5" customHeight="1">
      <c r="A3520" s="11" t="str">
        <f t="array" ref="A3520">IFERROR(
  INDEX('Starlink Launches'!$A:$A, MATCH($E3520, 'Starlink Launches'!$B:$B, 0)),
  ""
)
</f>
        <v>10-32</v>
      </c>
      <c r="B3520" s="3" t="s">
        <v>25</v>
      </c>
      <c r="C3520" s="12" t="s">
        <v>3540</v>
      </c>
      <c r="D3520" s="13">
        <v>64176.0</v>
      </c>
      <c r="E3520" s="4">
        <v>45805.0</v>
      </c>
      <c r="F3520" s="4" t="str">
        <f>IF(D3520="","", IFNA(VLOOKUP(D3520, SATCAT_DECAY!A:B, 2, FALSE), ""))
</f>
        <v/>
      </c>
      <c r="G3520" s="3" t="str">
        <f t="shared" si="1"/>
        <v>ACTIVE</v>
      </c>
    </row>
    <row r="3521" ht="22.5" customHeight="1">
      <c r="A3521" s="11" t="str">
        <f t="array" ref="A3521">IFERROR(
  INDEX('Starlink Launches'!$A:$A, MATCH($E3521, 'Starlink Launches'!$B:$B, 0)),
  ""
)
</f>
        <v>10-32</v>
      </c>
      <c r="B3521" s="3" t="s">
        <v>25</v>
      </c>
      <c r="C3521" s="12" t="s">
        <v>3541</v>
      </c>
      <c r="D3521" s="13">
        <v>64177.0</v>
      </c>
      <c r="E3521" s="4">
        <v>45805.0</v>
      </c>
      <c r="F3521" s="4" t="str">
        <f>IF(D3521="","", IFNA(VLOOKUP(D3521, SATCAT_DECAY!A:B, 2, FALSE), ""))
</f>
        <v/>
      </c>
      <c r="G3521" s="3" t="str">
        <f t="shared" si="1"/>
        <v>ACTIVE</v>
      </c>
    </row>
    <row r="3522" ht="22.5" customHeight="1">
      <c r="A3522" s="11" t="str">
        <f t="array" ref="A3522">IFERROR(
  INDEX('Starlink Launches'!$A:$A, MATCH($E3522, 'Starlink Launches'!$B:$B, 0)),
  ""
)
</f>
        <v>10-32</v>
      </c>
      <c r="B3522" s="3" t="s">
        <v>25</v>
      </c>
      <c r="C3522" s="12" t="s">
        <v>3542</v>
      </c>
      <c r="D3522" s="13">
        <v>64178.0</v>
      </c>
      <c r="E3522" s="4">
        <v>45805.0</v>
      </c>
      <c r="F3522" s="4" t="str">
        <f>IF(D3522="","", IFNA(VLOOKUP(D3522, SATCAT_DECAY!A:B, 2, FALSE), ""))
</f>
        <v/>
      </c>
      <c r="G3522" s="3" t="str">
        <f t="shared" si="1"/>
        <v>ACTIVE</v>
      </c>
    </row>
    <row r="3523" ht="22.5" customHeight="1">
      <c r="A3523" s="11" t="str">
        <f t="array" ref="A3523">IFERROR(
  INDEX('Starlink Launches'!$A:$A, MATCH($E3523, 'Starlink Launches'!$B:$B, 0)),
  ""
)
</f>
        <v>10-32</v>
      </c>
      <c r="B3523" s="3" t="s">
        <v>25</v>
      </c>
      <c r="C3523" s="12" t="s">
        <v>3543</v>
      </c>
      <c r="D3523" s="13">
        <v>64179.0</v>
      </c>
      <c r="E3523" s="4">
        <v>45805.0</v>
      </c>
      <c r="F3523" s="4" t="str">
        <f>IF(D3523="","", IFNA(VLOOKUP(D3523, SATCAT_DECAY!A:B, 2, FALSE), ""))
</f>
        <v/>
      </c>
      <c r="G3523" s="3" t="str">
        <f t="shared" si="1"/>
        <v>ACTIVE</v>
      </c>
    </row>
    <row r="3524" ht="22.5" customHeight="1">
      <c r="A3524" s="11" t="str">
        <f t="array" ref="A3524">IFERROR(
  INDEX('Starlink Launches'!$A:$A, MATCH($E3524, 'Starlink Launches'!$B:$B, 0)),
  ""
)
</f>
        <v>10-32</v>
      </c>
      <c r="B3524" s="3" t="s">
        <v>25</v>
      </c>
      <c r="C3524" s="12" t="s">
        <v>3544</v>
      </c>
      <c r="D3524" s="13">
        <v>64180.0</v>
      </c>
      <c r="E3524" s="4">
        <v>45805.0</v>
      </c>
      <c r="F3524" s="4" t="str">
        <f>IF(D3524="","", IFNA(VLOOKUP(D3524, SATCAT_DECAY!A:B, 2, FALSE), ""))
</f>
        <v/>
      </c>
      <c r="G3524" s="3" t="str">
        <f t="shared" si="1"/>
        <v>ACTIVE</v>
      </c>
    </row>
    <row r="3525" ht="22.5" customHeight="1">
      <c r="A3525" s="11" t="str">
        <f t="array" ref="A3525">IFERROR(
  INDEX('Starlink Launches'!$A:$A, MATCH($E3525, 'Starlink Launches'!$B:$B, 0)),
  ""
)
</f>
        <v>10-32</v>
      </c>
      <c r="B3525" s="3" t="s">
        <v>25</v>
      </c>
      <c r="C3525" s="12" t="s">
        <v>3545</v>
      </c>
      <c r="D3525" s="13">
        <v>64181.0</v>
      </c>
      <c r="E3525" s="4">
        <v>45805.0</v>
      </c>
      <c r="F3525" s="4" t="str">
        <f>IF(D3525="","", IFNA(VLOOKUP(D3525, SATCAT_DECAY!A:B, 2, FALSE), ""))
</f>
        <v/>
      </c>
      <c r="G3525" s="3" t="str">
        <f t="shared" si="1"/>
        <v>ACTIVE</v>
      </c>
    </row>
    <row r="3526" ht="22.5" customHeight="1">
      <c r="A3526" s="11" t="str">
        <f t="array" ref="A3526">IFERROR(
  INDEX('Starlink Launches'!$A:$A, MATCH($E3526, 'Starlink Launches'!$B:$B, 0)),
  ""
)
</f>
        <v>10-32</v>
      </c>
      <c r="B3526" s="3" t="s">
        <v>25</v>
      </c>
      <c r="C3526" s="12" t="s">
        <v>3546</v>
      </c>
      <c r="D3526" s="13">
        <v>64182.0</v>
      </c>
      <c r="E3526" s="4">
        <v>45805.0</v>
      </c>
      <c r="F3526" s="4" t="str">
        <f>IF(D3526="","", IFNA(VLOOKUP(D3526, SATCAT_DECAY!A:B, 2, FALSE), ""))
</f>
        <v/>
      </c>
      <c r="G3526" s="3" t="str">
        <f t="shared" si="1"/>
        <v>ACTIVE</v>
      </c>
    </row>
    <row r="3527" ht="22.5" customHeight="1">
      <c r="A3527" s="11" t="str">
        <f t="array" ref="A3527">IFERROR(
  INDEX('Starlink Launches'!$A:$A, MATCH($E3527, 'Starlink Launches'!$B:$B, 0)),
  ""
)
</f>
        <v>10-32</v>
      </c>
      <c r="B3527" s="3" t="s">
        <v>25</v>
      </c>
      <c r="C3527" s="12" t="s">
        <v>3547</v>
      </c>
      <c r="D3527" s="13">
        <v>64183.0</v>
      </c>
      <c r="E3527" s="4">
        <v>45805.0</v>
      </c>
      <c r="F3527" s="4" t="str">
        <f>IF(D3527="","", IFNA(VLOOKUP(D3527, SATCAT_DECAY!A:B, 2, FALSE), ""))
</f>
        <v/>
      </c>
      <c r="G3527" s="3" t="str">
        <f t="shared" si="1"/>
        <v>ACTIVE</v>
      </c>
    </row>
    <row r="3528" ht="22.5" customHeight="1">
      <c r="A3528" s="11" t="str">
        <f t="array" ref="A3528">IFERROR(
  INDEX('Starlink Launches'!$A:$A, MATCH($E3528, 'Starlink Launches'!$B:$B, 0)),
  ""
)
</f>
        <v>10-32</v>
      </c>
      <c r="B3528" s="3" t="s">
        <v>25</v>
      </c>
      <c r="C3528" s="12" t="s">
        <v>3548</v>
      </c>
      <c r="D3528" s="13">
        <v>64184.0</v>
      </c>
      <c r="E3528" s="4">
        <v>45805.0</v>
      </c>
      <c r="F3528" s="4" t="str">
        <f>IF(D3528="","", IFNA(VLOOKUP(D3528, SATCAT_DECAY!A:B, 2, FALSE), ""))
</f>
        <v/>
      </c>
      <c r="G3528" s="3" t="str">
        <f t="shared" si="1"/>
        <v>ACTIVE</v>
      </c>
    </row>
    <row r="3529" ht="22.5" customHeight="1">
      <c r="A3529" s="11" t="str">
        <f t="array" ref="A3529">IFERROR(
  INDEX('Starlink Launches'!$A:$A, MATCH($E3529, 'Starlink Launches'!$B:$B, 0)),
  ""
)
</f>
        <v>10-32</v>
      </c>
      <c r="B3529" s="3" t="s">
        <v>25</v>
      </c>
      <c r="C3529" s="12" t="s">
        <v>3549</v>
      </c>
      <c r="D3529" s="13">
        <v>64185.0</v>
      </c>
      <c r="E3529" s="4">
        <v>45805.0</v>
      </c>
      <c r="F3529" s="4" t="str">
        <f>IF(D3529="","", IFNA(VLOOKUP(D3529, SATCAT_DECAY!A:B, 2, FALSE), ""))
</f>
        <v/>
      </c>
      <c r="G3529" s="3" t="str">
        <f t="shared" si="1"/>
        <v>ACTIVE</v>
      </c>
    </row>
    <row r="3530" ht="22.5" customHeight="1">
      <c r="A3530" s="11" t="str">
        <f t="array" ref="A3530">IFERROR(
  INDEX('Starlink Launches'!$A:$A, MATCH($E3530, 'Starlink Launches'!$B:$B, 0)),
  ""
)
</f>
        <v>10-32</v>
      </c>
      <c r="B3530" s="3" t="s">
        <v>25</v>
      </c>
      <c r="C3530" s="12" t="s">
        <v>3550</v>
      </c>
      <c r="D3530" s="13">
        <v>64186.0</v>
      </c>
      <c r="E3530" s="4">
        <v>45805.0</v>
      </c>
      <c r="F3530" s="4" t="str">
        <f>IF(D3530="","", IFNA(VLOOKUP(D3530, SATCAT_DECAY!A:B, 2, FALSE), ""))
</f>
        <v/>
      </c>
      <c r="G3530" s="3" t="str">
        <f t="shared" si="1"/>
        <v>ACTIVE</v>
      </c>
    </row>
    <row r="3531" ht="22.5" customHeight="1">
      <c r="A3531" s="11" t="str">
        <f t="array" ref="A3531">IFERROR(
  INDEX('Starlink Launches'!$A:$A, MATCH($E3531, 'Starlink Launches'!$B:$B, 0)),
  ""
)
</f>
        <v>10-32</v>
      </c>
      <c r="B3531" s="3" t="s">
        <v>25</v>
      </c>
      <c r="C3531" s="12" t="s">
        <v>3551</v>
      </c>
      <c r="D3531" s="13">
        <v>64187.0</v>
      </c>
      <c r="E3531" s="4">
        <v>45805.0</v>
      </c>
      <c r="F3531" s="4" t="str">
        <f>IF(D3531="","", IFNA(VLOOKUP(D3531, SATCAT_DECAY!A:B, 2, FALSE), ""))
</f>
        <v/>
      </c>
      <c r="G3531" s="3" t="str">
        <f t="shared" si="1"/>
        <v>ACTIVE</v>
      </c>
    </row>
    <row r="3532" ht="22.5" customHeight="1">
      <c r="A3532" s="11" t="str">
        <f t="array" ref="A3532">IFERROR(
  INDEX('Starlink Launches'!$A:$A, MATCH($E3532, 'Starlink Launches'!$B:$B, 0)),
  ""
)
</f>
        <v>10-32</v>
      </c>
      <c r="B3532" s="3" t="s">
        <v>25</v>
      </c>
      <c r="C3532" s="12" t="s">
        <v>3552</v>
      </c>
      <c r="D3532" s="13">
        <v>64188.0</v>
      </c>
      <c r="E3532" s="4">
        <v>45805.0</v>
      </c>
      <c r="F3532" s="4" t="str">
        <f>IF(D3532="","", IFNA(VLOOKUP(D3532, SATCAT_DECAY!A:B, 2, FALSE), ""))
</f>
        <v/>
      </c>
      <c r="G3532" s="3" t="str">
        <f t="shared" si="1"/>
        <v>ACTIVE</v>
      </c>
    </row>
    <row r="3533" ht="22.5" customHeight="1">
      <c r="A3533" s="11" t="str">
        <f t="array" ref="A3533">IFERROR(
  INDEX('Starlink Launches'!$A:$A, MATCH($E3533, 'Starlink Launches'!$B:$B, 0)),
  ""
)
</f>
        <v>10-32</v>
      </c>
      <c r="B3533" s="3" t="s">
        <v>25</v>
      </c>
      <c r="C3533" s="12" t="s">
        <v>3553</v>
      </c>
      <c r="D3533" s="13">
        <v>64189.0</v>
      </c>
      <c r="E3533" s="4">
        <v>45805.0</v>
      </c>
      <c r="F3533" s="4" t="str">
        <f>IF(D3533="","", IFNA(VLOOKUP(D3533, SATCAT_DECAY!A:B, 2, FALSE), ""))
</f>
        <v/>
      </c>
      <c r="G3533" s="3" t="str">
        <f t="shared" si="1"/>
        <v>ACTIVE</v>
      </c>
    </row>
    <row r="3534" ht="22.5" customHeight="1">
      <c r="A3534" s="11" t="str">
        <f t="array" ref="A3534">IFERROR(
  INDEX('Starlink Launches'!$A:$A, MATCH($E3534, 'Starlink Launches'!$B:$B, 0)),
  ""
)
</f>
        <v>10-32</v>
      </c>
      <c r="B3534" s="3" t="s">
        <v>25</v>
      </c>
      <c r="C3534" s="12" t="s">
        <v>3554</v>
      </c>
      <c r="D3534" s="13">
        <v>64190.0</v>
      </c>
      <c r="E3534" s="4">
        <v>45805.0</v>
      </c>
      <c r="F3534" s="4" t="str">
        <f>IF(D3534="","", IFNA(VLOOKUP(D3534, SATCAT_DECAY!A:B, 2, FALSE), ""))
</f>
        <v/>
      </c>
      <c r="G3534" s="3" t="str">
        <f t="shared" si="1"/>
        <v>ACTIVE</v>
      </c>
    </row>
    <row r="3535" ht="22.5" customHeight="1">
      <c r="A3535" s="11" t="str">
        <f t="array" ref="A3535">IFERROR(
  INDEX('Starlink Launches'!$A:$A, MATCH($E3535, 'Starlink Launches'!$B:$B, 0)),
  ""
)
</f>
        <v>10-32</v>
      </c>
      <c r="B3535" s="3" t="s">
        <v>25</v>
      </c>
      <c r="C3535" s="12" t="s">
        <v>3555</v>
      </c>
      <c r="D3535" s="13">
        <v>64191.0</v>
      </c>
      <c r="E3535" s="4">
        <v>45805.0</v>
      </c>
      <c r="F3535" s="4" t="str">
        <f>IF(D3535="","", IFNA(VLOOKUP(D3535, SATCAT_DECAY!A:B, 2, FALSE), ""))
</f>
        <v/>
      </c>
      <c r="G3535" s="3" t="str">
        <f t="shared" si="1"/>
        <v>ACTIVE</v>
      </c>
    </row>
    <row r="3536" ht="22.5" customHeight="1">
      <c r="A3536" s="11" t="str">
        <f t="array" ref="A3536">IFERROR(
  INDEX('Starlink Launches'!$A:$A, MATCH($E3536, 'Starlink Launches'!$B:$B, 0)),
  ""
)
</f>
        <v>10-32</v>
      </c>
      <c r="B3536" s="3" t="s">
        <v>25</v>
      </c>
      <c r="C3536" s="12" t="s">
        <v>3556</v>
      </c>
      <c r="D3536" s="13">
        <v>64192.0</v>
      </c>
      <c r="E3536" s="4">
        <v>45805.0</v>
      </c>
      <c r="F3536" s="4" t="str">
        <f>IF(D3536="","", IFNA(VLOOKUP(D3536, SATCAT_DECAY!A:B, 2, FALSE), ""))
</f>
        <v/>
      </c>
      <c r="G3536" s="3" t="str">
        <f t="shared" si="1"/>
        <v>ACTIVE</v>
      </c>
    </row>
    <row r="3537" ht="22.5" customHeight="1">
      <c r="A3537" s="11" t="str">
        <f t="array" ref="A3537">IFERROR(
  INDEX('Starlink Launches'!$A:$A, MATCH($E3537, 'Starlink Launches'!$B:$B, 0)),
  ""
)
</f>
        <v>10-32</v>
      </c>
      <c r="B3537" s="3" t="s">
        <v>25</v>
      </c>
      <c r="C3537" s="12" t="s">
        <v>3557</v>
      </c>
      <c r="D3537" s="13">
        <v>64193.0</v>
      </c>
      <c r="E3537" s="4">
        <v>45805.0</v>
      </c>
      <c r="F3537" s="4" t="str">
        <f>IF(D3537="","", IFNA(VLOOKUP(D3537, SATCAT_DECAY!A:B, 2, FALSE), ""))
</f>
        <v/>
      </c>
      <c r="G3537" s="3" t="str">
        <f t="shared" si="1"/>
        <v>ACTIVE</v>
      </c>
    </row>
    <row r="3538" ht="22.5" customHeight="1">
      <c r="A3538" s="11" t="str">
        <f t="array" ref="A3538">IFERROR(
  INDEX('Starlink Launches'!$A:$A, MATCH($E3538, 'Starlink Launches'!$B:$B, 0)),
  ""
)
</f>
        <v>10-32</v>
      </c>
      <c r="B3538" s="3" t="s">
        <v>25</v>
      </c>
      <c r="C3538" s="12" t="s">
        <v>3558</v>
      </c>
      <c r="D3538" s="13">
        <v>64194.0</v>
      </c>
      <c r="E3538" s="4">
        <v>45805.0</v>
      </c>
      <c r="F3538" s="4" t="str">
        <f>IF(D3538="","", IFNA(VLOOKUP(D3538, SATCAT_DECAY!A:B, 2, FALSE), ""))
</f>
        <v/>
      </c>
      <c r="G3538" s="3" t="str">
        <f t="shared" si="1"/>
        <v>ACTIVE</v>
      </c>
    </row>
    <row r="3539" ht="22.5" customHeight="1">
      <c r="A3539" s="11" t="str">
        <f t="array" ref="A3539">IFERROR(
  INDEX('Starlink Launches'!$A:$A, MATCH($E3539, 'Starlink Launches'!$B:$B, 0)),
  ""
)
</f>
        <v>10-32</v>
      </c>
      <c r="B3539" s="3" t="s">
        <v>25</v>
      </c>
      <c r="C3539" s="12" t="s">
        <v>3559</v>
      </c>
      <c r="D3539" s="13">
        <v>64195.0</v>
      </c>
      <c r="E3539" s="4">
        <v>45805.0</v>
      </c>
      <c r="F3539" s="4" t="str">
        <f>IF(D3539="","", IFNA(VLOOKUP(D3539, SATCAT_DECAY!A:B, 2, FALSE), ""))
</f>
        <v/>
      </c>
      <c r="G3539" s="3" t="str">
        <f t="shared" si="1"/>
        <v>ACTIVE</v>
      </c>
    </row>
    <row r="3540" ht="22.5" customHeight="1">
      <c r="A3540" s="11" t="str">
        <f t="array" ref="A3540">IFERROR(
  INDEX('Starlink Launches'!$A:$A, MATCH($E3540, 'Starlink Launches'!$B:$B, 0)),
  ""
)
</f>
        <v>10-32</v>
      </c>
      <c r="B3540" s="3" t="s">
        <v>25</v>
      </c>
      <c r="C3540" s="12" t="s">
        <v>3560</v>
      </c>
      <c r="D3540" s="13">
        <v>64196.0</v>
      </c>
      <c r="E3540" s="4">
        <v>45805.0</v>
      </c>
      <c r="F3540" s="4" t="str">
        <f>IF(D3540="","", IFNA(VLOOKUP(D3540, SATCAT_DECAY!A:B, 2, FALSE), ""))
</f>
        <v/>
      </c>
      <c r="G3540" s="3" t="str">
        <f t="shared" si="1"/>
        <v>ACTIVE</v>
      </c>
    </row>
    <row r="3541" ht="22.5" customHeight="1">
      <c r="A3541" s="11" t="str">
        <f t="array" ref="A3541">IFERROR(
  INDEX('Starlink Launches'!$A:$A, MATCH($E3541, 'Starlink Launches'!$B:$B, 0)),
  ""
)
</f>
        <v>10-18</v>
      </c>
      <c r="B3541" s="3" t="s">
        <v>25</v>
      </c>
      <c r="C3541" s="12" t="s">
        <v>3561</v>
      </c>
      <c r="D3541" s="13">
        <v>64438.0</v>
      </c>
      <c r="E3541" s="4">
        <v>45826.0</v>
      </c>
      <c r="F3541" s="4" t="str">
        <f>IF(D3541="","", IFNA(VLOOKUP(D3541, SATCAT_DECAY!A:B, 2, FALSE), ""))
</f>
        <v/>
      </c>
      <c r="G3541" s="3" t="str">
        <f t="shared" si="1"/>
        <v>ACTIVE</v>
      </c>
    </row>
    <row r="3542" ht="22.5" customHeight="1">
      <c r="A3542" s="11" t="str">
        <f t="array" ref="A3542">IFERROR(
  INDEX('Starlink Launches'!$A:$A, MATCH($E3542, 'Starlink Launches'!$B:$B, 0)),
  ""
)
</f>
        <v>10-18</v>
      </c>
      <c r="B3542" s="3" t="s">
        <v>25</v>
      </c>
      <c r="C3542" s="12" t="s">
        <v>3562</v>
      </c>
      <c r="D3542" s="13">
        <v>64439.0</v>
      </c>
      <c r="E3542" s="4">
        <v>45826.0</v>
      </c>
      <c r="F3542" s="4" t="str">
        <f>IF(D3542="","", IFNA(VLOOKUP(D3542, SATCAT_DECAY!A:B, 2, FALSE), ""))
</f>
        <v/>
      </c>
      <c r="G3542" s="3" t="str">
        <f t="shared" si="1"/>
        <v>ACTIVE</v>
      </c>
    </row>
    <row r="3543" ht="22.5" customHeight="1">
      <c r="A3543" s="11" t="str">
        <f t="array" ref="A3543">IFERROR(
  INDEX('Starlink Launches'!$A:$A, MATCH($E3543, 'Starlink Launches'!$B:$B, 0)),
  ""
)
</f>
        <v>10-18</v>
      </c>
      <c r="B3543" s="3" t="s">
        <v>25</v>
      </c>
      <c r="C3543" s="12" t="s">
        <v>3563</v>
      </c>
      <c r="D3543" s="13">
        <v>64440.0</v>
      </c>
      <c r="E3543" s="4">
        <v>45826.0</v>
      </c>
      <c r="F3543" s="4" t="str">
        <f>IF(D3543="","", IFNA(VLOOKUP(D3543, SATCAT_DECAY!A:B, 2, FALSE), ""))
</f>
        <v/>
      </c>
      <c r="G3543" s="3" t="str">
        <f t="shared" si="1"/>
        <v>ACTIVE</v>
      </c>
    </row>
    <row r="3544" ht="22.5" customHeight="1">
      <c r="A3544" s="11" t="str">
        <f t="array" ref="A3544">IFERROR(
  INDEX('Starlink Launches'!$A:$A, MATCH($E3544, 'Starlink Launches'!$B:$B, 0)),
  ""
)
</f>
        <v>10-18</v>
      </c>
      <c r="B3544" s="3" t="s">
        <v>25</v>
      </c>
      <c r="C3544" s="12" t="s">
        <v>3564</v>
      </c>
      <c r="D3544" s="13">
        <v>64441.0</v>
      </c>
      <c r="E3544" s="4">
        <v>45826.0</v>
      </c>
      <c r="F3544" s="4" t="str">
        <f>IF(D3544="","", IFNA(VLOOKUP(D3544, SATCAT_DECAY!A:B, 2, FALSE), ""))
</f>
        <v/>
      </c>
      <c r="G3544" s="3" t="str">
        <f t="shared" si="1"/>
        <v>ACTIVE</v>
      </c>
    </row>
    <row r="3545" ht="22.5" customHeight="1">
      <c r="A3545" s="11" t="str">
        <f t="array" ref="A3545">IFERROR(
  INDEX('Starlink Launches'!$A:$A, MATCH($E3545, 'Starlink Launches'!$B:$B, 0)),
  ""
)
</f>
        <v>10-18</v>
      </c>
      <c r="B3545" s="3" t="s">
        <v>25</v>
      </c>
      <c r="C3545" s="12" t="s">
        <v>3565</v>
      </c>
      <c r="D3545" s="13">
        <v>64442.0</v>
      </c>
      <c r="E3545" s="4">
        <v>45826.0</v>
      </c>
      <c r="F3545" s="4" t="str">
        <f>IF(D3545="","", IFNA(VLOOKUP(D3545, SATCAT_DECAY!A:B, 2, FALSE), ""))
</f>
        <v/>
      </c>
      <c r="G3545" s="3" t="str">
        <f t="shared" si="1"/>
        <v>ACTIVE</v>
      </c>
    </row>
    <row r="3546" ht="22.5" customHeight="1">
      <c r="A3546" s="11" t="str">
        <f t="array" ref="A3546">IFERROR(
  INDEX('Starlink Launches'!$A:$A, MATCH($E3546, 'Starlink Launches'!$B:$B, 0)),
  ""
)
</f>
        <v>10-18</v>
      </c>
      <c r="B3546" s="3" t="s">
        <v>25</v>
      </c>
      <c r="C3546" s="12" t="s">
        <v>3566</v>
      </c>
      <c r="D3546" s="13">
        <v>64443.0</v>
      </c>
      <c r="E3546" s="4">
        <v>45826.0</v>
      </c>
      <c r="F3546" s="4" t="str">
        <f>IF(D3546="","", IFNA(VLOOKUP(D3546, SATCAT_DECAY!A:B, 2, FALSE), ""))
</f>
        <v/>
      </c>
      <c r="G3546" s="3" t="str">
        <f t="shared" si="1"/>
        <v>ACTIVE</v>
      </c>
    </row>
    <row r="3547" ht="22.5" customHeight="1">
      <c r="A3547" s="11" t="str">
        <f t="array" ref="A3547">IFERROR(
  INDEX('Starlink Launches'!$A:$A, MATCH($E3547, 'Starlink Launches'!$B:$B, 0)),
  ""
)
</f>
        <v>10-18</v>
      </c>
      <c r="B3547" s="3" t="s">
        <v>25</v>
      </c>
      <c r="C3547" s="12" t="s">
        <v>3567</v>
      </c>
      <c r="D3547" s="13">
        <v>64444.0</v>
      </c>
      <c r="E3547" s="4">
        <v>45826.0</v>
      </c>
      <c r="F3547" s="4" t="str">
        <f>IF(D3547="","", IFNA(VLOOKUP(D3547, SATCAT_DECAY!A:B, 2, FALSE), ""))
</f>
        <v/>
      </c>
      <c r="G3547" s="3" t="str">
        <f t="shared" si="1"/>
        <v>ACTIVE</v>
      </c>
    </row>
    <row r="3548" ht="22.5" customHeight="1">
      <c r="A3548" s="11" t="str">
        <f t="array" ref="A3548">IFERROR(
  INDEX('Starlink Launches'!$A:$A, MATCH($E3548, 'Starlink Launches'!$B:$B, 0)),
  ""
)
</f>
        <v>10-18</v>
      </c>
      <c r="B3548" s="3" t="s">
        <v>25</v>
      </c>
      <c r="C3548" s="12" t="s">
        <v>3568</v>
      </c>
      <c r="D3548" s="13">
        <v>64445.0</v>
      </c>
      <c r="E3548" s="4">
        <v>45826.0</v>
      </c>
      <c r="F3548" s="4" t="str">
        <f>IF(D3548="","", IFNA(VLOOKUP(D3548, SATCAT_DECAY!A:B, 2, FALSE), ""))
</f>
        <v/>
      </c>
      <c r="G3548" s="3" t="str">
        <f t="shared" si="1"/>
        <v>ACTIVE</v>
      </c>
    </row>
    <row r="3549" ht="22.5" customHeight="1">
      <c r="A3549" s="11" t="str">
        <f t="array" ref="A3549">IFERROR(
  INDEX('Starlink Launches'!$A:$A, MATCH($E3549, 'Starlink Launches'!$B:$B, 0)),
  ""
)
</f>
        <v>10-18</v>
      </c>
      <c r="B3549" s="3" t="s">
        <v>25</v>
      </c>
      <c r="C3549" s="12" t="s">
        <v>3569</v>
      </c>
      <c r="D3549" s="13">
        <v>64446.0</v>
      </c>
      <c r="E3549" s="4">
        <v>45826.0</v>
      </c>
      <c r="F3549" s="4" t="str">
        <f>IF(D3549="","", IFNA(VLOOKUP(D3549, SATCAT_DECAY!A:B, 2, FALSE), ""))
</f>
        <v/>
      </c>
      <c r="G3549" s="3" t="str">
        <f t="shared" si="1"/>
        <v>ACTIVE</v>
      </c>
    </row>
    <row r="3550" ht="22.5" customHeight="1">
      <c r="A3550" s="11" t="str">
        <f t="array" ref="A3550">IFERROR(
  INDEX('Starlink Launches'!$A:$A, MATCH($E3550, 'Starlink Launches'!$B:$B, 0)),
  ""
)
</f>
        <v>10-18</v>
      </c>
      <c r="B3550" s="3" t="s">
        <v>25</v>
      </c>
      <c r="C3550" s="12" t="s">
        <v>3570</v>
      </c>
      <c r="D3550" s="13">
        <v>64447.0</v>
      </c>
      <c r="E3550" s="4">
        <v>45826.0</v>
      </c>
      <c r="F3550" s="4" t="str">
        <f>IF(D3550="","", IFNA(VLOOKUP(D3550, SATCAT_DECAY!A:B, 2, FALSE), ""))
</f>
        <v/>
      </c>
      <c r="G3550" s="3" t="str">
        <f t="shared" si="1"/>
        <v>ACTIVE</v>
      </c>
    </row>
    <row r="3551" ht="22.5" customHeight="1">
      <c r="A3551" s="11" t="str">
        <f t="array" ref="A3551">IFERROR(
  INDEX('Starlink Launches'!$A:$A, MATCH($E3551, 'Starlink Launches'!$B:$B, 0)),
  ""
)
</f>
        <v>10-18</v>
      </c>
      <c r="B3551" s="3" t="s">
        <v>25</v>
      </c>
      <c r="C3551" s="12" t="s">
        <v>3571</v>
      </c>
      <c r="D3551" s="13">
        <v>64448.0</v>
      </c>
      <c r="E3551" s="4">
        <v>45826.0</v>
      </c>
      <c r="F3551" s="4" t="str">
        <f>IF(D3551="","", IFNA(VLOOKUP(D3551, SATCAT_DECAY!A:B, 2, FALSE), ""))
</f>
        <v/>
      </c>
      <c r="G3551" s="3" t="str">
        <f t="shared" si="1"/>
        <v>ACTIVE</v>
      </c>
    </row>
    <row r="3552" ht="22.5" customHeight="1">
      <c r="A3552" s="11" t="str">
        <f t="array" ref="A3552">IFERROR(
  INDEX('Starlink Launches'!$A:$A, MATCH($E3552, 'Starlink Launches'!$B:$B, 0)),
  ""
)
</f>
        <v>10-18</v>
      </c>
      <c r="B3552" s="3" t="s">
        <v>25</v>
      </c>
      <c r="C3552" s="12" t="s">
        <v>3572</v>
      </c>
      <c r="D3552" s="13">
        <v>64449.0</v>
      </c>
      <c r="E3552" s="4">
        <v>45826.0</v>
      </c>
      <c r="F3552" s="4" t="str">
        <f>IF(D3552="","", IFNA(VLOOKUP(D3552, SATCAT_DECAY!A:B, 2, FALSE), ""))
</f>
        <v/>
      </c>
      <c r="G3552" s="3" t="str">
        <f t="shared" si="1"/>
        <v>ACTIVE</v>
      </c>
    </row>
    <row r="3553" ht="22.5" customHeight="1">
      <c r="A3553" s="11" t="str">
        <f t="array" ref="A3553">IFERROR(
  INDEX('Starlink Launches'!$A:$A, MATCH($E3553, 'Starlink Launches'!$B:$B, 0)),
  ""
)
</f>
        <v>10-18</v>
      </c>
      <c r="B3553" s="3" t="s">
        <v>25</v>
      </c>
      <c r="C3553" s="12" t="s">
        <v>3573</v>
      </c>
      <c r="D3553" s="13">
        <v>64450.0</v>
      </c>
      <c r="E3553" s="4">
        <v>45826.0</v>
      </c>
      <c r="F3553" s="4" t="str">
        <f>IF(D3553="","", IFNA(VLOOKUP(D3553, SATCAT_DECAY!A:B, 2, FALSE), ""))
</f>
        <v/>
      </c>
      <c r="G3553" s="3" t="str">
        <f t="shared" si="1"/>
        <v>ACTIVE</v>
      </c>
    </row>
    <row r="3554" ht="22.5" customHeight="1">
      <c r="A3554" s="11" t="str">
        <f t="array" ref="A3554">IFERROR(
  INDEX('Starlink Launches'!$A:$A, MATCH($E3554, 'Starlink Launches'!$B:$B, 0)),
  ""
)
</f>
        <v>10-18</v>
      </c>
      <c r="B3554" s="3" t="s">
        <v>25</v>
      </c>
      <c r="C3554" s="12" t="s">
        <v>3574</v>
      </c>
      <c r="D3554" s="13">
        <v>64451.0</v>
      </c>
      <c r="E3554" s="4">
        <v>45826.0</v>
      </c>
      <c r="F3554" s="4" t="str">
        <f>IF(D3554="","", IFNA(VLOOKUP(D3554, SATCAT_DECAY!A:B, 2, FALSE), ""))
</f>
        <v/>
      </c>
      <c r="G3554" s="3" t="str">
        <f t="shared" si="1"/>
        <v>ACTIVE</v>
      </c>
    </row>
    <row r="3555" ht="22.5" customHeight="1">
      <c r="A3555" s="11" t="str">
        <f t="array" ref="A3555">IFERROR(
  INDEX('Starlink Launches'!$A:$A, MATCH($E3555, 'Starlink Launches'!$B:$B, 0)),
  ""
)
</f>
        <v>10-18</v>
      </c>
      <c r="B3555" s="3" t="s">
        <v>25</v>
      </c>
      <c r="C3555" s="12" t="s">
        <v>3575</v>
      </c>
      <c r="D3555" s="13">
        <v>64452.0</v>
      </c>
      <c r="E3555" s="4">
        <v>45826.0</v>
      </c>
      <c r="F3555" s="4" t="str">
        <f>IF(D3555="","", IFNA(VLOOKUP(D3555, SATCAT_DECAY!A:B, 2, FALSE), ""))
</f>
        <v/>
      </c>
      <c r="G3555" s="3" t="str">
        <f t="shared" si="1"/>
        <v>ACTIVE</v>
      </c>
    </row>
    <row r="3556" ht="22.5" customHeight="1">
      <c r="A3556" s="11" t="str">
        <f t="array" ref="A3556">IFERROR(
  INDEX('Starlink Launches'!$A:$A, MATCH($E3556, 'Starlink Launches'!$B:$B, 0)),
  ""
)
</f>
        <v>10-18</v>
      </c>
      <c r="B3556" s="3" t="s">
        <v>25</v>
      </c>
      <c r="C3556" s="12" t="s">
        <v>3576</v>
      </c>
      <c r="D3556" s="13">
        <v>64453.0</v>
      </c>
      <c r="E3556" s="4">
        <v>45826.0</v>
      </c>
      <c r="F3556" s="4" t="str">
        <f>IF(D3556="","", IFNA(VLOOKUP(D3556, SATCAT_DECAY!A:B, 2, FALSE), ""))
</f>
        <v/>
      </c>
      <c r="G3556" s="3" t="str">
        <f t="shared" si="1"/>
        <v>ACTIVE</v>
      </c>
    </row>
    <row r="3557" ht="22.5" customHeight="1">
      <c r="A3557" s="11" t="str">
        <f t="array" ref="A3557">IFERROR(
  INDEX('Starlink Launches'!$A:$A, MATCH($E3557, 'Starlink Launches'!$B:$B, 0)),
  ""
)
</f>
        <v>10-18</v>
      </c>
      <c r="B3557" s="3" t="s">
        <v>25</v>
      </c>
      <c r="C3557" s="12" t="s">
        <v>3577</v>
      </c>
      <c r="D3557" s="13">
        <v>64454.0</v>
      </c>
      <c r="E3557" s="4">
        <v>45826.0</v>
      </c>
      <c r="F3557" s="4" t="str">
        <f>IF(D3557="","", IFNA(VLOOKUP(D3557, SATCAT_DECAY!A:B, 2, FALSE), ""))
</f>
        <v/>
      </c>
      <c r="G3557" s="3" t="str">
        <f t="shared" si="1"/>
        <v>ACTIVE</v>
      </c>
    </row>
    <row r="3558" ht="22.5" customHeight="1">
      <c r="A3558" s="11" t="str">
        <f t="array" ref="A3558">IFERROR(
  INDEX('Starlink Launches'!$A:$A, MATCH($E3558, 'Starlink Launches'!$B:$B, 0)),
  ""
)
</f>
        <v>10-18</v>
      </c>
      <c r="B3558" s="3" t="s">
        <v>25</v>
      </c>
      <c r="C3558" s="12" t="s">
        <v>3578</v>
      </c>
      <c r="D3558" s="13">
        <v>64455.0</v>
      </c>
      <c r="E3558" s="4">
        <v>45826.0</v>
      </c>
      <c r="F3558" s="4" t="str">
        <f>IF(D3558="","", IFNA(VLOOKUP(D3558, SATCAT_DECAY!A:B, 2, FALSE), ""))
</f>
        <v/>
      </c>
      <c r="G3558" s="3" t="str">
        <f t="shared" si="1"/>
        <v>ACTIVE</v>
      </c>
    </row>
    <row r="3559" ht="22.5" customHeight="1">
      <c r="A3559" s="11" t="str">
        <f t="array" ref="A3559">IFERROR(
  INDEX('Starlink Launches'!$A:$A, MATCH($E3559, 'Starlink Launches'!$B:$B, 0)),
  ""
)
</f>
        <v>10-18</v>
      </c>
      <c r="B3559" s="3" t="s">
        <v>25</v>
      </c>
      <c r="C3559" s="12" t="s">
        <v>3579</v>
      </c>
      <c r="D3559" s="13">
        <v>64456.0</v>
      </c>
      <c r="E3559" s="4">
        <v>45826.0</v>
      </c>
      <c r="F3559" s="4" t="str">
        <f>IF(D3559="","", IFNA(VLOOKUP(D3559, SATCAT_DECAY!A:B, 2, FALSE), ""))
</f>
        <v/>
      </c>
      <c r="G3559" s="3" t="str">
        <f t="shared" si="1"/>
        <v>ACTIVE</v>
      </c>
    </row>
    <row r="3560" ht="22.5" customHeight="1">
      <c r="A3560" s="11" t="str">
        <f t="array" ref="A3560">IFERROR(
  INDEX('Starlink Launches'!$A:$A, MATCH($E3560, 'Starlink Launches'!$B:$B, 0)),
  ""
)
</f>
        <v>10-18</v>
      </c>
      <c r="B3560" s="3" t="s">
        <v>25</v>
      </c>
      <c r="C3560" s="12" t="s">
        <v>3580</v>
      </c>
      <c r="D3560" s="13">
        <v>64457.0</v>
      </c>
      <c r="E3560" s="4">
        <v>45826.0</v>
      </c>
      <c r="F3560" s="4" t="str">
        <f>IF(D3560="","", IFNA(VLOOKUP(D3560, SATCAT_DECAY!A:B, 2, FALSE), ""))
</f>
        <v/>
      </c>
      <c r="G3560" s="3" t="str">
        <f t="shared" si="1"/>
        <v>ACTIVE</v>
      </c>
    </row>
    <row r="3561" ht="22.5" customHeight="1">
      <c r="A3561" s="11" t="str">
        <f t="array" ref="A3561">IFERROR(
  INDEX('Starlink Launches'!$A:$A, MATCH($E3561, 'Starlink Launches'!$B:$B, 0)),
  ""
)
</f>
        <v>10-18</v>
      </c>
      <c r="B3561" s="3" t="s">
        <v>25</v>
      </c>
      <c r="C3561" s="12" t="s">
        <v>3581</v>
      </c>
      <c r="D3561" s="13">
        <v>64458.0</v>
      </c>
      <c r="E3561" s="4">
        <v>45826.0</v>
      </c>
      <c r="F3561" s="4" t="str">
        <f>IF(D3561="","", IFNA(VLOOKUP(D3561, SATCAT_DECAY!A:B, 2, FALSE), ""))
</f>
        <v/>
      </c>
      <c r="G3561" s="3" t="str">
        <f t="shared" si="1"/>
        <v>ACTIVE</v>
      </c>
    </row>
    <row r="3562" ht="22.5" customHeight="1">
      <c r="A3562" s="11" t="str">
        <f t="array" ref="A3562">IFERROR(
  INDEX('Starlink Launches'!$A:$A, MATCH($E3562, 'Starlink Launches'!$B:$B, 0)),
  ""
)
</f>
        <v>10-18</v>
      </c>
      <c r="B3562" s="3" t="s">
        <v>25</v>
      </c>
      <c r="C3562" s="12" t="s">
        <v>3582</v>
      </c>
      <c r="D3562" s="13">
        <v>64459.0</v>
      </c>
      <c r="E3562" s="4">
        <v>45826.0</v>
      </c>
      <c r="F3562" s="4" t="str">
        <f>IF(D3562="","", IFNA(VLOOKUP(D3562, SATCAT_DECAY!A:B, 2, FALSE), ""))
</f>
        <v/>
      </c>
      <c r="G3562" s="3" t="str">
        <f t="shared" si="1"/>
        <v>ACTIVE</v>
      </c>
    </row>
    <row r="3563" ht="22.5" customHeight="1">
      <c r="A3563" s="11" t="str">
        <f t="array" ref="A3563">IFERROR(
  INDEX('Starlink Launches'!$A:$A, MATCH($E3563, 'Starlink Launches'!$B:$B, 0)),
  ""
)
</f>
        <v>10-18</v>
      </c>
      <c r="B3563" s="3" t="s">
        <v>25</v>
      </c>
      <c r="C3563" s="12" t="s">
        <v>3583</v>
      </c>
      <c r="D3563" s="13">
        <v>64460.0</v>
      </c>
      <c r="E3563" s="4">
        <v>45826.0</v>
      </c>
      <c r="F3563" s="4" t="str">
        <f>IF(D3563="","", IFNA(VLOOKUP(D3563, SATCAT_DECAY!A:B, 2, FALSE), ""))
</f>
        <v/>
      </c>
      <c r="G3563" s="3" t="str">
        <f t="shared" si="1"/>
        <v>ACTIVE</v>
      </c>
    </row>
    <row r="3564" ht="22.5" customHeight="1">
      <c r="A3564" s="11" t="str">
        <f t="array" ref="A3564">IFERROR(
  INDEX('Starlink Launches'!$A:$A, MATCH($E3564, 'Starlink Launches'!$B:$B, 0)),
  ""
)
</f>
        <v>10-18</v>
      </c>
      <c r="B3564" s="3" t="s">
        <v>25</v>
      </c>
      <c r="C3564" s="12" t="s">
        <v>3584</v>
      </c>
      <c r="D3564" s="13">
        <v>64461.0</v>
      </c>
      <c r="E3564" s="4">
        <v>45826.0</v>
      </c>
      <c r="F3564" s="4" t="str">
        <f>IF(D3564="","", IFNA(VLOOKUP(D3564, SATCAT_DECAY!A:B, 2, FALSE), ""))
</f>
        <v/>
      </c>
      <c r="G3564" s="3" t="str">
        <f t="shared" si="1"/>
        <v>ACTIVE</v>
      </c>
    </row>
    <row r="3565" ht="22.5" customHeight="1">
      <c r="A3565" s="11" t="str">
        <f t="array" ref="A3565">IFERROR(
  INDEX('Starlink Launches'!$A:$A, MATCH($E3565, 'Starlink Launches'!$B:$B, 0)),
  ""
)
</f>
        <v>10-18</v>
      </c>
      <c r="B3565" s="3" t="s">
        <v>25</v>
      </c>
      <c r="C3565" s="12" t="s">
        <v>3585</v>
      </c>
      <c r="D3565" s="13">
        <v>64462.0</v>
      </c>
      <c r="E3565" s="4">
        <v>45826.0</v>
      </c>
      <c r="F3565" s="4" t="str">
        <f>IF(D3565="","", IFNA(VLOOKUP(D3565, SATCAT_DECAY!A:B, 2, FALSE), ""))
</f>
        <v/>
      </c>
      <c r="G3565" s="3" t="str">
        <f t="shared" si="1"/>
        <v>ACTIVE</v>
      </c>
    </row>
    <row r="3566" ht="22.5" customHeight="1">
      <c r="A3566" s="11" t="str">
        <f t="array" ref="A3566">IFERROR(
  INDEX('Starlink Launches'!$A:$A, MATCH($E3566, 'Starlink Launches'!$B:$B, 0)),
  ""
)
</f>
        <v>10-18</v>
      </c>
      <c r="B3566" s="3" t="s">
        <v>25</v>
      </c>
      <c r="C3566" s="12" t="s">
        <v>3586</v>
      </c>
      <c r="D3566" s="13">
        <v>64463.0</v>
      </c>
      <c r="E3566" s="4">
        <v>45826.0</v>
      </c>
      <c r="F3566" s="4" t="str">
        <f>IF(D3566="","", IFNA(VLOOKUP(D3566, SATCAT_DECAY!A:B, 2, FALSE), ""))
</f>
        <v/>
      </c>
      <c r="G3566" s="3" t="str">
        <f t="shared" si="1"/>
        <v>ACTIVE</v>
      </c>
    </row>
    <row r="3567" ht="22.5" customHeight="1">
      <c r="A3567" s="11" t="str">
        <f t="array" ref="A3567">IFERROR(
  INDEX('Starlink Launches'!$A:$A, MATCH($E3567, 'Starlink Launches'!$B:$B, 0)),
  ""
)
</f>
        <v>10-18</v>
      </c>
      <c r="B3567" s="3" t="s">
        <v>25</v>
      </c>
      <c r="C3567" s="12" t="s">
        <v>3587</v>
      </c>
      <c r="D3567" s="13">
        <v>64464.0</v>
      </c>
      <c r="E3567" s="4">
        <v>45826.0</v>
      </c>
      <c r="F3567" s="4" t="str">
        <f>IF(D3567="","", IFNA(VLOOKUP(D3567, SATCAT_DECAY!A:B, 2, FALSE), ""))
</f>
        <v/>
      </c>
      <c r="G3567" s="3" t="str">
        <f t="shared" si="1"/>
        <v>ACTIVE</v>
      </c>
    </row>
    <row r="3568" ht="22.5" customHeight="1">
      <c r="A3568" s="11" t="str">
        <f t="array" ref="A3568">IFERROR(
  INDEX('Starlink Launches'!$A:$A, MATCH($E3568, 'Starlink Launches'!$B:$B, 0)),
  ""
)
</f>
        <v>10-18</v>
      </c>
      <c r="B3568" s="3" t="s">
        <v>25</v>
      </c>
      <c r="C3568" s="12" t="s">
        <v>3588</v>
      </c>
      <c r="D3568" s="13">
        <v>64465.0</v>
      </c>
      <c r="E3568" s="4">
        <v>45826.0</v>
      </c>
      <c r="F3568" s="4" t="str">
        <f>IF(D3568="","", IFNA(VLOOKUP(D3568, SATCAT_DECAY!A:B, 2, FALSE), ""))
</f>
        <v/>
      </c>
      <c r="G3568" s="3" t="str">
        <f t="shared" si="1"/>
        <v>ACTIVE</v>
      </c>
    </row>
    <row r="3569" ht="22.5" customHeight="1">
      <c r="A3569" s="11" t="str">
        <f t="array" ref="A3569">IFERROR(
  INDEX('Starlink Launches'!$A:$A, MATCH($E3569, 'Starlink Launches'!$B:$B, 0)),
  ""
)
</f>
        <v>10-23</v>
      </c>
      <c r="B3569" s="3" t="s">
        <v>25</v>
      </c>
      <c r="C3569" s="12" t="s">
        <v>3589</v>
      </c>
      <c r="D3569" s="13">
        <v>64472.0</v>
      </c>
      <c r="E3569" s="4">
        <v>45831.0</v>
      </c>
      <c r="F3569" s="4" t="str">
        <f>IF(D3569="","", IFNA(VLOOKUP(D3569, SATCAT_DECAY!A:B, 2, FALSE), ""))
</f>
        <v/>
      </c>
      <c r="G3569" s="3" t="str">
        <f t="shared" si="1"/>
        <v>ACTIVE</v>
      </c>
    </row>
    <row r="3570" ht="22.5" customHeight="1">
      <c r="A3570" s="11" t="str">
        <f t="array" ref="A3570">IFERROR(
  INDEX('Starlink Launches'!$A:$A, MATCH($E3570, 'Starlink Launches'!$B:$B, 0)),
  ""
)
</f>
        <v>10-23</v>
      </c>
      <c r="B3570" s="3" t="s">
        <v>25</v>
      </c>
      <c r="C3570" s="12" t="s">
        <v>3590</v>
      </c>
      <c r="D3570" s="13">
        <v>64473.0</v>
      </c>
      <c r="E3570" s="4">
        <v>45831.0</v>
      </c>
      <c r="F3570" s="4" t="str">
        <f>IF(D3570="","", IFNA(VLOOKUP(D3570, SATCAT_DECAY!A:B, 2, FALSE), ""))
</f>
        <v/>
      </c>
      <c r="G3570" s="3" t="str">
        <f t="shared" si="1"/>
        <v>ACTIVE</v>
      </c>
    </row>
    <row r="3571" ht="22.5" customHeight="1">
      <c r="A3571" s="11" t="str">
        <f t="array" ref="A3571">IFERROR(
  INDEX('Starlink Launches'!$A:$A, MATCH($E3571, 'Starlink Launches'!$B:$B, 0)),
  ""
)
</f>
        <v>10-23</v>
      </c>
      <c r="B3571" s="3" t="s">
        <v>25</v>
      </c>
      <c r="C3571" s="12" t="s">
        <v>3591</v>
      </c>
      <c r="D3571" s="13">
        <v>64474.0</v>
      </c>
      <c r="E3571" s="4">
        <v>45831.0</v>
      </c>
      <c r="F3571" s="4" t="str">
        <f>IF(D3571="","", IFNA(VLOOKUP(D3571, SATCAT_DECAY!A:B, 2, FALSE), ""))
</f>
        <v/>
      </c>
      <c r="G3571" s="3" t="str">
        <f t="shared" si="1"/>
        <v>ACTIVE</v>
      </c>
    </row>
    <row r="3572" ht="22.5" customHeight="1">
      <c r="A3572" s="11" t="str">
        <f t="array" ref="A3572">IFERROR(
  INDEX('Starlink Launches'!$A:$A, MATCH($E3572, 'Starlink Launches'!$B:$B, 0)),
  ""
)
</f>
        <v>10-23</v>
      </c>
      <c r="B3572" s="3" t="s">
        <v>25</v>
      </c>
      <c r="C3572" s="12" t="s">
        <v>3592</v>
      </c>
      <c r="D3572" s="13">
        <v>64475.0</v>
      </c>
      <c r="E3572" s="4">
        <v>45831.0</v>
      </c>
      <c r="F3572" s="4" t="str">
        <f>IF(D3572="","", IFNA(VLOOKUP(D3572, SATCAT_DECAY!A:B, 2, FALSE), ""))
</f>
        <v/>
      </c>
      <c r="G3572" s="3" t="str">
        <f t="shared" si="1"/>
        <v>ACTIVE</v>
      </c>
    </row>
    <row r="3573" ht="22.5" customHeight="1">
      <c r="A3573" s="11" t="str">
        <f t="array" ref="A3573">IFERROR(
  INDEX('Starlink Launches'!$A:$A, MATCH($E3573, 'Starlink Launches'!$B:$B, 0)),
  ""
)
</f>
        <v>10-23</v>
      </c>
      <c r="B3573" s="3" t="s">
        <v>25</v>
      </c>
      <c r="C3573" s="12" t="s">
        <v>3593</v>
      </c>
      <c r="D3573" s="13">
        <v>64476.0</v>
      </c>
      <c r="E3573" s="4">
        <v>45831.0</v>
      </c>
      <c r="F3573" s="4" t="str">
        <f>IF(D3573="","", IFNA(VLOOKUP(D3573, SATCAT_DECAY!A:B, 2, FALSE), ""))
</f>
        <v/>
      </c>
      <c r="G3573" s="3" t="str">
        <f t="shared" si="1"/>
        <v>ACTIVE</v>
      </c>
    </row>
    <row r="3574" ht="22.5" customHeight="1">
      <c r="A3574" s="11" t="str">
        <f t="array" ref="A3574">IFERROR(
  INDEX('Starlink Launches'!$A:$A, MATCH($E3574, 'Starlink Launches'!$B:$B, 0)),
  ""
)
</f>
        <v>10-23</v>
      </c>
      <c r="B3574" s="3" t="s">
        <v>25</v>
      </c>
      <c r="C3574" s="12" t="s">
        <v>3594</v>
      </c>
      <c r="D3574" s="13">
        <v>64477.0</v>
      </c>
      <c r="E3574" s="4">
        <v>45831.0</v>
      </c>
      <c r="F3574" s="4" t="str">
        <f>IF(D3574="","", IFNA(VLOOKUP(D3574, SATCAT_DECAY!A:B, 2, FALSE), ""))
</f>
        <v/>
      </c>
      <c r="G3574" s="3" t="str">
        <f t="shared" si="1"/>
        <v>ACTIVE</v>
      </c>
    </row>
    <row r="3575" ht="22.5" customHeight="1">
      <c r="A3575" s="11" t="str">
        <f t="array" ref="A3575">IFERROR(
  INDEX('Starlink Launches'!$A:$A, MATCH($E3575, 'Starlink Launches'!$B:$B, 0)),
  ""
)
</f>
        <v>10-23</v>
      </c>
      <c r="B3575" s="3" t="s">
        <v>25</v>
      </c>
      <c r="C3575" s="12" t="s">
        <v>3595</v>
      </c>
      <c r="D3575" s="13">
        <v>64478.0</v>
      </c>
      <c r="E3575" s="4">
        <v>45831.0</v>
      </c>
      <c r="F3575" s="4" t="str">
        <f>IF(D3575="","", IFNA(VLOOKUP(D3575, SATCAT_DECAY!A:B, 2, FALSE), ""))
</f>
        <v/>
      </c>
      <c r="G3575" s="3" t="str">
        <f t="shared" si="1"/>
        <v>ACTIVE</v>
      </c>
    </row>
    <row r="3576" ht="22.5" customHeight="1">
      <c r="A3576" s="11" t="str">
        <f t="array" ref="A3576">IFERROR(
  INDEX('Starlink Launches'!$A:$A, MATCH($E3576, 'Starlink Launches'!$B:$B, 0)),
  ""
)
</f>
        <v>10-23</v>
      </c>
      <c r="B3576" s="3" t="s">
        <v>25</v>
      </c>
      <c r="C3576" s="12" t="s">
        <v>3596</v>
      </c>
      <c r="D3576" s="13">
        <v>64479.0</v>
      </c>
      <c r="E3576" s="4">
        <v>45831.0</v>
      </c>
      <c r="F3576" s="4" t="str">
        <f>IF(D3576="","", IFNA(VLOOKUP(D3576, SATCAT_DECAY!A:B, 2, FALSE), ""))
</f>
        <v/>
      </c>
      <c r="G3576" s="3" t="str">
        <f t="shared" si="1"/>
        <v>ACTIVE</v>
      </c>
    </row>
    <row r="3577" ht="22.5" customHeight="1">
      <c r="A3577" s="11" t="str">
        <f t="array" ref="A3577">IFERROR(
  INDEX('Starlink Launches'!$A:$A, MATCH($E3577, 'Starlink Launches'!$B:$B, 0)),
  ""
)
</f>
        <v>10-23</v>
      </c>
      <c r="B3577" s="3" t="s">
        <v>25</v>
      </c>
      <c r="C3577" s="12" t="s">
        <v>3597</v>
      </c>
      <c r="D3577" s="13">
        <v>64480.0</v>
      </c>
      <c r="E3577" s="4">
        <v>45831.0</v>
      </c>
      <c r="F3577" s="4" t="str">
        <f>IF(D3577="","", IFNA(VLOOKUP(D3577, SATCAT_DECAY!A:B, 2, FALSE), ""))
</f>
        <v/>
      </c>
      <c r="G3577" s="3" t="str">
        <f t="shared" si="1"/>
        <v>ACTIVE</v>
      </c>
    </row>
    <row r="3578" ht="22.5" customHeight="1">
      <c r="A3578" s="11" t="str">
        <f t="array" ref="A3578">IFERROR(
  INDEX('Starlink Launches'!$A:$A, MATCH($E3578, 'Starlink Launches'!$B:$B, 0)),
  ""
)
</f>
        <v>10-23</v>
      </c>
      <c r="B3578" s="3" t="s">
        <v>25</v>
      </c>
      <c r="C3578" s="12" t="s">
        <v>3598</v>
      </c>
      <c r="D3578" s="13">
        <v>64481.0</v>
      </c>
      <c r="E3578" s="4">
        <v>45831.0</v>
      </c>
      <c r="F3578" s="4" t="str">
        <f>IF(D3578="","", IFNA(VLOOKUP(D3578, SATCAT_DECAY!A:B, 2, FALSE), ""))
</f>
        <v/>
      </c>
      <c r="G3578" s="3" t="str">
        <f t="shared" si="1"/>
        <v>ACTIVE</v>
      </c>
    </row>
    <row r="3579" ht="22.5" customHeight="1">
      <c r="A3579" s="11" t="str">
        <f t="array" ref="A3579">IFERROR(
  INDEX('Starlink Launches'!$A:$A, MATCH($E3579, 'Starlink Launches'!$B:$B, 0)),
  ""
)
</f>
        <v>10-23</v>
      </c>
      <c r="B3579" s="3" t="s">
        <v>25</v>
      </c>
      <c r="C3579" s="12" t="s">
        <v>3599</v>
      </c>
      <c r="D3579" s="13">
        <v>64482.0</v>
      </c>
      <c r="E3579" s="4">
        <v>45831.0</v>
      </c>
      <c r="F3579" s="4" t="str">
        <f>IF(D3579="","", IFNA(VLOOKUP(D3579, SATCAT_DECAY!A:B, 2, FALSE), ""))
</f>
        <v/>
      </c>
      <c r="G3579" s="3" t="str">
        <f t="shared" si="1"/>
        <v>ACTIVE</v>
      </c>
    </row>
    <row r="3580" ht="22.5" customHeight="1">
      <c r="A3580" s="11" t="str">
        <f t="array" ref="A3580">IFERROR(
  INDEX('Starlink Launches'!$A:$A, MATCH($E3580, 'Starlink Launches'!$B:$B, 0)),
  ""
)
</f>
        <v>10-23</v>
      </c>
      <c r="B3580" s="3" t="s">
        <v>25</v>
      </c>
      <c r="C3580" s="12" t="s">
        <v>3600</v>
      </c>
      <c r="D3580" s="13">
        <v>64483.0</v>
      </c>
      <c r="E3580" s="4">
        <v>45831.0</v>
      </c>
      <c r="F3580" s="4" t="str">
        <f>IF(D3580="","", IFNA(VLOOKUP(D3580, SATCAT_DECAY!A:B, 2, FALSE), ""))
</f>
        <v/>
      </c>
      <c r="G3580" s="3" t="str">
        <f t="shared" si="1"/>
        <v>ACTIVE</v>
      </c>
    </row>
    <row r="3581" ht="22.5" customHeight="1">
      <c r="A3581" s="11" t="str">
        <f t="array" ref="A3581">IFERROR(
  INDEX('Starlink Launches'!$A:$A, MATCH($E3581, 'Starlink Launches'!$B:$B, 0)),
  ""
)
</f>
        <v>10-23</v>
      </c>
      <c r="B3581" s="3" t="s">
        <v>25</v>
      </c>
      <c r="C3581" s="12" t="s">
        <v>3601</v>
      </c>
      <c r="D3581" s="13">
        <v>64484.0</v>
      </c>
      <c r="E3581" s="4">
        <v>45831.0</v>
      </c>
      <c r="F3581" s="4" t="str">
        <f>IF(D3581="","", IFNA(VLOOKUP(D3581, SATCAT_DECAY!A:B, 2, FALSE), ""))
</f>
        <v/>
      </c>
      <c r="G3581" s="3" t="str">
        <f t="shared" si="1"/>
        <v>ACTIVE</v>
      </c>
    </row>
    <row r="3582" ht="22.5" customHeight="1">
      <c r="A3582" s="11" t="str">
        <f t="array" ref="A3582">IFERROR(
  INDEX('Starlink Launches'!$A:$A, MATCH($E3582, 'Starlink Launches'!$B:$B, 0)),
  ""
)
</f>
        <v>10-23</v>
      </c>
      <c r="B3582" s="3" t="s">
        <v>25</v>
      </c>
      <c r="C3582" s="12" t="s">
        <v>3602</v>
      </c>
      <c r="D3582" s="13">
        <v>64485.0</v>
      </c>
      <c r="E3582" s="4">
        <v>45831.0</v>
      </c>
      <c r="F3582" s="4" t="str">
        <f>IF(D3582="","", IFNA(VLOOKUP(D3582, SATCAT_DECAY!A:B, 2, FALSE), ""))
</f>
        <v/>
      </c>
      <c r="G3582" s="3" t="str">
        <f t="shared" si="1"/>
        <v>ACTIVE</v>
      </c>
    </row>
    <row r="3583" ht="22.5" customHeight="1">
      <c r="A3583" s="11" t="str">
        <f t="array" ref="A3583">IFERROR(
  INDEX('Starlink Launches'!$A:$A, MATCH($E3583, 'Starlink Launches'!$B:$B, 0)),
  ""
)
</f>
        <v>10-23</v>
      </c>
      <c r="B3583" s="3" t="s">
        <v>25</v>
      </c>
      <c r="C3583" s="12" t="s">
        <v>3603</v>
      </c>
      <c r="D3583" s="13">
        <v>64486.0</v>
      </c>
      <c r="E3583" s="4">
        <v>45831.0</v>
      </c>
      <c r="F3583" s="4" t="str">
        <f>IF(D3583="","", IFNA(VLOOKUP(D3583, SATCAT_DECAY!A:B, 2, FALSE), ""))
</f>
        <v/>
      </c>
      <c r="G3583" s="3" t="str">
        <f t="shared" si="1"/>
        <v>ACTIVE</v>
      </c>
    </row>
    <row r="3584" ht="22.5" customHeight="1">
      <c r="A3584" s="11" t="str">
        <f t="array" ref="A3584">IFERROR(
  INDEX('Starlink Launches'!$A:$A, MATCH($E3584, 'Starlink Launches'!$B:$B, 0)),
  ""
)
</f>
        <v>10-23</v>
      </c>
      <c r="B3584" s="3" t="s">
        <v>25</v>
      </c>
      <c r="C3584" s="12" t="s">
        <v>3604</v>
      </c>
      <c r="D3584" s="13">
        <v>64487.0</v>
      </c>
      <c r="E3584" s="4">
        <v>45831.0</v>
      </c>
      <c r="F3584" s="4" t="str">
        <f>IF(D3584="","", IFNA(VLOOKUP(D3584, SATCAT_DECAY!A:B, 2, FALSE), ""))
</f>
        <v/>
      </c>
      <c r="G3584" s="3" t="str">
        <f t="shared" si="1"/>
        <v>ACTIVE</v>
      </c>
    </row>
    <row r="3585" ht="22.5" customHeight="1">
      <c r="A3585" s="11" t="str">
        <f t="array" ref="A3585">IFERROR(
  INDEX('Starlink Launches'!$A:$A, MATCH($E3585, 'Starlink Launches'!$B:$B, 0)),
  ""
)
</f>
        <v>10-23</v>
      </c>
      <c r="B3585" s="3" t="s">
        <v>25</v>
      </c>
      <c r="C3585" s="12" t="s">
        <v>3605</v>
      </c>
      <c r="D3585" s="13">
        <v>64488.0</v>
      </c>
      <c r="E3585" s="4">
        <v>45831.0</v>
      </c>
      <c r="F3585" s="4" t="str">
        <f>IF(D3585="","", IFNA(VLOOKUP(D3585, SATCAT_DECAY!A:B, 2, FALSE), ""))
</f>
        <v/>
      </c>
      <c r="G3585" s="3" t="str">
        <f t="shared" si="1"/>
        <v>ACTIVE</v>
      </c>
    </row>
    <row r="3586" ht="22.5" customHeight="1">
      <c r="A3586" s="11" t="str">
        <f t="array" ref="A3586">IFERROR(
  INDEX('Starlink Launches'!$A:$A, MATCH($E3586, 'Starlink Launches'!$B:$B, 0)),
  ""
)
</f>
        <v>10-23</v>
      </c>
      <c r="B3586" s="3" t="s">
        <v>25</v>
      </c>
      <c r="C3586" s="12" t="s">
        <v>3606</v>
      </c>
      <c r="D3586" s="13">
        <v>64489.0</v>
      </c>
      <c r="E3586" s="4">
        <v>45831.0</v>
      </c>
      <c r="F3586" s="4" t="str">
        <f>IF(D3586="","", IFNA(VLOOKUP(D3586, SATCAT_DECAY!A:B, 2, FALSE), ""))
</f>
        <v/>
      </c>
      <c r="G3586" s="3" t="str">
        <f t="shared" si="1"/>
        <v>ACTIVE</v>
      </c>
    </row>
    <row r="3587" ht="22.5" customHeight="1">
      <c r="A3587" s="11" t="str">
        <f t="array" ref="A3587">IFERROR(
  INDEX('Starlink Launches'!$A:$A, MATCH($E3587, 'Starlink Launches'!$B:$B, 0)),
  ""
)
</f>
        <v>10-23</v>
      </c>
      <c r="B3587" s="3" t="s">
        <v>25</v>
      </c>
      <c r="C3587" s="12" t="s">
        <v>3607</v>
      </c>
      <c r="D3587" s="13">
        <v>64490.0</v>
      </c>
      <c r="E3587" s="4">
        <v>45831.0</v>
      </c>
      <c r="F3587" s="4" t="str">
        <f>IF(D3587="","", IFNA(VLOOKUP(D3587, SATCAT_DECAY!A:B, 2, FALSE), ""))
</f>
        <v/>
      </c>
      <c r="G3587" s="3" t="str">
        <f t="shared" si="1"/>
        <v>ACTIVE</v>
      </c>
    </row>
    <row r="3588" ht="22.5" customHeight="1">
      <c r="A3588" s="11" t="str">
        <f t="array" ref="A3588">IFERROR(
  INDEX('Starlink Launches'!$A:$A, MATCH($E3588, 'Starlink Launches'!$B:$B, 0)),
  ""
)
</f>
        <v>10-23</v>
      </c>
      <c r="B3588" s="3" t="s">
        <v>25</v>
      </c>
      <c r="C3588" s="12" t="s">
        <v>3608</v>
      </c>
      <c r="D3588" s="13">
        <v>64491.0</v>
      </c>
      <c r="E3588" s="4">
        <v>45831.0</v>
      </c>
      <c r="F3588" s="4" t="str">
        <f>IF(D3588="","", IFNA(VLOOKUP(D3588, SATCAT_DECAY!A:B, 2, FALSE), ""))
</f>
        <v/>
      </c>
      <c r="G3588" s="3" t="str">
        <f t="shared" si="1"/>
        <v>ACTIVE</v>
      </c>
    </row>
    <row r="3589" ht="22.5" customHeight="1">
      <c r="A3589" s="11" t="str">
        <f t="array" ref="A3589">IFERROR(
  INDEX('Starlink Launches'!$A:$A, MATCH($E3589, 'Starlink Launches'!$B:$B, 0)),
  ""
)
</f>
        <v>10-23</v>
      </c>
      <c r="B3589" s="3" t="s">
        <v>25</v>
      </c>
      <c r="C3589" s="12" t="s">
        <v>3609</v>
      </c>
      <c r="D3589" s="13">
        <v>64492.0</v>
      </c>
      <c r="E3589" s="4">
        <v>45831.0</v>
      </c>
      <c r="F3589" s="4" t="str">
        <f>IF(D3589="","", IFNA(VLOOKUP(D3589, SATCAT_DECAY!A:B, 2, FALSE), ""))
</f>
        <v/>
      </c>
      <c r="G3589" s="3" t="str">
        <f t="shared" si="1"/>
        <v>ACTIVE</v>
      </c>
    </row>
    <row r="3590" ht="22.5" customHeight="1">
      <c r="A3590" s="11" t="str">
        <f t="array" ref="A3590">IFERROR(
  INDEX('Starlink Launches'!$A:$A, MATCH($E3590, 'Starlink Launches'!$B:$B, 0)),
  ""
)
</f>
        <v>10-23</v>
      </c>
      <c r="B3590" s="3" t="s">
        <v>25</v>
      </c>
      <c r="C3590" s="12" t="s">
        <v>3610</v>
      </c>
      <c r="D3590" s="13">
        <v>64493.0</v>
      </c>
      <c r="E3590" s="4">
        <v>45831.0</v>
      </c>
      <c r="F3590" s="4" t="str">
        <f>IF(D3590="","", IFNA(VLOOKUP(D3590, SATCAT_DECAY!A:B, 2, FALSE), ""))
</f>
        <v/>
      </c>
      <c r="G3590" s="3" t="str">
        <f t="shared" si="1"/>
        <v>ACTIVE</v>
      </c>
    </row>
    <row r="3591" ht="22.5" customHeight="1">
      <c r="A3591" s="11" t="str">
        <f t="array" ref="A3591">IFERROR(
  INDEX('Starlink Launches'!$A:$A, MATCH($E3591, 'Starlink Launches'!$B:$B, 0)),
  ""
)
</f>
        <v>10-23</v>
      </c>
      <c r="B3591" s="3" t="s">
        <v>25</v>
      </c>
      <c r="C3591" s="12" t="s">
        <v>3611</v>
      </c>
      <c r="D3591" s="13">
        <v>64494.0</v>
      </c>
      <c r="E3591" s="4">
        <v>45831.0</v>
      </c>
      <c r="F3591" s="4" t="str">
        <f>IF(D3591="","", IFNA(VLOOKUP(D3591, SATCAT_DECAY!A:B, 2, FALSE), ""))
</f>
        <v/>
      </c>
      <c r="G3591" s="3" t="str">
        <f t="shared" si="1"/>
        <v>ACTIVE</v>
      </c>
    </row>
    <row r="3592" ht="22.5" customHeight="1">
      <c r="A3592" s="11" t="str">
        <f t="array" ref="A3592">IFERROR(
  INDEX('Starlink Launches'!$A:$A, MATCH($E3592, 'Starlink Launches'!$B:$B, 0)),
  ""
)
</f>
        <v>10-23</v>
      </c>
      <c r="B3592" s="3" t="s">
        <v>25</v>
      </c>
      <c r="C3592" s="12" t="s">
        <v>3612</v>
      </c>
      <c r="D3592" s="13">
        <v>64495.0</v>
      </c>
      <c r="E3592" s="4">
        <v>45831.0</v>
      </c>
      <c r="F3592" s="4" t="str">
        <f>IF(D3592="","", IFNA(VLOOKUP(D3592, SATCAT_DECAY!A:B, 2, FALSE), ""))
</f>
        <v/>
      </c>
      <c r="G3592" s="3" t="str">
        <f t="shared" si="1"/>
        <v>ACTIVE</v>
      </c>
    </row>
    <row r="3593" ht="22.5" customHeight="1">
      <c r="A3593" s="11" t="str">
        <f t="array" ref="A3593">IFERROR(
  INDEX('Starlink Launches'!$A:$A, MATCH($E3593, 'Starlink Launches'!$B:$B, 0)),
  ""
)
</f>
        <v>10-23</v>
      </c>
      <c r="B3593" s="3" t="s">
        <v>25</v>
      </c>
      <c r="C3593" s="12" t="s">
        <v>3613</v>
      </c>
      <c r="D3593" s="13">
        <v>64496.0</v>
      </c>
      <c r="E3593" s="4">
        <v>45831.0</v>
      </c>
      <c r="F3593" s="4" t="str">
        <f>IF(D3593="","", IFNA(VLOOKUP(D3593, SATCAT_DECAY!A:B, 2, FALSE), ""))
</f>
        <v/>
      </c>
      <c r="G3593" s="3" t="str">
        <f t="shared" si="1"/>
        <v>ACTIVE</v>
      </c>
    </row>
    <row r="3594" ht="22.5" customHeight="1">
      <c r="A3594" s="11" t="str">
        <f t="array" ref="A3594">IFERROR(
  INDEX('Starlink Launches'!$A:$A, MATCH($E3594, 'Starlink Launches'!$B:$B, 0)),
  ""
)
</f>
        <v>10-23</v>
      </c>
      <c r="B3594" s="3" t="s">
        <v>25</v>
      </c>
      <c r="C3594" s="12" t="s">
        <v>3614</v>
      </c>
      <c r="D3594" s="13">
        <v>64497.0</v>
      </c>
      <c r="E3594" s="4">
        <v>45831.0</v>
      </c>
      <c r="F3594" s="4" t="str">
        <f>IF(D3594="","", IFNA(VLOOKUP(D3594, SATCAT_DECAY!A:B, 2, FALSE), ""))
</f>
        <v/>
      </c>
      <c r="G3594" s="3" t="str">
        <f t="shared" si="1"/>
        <v>ACTIVE</v>
      </c>
    </row>
    <row r="3595" ht="22.5" customHeight="1">
      <c r="A3595" s="11" t="str">
        <f t="array" ref="A3595">IFERROR(
  INDEX('Starlink Launches'!$A:$A, MATCH($E3595, 'Starlink Launches'!$B:$B, 0)),
  ""
)
</f>
        <v>10-23</v>
      </c>
      <c r="B3595" s="3" t="s">
        <v>25</v>
      </c>
      <c r="C3595" s="12" t="s">
        <v>3615</v>
      </c>
      <c r="D3595" s="13">
        <v>64498.0</v>
      </c>
      <c r="E3595" s="4">
        <v>45831.0</v>
      </c>
      <c r="F3595" s="4" t="str">
        <f>IF(D3595="","", IFNA(VLOOKUP(D3595, SATCAT_DECAY!A:B, 2, FALSE), ""))
</f>
        <v/>
      </c>
      <c r="G3595" s="3" t="str">
        <f t="shared" si="1"/>
        <v>ACTIVE</v>
      </c>
    </row>
    <row r="3596" ht="22.5" customHeight="1">
      <c r="A3596" s="11" t="str">
        <f t="array" ref="A3596">IFERROR(
  INDEX('Starlink Launches'!$A:$A, MATCH($E3596, 'Starlink Launches'!$B:$B, 0)),
  ""
)
</f>
        <v>10-16</v>
      </c>
      <c r="B3596" s="3" t="s">
        <v>25</v>
      </c>
      <c r="C3596" s="12" t="s">
        <v>3616</v>
      </c>
      <c r="D3596" s="13">
        <v>64594.0</v>
      </c>
      <c r="E3596" s="4">
        <v>45833.0</v>
      </c>
      <c r="F3596" s="4" t="str">
        <f>IF(D3596="","", IFNA(VLOOKUP(D3596, SATCAT_DECAY!A:B, 2, FALSE), ""))
</f>
        <v/>
      </c>
      <c r="G3596" s="3" t="str">
        <f t="shared" si="1"/>
        <v>ACTIVE</v>
      </c>
    </row>
    <row r="3597" ht="22.5" customHeight="1">
      <c r="A3597" s="11" t="str">
        <f t="array" ref="A3597">IFERROR(
  INDEX('Starlink Launches'!$A:$A, MATCH($E3597, 'Starlink Launches'!$B:$B, 0)),
  ""
)
</f>
        <v>10-16</v>
      </c>
      <c r="B3597" s="3" t="s">
        <v>25</v>
      </c>
      <c r="C3597" s="12" t="s">
        <v>3617</v>
      </c>
      <c r="D3597" s="13">
        <v>64595.0</v>
      </c>
      <c r="E3597" s="4">
        <v>45833.0</v>
      </c>
      <c r="F3597" s="4" t="str">
        <f>IF(D3597="","", IFNA(VLOOKUP(D3597, SATCAT_DECAY!A:B, 2, FALSE), ""))
</f>
        <v/>
      </c>
      <c r="G3597" s="3" t="str">
        <f t="shared" si="1"/>
        <v>ACTIVE</v>
      </c>
    </row>
    <row r="3598" ht="22.5" customHeight="1">
      <c r="A3598" s="11" t="str">
        <f t="array" ref="A3598">IFERROR(
  INDEX('Starlink Launches'!$A:$A, MATCH($E3598, 'Starlink Launches'!$B:$B, 0)),
  ""
)
</f>
        <v>10-16</v>
      </c>
      <c r="B3598" s="3" t="s">
        <v>25</v>
      </c>
      <c r="C3598" s="12" t="s">
        <v>3618</v>
      </c>
      <c r="D3598" s="13">
        <v>64596.0</v>
      </c>
      <c r="E3598" s="4">
        <v>45833.0</v>
      </c>
      <c r="F3598" s="4" t="str">
        <f>IF(D3598="","", IFNA(VLOOKUP(D3598, SATCAT_DECAY!A:B, 2, FALSE), ""))
</f>
        <v/>
      </c>
      <c r="G3598" s="3" t="str">
        <f t="shared" si="1"/>
        <v>ACTIVE</v>
      </c>
    </row>
    <row r="3599" ht="22.5" customHeight="1">
      <c r="A3599" s="11" t="str">
        <f t="array" ref="A3599">IFERROR(
  INDEX('Starlink Launches'!$A:$A, MATCH($E3599, 'Starlink Launches'!$B:$B, 0)),
  ""
)
</f>
        <v>10-16</v>
      </c>
      <c r="B3599" s="3" t="s">
        <v>25</v>
      </c>
      <c r="C3599" s="12" t="s">
        <v>3619</v>
      </c>
      <c r="D3599" s="13">
        <v>64597.0</v>
      </c>
      <c r="E3599" s="4">
        <v>45833.0</v>
      </c>
      <c r="F3599" s="4" t="str">
        <f>IF(D3599="","", IFNA(VLOOKUP(D3599, SATCAT_DECAY!A:B, 2, FALSE), ""))
</f>
        <v/>
      </c>
      <c r="G3599" s="3" t="str">
        <f t="shared" si="1"/>
        <v>ACTIVE</v>
      </c>
    </row>
    <row r="3600" ht="22.5" customHeight="1">
      <c r="A3600" s="11" t="str">
        <f t="array" ref="A3600">IFERROR(
  INDEX('Starlink Launches'!$A:$A, MATCH($E3600, 'Starlink Launches'!$B:$B, 0)),
  ""
)
</f>
        <v>10-16</v>
      </c>
      <c r="B3600" s="3" t="s">
        <v>25</v>
      </c>
      <c r="C3600" s="12" t="s">
        <v>3620</v>
      </c>
      <c r="D3600" s="13">
        <v>64598.0</v>
      </c>
      <c r="E3600" s="4">
        <v>45833.0</v>
      </c>
      <c r="F3600" s="4" t="str">
        <f>IF(D3600="","", IFNA(VLOOKUP(D3600, SATCAT_DECAY!A:B, 2, FALSE), ""))
</f>
        <v/>
      </c>
      <c r="G3600" s="3" t="str">
        <f t="shared" si="1"/>
        <v>ACTIVE</v>
      </c>
    </row>
    <row r="3601" ht="22.5" customHeight="1">
      <c r="A3601" s="11" t="str">
        <f t="array" ref="A3601">IFERROR(
  INDEX('Starlink Launches'!$A:$A, MATCH($E3601, 'Starlink Launches'!$B:$B, 0)),
  ""
)
</f>
        <v>10-16</v>
      </c>
      <c r="B3601" s="3" t="s">
        <v>25</v>
      </c>
      <c r="C3601" s="12" t="s">
        <v>3621</v>
      </c>
      <c r="D3601" s="13">
        <v>64599.0</v>
      </c>
      <c r="E3601" s="4">
        <v>45833.0</v>
      </c>
      <c r="F3601" s="4" t="str">
        <f>IF(D3601="","", IFNA(VLOOKUP(D3601, SATCAT_DECAY!A:B, 2, FALSE), ""))
</f>
        <v/>
      </c>
      <c r="G3601" s="3" t="str">
        <f t="shared" si="1"/>
        <v>ACTIVE</v>
      </c>
    </row>
    <row r="3602" ht="22.5" customHeight="1">
      <c r="A3602" s="11" t="str">
        <f t="array" ref="A3602">IFERROR(
  INDEX('Starlink Launches'!$A:$A, MATCH($E3602, 'Starlink Launches'!$B:$B, 0)),
  ""
)
</f>
        <v>10-16</v>
      </c>
      <c r="B3602" s="3" t="s">
        <v>25</v>
      </c>
      <c r="C3602" s="12" t="s">
        <v>3622</v>
      </c>
      <c r="D3602" s="13">
        <v>64600.0</v>
      </c>
      <c r="E3602" s="4">
        <v>45833.0</v>
      </c>
      <c r="F3602" s="4" t="str">
        <f>IF(D3602="","", IFNA(VLOOKUP(D3602, SATCAT_DECAY!A:B, 2, FALSE), ""))
</f>
        <v/>
      </c>
      <c r="G3602" s="3" t="str">
        <f t="shared" si="1"/>
        <v>ACTIVE</v>
      </c>
    </row>
    <row r="3603" ht="22.5" customHeight="1">
      <c r="A3603" s="11" t="str">
        <f t="array" ref="A3603">IFERROR(
  INDEX('Starlink Launches'!$A:$A, MATCH($E3603, 'Starlink Launches'!$B:$B, 0)),
  ""
)
</f>
        <v>10-16</v>
      </c>
      <c r="B3603" s="3" t="s">
        <v>25</v>
      </c>
      <c r="C3603" s="12" t="s">
        <v>3623</v>
      </c>
      <c r="D3603" s="13">
        <v>64601.0</v>
      </c>
      <c r="E3603" s="4">
        <v>45833.0</v>
      </c>
      <c r="F3603" s="4" t="str">
        <f>IF(D3603="","", IFNA(VLOOKUP(D3603, SATCAT_DECAY!A:B, 2, FALSE), ""))
</f>
        <v/>
      </c>
      <c r="G3603" s="3" t="str">
        <f t="shared" si="1"/>
        <v>ACTIVE</v>
      </c>
    </row>
    <row r="3604" ht="22.5" customHeight="1">
      <c r="A3604" s="11" t="str">
        <f t="array" ref="A3604">IFERROR(
  INDEX('Starlink Launches'!$A:$A, MATCH($E3604, 'Starlink Launches'!$B:$B, 0)),
  ""
)
</f>
        <v>10-16</v>
      </c>
      <c r="B3604" s="3" t="s">
        <v>25</v>
      </c>
      <c r="C3604" s="12" t="s">
        <v>3624</v>
      </c>
      <c r="D3604" s="13">
        <v>64602.0</v>
      </c>
      <c r="E3604" s="4">
        <v>45833.0</v>
      </c>
      <c r="F3604" s="4" t="str">
        <f>IF(D3604="","", IFNA(VLOOKUP(D3604, SATCAT_DECAY!A:B, 2, FALSE), ""))
</f>
        <v/>
      </c>
      <c r="G3604" s="3" t="str">
        <f t="shared" si="1"/>
        <v>ACTIVE</v>
      </c>
    </row>
    <row r="3605" ht="22.5" customHeight="1">
      <c r="A3605" s="11" t="str">
        <f t="array" ref="A3605">IFERROR(
  INDEX('Starlink Launches'!$A:$A, MATCH($E3605, 'Starlink Launches'!$B:$B, 0)),
  ""
)
</f>
        <v>10-16</v>
      </c>
      <c r="B3605" s="3" t="s">
        <v>25</v>
      </c>
      <c r="C3605" s="12" t="s">
        <v>3625</v>
      </c>
      <c r="D3605" s="13">
        <v>64603.0</v>
      </c>
      <c r="E3605" s="4">
        <v>45833.0</v>
      </c>
      <c r="F3605" s="4" t="str">
        <f>IF(D3605="","", IFNA(VLOOKUP(D3605, SATCAT_DECAY!A:B, 2, FALSE), ""))
</f>
        <v/>
      </c>
      <c r="G3605" s="3" t="str">
        <f t="shared" si="1"/>
        <v>ACTIVE</v>
      </c>
    </row>
    <row r="3606" ht="22.5" customHeight="1">
      <c r="A3606" s="11" t="str">
        <f t="array" ref="A3606">IFERROR(
  INDEX('Starlink Launches'!$A:$A, MATCH($E3606, 'Starlink Launches'!$B:$B, 0)),
  ""
)
</f>
        <v>10-16</v>
      </c>
      <c r="B3606" s="3" t="s">
        <v>25</v>
      </c>
      <c r="C3606" s="12" t="s">
        <v>3626</v>
      </c>
      <c r="D3606" s="13">
        <v>64604.0</v>
      </c>
      <c r="E3606" s="4">
        <v>45833.0</v>
      </c>
      <c r="F3606" s="4" t="str">
        <f>IF(D3606="","", IFNA(VLOOKUP(D3606, SATCAT_DECAY!A:B, 2, FALSE), ""))
</f>
        <v/>
      </c>
      <c r="G3606" s="3" t="str">
        <f t="shared" si="1"/>
        <v>ACTIVE</v>
      </c>
    </row>
    <row r="3607" ht="22.5" customHeight="1">
      <c r="A3607" s="11" t="str">
        <f t="array" ref="A3607">IFERROR(
  INDEX('Starlink Launches'!$A:$A, MATCH($E3607, 'Starlink Launches'!$B:$B, 0)),
  ""
)
</f>
        <v>10-16</v>
      </c>
      <c r="B3607" s="3" t="s">
        <v>25</v>
      </c>
      <c r="C3607" s="12" t="s">
        <v>3627</v>
      </c>
      <c r="D3607" s="13">
        <v>64605.0</v>
      </c>
      <c r="E3607" s="4">
        <v>45833.0</v>
      </c>
      <c r="F3607" s="4" t="str">
        <f>IF(D3607="","", IFNA(VLOOKUP(D3607, SATCAT_DECAY!A:B, 2, FALSE), ""))
</f>
        <v/>
      </c>
      <c r="G3607" s="3" t="str">
        <f t="shared" si="1"/>
        <v>ACTIVE</v>
      </c>
    </row>
    <row r="3608" ht="22.5" customHeight="1">
      <c r="A3608" s="11" t="str">
        <f t="array" ref="A3608">IFERROR(
  INDEX('Starlink Launches'!$A:$A, MATCH($E3608, 'Starlink Launches'!$B:$B, 0)),
  ""
)
</f>
        <v>10-16</v>
      </c>
      <c r="B3608" s="3" t="s">
        <v>25</v>
      </c>
      <c r="C3608" s="12" t="s">
        <v>3628</v>
      </c>
      <c r="D3608" s="13">
        <v>64606.0</v>
      </c>
      <c r="E3608" s="4">
        <v>45833.0</v>
      </c>
      <c r="F3608" s="4" t="str">
        <f>IF(D3608="","", IFNA(VLOOKUP(D3608, SATCAT_DECAY!A:B, 2, FALSE), ""))
</f>
        <v/>
      </c>
      <c r="G3608" s="3" t="str">
        <f t="shared" si="1"/>
        <v>ACTIVE</v>
      </c>
    </row>
    <row r="3609" ht="22.5" customHeight="1">
      <c r="A3609" s="11" t="str">
        <f t="array" ref="A3609">IFERROR(
  INDEX('Starlink Launches'!$A:$A, MATCH($E3609, 'Starlink Launches'!$B:$B, 0)),
  ""
)
</f>
        <v>10-16</v>
      </c>
      <c r="B3609" s="3" t="s">
        <v>25</v>
      </c>
      <c r="C3609" s="12" t="s">
        <v>3629</v>
      </c>
      <c r="D3609" s="13">
        <v>64607.0</v>
      </c>
      <c r="E3609" s="4">
        <v>45833.0</v>
      </c>
      <c r="F3609" s="4" t="str">
        <f>IF(D3609="","", IFNA(VLOOKUP(D3609, SATCAT_DECAY!A:B, 2, FALSE), ""))
</f>
        <v/>
      </c>
      <c r="G3609" s="3" t="str">
        <f t="shared" si="1"/>
        <v>ACTIVE</v>
      </c>
    </row>
    <row r="3610" ht="22.5" customHeight="1">
      <c r="A3610" s="11" t="str">
        <f t="array" ref="A3610">IFERROR(
  INDEX('Starlink Launches'!$A:$A, MATCH($E3610, 'Starlink Launches'!$B:$B, 0)),
  ""
)
</f>
        <v>10-16</v>
      </c>
      <c r="B3610" s="3" t="s">
        <v>25</v>
      </c>
      <c r="C3610" s="12" t="s">
        <v>3630</v>
      </c>
      <c r="D3610" s="13">
        <v>64608.0</v>
      </c>
      <c r="E3610" s="4">
        <v>45833.0</v>
      </c>
      <c r="F3610" s="4" t="str">
        <f>IF(D3610="","", IFNA(VLOOKUP(D3610, SATCAT_DECAY!A:B, 2, FALSE), ""))
</f>
        <v/>
      </c>
      <c r="G3610" s="3" t="str">
        <f t="shared" si="1"/>
        <v>ACTIVE</v>
      </c>
    </row>
    <row r="3611" ht="22.5" customHeight="1">
      <c r="A3611" s="11" t="str">
        <f t="array" ref="A3611">IFERROR(
  INDEX('Starlink Launches'!$A:$A, MATCH($E3611, 'Starlink Launches'!$B:$B, 0)),
  ""
)
</f>
        <v>10-16</v>
      </c>
      <c r="B3611" s="3" t="s">
        <v>25</v>
      </c>
      <c r="C3611" s="12" t="s">
        <v>3631</v>
      </c>
      <c r="D3611" s="13">
        <v>64609.0</v>
      </c>
      <c r="E3611" s="4">
        <v>45833.0</v>
      </c>
      <c r="F3611" s="4" t="str">
        <f>IF(D3611="","", IFNA(VLOOKUP(D3611, SATCAT_DECAY!A:B, 2, FALSE), ""))
</f>
        <v/>
      </c>
      <c r="G3611" s="3" t="str">
        <f t="shared" si="1"/>
        <v>ACTIVE</v>
      </c>
    </row>
    <row r="3612" ht="22.5" customHeight="1">
      <c r="A3612" s="11" t="str">
        <f t="array" ref="A3612">IFERROR(
  INDEX('Starlink Launches'!$A:$A, MATCH($E3612, 'Starlink Launches'!$B:$B, 0)),
  ""
)
</f>
        <v>10-16</v>
      </c>
      <c r="B3612" s="3" t="s">
        <v>25</v>
      </c>
      <c r="C3612" s="12" t="s">
        <v>3632</v>
      </c>
      <c r="D3612" s="13">
        <v>64610.0</v>
      </c>
      <c r="E3612" s="4">
        <v>45833.0</v>
      </c>
      <c r="F3612" s="4" t="str">
        <f>IF(D3612="","", IFNA(VLOOKUP(D3612, SATCAT_DECAY!A:B, 2, FALSE), ""))
</f>
        <v/>
      </c>
      <c r="G3612" s="3" t="str">
        <f t="shared" si="1"/>
        <v>ACTIVE</v>
      </c>
    </row>
    <row r="3613" ht="22.5" customHeight="1">
      <c r="A3613" s="11" t="str">
        <f t="array" ref="A3613">IFERROR(
  INDEX('Starlink Launches'!$A:$A, MATCH($E3613, 'Starlink Launches'!$B:$B, 0)),
  ""
)
</f>
        <v>10-16</v>
      </c>
      <c r="B3613" s="3" t="s">
        <v>25</v>
      </c>
      <c r="C3613" s="12" t="s">
        <v>3633</v>
      </c>
      <c r="D3613" s="13">
        <v>64611.0</v>
      </c>
      <c r="E3613" s="4">
        <v>45833.0</v>
      </c>
      <c r="F3613" s="4" t="str">
        <f>IF(D3613="","", IFNA(VLOOKUP(D3613, SATCAT_DECAY!A:B, 2, FALSE), ""))
</f>
        <v/>
      </c>
      <c r="G3613" s="3" t="str">
        <f t="shared" si="1"/>
        <v>ACTIVE</v>
      </c>
    </row>
    <row r="3614" ht="22.5" customHeight="1">
      <c r="A3614" s="11" t="str">
        <f t="array" ref="A3614">IFERROR(
  INDEX('Starlink Launches'!$A:$A, MATCH($E3614, 'Starlink Launches'!$B:$B, 0)),
  ""
)
</f>
        <v>10-16</v>
      </c>
      <c r="B3614" s="3" t="s">
        <v>25</v>
      </c>
      <c r="C3614" s="12" t="s">
        <v>3634</v>
      </c>
      <c r="D3614" s="13">
        <v>64612.0</v>
      </c>
      <c r="E3614" s="4">
        <v>45833.0</v>
      </c>
      <c r="F3614" s="4" t="str">
        <f>IF(D3614="","", IFNA(VLOOKUP(D3614, SATCAT_DECAY!A:B, 2, FALSE), ""))
</f>
        <v/>
      </c>
      <c r="G3614" s="3" t="str">
        <f t="shared" si="1"/>
        <v>ACTIVE</v>
      </c>
    </row>
    <row r="3615" ht="22.5" customHeight="1">
      <c r="A3615" s="11" t="str">
        <f t="array" ref="A3615">IFERROR(
  INDEX('Starlink Launches'!$A:$A, MATCH($E3615, 'Starlink Launches'!$B:$B, 0)),
  ""
)
</f>
        <v>10-16</v>
      </c>
      <c r="B3615" s="3" t="s">
        <v>25</v>
      </c>
      <c r="C3615" s="12" t="s">
        <v>3635</v>
      </c>
      <c r="D3615" s="13">
        <v>64613.0</v>
      </c>
      <c r="E3615" s="4">
        <v>45833.0</v>
      </c>
      <c r="F3615" s="4" t="str">
        <f>IF(D3615="","", IFNA(VLOOKUP(D3615, SATCAT_DECAY!A:B, 2, FALSE), ""))
</f>
        <v/>
      </c>
      <c r="G3615" s="3" t="str">
        <f t="shared" si="1"/>
        <v>ACTIVE</v>
      </c>
    </row>
    <row r="3616" ht="22.5" customHeight="1">
      <c r="A3616" s="11" t="str">
        <f t="array" ref="A3616">IFERROR(
  INDEX('Starlink Launches'!$A:$A, MATCH($E3616, 'Starlink Launches'!$B:$B, 0)),
  ""
)
</f>
        <v>10-16</v>
      </c>
      <c r="B3616" s="3" t="s">
        <v>25</v>
      </c>
      <c r="C3616" s="12" t="s">
        <v>3636</v>
      </c>
      <c r="D3616" s="13">
        <v>64614.0</v>
      </c>
      <c r="E3616" s="4">
        <v>45833.0</v>
      </c>
      <c r="F3616" s="4" t="str">
        <f>IF(D3616="","", IFNA(VLOOKUP(D3616, SATCAT_DECAY!A:B, 2, FALSE), ""))
</f>
        <v/>
      </c>
      <c r="G3616" s="3" t="str">
        <f t="shared" si="1"/>
        <v>ACTIVE</v>
      </c>
    </row>
    <row r="3617" ht="22.5" customHeight="1">
      <c r="A3617" s="11" t="str">
        <f t="array" ref="A3617">IFERROR(
  INDEX('Starlink Launches'!$A:$A, MATCH($E3617, 'Starlink Launches'!$B:$B, 0)),
  ""
)
</f>
        <v>10-16</v>
      </c>
      <c r="B3617" s="3" t="s">
        <v>25</v>
      </c>
      <c r="C3617" s="12" t="s">
        <v>3637</v>
      </c>
      <c r="D3617" s="13">
        <v>64615.0</v>
      </c>
      <c r="E3617" s="4">
        <v>45833.0</v>
      </c>
      <c r="F3617" s="4" t="str">
        <f>IF(D3617="","", IFNA(VLOOKUP(D3617, SATCAT_DECAY!A:B, 2, FALSE), ""))
</f>
        <v/>
      </c>
      <c r="G3617" s="3" t="str">
        <f t="shared" si="1"/>
        <v>ACTIVE</v>
      </c>
    </row>
    <row r="3618" ht="22.5" customHeight="1">
      <c r="A3618" s="11" t="str">
        <f t="array" ref="A3618">IFERROR(
  INDEX('Starlink Launches'!$A:$A, MATCH($E3618, 'Starlink Launches'!$B:$B, 0)),
  ""
)
</f>
        <v>10-16</v>
      </c>
      <c r="B3618" s="3" t="s">
        <v>25</v>
      </c>
      <c r="C3618" s="12" t="s">
        <v>3638</v>
      </c>
      <c r="D3618" s="13">
        <v>64616.0</v>
      </c>
      <c r="E3618" s="4">
        <v>45833.0</v>
      </c>
      <c r="F3618" s="4" t="str">
        <f>IF(D3618="","", IFNA(VLOOKUP(D3618, SATCAT_DECAY!A:B, 2, FALSE), ""))
</f>
        <v/>
      </c>
      <c r="G3618" s="3" t="str">
        <f t="shared" si="1"/>
        <v>ACTIVE</v>
      </c>
    </row>
    <row r="3619" ht="22.5" customHeight="1">
      <c r="A3619" s="11" t="str">
        <f t="array" ref="A3619">IFERROR(
  INDEX('Starlink Launches'!$A:$A, MATCH($E3619, 'Starlink Launches'!$B:$B, 0)),
  ""
)
</f>
        <v>10-16</v>
      </c>
      <c r="B3619" s="3" t="s">
        <v>25</v>
      </c>
      <c r="C3619" s="12" t="s">
        <v>3639</v>
      </c>
      <c r="D3619" s="13">
        <v>64617.0</v>
      </c>
      <c r="E3619" s="4">
        <v>45833.0</v>
      </c>
      <c r="F3619" s="4" t="str">
        <f>IF(D3619="","", IFNA(VLOOKUP(D3619, SATCAT_DECAY!A:B, 2, FALSE), ""))
</f>
        <v/>
      </c>
      <c r="G3619" s="3" t="str">
        <f t="shared" si="1"/>
        <v>ACTIVE</v>
      </c>
    </row>
    <row r="3620" ht="22.5" customHeight="1">
      <c r="A3620" s="11" t="str">
        <f t="array" ref="A3620">IFERROR(
  INDEX('Starlink Launches'!$A:$A, MATCH($E3620, 'Starlink Launches'!$B:$B, 0)),
  ""
)
</f>
        <v>10-16</v>
      </c>
      <c r="B3620" s="3" t="s">
        <v>25</v>
      </c>
      <c r="C3620" s="12" t="s">
        <v>3640</v>
      </c>
      <c r="D3620" s="13">
        <v>64618.0</v>
      </c>
      <c r="E3620" s="4">
        <v>45833.0</v>
      </c>
      <c r="F3620" s="4" t="str">
        <f>IF(D3620="","", IFNA(VLOOKUP(D3620, SATCAT_DECAY!A:B, 2, FALSE), ""))
</f>
        <v/>
      </c>
      <c r="G3620" s="3" t="str">
        <f t="shared" si="1"/>
        <v>ACTIVE</v>
      </c>
    </row>
    <row r="3621" ht="22.5" customHeight="1">
      <c r="A3621" s="11" t="str">
        <f t="array" ref="A3621">IFERROR(
  INDEX('Starlink Launches'!$A:$A, MATCH($E3621, 'Starlink Launches'!$B:$B, 0)),
  ""
)
</f>
        <v>10-16</v>
      </c>
      <c r="B3621" s="3" t="s">
        <v>25</v>
      </c>
      <c r="C3621" s="12" t="s">
        <v>3641</v>
      </c>
      <c r="D3621" s="13">
        <v>64619.0</v>
      </c>
      <c r="E3621" s="4">
        <v>45833.0</v>
      </c>
      <c r="F3621" s="4" t="str">
        <f>IF(D3621="","", IFNA(VLOOKUP(D3621, SATCAT_DECAY!A:B, 2, FALSE), ""))
</f>
        <v/>
      </c>
      <c r="G3621" s="3" t="str">
        <f t="shared" si="1"/>
        <v>ACTIVE</v>
      </c>
    </row>
    <row r="3622" ht="22.5" customHeight="1">
      <c r="A3622" s="11" t="str">
        <f t="array" ref="A3622">IFERROR(
  INDEX('Starlink Launches'!$A:$A, MATCH($E3622, 'Starlink Launches'!$B:$B, 0)),
  ""
)
</f>
        <v>10-16</v>
      </c>
      <c r="B3622" s="3" t="s">
        <v>25</v>
      </c>
      <c r="C3622" s="12" t="s">
        <v>3642</v>
      </c>
      <c r="D3622" s="13">
        <v>64620.0</v>
      </c>
      <c r="E3622" s="4">
        <v>45833.0</v>
      </c>
      <c r="F3622" s="4" t="str">
        <f>IF(D3622="","", IFNA(VLOOKUP(D3622, SATCAT_DECAY!A:B, 2, FALSE), ""))
</f>
        <v/>
      </c>
      <c r="G3622" s="3" t="str">
        <f t="shared" si="1"/>
        <v>ACTIVE</v>
      </c>
    </row>
    <row r="3623" ht="22.5" customHeight="1">
      <c r="A3623" s="11" t="str">
        <f t="array" ref="A3623">IFERROR(
  INDEX('Starlink Launches'!$A:$A, MATCH($E3623, 'Starlink Launches'!$B:$B, 0)),
  ""
)
</f>
        <v>10-34</v>
      </c>
      <c r="B3623" s="3" t="s">
        <v>25</v>
      </c>
      <c r="C3623" s="12" t="s">
        <v>3643</v>
      </c>
      <c r="D3623" s="13">
        <v>64664.0</v>
      </c>
      <c r="E3623" s="4">
        <v>45836.0</v>
      </c>
      <c r="F3623" s="4" t="str">
        <f>IF(D3623="","", IFNA(VLOOKUP(D3623, SATCAT_DECAY!A:B, 2, FALSE), ""))
</f>
        <v/>
      </c>
      <c r="G3623" s="3" t="str">
        <f t="shared" si="1"/>
        <v>ACTIVE</v>
      </c>
    </row>
    <row r="3624" ht="22.5" customHeight="1">
      <c r="A3624" s="11" t="str">
        <f t="array" ref="A3624">IFERROR(
  INDEX('Starlink Launches'!$A:$A, MATCH($E3624, 'Starlink Launches'!$B:$B, 0)),
  ""
)
</f>
        <v>10-34</v>
      </c>
      <c r="B3624" s="3" t="s">
        <v>25</v>
      </c>
      <c r="C3624" s="12" t="s">
        <v>3644</v>
      </c>
      <c r="D3624" s="13">
        <v>64665.0</v>
      </c>
      <c r="E3624" s="4">
        <v>45836.0</v>
      </c>
      <c r="F3624" s="4" t="str">
        <f>IF(D3624="","", IFNA(VLOOKUP(D3624, SATCAT_DECAY!A:B, 2, FALSE), ""))
</f>
        <v/>
      </c>
      <c r="G3624" s="3" t="str">
        <f t="shared" si="1"/>
        <v>ACTIVE</v>
      </c>
    </row>
    <row r="3625" ht="22.5" customHeight="1">
      <c r="A3625" s="11" t="str">
        <f t="array" ref="A3625">IFERROR(
  INDEX('Starlink Launches'!$A:$A, MATCH($E3625, 'Starlink Launches'!$B:$B, 0)),
  ""
)
</f>
        <v>10-34</v>
      </c>
      <c r="B3625" s="3" t="s">
        <v>25</v>
      </c>
      <c r="C3625" s="12" t="s">
        <v>3645</v>
      </c>
      <c r="D3625" s="13">
        <v>64666.0</v>
      </c>
      <c r="E3625" s="4">
        <v>45836.0</v>
      </c>
      <c r="F3625" s="4" t="str">
        <f>IF(D3625="","", IFNA(VLOOKUP(D3625, SATCAT_DECAY!A:B, 2, FALSE), ""))
</f>
        <v/>
      </c>
      <c r="G3625" s="3" t="str">
        <f t="shared" si="1"/>
        <v>ACTIVE</v>
      </c>
    </row>
    <row r="3626" ht="22.5" customHeight="1">
      <c r="A3626" s="11" t="str">
        <f t="array" ref="A3626">IFERROR(
  INDEX('Starlink Launches'!$A:$A, MATCH($E3626, 'Starlink Launches'!$B:$B, 0)),
  ""
)
</f>
        <v>10-34</v>
      </c>
      <c r="B3626" s="3" t="s">
        <v>25</v>
      </c>
      <c r="C3626" s="12" t="s">
        <v>3646</v>
      </c>
      <c r="D3626" s="13">
        <v>64667.0</v>
      </c>
      <c r="E3626" s="4">
        <v>45836.0</v>
      </c>
      <c r="F3626" s="4" t="str">
        <f>IF(D3626="","", IFNA(VLOOKUP(D3626, SATCAT_DECAY!A:B, 2, FALSE), ""))
</f>
        <v/>
      </c>
      <c r="G3626" s="3" t="str">
        <f t="shared" si="1"/>
        <v>ACTIVE</v>
      </c>
    </row>
    <row r="3627" ht="22.5" customHeight="1">
      <c r="A3627" s="11" t="str">
        <f t="array" ref="A3627">IFERROR(
  INDEX('Starlink Launches'!$A:$A, MATCH($E3627, 'Starlink Launches'!$B:$B, 0)),
  ""
)
</f>
        <v>10-34</v>
      </c>
      <c r="B3627" s="3" t="s">
        <v>25</v>
      </c>
      <c r="C3627" s="12" t="s">
        <v>3647</v>
      </c>
      <c r="D3627" s="13">
        <v>64668.0</v>
      </c>
      <c r="E3627" s="4">
        <v>45836.0</v>
      </c>
      <c r="F3627" s="4" t="str">
        <f>IF(D3627="","", IFNA(VLOOKUP(D3627, SATCAT_DECAY!A:B, 2, FALSE), ""))
</f>
        <v/>
      </c>
      <c r="G3627" s="3" t="str">
        <f t="shared" si="1"/>
        <v>ACTIVE</v>
      </c>
    </row>
    <row r="3628" ht="22.5" customHeight="1">
      <c r="A3628" s="11" t="str">
        <f t="array" ref="A3628">IFERROR(
  INDEX('Starlink Launches'!$A:$A, MATCH($E3628, 'Starlink Launches'!$B:$B, 0)),
  ""
)
</f>
        <v>10-34</v>
      </c>
      <c r="B3628" s="3" t="s">
        <v>25</v>
      </c>
      <c r="C3628" s="12" t="s">
        <v>3648</v>
      </c>
      <c r="D3628" s="13">
        <v>64669.0</v>
      </c>
      <c r="E3628" s="4">
        <v>45836.0</v>
      </c>
      <c r="F3628" s="4" t="str">
        <f>IF(D3628="","", IFNA(VLOOKUP(D3628, SATCAT_DECAY!A:B, 2, FALSE), ""))
</f>
        <v/>
      </c>
      <c r="G3628" s="3" t="str">
        <f t="shared" si="1"/>
        <v>ACTIVE</v>
      </c>
    </row>
    <row r="3629" ht="22.5" customHeight="1">
      <c r="A3629" s="11" t="str">
        <f t="array" ref="A3629">IFERROR(
  INDEX('Starlink Launches'!$A:$A, MATCH($E3629, 'Starlink Launches'!$B:$B, 0)),
  ""
)
</f>
        <v>10-34</v>
      </c>
      <c r="B3629" s="3" t="s">
        <v>25</v>
      </c>
      <c r="C3629" s="12" t="s">
        <v>3649</v>
      </c>
      <c r="D3629" s="13">
        <v>64670.0</v>
      </c>
      <c r="E3629" s="4">
        <v>45836.0</v>
      </c>
      <c r="F3629" s="4" t="str">
        <f>IF(D3629="","", IFNA(VLOOKUP(D3629, SATCAT_DECAY!A:B, 2, FALSE), ""))
</f>
        <v/>
      </c>
      <c r="G3629" s="3" t="str">
        <f t="shared" si="1"/>
        <v>ACTIVE</v>
      </c>
    </row>
    <row r="3630" ht="22.5" customHeight="1">
      <c r="A3630" s="11" t="str">
        <f t="array" ref="A3630">IFERROR(
  INDEX('Starlink Launches'!$A:$A, MATCH($E3630, 'Starlink Launches'!$B:$B, 0)),
  ""
)
</f>
        <v>10-34</v>
      </c>
      <c r="B3630" s="3" t="s">
        <v>25</v>
      </c>
      <c r="C3630" s="12" t="s">
        <v>3650</v>
      </c>
      <c r="D3630" s="13">
        <v>64671.0</v>
      </c>
      <c r="E3630" s="4">
        <v>45836.0</v>
      </c>
      <c r="F3630" s="4" t="str">
        <f>IF(D3630="","", IFNA(VLOOKUP(D3630, SATCAT_DECAY!A:B, 2, FALSE), ""))
</f>
        <v/>
      </c>
      <c r="G3630" s="3" t="str">
        <f t="shared" si="1"/>
        <v>ACTIVE</v>
      </c>
    </row>
    <row r="3631" ht="22.5" customHeight="1">
      <c r="A3631" s="11" t="str">
        <f t="array" ref="A3631">IFERROR(
  INDEX('Starlink Launches'!$A:$A, MATCH($E3631, 'Starlink Launches'!$B:$B, 0)),
  ""
)
</f>
        <v>10-34</v>
      </c>
      <c r="B3631" s="3" t="s">
        <v>25</v>
      </c>
      <c r="C3631" s="12" t="s">
        <v>3651</v>
      </c>
      <c r="D3631" s="13">
        <v>64672.0</v>
      </c>
      <c r="E3631" s="4">
        <v>45836.0</v>
      </c>
      <c r="F3631" s="4" t="str">
        <f>IF(D3631="","", IFNA(VLOOKUP(D3631, SATCAT_DECAY!A:B, 2, FALSE), ""))
</f>
        <v/>
      </c>
      <c r="G3631" s="3" t="str">
        <f t="shared" si="1"/>
        <v>ACTIVE</v>
      </c>
    </row>
    <row r="3632" ht="22.5" customHeight="1">
      <c r="A3632" s="11" t="str">
        <f t="array" ref="A3632">IFERROR(
  INDEX('Starlink Launches'!$A:$A, MATCH($E3632, 'Starlink Launches'!$B:$B, 0)),
  ""
)
</f>
        <v>10-34</v>
      </c>
      <c r="B3632" s="3" t="s">
        <v>25</v>
      </c>
      <c r="C3632" s="12" t="s">
        <v>3652</v>
      </c>
      <c r="D3632" s="13">
        <v>64673.0</v>
      </c>
      <c r="E3632" s="4">
        <v>45836.0</v>
      </c>
      <c r="F3632" s="4" t="str">
        <f>IF(D3632="","", IFNA(VLOOKUP(D3632, SATCAT_DECAY!A:B, 2, FALSE), ""))
</f>
        <v/>
      </c>
      <c r="G3632" s="3" t="str">
        <f t="shared" si="1"/>
        <v>ACTIVE</v>
      </c>
    </row>
    <row r="3633" ht="22.5" customHeight="1">
      <c r="A3633" s="11" t="str">
        <f t="array" ref="A3633">IFERROR(
  INDEX('Starlink Launches'!$A:$A, MATCH($E3633, 'Starlink Launches'!$B:$B, 0)),
  ""
)
</f>
        <v>10-34</v>
      </c>
      <c r="B3633" s="3" t="s">
        <v>25</v>
      </c>
      <c r="C3633" s="12" t="s">
        <v>3653</v>
      </c>
      <c r="D3633" s="13">
        <v>64674.0</v>
      </c>
      <c r="E3633" s="4">
        <v>45836.0</v>
      </c>
      <c r="F3633" s="4" t="str">
        <f>IF(D3633="","", IFNA(VLOOKUP(D3633, SATCAT_DECAY!A:B, 2, FALSE), ""))
</f>
        <v/>
      </c>
      <c r="G3633" s="3" t="str">
        <f t="shared" si="1"/>
        <v>ACTIVE</v>
      </c>
    </row>
    <row r="3634" ht="22.5" customHeight="1">
      <c r="A3634" s="11" t="str">
        <f t="array" ref="A3634">IFERROR(
  INDEX('Starlink Launches'!$A:$A, MATCH($E3634, 'Starlink Launches'!$B:$B, 0)),
  ""
)
</f>
        <v>10-34</v>
      </c>
      <c r="B3634" s="3" t="s">
        <v>25</v>
      </c>
      <c r="C3634" s="12" t="s">
        <v>3654</v>
      </c>
      <c r="D3634" s="13">
        <v>64675.0</v>
      </c>
      <c r="E3634" s="4">
        <v>45836.0</v>
      </c>
      <c r="F3634" s="4" t="str">
        <f>IF(D3634="","", IFNA(VLOOKUP(D3634, SATCAT_DECAY!A:B, 2, FALSE), ""))
</f>
        <v/>
      </c>
      <c r="G3634" s="3" t="str">
        <f t="shared" si="1"/>
        <v>ACTIVE</v>
      </c>
    </row>
    <row r="3635" ht="22.5" customHeight="1">
      <c r="A3635" s="11" t="str">
        <f t="array" ref="A3635">IFERROR(
  INDEX('Starlink Launches'!$A:$A, MATCH($E3635, 'Starlink Launches'!$B:$B, 0)),
  ""
)
</f>
        <v>10-34</v>
      </c>
      <c r="B3635" s="3" t="s">
        <v>25</v>
      </c>
      <c r="C3635" s="12" t="s">
        <v>3655</v>
      </c>
      <c r="D3635" s="13">
        <v>64676.0</v>
      </c>
      <c r="E3635" s="4">
        <v>45836.0</v>
      </c>
      <c r="F3635" s="4" t="str">
        <f>IF(D3635="","", IFNA(VLOOKUP(D3635, SATCAT_DECAY!A:B, 2, FALSE), ""))
</f>
        <v/>
      </c>
      <c r="G3635" s="3" t="str">
        <f t="shared" si="1"/>
        <v>ACTIVE</v>
      </c>
    </row>
    <row r="3636" ht="22.5" customHeight="1">
      <c r="A3636" s="11" t="str">
        <f t="array" ref="A3636">IFERROR(
  INDEX('Starlink Launches'!$A:$A, MATCH($E3636, 'Starlink Launches'!$B:$B, 0)),
  ""
)
</f>
        <v>10-34</v>
      </c>
      <c r="B3636" s="3" t="s">
        <v>25</v>
      </c>
      <c r="C3636" s="12" t="s">
        <v>3656</v>
      </c>
      <c r="D3636" s="13">
        <v>64677.0</v>
      </c>
      <c r="E3636" s="4">
        <v>45836.0</v>
      </c>
      <c r="F3636" s="4" t="str">
        <f>IF(D3636="","", IFNA(VLOOKUP(D3636, SATCAT_DECAY!A:B, 2, FALSE), ""))
</f>
        <v/>
      </c>
      <c r="G3636" s="3" t="str">
        <f t="shared" si="1"/>
        <v>ACTIVE</v>
      </c>
    </row>
    <row r="3637" ht="22.5" customHeight="1">
      <c r="A3637" s="11" t="str">
        <f t="array" ref="A3637">IFERROR(
  INDEX('Starlink Launches'!$A:$A, MATCH($E3637, 'Starlink Launches'!$B:$B, 0)),
  ""
)
</f>
        <v>10-34</v>
      </c>
      <c r="B3637" s="3" t="s">
        <v>25</v>
      </c>
      <c r="C3637" s="12" t="s">
        <v>3657</v>
      </c>
      <c r="D3637" s="13">
        <v>64678.0</v>
      </c>
      <c r="E3637" s="4">
        <v>45836.0</v>
      </c>
      <c r="F3637" s="4" t="str">
        <f>IF(D3637="","", IFNA(VLOOKUP(D3637, SATCAT_DECAY!A:B, 2, FALSE), ""))
</f>
        <v/>
      </c>
      <c r="G3637" s="3" t="str">
        <f t="shared" si="1"/>
        <v>ACTIVE</v>
      </c>
    </row>
    <row r="3638" ht="22.5" customHeight="1">
      <c r="A3638" s="11" t="str">
        <f t="array" ref="A3638">IFERROR(
  INDEX('Starlink Launches'!$A:$A, MATCH($E3638, 'Starlink Launches'!$B:$B, 0)),
  ""
)
</f>
        <v>10-34</v>
      </c>
      <c r="B3638" s="3" t="s">
        <v>25</v>
      </c>
      <c r="C3638" s="12" t="s">
        <v>3658</v>
      </c>
      <c r="D3638" s="13">
        <v>64679.0</v>
      </c>
      <c r="E3638" s="4">
        <v>45836.0</v>
      </c>
      <c r="F3638" s="4" t="str">
        <f>IF(D3638="","", IFNA(VLOOKUP(D3638, SATCAT_DECAY!A:B, 2, FALSE), ""))
</f>
        <v/>
      </c>
      <c r="G3638" s="3" t="str">
        <f t="shared" si="1"/>
        <v>ACTIVE</v>
      </c>
    </row>
    <row r="3639" ht="22.5" customHeight="1">
      <c r="A3639" s="11" t="str">
        <f t="array" ref="A3639">IFERROR(
  INDEX('Starlink Launches'!$A:$A, MATCH($E3639, 'Starlink Launches'!$B:$B, 0)),
  ""
)
</f>
        <v>10-34</v>
      </c>
      <c r="B3639" s="3" t="s">
        <v>25</v>
      </c>
      <c r="C3639" s="12" t="s">
        <v>3659</v>
      </c>
      <c r="D3639" s="13">
        <v>64680.0</v>
      </c>
      <c r="E3639" s="4">
        <v>45836.0</v>
      </c>
      <c r="F3639" s="4" t="str">
        <f>IF(D3639="","", IFNA(VLOOKUP(D3639, SATCAT_DECAY!A:B, 2, FALSE), ""))
</f>
        <v/>
      </c>
      <c r="G3639" s="3" t="str">
        <f t="shared" si="1"/>
        <v>ACTIVE</v>
      </c>
    </row>
    <row r="3640" ht="22.5" customHeight="1">
      <c r="A3640" s="11" t="str">
        <f t="array" ref="A3640">IFERROR(
  INDEX('Starlink Launches'!$A:$A, MATCH($E3640, 'Starlink Launches'!$B:$B, 0)),
  ""
)
</f>
        <v>10-34</v>
      </c>
      <c r="B3640" s="3" t="s">
        <v>25</v>
      </c>
      <c r="C3640" s="12" t="s">
        <v>3660</v>
      </c>
      <c r="D3640" s="13">
        <v>64681.0</v>
      </c>
      <c r="E3640" s="4">
        <v>45836.0</v>
      </c>
      <c r="F3640" s="4" t="str">
        <f>IF(D3640="","", IFNA(VLOOKUP(D3640, SATCAT_DECAY!A:B, 2, FALSE), ""))
</f>
        <v/>
      </c>
      <c r="G3640" s="3" t="str">
        <f t="shared" si="1"/>
        <v>ACTIVE</v>
      </c>
    </row>
    <row r="3641" ht="22.5" customHeight="1">
      <c r="A3641" s="11" t="str">
        <f t="array" ref="A3641">IFERROR(
  INDEX('Starlink Launches'!$A:$A, MATCH($E3641, 'Starlink Launches'!$B:$B, 0)),
  ""
)
</f>
        <v>10-34</v>
      </c>
      <c r="B3641" s="3" t="s">
        <v>25</v>
      </c>
      <c r="C3641" s="12" t="s">
        <v>3661</v>
      </c>
      <c r="D3641" s="13">
        <v>64682.0</v>
      </c>
      <c r="E3641" s="4">
        <v>45836.0</v>
      </c>
      <c r="F3641" s="4" t="str">
        <f>IF(D3641="","", IFNA(VLOOKUP(D3641, SATCAT_DECAY!A:B, 2, FALSE), ""))
</f>
        <v/>
      </c>
      <c r="G3641" s="3" t="str">
        <f t="shared" si="1"/>
        <v>ACTIVE</v>
      </c>
    </row>
    <row r="3642" ht="22.5" customHeight="1">
      <c r="A3642" s="11" t="str">
        <f t="array" ref="A3642">IFERROR(
  INDEX('Starlink Launches'!$A:$A, MATCH($E3642, 'Starlink Launches'!$B:$B, 0)),
  ""
)
</f>
        <v>10-34</v>
      </c>
      <c r="B3642" s="3" t="s">
        <v>25</v>
      </c>
      <c r="C3642" s="12" t="s">
        <v>3662</v>
      </c>
      <c r="D3642" s="13">
        <v>64683.0</v>
      </c>
      <c r="E3642" s="4">
        <v>45836.0</v>
      </c>
      <c r="F3642" s="4" t="str">
        <f>IF(D3642="","", IFNA(VLOOKUP(D3642, SATCAT_DECAY!A:B, 2, FALSE), ""))
</f>
        <v/>
      </c>
      <c r="G3642" s="3" t="str">
        <f t="shared" si="1"/>
        <v>ACTIVE</v>
      </c>
    </row>
    <row r="3643" ht="22.5" customHeight="1">
      <c r="A3643" s="11" t="str">
        <f t="array" ref="A3643">IFERROR(
  INDEX('Starlink Launches'!$A:$A, MATCH($E3643, 'Starlink Launches'!$B:$B, 0)),
  ""
)
</f>
        <v>10-34</v>
      </c>
      <c r="B3643" s="3" t="s">
        <v>25</v>
      </c>
      <c r="C3643" s="12" t="s">
        <v>3663</v>
      </c>
      <c r="D3643" s="13">
        <v>64684.0</v>
      </c>
      <c r="E3643" s="4">
        <v>45836.0</v>
      </c>
      <c r="F3643" s="4" t="str">
        <f>IF(D3643="","", IFNA(VLOOKUP(D3643, SATCAT_DECAY!A:B, 2, FALSE), ""))
</f>
        <v/>
      </c>
      <c r="G3643" s="3" t="str">
        <f t="shared" si="1"/>
        <v>ACTIVE</v>
      </c>
    </row>
    <row r="3644" ht="22.5" customHeight="1">
      <c r="A3644" s="11" t="str">
        <f t="array" ref="A3644">IFERROR(
  INDEX('Starlink Launches'!$A:$A, MATCH($E3644, 'Starlink Launches'!$B:$B, 0)),
  ""
)
</f>
        <v>10-34</v>
      </c>
      <c r="B3644" s="3" t="s">
        <v>25</v>
      </c>
      <c r="C3644" s="12" t="s">
        <v>3664</v>
      </c>
      <c r="D3644" s="13">
        <v>64685.0</v>
      </c>
      <c r="E3644" s="4">
        <v>45836.0</v>
      </c>
      <c r="F3644" s="4" t="str">
        <f>IF(D3644="","", IFNA(VLOOKUP(D3644, SATCAT_DECAY!A:B, 2, FALSE), ""))
</f>
        <v/>
      </c>
      <c r="G3644" s="3" t="str">
        <f t="shared" si="1"/>
        <v>ACTIVE</v>
      </c>
    </row>
    <row r="3645" ht="22.5" customHeight="1">
      <c r="A3645" s="11" t="str">
        <f t="array" ref="A3645">IFERROR(
  INDEX('Starlink Launches'!$A:$A, MATCH($E3645, 'Starlink Launches'!$B:$B, 0)),
  ""
)
</f>
        <v>10-34</v>
      </c>
      <c r="B3645" s="3" t="s">
        <v>25</v>
      </c>
      <c r="C3645" s="12" t="s">
        <v>3665</v>
      </c>
      <c r="D3645" s="13">
        <v>64686.0</v>
      </c>
      <c r="E3645" s="4">
        <v>45836.0</v>
      </c>
      <c r="F3645" s="4" t="str">
        <f>IF(D3645="","", IFNA(VLOOKUP(D3645, SATCAT_DECAY!A:B, 2, FALSE), ""))
</f>
        <v/>
      </c>
      <c r="G3645" s="3" t="str">
        <f t="shared" si="1"/>
        <v>ACTIVE</v>
      </c>
    </row>
    <row r="3646" ht="22.5" customHeight="1">
      <c r="A3646" s="11" t="str">
        <f t="array" ref="A3646">IFERROR(
  INDEX('Starlink Launches'!$A:$A, MATCH($E3646, 'Starlink Launches'!$B:$B, 0)),
  ""
)
</f>
        <v>10-34</v>
      </c>
      <c r="B3646" s="3" t="s">
        <v>25</v>
      </c>
      <c r="C3646" s="12" t="s">
        <v>3666</v>
      </c>
      <c r="D3646" s="13">
        <v>64687.0</v>
      </c>
      <c r="E3646" s="4">
        <v>45836.0</v>
      </c>
      <c r="F3646" s="4" t="str">
        <f>IF(D3646="","", IFNA(VLOOKUP(D3646, SATCAT_DECAY!A:B, 2, FALSE), ""))
</f>
        <v/>
      </c>
      <c r="G3646" s="3" t="str">
        <f t="shared" si="1"/>
        <v>ACTIVE</v>
      </c>
    </row>
    <row r="3647" ht="22.5" customHeight="1">
      <c r="A3647" s="11" t="str">
        <f t="array" ref="A3647">IFERROR(
  INDEX('Starlink Launches'!$A:$A, MATCH($E3647, 'Starlink Launches'!$B:$B, 0)),
  ""
)
</f>
        <v>10-34</v>
      </c>
      <c r="B3647" s="3" t="s">
        <v>25</v>
      </c>
      <c r="C3647" s="12" t="s">
        <v>3667</v>
      </c>
      <c r="D3647" s="13">
        <v>64688.0</v>
      </c>
      <c r="E3647" s="4">
        <v>45836.0</v>
      </c>
      <c r="F3647" s="4" t="str">
        <f>IF(D3647="","", IFNA(VLOOKUP(D3647, SATCAT_DECAY!A:B, 2, FALSE), ""))
</f>
        <v/>
      </c>
      <c r="G3647" s="3" t="str">
        <f t="shared" si="1"/>
        <v>ACTIVE</v>
      </c>
    </row>
    <row r="3648" ht="22.5" customHeight="1">
      <c r="A3648" s="11" t="str">
        <f t="array" ref="A3648">IFERROR(
  INDEX('Starlink Launches'!$A:$A, MATCH($E3648, 'Starlink Launches'!$B:$B, 0)),
  ""
)
</f>
        <v>10-34</v>
      </c>
      <c r="B3648" s="3" t="s">
        <v>25</v>
      </c>
      <c r="C3648" s="12" t="s">
        <v>3668</v>
      </c>
      <c r="D3648" s="13">
        <v>64689.0</v>
      </c>
      <c r="E3648" s="4">
        <v>45836.0</v>
      </c>
      <c r="F3648" s="4" t="str">
        <f>IF(D3648="","", IFNA(VLOOKUP(D3648, SATCAT_DECAY!A:B, 2, FALSE), ""))
</f>
        <v/>
      </c>
      <c r="G3648" s="3" t="str">
        <f t="shared" si="1"/>
        <v>ACTIVE</v>
      </c>
    </row>
    <row r="3649" ht="22.5" customHeight="1">
      <c r="A3649" s="11" t="str">
        <f t="array" ref="A3649">IFERROR(
  INDEX('Starlink Launches'!$A:$A, MATCH($E3649, 'Starlink Launches'!$B:$B, 0)),
  ""
)
</f>
        <v>10-34</v>
      </c>
      <c r="B3649" s="3" t="s">
        <v>25</v>
      </c>
      <c r="C3649" s="12" t="s">
        <v>3669</v>
      </c>
      <c r="D3649" s="13">
        <v>64690.0</v>
      </c>
      <c r="E3649" s="4">
        <v>45836.0</v>
      </c>
      <c r="F3649" s="4" t="str">
        <f>IF(D3649="","", IFNA(VLOOKUP(D3649, SATCAT_DECAY!A:B, 2, FALSE), ""))
</f>
        <v/>
      </c>
      <c r="G3649" s="3" t="str">
        <f t="shared" si="1"/>
        <v>ACTIVE</v>
      </c>
    </row>
    <row r="3650" ht="22.5" customHeight="1">
      <c r="A3650" s="11" t="str">
        <f t="array" ref="A3650">IFERROR(
  INDEX('Starlink Launches'!$A:$A, MATCH($E3650, 'Starlink Launches'!$B:$B, 0)),
  ""
)
</f>
        <v>10-25</v>
      </c>
      <c r="B3650" s="3" t="s">
        <v>25</v>
      </c>
      <c r="C3650" s="12" t="s">
        <v>3670</v>
      </c>
      <c r="D3650" s="13">
        <v>64724.0</v>
      </c>
      <c r="E3650" s="4">
        <v>45840.0</v>
      </c>
      <c r="F3650" s="4" t="str">
        <f>IF(D3650="","", IFNA(VLOOKUP(D3650, SATCAT_DECAY!A:B, 2, FALSE), ""))
</f>
        <v/>
      </c>
      <c r="G3650" s="3" t="str">
        <f t="shared" si="1"/>
        <v>ACTIVE</v>
      </c>
    </row>
    <row r="3651" ht="22.5" customHeight="1">
      <c r="A3651" s="11" t="str">
        <f t="array" ref="A3651">IFERROR(
  INDEX('Starlink Launches'!$A:$A, MATCH($E3651, 'Starlink Launches'!$B:$B, 0)),
  ""
)
</f>
        <v>10-25</v>
      </c>
      <c r="B3651" s="3" t="s">
        <v>25</v>
      </c>
      <c r="C3651" s="12" t="s">
        <v>3671</v>
      </c>
      <c r="D3651" s="13">
        <v>64725.0</v>
      </c>
      <c r="E3651" s="4">
        <v>45840.0</v>
      </c>
      <c r="F3651" s="4" t="str">
        <f>IF(D3651="","", IFNA(VLOOKUP(D3651, SATCAT_DECAY!A:B, 2, FALSE), ""))
</f>
        <v/>
      </c>
      <c r="G3651" s="3" t="str">
        <f t="shared" si="1"/>
        <v>ACTIVE</v>
      </c>
    </row>
    <row r="3652" ht="22.5" customHeight="1">
      <c r="A3652" s="11" t="str">
        <f t="array" ref="A3652">IFERROR(
  INDEX('Starlink Launches'!$A:$A, MATCH($E3652, 'Starlink Launches'!$B:$B, 0)),
  ""
)
</f>
        <v>10-25</v>
      </c>
      <c r="B3652" s="3" t="s">
        <v>25</v>
      </c>
      <c r="C3652" s="12" t="s">
        <v>3672</v>
      </c>
      <c r="D3652" s="13">
        <v>64726.0</v>
      </c>
      <c r="E3652" s="4">
        <v>45840.0</v>
      </c>
      <c r="F3652" s="4" t="str">
        <f>IF(D3652="","", IFNA(VLOOKUP(D3652, SATCAT_DECAY!A:B, 2, FALSE), ""))
</f>
        <v/>
      </c>
      <c r="G3652" s="3" t="str">
        <f t="shared" si="1"/>
        <v>ACTIVE</v>
      </c>
    </row>
    <row r="3653" ht="22.5" customHeight="1">
      <c r="A3653" s="11" t="str">
        <f t="array" ref="A3653">IFERROR(
  INDEX('Starlink Launches'!$A:$A, MATCH($E3653, 'Starlink Launches'!$B:$B, 0)),
  ""
)
</f>
        <v>10-25</v>
      </c>
      <c r="B3653" s="3" t="s">
        <v>25</v>
      </c>
      <c r="C3653" s="12" t="s">
        <v>3673</v>
      </c>
      <c r="D3653" s="13">
        <v>64727.0</v>
      </c>
      <c r="E3653" s="4">
        <v>45840.0</v>
      </c>
      <c r="F3653" s="4" t="str">
        <f>IF(D3653="","", IFNA(VLOOKUP(D3653, SATCAT_DECAY!A:B, 2, FALSE), ""))
</f>
        <v/>
      </c>
      <c r="G3653" s="3" t="str">
        <f t="shared" si="1"/>
        <v>ACTIVE</v>
      </c>
    </row>
    <row r="3654" ht="22.5" customHeight="1">
      <c r="A3654" s="11" t="str">
        <f t="array" ref="A3654">IFERROR(
  INDEX('Starlink Launches'!$A:$A, MATCH($E3654, 'Starlink Launches'!$B:$B, 0)),
  ""
)
</f>
        <v>10-25</v>
      </c>
      <c r="B3654" s="3" t="s">
        <v>25</v>
      </c>
      <c r="C3654" s="12" t="s">
        <v>3674</v>
      </c>
      <c r="D3654" s="13">
        <v>64728.0</v>
      </c>
      <c r="E3654" s="4">
        <v>45840.0</v>
      </c>
      <c r="F3654" s="4" t="str">
        <f>IF(D3654="","", IFNA(VLOOKUP(D3654, SATCAT_DECAY!A:B, 2, FALSE), ""))
</f>
        <v/>
      </c>
      <c r="G3654" s="3" t="str">
        <f t="shared" si="1"/>
        <v>ACTIVE</v>
      </c>
    </row>
    <row r="3655" ht="22.5" customHeight="1">
      <c r="A3655" s="11" t="str">
        <f t="array" ref="A3655">IFERROR(
  INDEX('Starlink Launches'!$A:$A, MATCH($E3655, 'Starlink Launches'!$B:$B, 0)),
  ""
)
</f>
        <v>10-25</v>
      </c>
      <c r="B3655" s="3" t="s">
        <v>25</v>
      </c>
      <c r="C3655" s="12" t="s">
        <v>3675</v>
      </c>
      <c r="D3655" s="13">
        <v>64729.0</v>
      </c>
      <c r="E3655" s="4">
        <v>45840.0</v>
      </c>
      <c r="F3655" s="4" t="str">
        <f>IF(D3655="","", IFNA(VLOOKUP(D3655, SATCAT_DECAY!A:B, 2, FALSE), ""))
</f>
        <v/>
      </c>
      <c r="G3655" s="3" t="str">
        <f t="shared" si="1"/>
        <v>ACTIVE</v>
      </c>
    </row>
    <row r="3656" ht="22.5" customHeight="1">
      <c r="A3656" s="11" t="str">
        <f t="array" ref="A3656">IFERROR(
  INDEX('Starlink Launches'!$A:$A, MATCH($E3656, 'Starlink Launches'!$B:$B, 0)),
  ""
)
</f>
        <v>10-25</v>
      </c>
      <c r="B3656" s="3" t="s">
        <v>25</v>
      </c>
      <c r="C3656" s="12" t="s">
        <v>3676</v>
      </c>
      <c r="D3656" s="13">
        <v>64730.0</v>
      </c>
      <c r="E3656" s="4">
        <v>45840.0</v>
      </c>
      <c r="F3656" s="4" t="str">
        <f>IF(D3656="","", IFNA(VLOOKUP(D3656, SATCAT_DECAY!A:B, 2, FALSE), ""))
</f>
        <v/>
      </c>
      <c r="G3656" s="3" t="str">
        <f t="shared" si="1"/>
        <v>ACTIVE</v>
      </c>
    </row>
    <row r="3657" ht="22.5" customHeight="1">
      <c r="A3657" s="11" t="str">
        <f t="array" ref="A3657">IFERROR(
  INDEX('Starlink Launches'!$A:$A, MATCH($E3657, 'Starlink Launches'!$B:$B, 0)),
  ""
)
</f>
        <v>10-25</v>
      </c>
      <c r="B3657" s="3" t="s">
        <v>25</v>
      </c>
      <c r="C3657" s="12" t="s">
        <v>3677</v>
      </c>
      <c r="D3657" s="13">
        <v>64731.0</v>
      </c>
      <c r="E3657" s="4">
        <v>45840.0</v>
      </c>
      <c r="F3657" s="4" t="str">
        <f>IF(D3657="","", IFNA(VLOOKUP(D3657, SATCAT_DECAY!A:B, 2, FALSE), ""))
</f>
        <v/>
      </c>
      <c r="G3657" s="3" t="str">
        <f t="shared" si="1"/>
        <v>ACTIVE</v>
      </c>
    </row>
    <row r="3658" ht="22.5" customHeight="1">
      <c r="A3658" s="11" t="str">
        <f t="array" ref="A3658">IFERROR(
  INDEX('Starlink Launches'!$A:$A, MATCH($E3658, 'Starlink Launches'!$B:$B, 0)),
  ""
)
</f>
        <v>10-25</v>
      </c>
      <c r="B3658" s="3" t="s">
        <v>25</v>
      </c>
      <c r="C3658" s="12" t="s">
        <v>3678</v>
      </c>
      <c r="D3658" s="13">
        <v>64732.0</v>
      </c>
      <c r="E3658" s="4">
        <v>45840.0</v>
      </c>
      <c r="F3658" s="4" t="str">
        <f>IF(D3658="","", IFNA(VLOOKUP(D3658, SATCAT_DECAY!A:B, 2, FALSE), ""))
</f>
        <v/>
      </c>
      <c r="G3658" s="3" t="str">
        <f t="shared" si="1"/>
        <v>ACTIVE</v>
      </c>
    </row>
    <row r="3659" ht="22.5" customHeight="1">
      <c r="A3659" s="11" t="str">
        <f t="array" ref="A3659">IFERROR(
  INDEX('Starlink Launches'!$A:$A, MATCH($E3659, 'Starlink Launches'!$B:$B, 0)),
  ""
)
</f>
        <v>10-25</v>
      </c>
      <c r="B3659" s="3" t="s">
        <v>25</v>
      </c>
      <c r="C3659" s="12" t="s">
        <v>3679</v>
      </c>
      <c r="D3659" s="13">
        <v>64733.0</v>
      </c>
      <c r="E3659" s="4">
        <v>45840.0</v>
      </c>
      <c r="F3659" s="4" t="str">
        <f>IF(D3659="","", IFNA(VLOOKUP(D3659, SATCAT_DECAY!A:B, 2, FALSE), ""))
</f>
        <v/>
      </c>
      <c r="G3659" s="3" t="str">
        <f t="shared" si="1"/>
        <v>ACTIVE</v>
      </c>
    </row>
    <row r="3660" ht="22.5" customHeight="1">
      <c r="A3660" s="11" t="str">
        <f t="array" ref="A3660">IFERROR(
  INDEX('Starlink Launches'!$A:$A, MATCH($E3660, 'Starlink Launches'!$B:$B, 0)),
  ""
)
</f>
        <v>10-25</v>
      </c>
      <c r="B3660" s="3" t="s">
        <v>25</v>
      </c>
      <c r="C3660" s="12" t="s">
        <v>3680</v>
      </c>
      <c r="D3660" s="13">
        <v>64734.0</v>
      </c>
      <c r="E3660" s="4">
        <v>45840.0</v>
      </c>
      <c r="F3660" s="4" t="str">
        <f>IF(D3660="","", IFNA(VLOOKUP(D3660, SATCAT_DECAY!A:B, 2, FALSE), ""))
</f>
        <v/>
      </c>
      <c r="G3660" s="3" t="str">
        <f t="shared" si="1"/>
        <v>ACTIVE</v>
      </c>
    </row>
    <row r="3661" ht="22.5" customHeight="1">
      <c r="A3661" s="11" t="str">
        <f t="array" ref="A3661">IFERROR(
  INDEX('Starlink Launches'!$A:$A, MATCH($E3661, 'Starlink Launches'!$B:$B, 0)),
  ""
)
</f>
        <v>10-25</v>
      </c>
      <c r="B3661" s="3" t="s">
        <v>25</v>
      </c>
      <c r="C3661" s="12" t="s">
        <v>3681</v>
      </c>
      <c r="D3661" s="13">
        <v>64735.0</v>
      </c>
      <c r="E3661" s="4">
        <v>45840.0</v>
      </c>
      <c r="F3661" s="4" t="str">
        <f>IF(D3661="","", IFNA(VLOOKUP(D3661, SATCAT_DECAY!A:B, 2, FALSE), ""))
</f>
        <v/>
      </c>
      <c r="G3661" s="3" t="str">
        <f t="shared" si="1"/>
        <v>ACTIVE</v>
      </c>
    </row>
    <row r="3662" ht="22.5" customHeight="1">
      <c r="A3662" s="11" t="str">
        <f t="array" ref="A3662">IFERROR(
  INDEX('Starlink Launches'!$A:$A, MATCH($E3662, 'Starlink Launches'!$B:$B, 0)),
  ""
)
</f>
        <v>10-25</v>
      </c>
      <c r="B3662" s="3" t="s">
        <v>25</v>
      </c>
      <c r="C3662" s="12" t="s">
        <v>3682</v>
      </c>
      <c r="D3662" s="13">
        <v>64736.0</v>
      </c>
      <c r="E3662" s="4">
        <v>45840.0</v>
      </c>
      <c r="F3662" s="4" t="str">
        <f>IF(D3662="","", IFNA(VLOOKUP(D3662, SATCAT_DECAY!A:B, 2, FALSE), ""))
</f>
        <v/>
      </c>
      <c r="G3662" s="3" t="str">
        <f t="shared" si="1"/>
        <v>ACTIVE</v>
      </c>
    </row>
    <row r="3663" ht="22.5" customHeight="1">
      <c r="A3663" s="11" t="str">
        <f t="array" ref="A3663">IFERROR(
  INDEX('Starlink Launches'!$A:$A, MATCH($E3663, 'Starlink Launches'!$B:$B, 0)),
  ""
)
</f>
        <v>10-25</v>
      </c>
      <c r="B3663" s="3" t="s">
        <v>25</v>
      </c>
      <c r="C3663" s="12" t="s">
        <v>3683</v>
      </c>
      <c r="D3663" s="13">
        <v>64737.0</v>
      </c>
      <c r="E3663" s="4">
        <v>45840.0</v>
      </c>
      <c r="F3663" s="4" t="str">
        <f>IF(D3663="","", IFNA(VLOOKUP(D3663, SATCAT_DECAY!A:B, 2, FALSE), ""))
</f>
        <v/>
      </c>
      <c r="G3663" s="3" t="str">
        <f t="shared" si="1"/>
        <v>ACTIVE</v>
      </c>
    </row>
    <row r="3664" ht="22.5" customHeight="1">
      <c r="A3664" s="11" t="str">
        <f t="array" ref="A3664">IFERROR(
  INDEX('Starlink Launches'!$A:$A, MATCH($E3664, 'Starlink Launches'!$B:$B, 0)),
  ""
)
</f>
        <v>10-25</v>
      </c>
      <c r="B3664" s="3" t="s">
        <v>25</v>
      </c>
      <c r="C3664" s="12" t="s">
        <v>3684</v>
      </c>
      <c r="D3664" s="13">
        <v>64738.0</v>
      </c>
      <c r="E3664" s="4">
        <v>45840.0</v>
      </c>
      <c r="F3664" s="4" t="str">
        <f>IF(D3664="","", IFNA(VLOOKUP(D3664, SATCAT_DECAY!A:B, 2, FALSE), ""))
</f>
        <v/>
      </c>
      <c r="G3664" s="3" t="str">
        <f t="shared" si="1"/>
        <v>ACTIVE</v>
      </c>
    </row>
    <row r="3665" ht="22.5" customHeight="1">
      <c r="A3665" s="11" t="str">
        <f t="array" ref="A3665">IFERROR(
  INDEX('Starlink Launches'!$A:$A, MATCH($E3665, 'Starlink Launches'!$B:$B, 0)),
  ""
)
</f>
        <v>10-25</v>
      </c>
      <c r="B3665" s="3" t="s">
        <v>25</v>
      </c>
      <c r="C3665" s="12" t="s">
        <v>3685</v>
      </c>
      <c r="D3665" s="13">
        <v>64739.0</v>
      </c>
      <c r="E3665" s="4">
        <v>45840.0</v>
      </c>
      <c r="F3665" s="4" t="str">
        <f>IF(D3665="","", IFNA(VLOOKUP(D3665, SATCAT_DECAY!A:B, 2, FALSE), ""))
</f>
        <v/>
      </c>
      <c r="G3665" s="3" t="str">
        <f t="shared" si="1"/>
        <v>ACTIVE</v>
      </c>
    </row>
    <row r="3666" ht="22.5" customHeight="1">
      <c r="A3666" s="11" t="str">
        <f t="array" ref="A3666">IFERROR(
  INDEX('Starlink Launches'!$A:$A, MATCH($E3666, 'Starlink Launches'!$B:$B, 0)),
  ""
)
</f>
        <v>10-25</v>
      </c>
      <c r="B3666" s="3" t="s">
        <v>25</v>
      </c>
      <c r="C3666" s="12" t="s">
        <v>3686</v>
      </c>
      <c r="D3666" s="13">
        <v>64740.0</v>
      </c>
      <c r="E3666" s="4">
        <v>45840.0</v>
      </c>
      <c r="F3666" s="4" t="str">
        <f>IF(D3666="","", IFNA(VLOOKUP(D3666, SATCAT_DECAY!A:B, 2, FALSE), ""))
</f>
        <v/>
      </c>
      <c r="G3666" s="3" t="str">
        <f t="shared" si="1"/>
        <v>ACTIVE</v>
      </c>
    </row>
    <row r="3667" ht="22.5" customHeight="1">
      <c r="A3667" s="11" t="str">
        <f t="array" ref="A3667">IFERROR(
  INDEX('Starlink Launches'!$A:$A, MATCH($E3667, 'Starlink Launches'!$B:$B, 0)),
  ""
)
</f>
        <v>10-25</v>
      </c>
      <c r="B3667" s="3" t="s">
        <v>25</v>
      </c>
      <c r="C3667" s="12" t="s">
        <v>3687</v>
      </c>
      <c r="D3667" s="13">
        <v>64741.0</v>
      </c>
      <c r="E3667" s="4">
        <v>45840.0</v>
      </c>
      <c r="F3667" s="4" t="str">
        <f>IF(D3667="","", IFNA(VLOOKUP(D3667, SATCAT_DECAY!A:B, 2, FALSE), ""))
</f>
        <v/>
      </c>
      <c r="G3667" s="3" t="str">
        <f t="shared" si="1"/>
        <v>ACTIVE</v>
      </c>
    </row>
    <row r="3668" ht="22.5" customHeight="1">
      <c r="A3668" s="11" t="str">
        <f t="array" ref="A3668">IFERROR(
  INDEX('Starlink Launches'!$A:$A, MATCH($E3668, 'Starlink Launches'!$B:$B, 0)),
  ""
)
</f>
        <v>10-25</v>
      </c>
      <c r="B3668" s="3" t="s">
        <v>25</v>
      </c>
      <c r="C3668" s="12" t="s">
        <v>3688</v>
      </c>
      <c r="D3668" s="13">
        <v>64742.0</v>
      </c>
      <c r="E3668" s="4">
        <v>45840.0</v>
      </c>
      <c r="F3668" s="4" t="str">
        <f>IF(D3668="","", IFNA(VLOOKUP(D3668, SATCAT_DECAY!A:B, 2, FALSE), ""))
</f>
        <v/>
      </c>
      <c r="G3668" s="3" t="str">
        <f t="shared" si="1"/>
        <v>ACTIVE</v>
      </c>
    </row>
    <row r="3669" ht="22.5" customHeight="1">
      <c r="A3669" s="11" t="str">
        <f t="array" ref="A3669">IFERROR(
  INDEX('Starlink Launches'!$A:$A, MATCH($E3669, 'Starlink Launches'!$B:$B, 0)),
  ""
)
</f>
        <v>10-25</v>
      </c>
      <c r="B3669" s="3" t="s">
        <v>25</v>
      </c>
      <c r="C3669" s="12" t="s">
        <v>3689</v>
      </c>
      <c r="D3669" s="13">
        <v>64743.0</v>
      </c>
      <c r="E3669" s="4">
        <v>45840.0</v>
      </c>
      <c r="F3669" s="4" t="str">
        <f>IF(D3669="","", IFNA(VLOOKUP(D3669, SATCAT_DECAY!A:B, 2, FALSE), ""))
</f>
        <v/>
      </c>
      <c r="G3669" s="3" t="str">
        <f t="shared" si="1"/>
        <v>ACTIVE</v>
      </c>
    </row>
    <row r="3670" ht="22.5" customHeight="1">
      <c r="A3670" s="11" t="str">
        <f t="array" ref="A3670">IFERROR(
  INDEX('Starlink Launches'!$A:$A, MATCH($E3670, 'Starlink Launches'!$B:$B, 0)),
  ""
)
</f>
        <v>10-25</v>
      </c>
      <c r="B3670" s="3" t="s">
        <v>25</v>
      </c>
      <c r="C3670" s="12" t="s">
        <v>3690</v>
      </c>
      <c r="D3670" s="13">
        <v>64744.0</v>
      </c>
      <c r="E3670" s="4">
        <v>45840.0</v>
      </c>
      <c r="F3670" s="4" t="str">
        <f>IF(D3670="","", IFNA(VLOOKUP(D3670, SATCAT_DECAY!A:B, 2, FALSE), ""))
</f>
        <v/>
      </c>
      <c r="G3670" s="3" t="str">
        <f t="shared" si="1"/>
        <v>ACTIVE</v>
      </c>
    </row>
    <row r="3671" ht="22.5" customHeight="1">
      <c r="A3671" s="11" t="str">
        <f t="array" ref="A3671">IFERROR(
  INDEX('Starlink Launches'!$A:$A, MATCH($E3671, 'Starlink Launches'!$B:$B, 0)),
  ""
)
</f>
        <v>10-25</v>
      </c>
      <c r="B3671" s="3" t="s">
        <v>25</v>
      </c>
      <c r="C3671" s="12" t="s">
        <v>3691</v>
      </c>
      <c r="D3671" s="13">
        <v>64745.0</v>
      </c>
      <c r="E3671" s="4">
        <v>45840.0</v>
      </c>
      <c r="F3671" s="4" t="str">
        <f>IF(D3671="","", IFNA(VLOOKUP(D3671, SATCAT_DECAY!A:B, 2, FALSE), ""))
</f>
        <v/>
      </c>
      <c r="G3671" s="3" t="str">
        <f t="shared" si="1"/>
        <v>ACTIVE</v>
      </c>
    </row>
    <row r="3672" ht="22.5" customHeight="1">
      <c r="A3672" s="11" t="str">
        <f t="array" ref="A3672">IFERROR(
  INDEX('Starlink Launches'!$A:$A, MATCH($E3672, 'Starlink Launches'!$B:$B, 0)),
  ""
)
</f>
        <v>10-25</v>
      </c>
      <c r="B3672" s="3" t="s">
        <v>25</v>
      </c>
      <c r="C3672" s="12" t="s">
        <v>3692</v>
      </c>
      <c r="D3672" s="13">
        <v>64746.0</v>
      </c>
      <c r="E3672" s="4">
        <v>45840.0</v>
      </c>
      <c r="F3672" s="4" t="str">
        <f>IF(D3672="","", IFNA(VLOOKUP(D3672, SATCAT_DECAY!A:B, 2, FALSE), ""))
</f>
        <v/>
      </c>
      <c r="G3672" s="3" t="str">
        <f t="shared" si="1"/>
        <v>ACTIVE</v>
      </c>
    </row>
    <row r="3673" ht="22.5" customHeight="1">
      <c r="A3673" s="11" t="str">
        <f t="array" ref="A3673">IFERROR(
  INDEX('Starlink Launches'!$A:$A, MATCH($E3673, 'Starlink Launches'!$B:$B, 0)),
  ""
)
</f>
        <v>10-25</v>
      </c>
      <c r="B3673" s="3" t="s">
        <v>25</v>
      </c>
      <c r="C3673" s="12" t="s">
        <v>3693</v>
      </c>
      <c r="D3673" s="13">
        <v>64747.0</v>
      </c>
      <c r="E3673" s="4">
        <v>45840.0</v>
      </c>
      <c r="F3673" s="4" t="str">
        <f>IF(D3673="","", IFNA(VLOOKUP(D3673, SATCAT_DECAY!A:B, 2, FALSE), ""))
</f>
        <v/>
      </c>
      <c r="G3673" s="3" t="str">
        <f t="shared" si="1"/>
        <v>ACTIVE</v>
      </c>
    </row>
    <row r="3674" ht="22.5" customHeight="1">
      <c r="A3674" s="11" t="str">
        <f t="array" ref="A3674">IFERROR(
  INDEX('Starlink Launches'!$A:$A, MATCH($E3674, 'Starlink Launches'!$B:$B, 0)),
  ""
)
</f>
        <v>10-25</v>
      </c>
      <c r="B3674" s="3" t="s">
        <v>25</v>
      </c>
      <c r="C3674" s="12" t="s">
        <v>3694</v>
      </c>
      <c r="D3674" s="13">
        <v>64748.0</v>
      </c>
      <c r="E3674" s="4">
        <v>45840.0</v>
      </c>
      <c r="F3674" s="4" t="str">
        <f>IF(D3674="","", IFNA(VLOOKUP(D3674, SATCAT_DECAY!A:B, 2, FALSE), ""))
</f>
        <v/>
      </c>
      <c r="G3674" s="3" t="str">
        <f t="shared" si="1"/>
        <v>ACTIVE</v>
      </c>
    </row>
    <row r="3675" ht="22.5" customHeight="1">
      <c r="A3675" s="11" t="str">
        <f t="array" ref="A3675">IFERROR(
  INDEX('Starlink Launches'!$A:$A, MATCH($E3675, 'Starlink Launches'!$B:$B, 0)),
  ""
)
</f>
        <v>10-25</v>
      </c>
      <c r="B3675" s="3" t="s">
        <v>25</v>
      </c>
      <c r="C3675" s="12" t="s">
        <v>3695</v>
      </c>
      <c r="D3675" s="13">
        <v>64749.0</v>
      </c>
      <c r="E3675" s="4">
        <v>45840.0</v>
      </c>
      <c r="F3675" s="4" t="str">
        <f>IF(D3675="","", IFNA(VLOOKUP(D3675, SATCAT_DECAY!A:B, 2, FALSE), ""))
</f>
        <v/>
      </c>
      <c r="G3675" s="3" t="str">
        <f t="shared" si="1"/>
        <v>ACTIVE</v>
      </c>
    </row>
    <row r="3676" ht="22.5" customHeight="1">
      <c r="A3676" s="11" t="str">
        <f t="array" ref="A3676">IFERROR(
  INDEX('Starlink Launches'!$A:$A, MATCH($E3676, 'Starlink Launches'!$B:$B, 0)),
  ""
)
</f>
        <v>10-25</v>
      </c>
      <c r="B3676" s="3" t="s">
        <v>25</v>
      </c>
      <c r="C3676" s="12" t="s">
        <v>3696</v>
      </c>
      <c r="D3676" s="13">
        <v>64750.0</v>
      </c>
      <c r="E3676" s="4">
        <v>45840.0</v>
      </c>
      <c r="F3676" s="4" t="str">
        <f>IF(D3676="","", IFNA(VLOOKUP(D3676, SATCAT_DECAY!A:B, 2, FALSE), ""))
</f>
        <v/>
      </c>
      <c r="G3676" s="3" t="str">
        <f t="shared" si="1"/>
        <v>ACTIVE</v>
      </c>
    </row>
    <row r="3677" ht="22.5" customHeight="1">
      <c r="A3677" s="11" t="str">
        <f t="array" ref="A3677">IFERROR(
  INDEX('Starlink Launches'!$A:$A, MATCH($E3677, 'Starlink Launches'!$B:$B, 0)),
  ""
)
</f>
        <v>10-28</v>
      </c>
      <c r="B3677" s="3" t="s">
        <v>25</v>
      </c>
      <c r="C3677" s="12" t="s">
        <v>3697</v>
      </c>
      <c r="D3677" s="13">
        <v>64755.0</v>
      </c>
      <c r="E3677" s="4">
        <v>45846.0</v>
      </c>
      <c r="F3677" s="4" t="str">
        <f>IF(D3677="","", IFNA(VLOOKUP(D3677, SATCAT_DECAY!A:B, 2, FALSE), ""))
</f>
        <v/>
      </c>
      <c r="G3677" s="3" t="str">
        <f t="shared" si="1"/>
        <v>ACTIVE</v>
      </c>
    </row>
    <row r="3678" ht="22.5" customHeight="1">
      <c r="A3678" s="11" t="str">
        <f t="array" ref="A3678">IFERROR(
  INDEX('Starlink Launches'!$A:$A, MATCH($E3678, 'Starlink Launches'!$B:$B, 0)),
  ""
)
</f>
        <v>10-28</v>
      </c>
      <c r="B3678" s="3" t="s">
        <v>25</v>
      </c>
      <c r="C3678" s="12" t="s">
        <v>3698</v>
      </c>
      <c r="D3678" s="13">
        <v>64756.0</v>
      </c>
      <c r="E3678" s="4">
        <v>45846.0</v>
      </c>
      <c r="F3678" s="4" t="str">
        <f>IF(D3678="","", IFNA(VLOOKUP(D3678, SATCAT_DECAY!A:B, 2, FALSE), ""))
</f>
        <v/>
      </c>
      <c r="G3678" s="3" t="str">
        <f t="shared" si="1"/>
        <v>ACTIVE</v>
      </c>
    </row>
    <row r="3679" ht="22.5" customHeight="1">
      <c r="A3679" s="11" t="str">
        <f t="array" ref="A3679">IFERROR(
  INDEX('Starlink Launches'!$A:$A, MATCH($E3679, 'Starlink Launches'!$B:$B, 0)),
  ""
)
</f>
        <v>10-28</v>
      </c>
      <c r="B3679" s="3" t="s">
        <v>25</v>
      </c>
      <c r="C3679" s="12" t="s">
        <v>3699</v>
      </c>
      <c r="D3679" s="13">
        <v>64757.0</v>
      </c>
      <c r="E3679" s="4">
        <v>45846.0</v>
      </c>
      <c r="F3679" s="4" t="str">
        <f>IF(D3679="","", IFNA(VLOOKUP(D3679, SATCAT_DECAY!A:B, 2, FALSE), ""))
</f>
        <v/>
      </c>
      <c r="G3679" s="3" t="str">
        <f t="shared" si="1"/>
        <v>ACTIVE</v>
      </c>
    </row>
    <row r="3680" ht="22.5" customHeight="1">
      <c r="A3680" s="11" t="str">
        <f t="array" ref="A3680">IFERROR(
  INDEX('Starlink Launches'!$A:$A, MATCH($E3680, 'Starlink Launches'!$B:$B, 0)),
  ""
)
</f>
        <v>10-28</v>
      </c>
      <c r="B3680" s="3" t="s">
        <v>25</v>
      </c>
      <c r="C3680" s="12" t="s">
        <v>3700</v>
      </c>
      <c r="D3680" s="13">
        <v>64758.0</v>
      </c>
      <c r="E3680" s="4">
        <v>45846.0</v>
      </c>
      <c r="F3680" s="4" t="str">
        <f>IF(D3680="","", IFNA(VLOOKUP(D3680, SATCAT_DECAY!A:B, 2, FALSE), ""))
</f>
        <v/>
      </c>
      <c r="G3680" s="3" t="str">
        <f t="shared" si="1"/>
        <v>ACTIVE</v>
      </c>
    </row>
    <row r="3681" ht="22.5" customHeight="1">
      <c r="A3681" s="11" t="str">
        <f t="array" ref="A3681">IFERROR(
  INDEX('Starlink Launches'!$A:$A, MATCH($E3681, 'Starlink Launches'!$B:$B, 0)),
  ""
)
</f>
        <v>10-28</v>
      </c>
      <c r="B3681" s="3" t="s">
        <v>25</v>
      </c>
      <c r="C3681" s="12" t="s">
        <v>3701</v>
      </c>
      <c r="D3681" s="13">
        <v>64759.0</v>
      </c>
      <c r="E3681" s="4">
        <v>45846.0</v>
      </c>
      <c r="F3681" s="4" t="str">
        <f>IF(D3681="","", IFNA(VLOOKUP(D3681, SATCAT_DECAY!A:B, 2, FALSE), ""))
</f>
        <v/>
      </c>
      <c r="G3681" s="3" t="str">
        <f t="shared" si="1"/>
        <v>ACTIVE</v>
      </c>
    </row>
    <row r="3682" ht="22.5" customHeight="1">
      <c r="A3682" s="11" t="str">
        <f t="array" ref="A3682">IFERROR(
  INDEX('Starlink Launches'!$A:$A, MATCH($E3682, 'Starlink Launches'!$B:$B, 0)),
  ""
)
</f>
        <v>10-28</v>
      </c>
      <c r="B3682" s="3" t="s">
        <v>25</v>
      </c>
      <c r="C3682" s="12" t="s">
        <v>3702</v>
      </c>
      <c r="D3682" s="13">
        <v>64760.0</v>
      </c>
      <c r="E3682" s="4">
        <v>45846.0</v>
      </c>
      <c r="F3682" s="4" t="str">
        <f>IF(D3682="","", IFNA(VLOOKUP(D3682, SATCAT_DECAY!A:B, 2, FALSE), ""))
</f>
        <v/>
      </c>
      <c r="G3682" s="3" t="str">
        <f t="shared" si="1"/>
        <v>ACTIVE</v>
      </c>
    </row>
    <row r="3683" ht="22.5" customHeight="1">
      <c r="A3683" s="11" t="str">
        <f t="array" ref="A3683">IFERROR(
  INDEX('Starlink Launches'!$A:$A, MATCH($E3683, 'Starlink Launches'!$B:$B, 0)),
  ""
)
</f>
        <v>10-28</v>
      </c>
      <c r="B3683" s="3" t="s">
        <v>25</v>
      </c>
      <c r="C3683" s="12" t="s">
        <v>3703</v>
      </c>
      <c r="D3683" s="13">
        <v>64761.0</v>
      </c>
      <c r="E3683" s="4">
        <v>45846.0</v>
      </c>
      <c r="F3683" s="4" t="str">
        <f>IF(D3683="","", IFNA(VLOOKUP(D3683, SATCAT_DECAY!A:B, 2, FALSE), ""))
</f>
        <v/>
      </c>
      <c r="G3683" s="3" t="str">
        <f t="shared" si="1"/>
        <v>ACTIVE</v>
      </c>
    </row>
    <row r="3684" ht="22.5" customHeight="1">
      <c r="A3684" s="11" t="str">
        <f t="array" ref="A3684">IFERROR(
  INDEX('Starlink Launches'!$A:$A, MATCH($E3684, 'Starlink Launches'!$B:$B, 0)),
  ""
)
</f>
        <v>10-28</v>
      </c>
      <c r="B3684" s="3" t="s">
        <v>25</v>
      </c>
      <c r="C3684" s="12" t="s">
        <v>3704</v>
      </c>
      <c r="D3684" s="13">
        <v>64762.0</v>
      </c>
      <c r="E3684" s="4">
        <v>45846.0</v>
      </c>
      <c r="F3684" s="4" t="str">
        <f>IF(D3684="","", IFNA(VLOOKUP(D3684, SATCAT_DECAY!A:B, 2, FALSE), ""))
</f>
        <v/>
      </c>
      <c r="G3684" s="3" t="str">
        <f t="shared" si="1"/>
        <v>ACTIVE</v>
      </c>
    </row>
    <row r="3685" ht="22.5" customHeight="1">
      <c r="A3685" s="11" t="str">
        <f t="array" ref="A3685">IFERROR(
  INDEX('Starlink Launches'!$A:$A, MATCH($E3685, 'Starlink Launches'!$B:$B, 0)),
  ""
)
</f>
        <v>10-28</v>
      </c>
      <c r="B3685" s="3" t="s">
        <v>25</v>
      </c>
      <c r="C3685" s="12" t="s">
        <v>3705</v>
      </c>
      <c r="D3685" s="13">
        <v>64763.0</v>
      </c>
      <c r="E3685" s="4">
        <v>45846.0</v>
      </c>
      <c r="F3685" s="4" t="str">
        <f>IF(D3685="","", IFNA(VLOOKUP(D3685, SATCAT_DECAY!A:B, 2, FALSE), ""))
</f>
        <v/>
      </c>
      <c r="G3685" s="3" t="str">
        <f t="shared" si="1"/>
        <v>ACTIVE</v>
      </c>
    </row>
    <row r="3686" ht="22.5" customHeight="1">
      <c r="A3686" s="11" t="str">
        <f t="array" ref="A3686">IFERROR(
  INDEX('Starlink Launches'!$A:$A, MATCH($E3686, 'Starlink Launches'!$B:$B, 0)),
  ""
)
</f>
        <v>10-28</v>
      </c>
      <c r="B3686" s="3" t="s">
        <v>25</v>
      </c>
      <c r="C3686" s="12" t="s">
        <v>3706</v>
      </c>
      <c r="D3686" s="13">
        <v>64764.0</v>
      </c>
      <c r="E3686" s="4">
        <v>45846.0</v>
      </c>
      <c r="F3686" s="4" t="str">
        <f>IF(D3686="","", IFNA(VLOOKUP(D3686, SATCAT_DECAY!A:B, 2, FALSE), ""))
</f>
        <v/>
      </c>
      <c r="G3686" s="3" t="str">
        <f t="shared" si="1"/>
        <v>ACTIVE</v>
      </c>
    </row>
    <row r="3687" ht="22.5" customHeight="1">
      <c r="A3687" s="11" t="str">
        <f t="array" ref="A3687">IFERROR(
  INDEX('Starlink Launches'!$A:$A, MATCH($E3687, 'Starlink Launches'!$B:$B, 0)),
  ""
)
</f>
        <v>10-28</v>
      </c>
      <c r="B3687" s="3" t="s">
        <v>25</v>
      </c>
      <c r="C3687" s="12" t="s">
        <v>3707</v>
      </c>
      <c r="D3687" s="13">
        <v>64765.0</v>
      </c>
      <c r="E3687" s="4">
        <v>45846.0</v>
      </c>
      <c r="F3687" s="4" t="str">
        <f>IF(D3687="","", IFNA(VLOOKUP(D3687, SATCAT_DECAY!A:B, 2, FALSE), ""))
</f>
        <v/>
      </c>
      <c r="G3687" s="3" t="str">
        <f t="shared" si="1"/>
        <v>ACTIVE</v>
      </c>
    </row>
    <row r="3688" ht="22.5" customHeight="1">
      <c r="A3688" s="11" t="str">
        <f t="array" ref="A3688">IFERROR(
  INDEX('Starlink Launches'!$A:$A, MATCH($E3688, 'Starlink Launches'!$B:$B, 0)),
  ""
)
</f>
        <v>10-28</v>
      </c>
      <c r="B3688" s="3" t="s">
        <v>25</v>
      </c>
      <c r="C3688" s="12" t="s">
        <v>3708</v>
      </c>
      <c r="D3688" s="13">
        <v>64766.0</v>
      </c>
      <c r="E3688" s="4">
        <v>45846.0</v>
      </c>
      <c r="F3688" s="4" t="str">
        <f>IF(D3688="","", IFNA(VLOOKUP(D3688, SATCAT_DECAY!A:B, 2, FALSE), ""))
</f>
        <v/>
      </c>
      <c r="G3688" s="3" t="str">
        <f t="shared" si="1"/>
        <v>ACTIVE</v>
      </c>
    </row>
    <row r="3689" ht="22.5" customHeight="1">
      <c r="A3689" s="11" t="str">
        <f t="array" ref="A3689">IFERROR(
  INDEX('Starlink Launches'!$A:$A, MATCH($E3689, 'Starlink Launches'!$B:$B, 0)),
  ""
)
</f>
        <v>10-28</v>
      </c>
      <c r="B3689" s="3" t="s">
        <v>25</v>
      </c>
      <c r="C3689" s="12" t="s">
        <v>3709</v>
      </c>
      <c r="D3689" s="13">
        <v>64767.0</v>
      </c>
      <c r="E3689" s="4">
        <v>45846.0</v>
      </c>
      <c r="F3689" s="4" t="str">
        <f>IF(D3689="","", IFNA(VLOOKUP(D3689, SATCAT_DECAY!A:B, 2, FALSE), ""))
</f>
        <v/>
      </c>
      <c r="G3689" s="3" t="str">
        <f t="shared" si="1"/>
        <v>ACTIVE</v>
      </c>
    </row>
    <row r="3690" ht="22.5" customHeight="1">
      <c r="A3690" s="11" t="str">
        <f t="array" ref="A3690">IFERROR(
  INDEX('Starlink Launches'!$A:$A, MATCH($E3690, 'Starlink Launches'!$B:$B, 0)),
  ""
)
</f>
        <v>10-28</v>
      </c>
      <c r="B3690" s="3" t="s">
        <v>25</v>
      </c>
      <c r="C3690" s="12" t="s">
        <v>3710</v>
      </c>
      <c r="D3690" s="13">
        <v>64768.0</v>
      </c>
      <c r="E3690" s="4">
        <v>45846.0</v>
      </c>
      <c r="F3690" s="4" t="str">
        <f>IF(D3690="","", IFNA(VLOOKUP(D3690, SATCAT_DECAY!A:B, 2, FALSE), ""))
</f>
        <v/>
      </c>
      <c r="G3690" s="3" t="str">
        <f t="shared" si="1"/>
        <v>ACTIVE</v>
      </c>
    </row>
    <row r="3691" ht="22.5" customHeight="1">
      <c r="A3691" s="11" t="str">
        <f t="array" ref="A3691">IFERROR(
  INDEX('Starlink Launches'!$A:$A, MATCH($E3691, 'Starlink Launches'!$B:$B, 0)),
  ""
)
</f>
        <v>10-28</v>
      </c>
      <c r="B3691" s="3" t="s">
        <v>25</v>
      </c>
      <c r="C3691" s="12" t="s">
        <v>3711</v>
      </c>
      <c r="D3691" s="13">
        <v>64769.0</v>
      </c>
      <c r="E3691" s="4">
        <v>45846.0</v>
      </c>
      <c r="F3691" s="4" t="str">
        <f>IF(D3691="","", IFNA(VLOOKUP(D3691, SATCAT_DECAY!A:B, 2, FALSE), ""))
</f>
        <v/>
      </c>
      <c r="G3691" s="3" t="str">
        <f t="shared" si="1"/>
        <v>ACTIVE</v>
      </c>
    </row>
    <row r="3692" ht="22.5" customHeight="1">
      <c r="A3692" s="11" t="str">
        <f t="array" ref="A3692">IFERROR(
  INDEX('Starlink Launches'!$A:$A, MATCH($E3692, 'Starlink Launches'!$B:$B, 0)),
  ""
)
</f>
        <v>10-28</v>
      </c>
      <c r="B3692" s="3" t="s">
        <v>25</v>
      </c>
      <c r="C3692" s="12" t="s">
        <v>3712</v>
      </c>
      <c r="D3692" s="13">
        <v>64770.0</v>
      </c>
      <c r="E3692" s="4">
        <v>45846.0</v>
      </c>
      <c r="F3692" s="4" t="str">
        <f>IF(D3692="","", IFNA(VLOOKUP(D3692, SATCAT_DECAY!A:B, 2, FALSE), ""))
</f>
        <v/>
      </c>
      <c r="G3692" s="3" t="str">
        <f t="shared" si="1"/>
        <v>ACTIVE</v>
      </c>
    </row>
    <row r="3693" ht="22.5" customHeight="1">
      <c r="A3693" s="11" t="str">
        <f t="array" ref="A3693">IFERROR(
  INDEX('Starlink Launches'!$A:$A, MATCH($E3693, 'Starlink Launches'!$B:$B, 0)),
  ""
)
</f>
        <v>10-28</v>
      </c>
      <c r="B3693" s="3" t="s">
        <v>25</v>
      </c>
      <c r="C3693" s="12" t="s">
        <v>3713</v>
      </c>
      <c r="D3693" s="13">
        <v>64771.0</v>
      </c>
      <c r="E3693" s="4">
        <v>45846.0</v>
      </c>
      <c r="F3693" s="4" t="str">
        <f>IF(D3693="","", IFNA(VLOOKUP(D3693, SATCAT_DECAY!A:B, 2, FALSE), ""))
</f>
        <v/>
      </c>
      <c r="G3693" s="3" t="str">
        <f t="shared" si="1"/>
        <v>ACTIVE</v>
      </c>
    </row>
    <row r="3694" ht="22.5" customHeight="1">
      <c r="A3694" s="11" t="str">
        <f t="array" ref="A3694">IFERROR(
  INDEX('Starlink Launches'!$A:$A, MATCH($E3694, 'Starlink Launches'!$B:$B, 0)),
  ""
)
</f>
        <v>10-28</v>
      </c>
      <c r="B3694" s="3" t="s">
        <v>25</v>
      </c>
      <c r="C3694" s="12" t="s">
        <v>3714</v>
      </c>
      <c r="D3694" s="13">
        <v>64772.0</v>
      </c>
      <c r="E3694" s="4">
        <v>45846.0</v>
      </c>
      <c r="F3694" s="4" t="str">
        <f>IF(D3694="","", IFNA(VLOOKUP(D3694, SATCAT_DECAY!A:B, 2, FALSE), ""))
</f>
        <v/>
      </c>
      <c r="G3694" s="3" t="str">
        <f t="shared" si="1"/>
        <v>ACTIVE</v>
      </c>
    </row>
    <row r="3695" ht="22.5" customHeight="1">
      <c r="A3695" s="11" t="str">
        <f t="array" ref="A3695">IFERROR(
  INDEX('Starlink Launches'!$A:$A, MATCH($E3695, 'Starlink Launches'!$B:$B, 0)),
  ""
)
</f>
        <v>10-28</v>
      </c>
      <c r="B3695" s="3" t="s">
        <v>25</v>
      </c>
      <c r="C3695" s="12" t="s">
        <v>3715</v>
      </c>
      <c r="D3695" s="13">
        <v>64773.0</v>
      </c>
      <c r="E3695" s="4">
        <v>45846.0</v>
      </c>
      <c r="F3695" s="4" t="str">
        <f>IF(D3695="","", IFNA(VLOOKUP(D3695, SATCAT_DECAY!A:B, 2, FALSE), ""))
</f>
        <v/>
      </c>
      <c r="G3695" s="3" t="str">
        <f t="shared" si="1"/>
        <v>ACTIVE</v>
      </c>
    </row>
    <row r="3696" ht="22.5" customHeight="1">
      <c r="A3696" s="11" t="str">
        <f t="array" ref="A3696">IFERROR(
  INDEX('Starlink Launches'!$A:$A, MATCH($E3696, 'Starlink Launches'!$B:$B, 0)),
  ""
)
</f>
        <v>10-28</v>
      </c>
      <c r="B3696" s="3" t="s">
        <v>25</v>
      </c>
      <c r="C3696" s="12" t="s">
        <v>3716</v>
      </c>
      <c r="D3696" s="13">
        <v>64774.0</v>
      </c>
      <c r="E3696" s="4">
        <v>45846.0</v>
      </c>
      <c r="F3696" s="4" t="str">
        <f>IF(D3696="","", IFNA(VLOOKUP(D3696, SATCAT_DECAY!A:B, 2, FALSE), ""))
</f>
        <v/>
      </c>
      <c r="G3696" s="3" t="str">
        <f t="shared" si="1"/>
        <v>ACTIVE</v>
      </c>
    </row>
    <row r="3697" ht="22.5" customHeight="1">
      <c r="A3697" s="11" t="str">
        <f t="array" ref="A3697">IFERROR(
  INDEX('Starlink Launches'!$A:$A, MATCH($E3697, 'Starlink Launches'!$B:$B, 0)),
  ""
)
</f>
        <v>10-28</v>
      </c>
      <c r="B3697" s="3" t="s">
        <v>25</v>
      </c>
      <c r="C3697" s="12" t="s">
        <v>3717</v>
      </c>
      <c r="D3697" s="13">
        <v>64775.0</v>
      </c>
      <c r="E3697" s="4">
        <v>45846.0</v>
      </c>
      <c r="F3697" s="4" t="str">
        <f>IF(D3697="","", IFNA(VLOOKUP(D3697, SATCAT_DECAY!A:B, 2, FALSE), ""))
</f>
        <v/>
      </c>
      <c r="G3697" s="3" t="str">
        <f t="shared" si="1"/>
        <v>ACTIVE</v>
      </c>
    </row>
    <row r="3698" ht="22.5" customHeight="1">
      <c r="A3698" s="11" t="str">
        <f t="array" ref="A3698">IFERROR(
  INDEX('Starlink Launches'!$A:$A, MATCH($E3698, 'Starlink Launches'!$B:$B, 0)),
  ""
)
</f>
        <v>10-28</v>
      </c>
      <c r="B3698" s="3" t="s">
        <v>25</v>
      </c>
      <c r="C3698" s="12" t="s">
        <v>3718</v>
      </c>
      <c r="D3698" s="13">
        <v>64776.0</v>
      </c>
      <c r="E3698" s="4">
        <v>45846.0</v>
      </c>
      <c r="F3698" s="4" t="str">
        <f>IF(D3698="","", IFNA(VLOOKUP(D3698, SATCAT_DECAY!A:B, 2, FALSE), ""))
</f>
        <v/>
      </c>
      <c r="G3698" s="3" t="str">
        <f t="shared" si="1"/>
        <v>ACTIVE</v>
      </c>
    </row>
    <row r="3699" ht="22.5" customHeight="1">
      <c r="A3699" s="11" t="str">
        <f t="array" ref="A3699">IFERROR(
  INDEX('Starlink Launches'!$A:$A, MATCH($E3699, 'Starlink Launches'!$B:$B, 0)),
  ""
)
</f>
        <v>10-28</v>
      </c>
      <c r="B3699" s="3" t="s">
        <v>25</v>
      </c>
      <c r="C3699" s="12" t="s">
        <v>3719</v>
      </c>
      <c r="D3699" s="13">
        <v>64777.0</v>
      </c>
      <c r="E3699" s="4">
        <v>45846.0</v>
      </c>
      <c r="F3699" s="4" t="str">
        <f>IF(D3699="","", IFNA(VLOOKUP(D3699, SATCAT_DECAY!A:B, 2, FALSE), ""))
</f>
        <v/>
      </c>
      <c r="G3699" s="3" t="str">
        <f t="shared" si="1"/>
        <v>ACTIVE</v>
      </c>
    </row>
    <row r="3700" ht="22.5" customHeight="1">
      <c r="A3700" s="11" t="str">
        <f t="array" ref="A3700">IFERROR(
  INDEX('Starlink Launches'!$A:$A, MATCH($E3700, 'Starlink Launches'!$B:$B, 0)),
  ""
)
</f>
        <v>10-28</v>
      </c>
      <c r="B3700" s="3" t="s">
        <v>25</v>
      </c>
      <c r="C3700" s="12" t="s">
        <v>3720</v>
      </c>
      <c r="D3700" s="13">
        <v>64778.0</v>
      </c>
      <c r="E3700" s="4">
        <v>45846.0</v>
      </c>
      <c r="F3700" s="4" t="str">
        <f>IF(D3700="","", IFNA(VLOOKUP(D3700, SATCAT_DECAY!A:B, 2, FALSE), ""))
</f>
        <v/>
      </c>
      <c r="G3700" s="3" t="str">
        <f t="shared" si="1"/>
        <v>ACTIVE</v>
      </c>
    </row>
    <row r="3701" ht="22.5" customHeight="1">
      <c r="A3701" s="11" t="str">
        <f t="array" ref="A3701">IFERROR(
  INDEX('Starlink Launches'!$A:$A, MATCH($E3701, 'Starlink Launches'!$B:$B, 0)),
  ""
)
</f>
        <v>10-28</v>
      </c>
      <c r="B3701" s="3" t="s">
        <v>25</v>
      </c>
      <c r="C3701" s="12" t="s">
        <v>3721</v>
      </c>
      <c r="D3701" s="13">
        <v>64779.0</v>
      </c>
      <c r="E3701" s="4">
        <v>45846.0</v>
      </c>
      <c r="F3701" s="4" t="str">
        <f>IF(D3701="","", IFNA(VLOOKUP(D3701, SATCAT_DECAY!A:B, 2, FALSE), ""))
</f>
        <v/>
      </c>
      <c r="G3701" s="3" t="str">
        <f t="shared" si="1"/>
        <v>ACTIVE</v>
      </c>
    </row>
    <row r="3702" ht="22.5" customHeight="1">
      <c r="A3702" s="11" t="str">
        <f t="array" ref="A3702">IFERROR(
  INDEX('Starlink Launches'!$A:$A, MATCH($E3702, 'Starlink Launches'!$B:$B, 0)),
  ""
)
</f>
        <v>10-28</v>
      </c>
      <c r="B3702" s="3" t="s">
        <v>25</v>
      </c>
      <c r="C3702" s="12" t="s">
        <v>3722</v>
      </c>
      <c r="D3702" s="13">
        <v>64780.0</v>
      </c>
      <c r="E3702" s="4">
        <v>45846.0</v>
      </c>
      <c r="F3702" s="4" t="str">
        <f>IF(D3702="","", IFNA(VLOOKUP(D3702, SATCAT_DECAY!A:B, 2, FALSE), ""))
</f>
        <v/>
      </c>
      <c r="G3702" s="3" t="str">
        <f t="shared" si="1"/>
        <v>ACTIVE</v>
      </c>
    </row>
    <row r="3703" ht="22.5" customHeight="1">
      <c r="A3703" s="11" t="str">
        <f t="array" ref="A3703">IFERROR(
  INDEX('Starlink Launches'!$A:$A, MATCH($E3703, 'Starlink Launches'!$B:$B, 0)),
  ""
)
</f>
        <v>10-28</v>
      </c>
      <c r="B3703" s="3" t="s">
        <v>25</v>
      </c>
      <c r="C3703" s="12" t="s">
        <v>3723</v>
      </c>
      <c r="D3703" s="13">
        <v>64781.0</v>
      </c>
      <c r="E3703" s="4">
        <v>45846.0</v>
      </c>
      <c r="F3703" s="4" t="str">
        <f>IF(D3703="","", IFNA(VLOOKUP(D3703, SATCAT_DECAY!A:B, 2, FALSE), ""))
</f>
        <v/>
      </c>
      <c r="G3703" s="3" t="str">
        <f t="shared" si="1"/>
        <v>ACTIVE</v>
      </c>
    </row>
    <row r="3704" ht="22.5" customHeight="1">
      <c r="A3704" s="11" t="str">
        <f t="array" ref="A3704">IFERROR(
  INDEX('Starlink Launches'!$A:$A, MATCH($E3704, 'Starlink Launches'!$B:$B, 0)),
  ""
)
</f>
        <v>10-28</v>
      </c>
      <c r="B3704" s="3" t="s">
        <v>25</v>
      </c>
      <c r="C3704" s="12" t="s">
        <v>3724</v>
      </c>
      <c r="D3704" s="13">
        <v>64782.0</v>
      </c>
      <c r="E3704" s="4">
        <v>45846.0</v>
      </c>
      <c r="F3704" s="4" t="str">
        <f>IF(D3704="","", IFNA(VLOOKUP(D3704, SATCAT_DECAY!A:B, 2, FALSE), ""))
</f>
        <v/>
      </c>
      <c r="G3704" s="3" t="str">
        <f t="shared" si="1"/>
        <v>ACTIVE</v>
      </c>
    </row>
    <row r="3705" ht="22.5" customHeight="1">
      <c r="A3705" s="11" t="str">
        <f t="array" ref="A3705">IFERROR(
  INDEX('Starlink Launches'!$A:$A, MATCH($E3705, 'Starlink Launches'!$B:$B, 0)),
  ""
)
</f>
        <v>10-26</v>
      </c>
      <c r="B3705" s="3" t="s">
        <v>25</v>
      </c>
      <c r="C3705" s="12" t="s">
        <v>3725</v>
      </c>
      <c r="D3705" s="13">
        <v>64904.0</v>
      </c>
      <c r="E3705" s="4">
        <v>45864.0</v>
      </c>
      <c r="F3705" s="4" t="str">
        <f>IF(D3705="","", IFNA(VLOOKUP(D3705, SATCAT_DECAY!A:B, 2, FALSE), ""))
</f>
        <v/>
      </c>
      <c r="G3705" s="3" t="str">
        <f t="shared" si="1"/>
        <v>ACTIVE</v>
      </c>
    </row>
    <row r="3706" ht="22.5" customHeight="1">
      <c r="A3706" s="11" t="str">
        <f t="array" ref="A3706">IFERROR(
  INDEX('Starlink Launches'!$A:$A, MATCH($E3706, 'Starlink Launches'!$B:$B, 0)),
  ""
)
</f>
        <v>10-26</v>
      </c>
      <c r="B3706" s="3" t="s">
        <v>25</v>
      </c>
      <c r="C3706" s="12" t="s">
        <v>3726</v>
      </c>
      <c r="D3706" s="13">
        <v>64905.0</v>
      </c>
      <c r="E3706" s="4">
        <v>45864.0</v>
      </c>
      <c r="F3706" s="4" t="str">
        <f>IF(D3706="","", IFNA(VLOOKUP(D3706, SATCAT_DECAY!A:B, 2, FALSE), ""))
</f>
        <v/>
      </c>
      <c r="G3706" s="3" t="str">
        <f t="shared" si="1"/>
        <v>ACTIVE</v>
      </c>
    </row>
    <row r="3707" ht="22.5" customHeight="1">
      <c r="A3707" s="11" t="str">
        <f t="array" ref="A3707">IFERROR(
  INDEX('Starlink Launches'!$A:$A, MATCH($E3707, 'Starlink Launches'!$B:$B, 0)),
  ""
)
</f>
        <v>10-26</v>
      </c>
      <c r="B3707" s="3" t="s">
        <v>25</v>
      </c>
      <c r="C3707" s="12" t="s">
        <v>3727</v>
      </c>
      <c r="D3707" s="13">
        <v>64906.0</v>
      </c>
      <c r="E3707" s="4">
        <v>45864.0</v>
      </c>
      <c r="F3707" s="4" t="str">
        <f>IF(D3707="","", IFNA(VLOOKUP(D3707, SATCAT_DECAY!A:B, 2, FALSE), ""))
</f>
        <v/>
      </c>
      <c r="G3707" s="3" t="str">
        <f t="shared" si="1"/>
        <v>ACTIVE</v>
      </c>
    </row>
    <row r="3708" ht="22.5" customHeight="1">
      <c r="A3708" s="11" t="str">
        <f t="array" ref="A3708">IFERROR(
  INDEX('Starlink Launches'!$A:$A, MATCH($E3708, 'Starlink Launches'!$B:$B, 0)),
  ""
)
</f>
        <v>10-26</v>
      </c>
      <c r="B3708" s="3" t="s">
        <v>25</v>
      </c>
      <c r="C3708" s="12" t="s">
        <v>3728</v>
      </c>
      <c r="D3708" s="13">
        <v>64907.0</v>
      </c>
      <c r="E3708" s="4">
        <v>45864.0</v>
      </c>
      <c r="F3708" s="4" t="str">
        <f>IF(D3708="","", IFNA(VLOOKUP(D3708, SATCAT_DECAY!A:B, 2, FALSE), ""))
</f>
        <v/>
      </c>
      <c r="G3708" s="3" t="str">
        <f t="shared" si="1"/>
        <v>ACTIVE</v>
      </c>
    </row>
    <row r="3709" ht="22.5" customHeight="1">
      <c r="A3709" s="11" t="str">
        <f t="array" ref="A3709">IFERROR(
  INDEX('Starlink Launches'!$A:$A, MATCH($E3709, 'Starlink Launches'!$B:$B, 0)),
  ""
)
</f>
        <v>10-26</v>
      </c>
      <c r="B3709" s="3" t="s">
        <v>25</v>
      </c>
      <c r="C3709" s="12" t="s">
        <v>3729</v>
      </c>
      <c r="D3709" s="13">
        <v>64908.0</v>
      </c>
      <c r="E3709" s="4">
        <v>45864.0</v>
      </c>
      <c r="F3709" s="4" t="str">
        <f>IF(D3709="","", IFNA(VLOOKUP(D3709, SATCAT_DECAY!A:B, 2, FALSE), ""))
</f>
        <v/>
      </c>
      <c r="G3709" s="3" t="str">
        <f t="shared" si="1"/>
        <v>ACTIVE</v>
      </c>
    </row>
    <row r="3710" ht="22.5" customHeight="1">
      <c r="A3710" s="11" t="str">
        <f t="array" ref="A3710">IFERROR(
  INDEX('Starlink Launches'!$A:$A, MATCH($E3710, 'Starlink Launches'!$B:$B, 0)),
  ""
)
</f>
        <v>10-26</v>
      </c>
      <c r="B3710" s="3" t="s">
        <v>25</v>
      </c>
      <c r="C3710" s="12" t="s">
        <v>3730</v>
      </c>
      <c r="D3710" s="13">
        <v>64909.0</v>
      </c>
      <c r="E3710" s="4">
        <v>45864.0</v>
      </c>
      <c r="F3710" s="4" t="str">
        <f>IF(D3710="","", IFNA(VLOOKUP(D3710, SATCAT_DECAY!A:B, 2, FALSE), ""))
</f>
        <v/>
      </c>
      <c r="G3710" s="3" t="str">
        <f t="shared" si="1"/>
        <v>ACTIVE</v>
      </c>
    </row>
    <row r="3711" ht="22.5" customHeight="1">
      <c r="A3711" s="11" t="str">
        <f t="array" ref="A3711">IFERROR(
  INDEX('Starlink Launches'!$A:$A, MATCH($E3711, 'Starlink Launches'!$B:$B, 0)),
  ""
)
</f>
        <v>10-26</v>
      </c>
      <c r="B3711" s="3" t="s">
        <v>25</v>
      </c>
      <c r="C3711" s="12" t="s">
        <v>3731</v>
      </c>
      <c r="D3711" s="13">
        <v>64910.0</v>
      </c>
      <c r="E3711" s="4">
        <v>45864.0</v>
      </c>
      <c r="F3711" s="4" t="str">
        <f>IF(D3711="","", IFNA(VLOOKUP(D3711, SATCAT_DECAY!A:B, 2, FALSE), ""))
</f>
        <v/>
      </c>
      <c r="G3711" s="3" t="str">
        <f t="shared" si="1"/>
        <v>ACTIVE</v>
      </c>
    </row>
    <row r="3712" ht="22.5" customHeight="1">
      <c r="A3712" s="11" t="str">
        <f t="array" ref="A3712">IFERROR(
  INDEX('Starlink Launches'!$A:$A, MATCH($E3712, 'Starlink Launches'!$B:$B, 0)),
  ""
)
</f>
        <v>10-26</v>
      </c>
      <c r="B3712" s="3" t="s">
        <v>25</v>
      </c>
      <c r="C3712" s="12" t="s">
        <v>3732</v>
      </c>
      <c r="D3712" s="13">
        <v>64911.0</v>
      </c>
      <c r="E3712" s="4">
        <v>45864.0</v>
      </c>
      <c r="F3712" s="4" t="str">
        <f>IF(D3712="","", IFNA(VLOOKUP(D3712, SATCAT_DECAY!A:B, 2, FALSE), ""))
</f>
        <v/>
      </c>
      <c r="G3712" s="3" t="str">
        <f t="shared" si="1"/>
        <v>ACTIVE</v>
      </c>
    </row>
    <row r="3713" ht="22.5" customHeight="1">
      <c r="A3713" s="11" t="str">
        <f t="array" ref="A3713">IFERROR(
  INDEX('Starlink Launches'!$A:$A, MATCH($E3713, 'Starlink Launches'!$B:$B, 0)),
  ""
)
</f>
        <v>10-26</v>
      </c>
      <c r="B3713" s="3" t="s">
        <v>25</v>
      </c>
      <c r="C3713" s="12" t="s">
        <v>3733</v>
      </c>
      <c r="D3713" s="13">
        <v>64912.0</v>
      </c>
      <c r="E3713" s="4">
        <v>45864.0</v>
      </c>
      <c r="F3713" s="4" t="str">
        <f>IF(D3713="","", IFNA(VLOOKUP(D3713, SATCAT_DECAY!A:B, 2, FALSE), ""))
</f>
        <v/>
      </c>
      <c r="G3713" s="3" t="str">
        <f t="shared" si="1"/>
        <v>ACTIVE</v>
      </c>
    </row>
    <row r="3714" ht="22.5" customHeight="1">
      <c r="A3714" s="11" t="str">
        <f t="array" ref="A3714">IFERROR(
  INDEX('Starlink Launches'!$A:$A, MATCH($E3714, 'Starlink Launches'!$B:$B, 0)),
  ""
)
</f>
        <v>10-26</v>
      </c>
      <c r="B3714" s="3" t="s">
        <v>25</v>
      </c>
      <c r="C3714" s="12" t="s">
        <v>3734</v>
      </c>
      <c r="D3714" s="13">
        <v>64913.0</v>
      </c>
      <c r="E3714" s="4">
        <v>45864.0</v>
      </c>
      <c r="F3714" s="4" t="str">
        <f>IF(D3714="","", IFNA(VLOOKUP(D3714, SATCAT_DECAY!A:B, 2, FALSE), ""))
</f>
        <v/>
      </c>
      <c r="G3714" s="3" t="str">
        <f t="shared" si="1"/>
        <v>ACTIVE</v>
      </c>
    </row>
    <row r="3715" ht="22.5" customHeight="1">
      <c r="A3715" s="11" t="str">
        <f t="array" ref="A3715">IFERROR(
  INDEX('Starlink Launches'!$A:$A, MATCH($E3715, 'Starlink Launches'!$B:$B, 0)),
  ""
)
</f>
        <v>10-26</v>
      </c>
      <c r="B3715" s="3" t="s">
        <v>25</v>
      </c>
      <c r="C3715" s="12" t="s">
        <v>3735</v>
      </c>
      <c r="D3715" s="13">
        <v>64914.0</v>
      </c>
      <c r="E3715" s="4">
        <v>45864.0</v>
      </c>
      <c r="F3715" s="4" t="str">
        <f>IF(D3715="","", IFNA(VLOOKUP(D3715, SATCAT_DECAY!A:B, 2, FALSE), ""))
</f>
        <v/>
      </c>
      <c r="G3715" s="3" t="str">
        <f t="shared" si="1"/>
        <v>ACTIVE</v>
      </c>
    </row>
    <row r="3716" ht="22.5" customHeight="1">
      <c r="A3716" s="11" t="str">
        <f t="array" ref="A3716">IFERROR(
  INDEX('Starlink Launches'!$A:$A, MATCH($E3716, 'Starlink Launches'!$B:$B, 0)),
  ""
)
</f>
        <v>10-26</v>
      </c>
      <c r="B3716" s="3" t="s">
        <v>25</v>
      </c>
      <c r="C3716" s="12" t="s">
        <v>3736</v>
      </c>
      <c r="D3716" s="13">
        <v>64915.0</v>
      </c>
      <c r="E3716" s="4">
        <v>45864.0</v>
      </c>
      <c r="F3716" s="4" t="str">
        <f>IF(D3716="","", IFNA(VLOOKUP(D3716, SATCAT_DECAY!A:B, 2, FALSE), ""))
</f>
        <v/>
      </c>
      <c r="G3716" s="3" t="str">
        <f t="shared" si="1"/>
        <v>ACTIVE</v>
      </c>
    </row>
    <row r="3717" ht="22.5" customHeight="1">
      <c r="A3717" s="11" t="str">
        <f t="array" ref="A3717">IFERROR(
  INDEX('Starlink Launches'!$A:$A, MATCH($E3717, 'Starlink Launches'!$B:$B, 0)),
  ""
)
</f>
        <v>10-26</v>
      </c>
      <c r="B3717" s="3" t="s">
        <v>25</v>
      </c>
      <c r="C3717" s="12" t="s">
        <v>3737</v>
      </c>
      <c r="D3717" s="13">
        <v>64916.0</v>
      </c>
      <c r="E3717" s="4">
        <v>45864.0</v>
      </c>
      <c r="F3717" s="4" t="str">
        <f>IF(D3717="","", IFNA(VLOOKUP(D3717, SATCAT_DECAY!A:B, 2, FALSE), ""))
</f>
        <v/>
      </c>
      <c r="G3717" s="3" t="str">
        <f t="shared" si="1"/>
        <v>ACTIVE</v>
      </c>
    </row>
    <row r="3718" ht="22.5" customHeight="1">
      <c r="A3718" s="11" t="str">
        <f t="array" ref="A3718">IFERROR(
  INDEX('Starlink Launches'!$A:$A, MATCH($E3718, 'Starlink Launches'!$B:$B, 0)),
  ""
)
</f>
        <v>10-26</v>
      </c>
      <c r="B3718" s="3" t="s">
        <v>25</v>
      </c>
      <c r="C3718" s="12" t="s">
        <v>3738</v>
      </c>
      <c r="D3718" s="13">
        <v>64917.0</v>
      </c>
      <c r="E3718" s="4">
        <v>45864.0</v>
      </c>
      <c r="F3718" s="4" t="str">
        <f>IF(D3718="","", IFNA(VLOOKUP(D3718, SATCAT_DECAY!A:B, 2, FALSE), ""))
</f>
        <v/>
      </c>
      <c r="G3718" s="3" t="str">
        <f t="shared" si="1"/>
        <v>ACTIVE</v>
      </c>
    </row>
    <row r="3719" ht="22.5" customHeight="1">
      <c r="A3719" s="11" t="str">
        <f t="array" ref="A3719">IFERROR(
  INDEX('Starlink Launches'!$A:$A, MATCH($E3719, 'Starlink Launches'!$B:$B, 0)),
  ""
)
</f>
        <v>10-26</v>
      </c>
      <c r="B3719" s="3" t="s">
        <v>25</v>
      </c>
      <c r="C3719" s="12" t="s">
        <v>3739</v>
      </c>
      <c r="D3719" s="13">
        <v>64918.0</v>
      </c>
      <c r="E3719" s="4">
        <v>45864.0</v>
      </c>
      <c r="F3719" s="4" t="str">
        <f>IF(D3719="","", IFNA(VLOOKUP(D3719, SATCAT_DECAY!A:B, 2, FALSE), ""))
</f>
        <v/>
      </c>
      <c r="G3719" s="3" t="str">
        <f t="shared" si="1"/>
        <v>ACTIVE</v>
      </c>
    </row>
    <row r="3720" ht="22.5" customHeight="1">
      <c r="A3720" s="11" t="str">
        <f t="array" ref="A3720">IFERROR(
  INDEX('Starlink Launches'!$A:$A, MATCH($E3720, 'Starlink Launches'!$B:$B, 0)),
  ""
)
</f>
        <v>10-26</v>
      </c>
      <c r="B3720" s="3" t="s">
        <v>25</v>
      </c>
      <c r="C3720" s="12" t="s">
        <v>3740</v>
      </c>
      <c r="D3720" s="13">
        <v>64919.0</v>
      </c>
      <c r="E3720" s="4">
        <v>45864.0</v>
      </c>
      <c r="F3720" s="4" t="str">
        <f>IF(D3720="","", IFNA(VLOOKUP(D3720, SATCAT_DECAY!A:B, 2, FALSE), ""))
</f>
        <v/>
      </c>
      <c r="G3720" s="3" t="str">
        <f t="shared" si="1"/>
        <v>ACTIVE</v>
      </c>
    </row>
    <row r="3721" ht="22.5" customHeight="1">
      <c r="A3721" s="11" t="str">
        <f t="array" ref="A3721">IFERROR(
  INDEX('Starlink Launches'!$A:$A, MATCH($E3721, 'Starlink Launches'!$B:$B, 0)),
  ""
)
</f>
        <v>10-26</v>
      </c>
      <c r="B3721" s="3" t="s">
        <v>25</v>
      </c>
      <c r="C3721" s="12" t="s">
        <v>3741</v>
      </c>
      <c r="D3721" s="13">
        <v>64920.0</v>
      </c>
      <c r="E3721" s="4">
        <v>45864.0</v>
      </c>
      <c r="F3721" s="4" t="str">
        <f>IF(D3721="","", IFNA(VLOOKUP(D3721, SATCAT_DECAY!A:B, 2, FALSE), ""))
</f>
        <v/>
      </c>
      <c r="G3721" s="3" t="str">
        <f t="shared" si="1"/>
        <v>ACTIVE</v>
      </c>
    </row>
    <row r="3722" ht="22.5" customHeight="1">
      <c r="A3722" s="11" t="str">
        <f t="array" ref="A3722">IFERROR(
  INDEX('Starlink Launches'!$A:$A, MATCH($E3722, 'Starlink Launches'!$B:$B, 0)),
  ""
)
</f>
        <v>10-26</v>
      </c>
      <c r="B3722" s="3" t="s">
        <v>25</v>
      </c>
      <c r="C3722" s="12" t="s">
        <v>3742</v>
      </c>
      <c r="D3722" s="13">
        <v>64921.0</v>
      </c>
      <c r="E3722" s="4">
        <v>45864.0</v>
      </c>
      <c r="F3722" s="4" t="str">
        <f>IF(D3722="","", IFNA(VLOOKUP(D3722, SATCAT_DECAY!A:B, 2, FALSE), ""))
</f>
        <v/>
      </c>
      <c r="G3722" s="3" t="str">
        <f t="shared" si="1"/>
        <v>ACTIVE</v>
      </c>
    </row>
    <row r="3723" ht="22.5" customHeight="1">
      <c r="A3723" s="11" t="str">
        <f t="array" ref="A3723">IFERROR(
  INDEX('Starlink Launches'!$A:$A, MATCH($E3723, 'Starlink Launches'!$B:$B, 0)),
  ""
)
</f>
        <v>10-26</v>
      </c>
      <c r="B3723" s="3" t="s">
        <v>25</v>
      </c>
      <c r="C3723" s="12" t="s">
        <v>3743</v>
      </c>
      <c r="D3723" s="13">
        <v>64922.0</v>
      </c>
      <c r="E3723" s="4">
        <v>45864.0</v>
      </c>
      <c r="F3723" s="4" t="str">
        <f>IF(D3723="","", IFNA(VLOOKUP(D3723, SATCAT_DECAY!A:B, 2, FALSE), ""))
</f>
        <v/>
      </c>
      <c r="G3723" s="3" t="str">
        <f t="shared" si="1"/>
        <v>ACTIVE</v>
      </c>
    </row>
    <row r="3724" ht="22.5" customHeight="1">
      <c r="A3724" s="11" t="str">
        <f t="array" ref="A3724">IFERROR(
  INDEX('Starlink Launches'!$A:$A, MATCH($E3724, 'Starlink Launches'!$B:$B, 0)),
  ""
)
</f>
        <v>10-26</v>
      </c>
      <c r="B3724" s="3" t="s">
        <v>25</v>
      </c>
      <c r="C3724" s="12" t="s">
        <v>3744</v>
      </c>
      <c r="D3724" s="13">
        <v>64923.0</v>
      </c>
      <c r="E3724" s="4">
        <v>45864.0</v>
      </c>
      <c r="F3724" s="4" t="str">
        <f>IF(D3724="","", IFNA(VLOOKUP(D3724, SATCAT_DECAY!A:B, 2, FALSE), ""))
</f>
        <v/>
      </c>
      <c r="G3724" s="3" t="str">
        <f t="shared" si="1"/>
        <v>ACTIVE</v>
      </c>
    </row>
    <row r="3725" ht="22.5" customHeight="1">
      <c r="A3725" s="11" t="str">
        <f t="array" ref="A3725">IFERROR(
  INDEX('Starlink Launches'!$A:$A, MATCH($E3725, 'Starlink Launches'!$B:$B, 0)),
  ""
)
</f>
        <v>10-26</v>
      </c>
      <c r="B3725" s="3" t="s">
        <v>25</v>
      </c>
      <c r="C3725" s="12" t="s">
        <v>3745</v>
      </c>
      <c r="D3725" s="13">
        <v>64924.0</v>
      </c>
      <c r="E3725" s="4">
        <v>45864.0</v>
      </c>
      <c r="F3725" s="4" t="str">
        <f>IF(D3725="","", IFNA(VLOOKUP(D3725, SATCAT_DECAY!A:B, 2, FALSE), ""))
</f>
        <v/>
      </c>
      <c r="G3725" s="3" t="str">
        <f t="shared" si="1"/>
        <v>ACTIVE</v>
      </c>
    </row>
    <row r="3726" ht="22.5" customHeight="1">
      <c r="A3726" s="11" t="str">
        <f t="array" ref="A3726">IFERROR(
  INDEX('Starlink Launches'!$A:$A, MATCH($E3726, 'Starlink Launches'!$B:$B, 0)),
  ""
)
</f>
        <v>10-26</v>
      </c>
      <c r="B3726" s="3" t="s">
        <v>25</v>
      </c>
      <c r="C3726" s="12" t="s">
        <v>3746</v>
      </c>
      <c r="D3726" s="13">
        <v>64925.0</v>
      </c>
      <c r="E3726" s="4">
        <v>45864.0</v>
      </c>
      <c r="F3726" s="4" t="str">
        <f>IF(D3726="","", IFNA(VLOOKUP(D3726, SATCAT_DECAY!A:B, 2, FALSE), ""))
</f>
        <v/>
      </c>
      <c r="G3726" s="3" t="str">
        <f t="shared" si="1"/>
        <v>ACTIVE</v>
      </c>
    </row>
    <row r="3727" ht="22.5" customHeight="1">
      <c r="A3727" s="11" t="str">
        <f t="array" ref="A3727">IFERROR(
  INDEX('Starlink Launches'!$A:$A, MATCH($E3727, 'Starlink Launches'!$B:$B, 0)),
  ""
)
</f>
        <v>10-26</v>
      </c>
      <c r="B3727" s="3" t="s">
        <v>25</v>
      </c>
      <c r="C3727" s="12" t="s">
        <v>3747</v>
      </c>
      <c r="D3727" s="13">
        <v>64926.0</v>
      </c>
      <c r="E3727" s="4">
        <v>45864.0</v>
      </c>
      <c r="F3727" s="4" t="str">
        <f>IF(D3727="","", IFNA(VLOOKUP(D3727, SATCAT_DECAY!A:B, 2, FALSE), ""))
</f>
        <v/>
      </c>
      <c r="G3727" s="3" t="str">
        <f t="shared" si="1"/>
        <v>ACTIVE</v>
      </c>
    </row>
    <row r="3728" ht="22.5" customHeight="1">
      <c r="A3728" s="11" t="str">
        <f t="array" ref="A3728">IFERROR(
  INDEX('Starlink Launches'!$A:$A, MATCH($E3728, 'Starlink Launches'!$B:$B, 0)),
  ""
)
</f>
        <v>10-26</v>
      </c>
      <c r="B3728" s="3" t="s">
        <v>25</v>
      </c>
      <c r="C3728" s="12" t="s">
        <v>3748</v>
      </c>
      <c r="D3728" s="13">
        <v>64927.0</v>
      </c>
      <c r="E3728" s="4">
        <v>45864.0</v>
      </c>
      <c r="F3728" s="4" t="str">
        <f>IF(D3728="","", IFNA(VLOOKUP(D3728, SATCAT_DECAY!A:B, 2, FALSE), ""))
</f>
        <v/>
      </c>
      <c r="G3728" s="3" t="str">
        <f t="shared" si="1"/>
        <v>ACTIVE</v>
      </c>
    </row>
    <row r="3729" ht="22.5" customHeight="1">
      <c r="A3729" s="11" t="str">
        <f t="array" ref="A3729">IFERROR(
  INDEX('Starlink Launches'!$A:$A, MATCH($E3729, 'Starlink Launches'!$B:$B, 0)),
  ""
)
</f>
        <v>10-26</v>
      </c>
      <c r="B3729" s="3" t="s">
        <v>25</v>
      </c>
      <c r="C3729" s="12" t="s">
        <v>3749</v>
      </c>
      <c r="D3729" s="13">
        <v>64928.0</v>
      </c>
      <c r="E3729" s="4">
        <v>45864.0</v>
      </c>
      <c r="F3729" s="4" t="str">
        <f>IF(D3729="","", IFNA(VLOOKUP(D3729, SATCAT_DECAY!A:B, 2, FALSE), ""))
</f>
        <v/>
      </c>
      <c r="G3729" s="3" t="str">
        <f t="shared" si="1"/>
        <v>ACTIVE</v>
      </c>
    </row>
    <row r="3730" ht="22.5" customHeight="1">
      <c r="A3730" s="11" t="str">
        <f t="array" ref="A3730">IFERROR(
  INDEX('Starlink Launches'!$A:$A, MATCH($E3730, 'Starlink Launches'!$B:$B, 0)),
  ""
)
</f>
        <v>10-26</v>
      </c>
      <c r="B3730" s="3" t="s">
        <v>25</v>
      </c>
      <c r="C3730" s="12" t="s">
        <v>3750</v>
      </c>
      <c r="D3730" s="13">
        <v>64929.0</v>
      </c>
      <c r="E3730" s="4">
        <v>45864.0</v>
      </c>
      <c r="F3730" s="4" t="str">
        <f>IF(D3730="","", IFNA(VLOOKUP(D3730, SATCAT_DECAY!A:B, 2, FALSE), ""))
</f>
        <v/>
      </c>
      <c r="G3730" s="3" t="str">
        <f t="shared" si="1"/>
        <v>ACTIVE</v>
      </c>
    </row>
    <row r="3731" ht="22.5" customHeight="1">
      <c r="A3731" s="11" t="str">
        <f t="array" ref="A3731">IFERROR(
  INDEX('Starlink Launches'!$A:$A, MATCH($E3731, 'Starlink Launches'!$B:$B, 0)),
  ""
)
</f>
        <v>10-26</v>
      </c>
      <c r="B3731" s="3" t="s">
        <v>25</v>
      </c>
      <c r="C3731" s="12" t="s">
        <v>3751</v>
      </c>
      <c r="D3731" s="13">
        <v>64930.0</v>
      </c>
      <c r="E3731" s="4">
        <v>45864.0</v>
      </c>
      <c r="F3731" s="4" t="str">
        <f>IF(D3731="","", IFNA(VLOOKUP(D3731, SATCAT_DECAY!A:B, 2, FALSE), ""))
</f>
        <v/>
      </c>
      <c r="G3731" s="3" t="str">
        <f t="shared" si="1"/>
        <v>ACTIVE</v>
      </c>
    </row>
    <row r="3732" ht="22.5" customHeight="1">
      <c r="A3732" s="11" t="str">
        <f t="array" ref="A3732">IFERROR(
  INDEX('Starlink Launches'!$A:$A, MATCH($E3732, 'Starlink Launches'!$B:$B, 0)),
  ""
)
</f>
        <v>10-26</v>
      </c>
      <c r="B3732" s="3" t="s">
        <v>25</v>
      </c>
      <c r="C3732" s="12" t="s">
        <v>3752</v>
      </c>
      <c r="D3732" s="13">
        <v>64931.0</v>
      </c>
      <c r="E3732" s="4">
        <v>45864.0</v>
      </c>
      <c r="F3732" s="4" t="str">
        <f>IF(D3732="","", IFNA(VLOOKUP(D3732, SATCAT_DECAY!A:B, 2, FALSE), ""))
</f>
        <v/>
      </c>
      <c r="G3732" s="3" t="str">
        <f t="shared" si="1"/>
        <v>ACTIVE</v>
      </c>
    </row>
    <row r="3733" ht="22.5" customHeight="1">
      <c r="A3733" s="11" t="str">
        <f t="array" ref="A3733">IFERROR(
  INDEX('Starlink Launches'!$A:$A, MATCH($E3733, 'Starlink Launches'!$B:$B, 0)),
  ""
)
</f>
        <v>10-29</v>
      </c>
      <c r="B3733" s="3" t="s">
        <v>25</v>
      </c>
      <c r="C3733" s="12" t="s">
        <v>3753</v>
      </c>
      <c r="D3733" s="13">
        <v>65015.0</v>
      </c>
      <c r="E3733" s="4">
        <v>45868.0</v>
      </c>
      <c r="F3733" s="4" t="str">
        <f>IF(D3733="","", IFNA(VLOOKUP(D3733, SATCAT_DECAY!A:B, 2, FALSE), ""))
</f>
        <v/>
      </c>
      <c r="G3733" s="3" t="str">
        <f t="shared" si="1"/>
        <v>ACTIVE</v>
      </c>
    </row>
    <row r="3734" ht="22.5" customHeight="1">
      <c r="A3734" s="11" t="str">
        <f t="array" ref="A3734">IFERROR(
  INDEX('Starlink Launches'!$A:$A, MATCH($E3734, 'Starlink Launches'!$B:$B, 0)),
  ""
)
</f>
        <v>10-29</v>
      </c>
      <c r="B3734" s="3" t="s">
        <v>25</v>
      </c>
      <c r="C3734" s="12" t="s">
        <v>3754</v>
      </c>
      <c r="D3734" s="13">
        <v>65016.0</v>
      </c>
      <c r="E3734" s="4">
        <v>45868.0</v>
      </c>
      <c r="F3734" s="4" t="str">
        <f>IF(D3734="","", IFNA(VLOOKUP(D3734, SATCAT_DECAY!A:B, 2, FALSE), ""))
</f>
        <v/>
      </c>
      <c r="G3734" s="3" t="str">
        <f t="shared" si="1"/>
        <v>ACTIVE</v>
      </c>
    </row>
    <row r="3735" ht="22.5" customHeight="1">
      <c r="A3735" s="11" t="str">
        <f t="array" ref="A3735">IFERROR(
  INDEX('Starlink Launches'!$A:$A, MATCH($E3735, 'Starlink Launches'!$B:$B, 0)),
  ""
)
</f>
        <v>10-29</v>
      </c>
      <c r="B3735" s="3" t="s">
        <v>25</v>
      </c>
      <c r="C3735" s="12" t="s">
        <v>3755</v>
      </c>
      <c r="D3735" s="13">
        <v>65017.0</v>
      </c>
      <c r="E3735" s="4">
        <v>45868.0</v>
      </c>
      <c r="F3735" s="4" t="str">
        <f>IF(D3735="","", IFNA(VLOOKUP(D3735, SATCAT_DECAY!A:B, 2, FALSE), ""))
</f>
        <v/>
      </c>
      <c r="G3735" s="3" t="str">
        <f t="shared" si="1"/>
        <v>ACTIVE</v>
      </c>
    </row>
    <row r="3736" ht="22.5" customHeight="1">
      <c r="A3736" s="11" t="str">
        <f t="array" ref="A3736">IFERROR(
  INDEX('Starlink Launches'!$A:$A, MATCH($E3736, 'Starlink Launches'!$B:$B, 0)),
  ""
)
</f>
        <v>10-29</v>
      </c>
      <c r="B3736" s="3" t="s">
        <v>25</v>
      </c>
      <c r="C3736" s="12" t="s">
        <v>3756</v>
      </c>
      <c r="D3736" s="13">
        <v>65018.0</v>
      </c>
      <c r="E3736" s="4">
        <v>45868.0</v>
      </c>
      <c r="F3736" s="4" t="str">
        <f>IF(D3736="","", IFNA(VLOOKUP(D3736, SATCAT_DECAY!A:B, 2, FALSE), ""))
</f>
        <v/>
      </c>
      <c r="G3736" s="3" t="str">
        <f t="shared" si="1"/>
        <v>ACTIVE</v>
      </c>
    </row>
    <row r="3737" ht="22.5" customHeight="1">
      <c r="A3737" s="11" t="str">
        <f t="array" ref="A3737">IFERROR(
  INDEX('Starlink Launches'!$A:$A, MATCH($E3737, 'Starlink Launches'!$B:$B, 0)),
  ""
)
</f>
        <v>10-29</v>
      </c>
      <c r="B3737" s="3" t="s">
        <v>25</v>
      </c>
      <c r="C3737" s="12" t="s">
        <v>3757</v>
      </c>
      <c r="D3737" s="13">
        <v>65019.0</v>
      </c>
      <c r="E3737" s="4">
        <v>45868.0</v>
      </c>
      <c r="F3737" s="4" t="str">
        <f>IF(D3737="","", IFNA(VLOOKUP(D3737, SATCAT_DECAY!A:B, 2, FALSE), ""))
</f>
        <v/>
      </c>
      <c r="G3737" s="3" t="str">
        <f t="shared" si="1"/>
        <v>ACTIVE</v>
      </c>
    </row>
    <row r="3738" ht="22.5" customHeight="1">
      <c r="A3738" s="11" t="str">
        <f t="array" ref="A3738">IFERROR(
  INDEX('Starlink Launches'!$A:$A, MATCH($E3738, 'Starlink Launches'!$B:$B, 0)),
  ""
)
</f>
        <v>10-29</v>
      </c>
      <c r="B3738" s="3" t="s">
        <v>25</v>
      </c>
      <c r="C3738" s="12" t="s">
        <v>3758</v>
      </c>
      <c r="D3738" s="13">
        <v>65020.0</v>
      </c>
      <c r="E3738" s="4">
        <v>45868.0</v>
      </c>
      <c r="F3738" s="4" t="str">
        <f>IF(D3738="","", IFNA(VLOOKUP(D3738, SATCAT_DECAY!A:B, 2, FALSE), ""))
</f>
        <v/>
      </c>
      <c r="G3738" s="3" t="str">
        <f t="shared" si="1"/>
        <v>ACTIVE</v>
      </c>
    </row>
    <row r="3739" ht="22.5" customHeight="1">
      <c r="A3739" s="11" t="str">
        <f t="array" ref="A3739">IFERROR(
  INDEX('Starlink Launches'!$A:$A, MATCH($E3739, 'Starlink Launches'!$B:$B, 0)),
  ""
)
</f>
        <v>10-29</v>
      </c>
      <c r="B3739" s="3" t="s">
        <v>25</v>
      </c>
      <c r="C3739" s="12" t="s">
        <v>3759</v>
      </c>
      <c r="D3739" s="13">
        <v>65021.0</v>
      </c>
      <c r="E3739" s="4">
        <v>45868.0</v>
      </c>
      <c r="F3739" s="4" t="str">
        <f>IF(D3739="","", IFNA(VLOOKUP(D3739, SATCAT_DECAY!A:B, 2, FALSE), ""))
</f>
        <v/>
      </c>
      <c r="G3739" s="3" t="str">
        <f t="shared" si="1"/>
        <v>ACTIVE</v>
      </c>
    </row>
    <row r="3740" ht="22.5" customHeight="1">
      <c r="A3740" s="11" t="str">
        <f t="array" ref="A3740">IFERROR(
  INDEX('Starlink Launches'!$A:$A, MATCH($E3740, 'Starlink Launches'!$B:$B, 0)),
  ""
)
</f>
        <v>10-29</v>
      </c>
      <c r="B3740" s="3" t="s">
        <v>25</v>
      </c>
      <c r="C3740" s="12" t="s">
        <v>3760</v>
      </c>
      <c r="D3740" s="13">
        <v>65022.0</v>
      </c>
      <c r="E3740" s="4">
        <v>45868.0</v>
      </c>
      <c r="F3740" s="4" t="str">
        <f>IF(D3740="","", IFNA(VLOOKUP(D3740, SATCAT_DECAY!A:B, 2, FALSE), ""))
</f>
        <v/>
      </c>
      <c r="G3740" s="3" t="str">
        <f t="shared" si="1"/>
        <v>ACTIVE</v>
      </c>
    </row>
    <row r="3741" ht="22.5" customHeight="1">
      <c r="A3741" s="11" t="str">
        <f t="array" ref="A3741">IFERROR(
  INDEX('Starlink Launches'!$A:$A, MATCH($E3741, 'Starlink Launches'!$B:$B, 0)),
  ""
)
</f>
        <v>10-29</v>
      </c>
      <c r="B3741" s="3" t="s">
        <v>25</v>
      </c>
      <c r="C3741" s="12" t="s">
        <v>3761</v>
      </c>
      <c r="D3741" s="13">
        <v>65023.0</v>
      </c>
      <c r="E3741" s="4">
        <v>45868.0</v>
      </c>
      <c r="F3741" s="4" t="str">
        <f>IF(D3741="","", IFNA(VLOOKUP(D3741, SATCAT_DECAY!A:B, 2, FALSE), ""))
</f>
        <v/>
      </c>
      <c r="G3741" s="3" t="str">
        <f t="shared" si="1"/>
        <v>ACTIVE</v>
      </c>
    </row>
    <row r="3742" ht="22.5" customHeight="1">
      <c r="A3742" s="11" t="str">
        <f t="array" ref="A3742">IFERROR(
  INDEX('Starlink Launches'!$A:$A, MATCH($E3742, 'Starlink Launches'!$B:$B, 0)),
  ""
)
</f>
        <v>10-29</v>
      </c>
      <c r="B3742" s="3" t="s">
        <v>25</v>
      </c>
      <c r="C3742" s="12" t="s">
        <v>3762</v>
      </c>
      <c r="D3742" s="13">
        <v>65024.0</v>
      </c>
      <c r="E3742" s="4">
        <v>45868.0</v>
      </c>
      <c r="F3742" s="4" t="str">
        <f>IF(D3742="","", IFNA(VLOOKUP(D3742, SATCAT_DECAY!A:B, 2, FALSE), ""))
</f>
        <v/>
      </c>
      <c r="G3742" s="3" t="str">
        <f t="shared" si="1"/>
        <v>ACTIVE</v>
      </c>
    </row>
    <row r="3743" ht="22.5" customHeight="1">
      <c r="A3743" s="11" t="str">
        <f t="array" ref="A3743">IFERROR(
  INDEX('Starlink Launches'!$A:$A, MATCH($E3743, 'Starlink Launches'!$B:$B, 0)),
  ""
)
</f>
        <v>10-29</v>
      </c>
      <c r="B3743" s="3" t="s">
        <v>25</v>
      </c>
      <c r="C3743" s="12" t="s">
        <v>3763</v>
      </c>
      <c r="D3743" s="13">
        <v>65025.0</v>
      </c>
      <c r="E3743" s="4">
        <v>45868.0</v>
      </c>
      <c r="F3743" s="4" t="str">
        <f>IF(D3743="","", IFNA(VLOOKUP(D3743, SATCAT_DECAY!A:B, 2, FALSE), ""))
</f>
        <v/>
      </c>
      <c r="G3743" s="3" t="str">
        <f t="shared" si="1"/>
        <v>ACTIVE</v>
      </c>
    </row>
    <row r="3744" ht="22.5" customHeight="1">
      <c r="A3744" s="11" t="str">
        <f t="array" ref="A3744">IFERROR(
  INDEX('Starlink Launches'!$A:$A, MATCH($E3744, 'Starlink Launches'!$B:$B, 0)),
  ""
)
</f>
        <v>10-29</v>
      </c>
      <c r="B3744" s="3" t="s">
        <v>25</v>
      </c>
      <c r="C3744" s="12" t="s">
        <v>3764</v>
      </c>
      <c r="D3744" s="13">
        <v>65026.0</v>
      </c>
      <c r="E3744" s="4">
        <v>45868.0</v>
      </c>
      <c r="F3744" s="4" t="str">
        <f>IF(D3744="","", IFNA(VLOOKUP(D3744, SATCAT_DECAY!A:B, 2, FALSE), ""))
</f>
        <v/>
      </c>
      <c r="G3744" s="3" t="str">
        <f t="shared" si="1"/>
        <v>ACTIVE</v>
      </c>
    </row>
    <row r="3745" ht="22.5" customHeight="1">
      <c r="A3745" s="11" t="str">
        <f t="array" ref="A3745">IFERROR(
  INDEX('Starlink Launches'!$A:$A, MATCH($E3745, 'Starlink Launches'!$B:$B, 0)),
  ""
)
</f>
        <v>10-29</v>
      </c>
      <c r="B3745" s="3" t="s">
        <v>25</v>
      </c>
      <c r="C3745" s="12" t="s">
        <v>3765</v>
      </c>
      <c r="D3745" s="13">
        <v>65027.0</v>
      </c>
      <c r="E3745" s="4">
        <v>45868.0</v>
      </c>
      <c r="F3745" s="4" t="str">
        <f>IF(D3745="","", IFNA(VLOOKUP(D3745, SATCAT_DECAY!A:B, 2, FALSE), ""))
</f>
        <v/>
      </c>
      <c r="G3745" s="3" t="str">
        <f t="shared" si="1"/>
        <v>ACTIVE</v>
      </c>
    </row>
    <row r="3746" ht="22.5" customHeight="1">
      <c r="A3746" s="11" t="str">
        <f t="array" ref="A3746">IFERROR(
  INDEX('Starlink Launches'!$A:$A, MATCH($E3746, 'Starlink Launches'!$B:$B, 0)),
  ""
)
</f>
        <v>10-29</v>
      </c>
      <c r="B3746" s="3" t="s">
        <v>25</v>
      </c>
      <c r="C3746" s="12" t="s">
        <v>3766</v>
      </c>
      <c r="D3746" s="13">
        <v>65028.0</v>
      </c>
      <c r="E3746" s="4">
        <v>45868.0</v>
      </c>
      <c r="F3746" s="4" t="str">
        <f>IF(D3746="","", IFNA(VLOOKUP(D3746, SATCAT_DECAY!A:B, 2, FALSE), ""))
</f>
        <v/>
      </c>
      <c r="G3746" s="3" t="str">
        <f t="shared" si="1"/>
        <v>ACTIVE</v>
      </c>
    </row>
    <row r="3747" ht="22.5" customHeight="1">
      <c r="A3747" s="11" t="str">
        <f t="array" ref="A3747">IFERROR(
  INDEX('Starlink Launches'!$A:$A, MATCH($E3747, 'Starlink Launches'!$B:$B, 0)),
  ""
)
</f>
        <v>10-29</v>
      </c>
      <c r="B3747" s="3" t="s">
        <v>25</v>
      </c>
      <c r="C3747" s="12" t="s">
        <v>3767</v>
      </c>
      <c r="D3747" s="13">
        <v>65029.0</v>
      </c>
      <c r="E3747" s="4">
        <v>45868.0</v>
      </c>
      <c r="F3747" s="4" t="str">
        <f>IF(D3747="","", IFNA(VLOOKUP(D3747, SATCAT_DECAY!A:B, 2, FALSE), ""))
</f>
        <v/>
      </c>
      <c r="G3747" s="3" t="str">
        <f t="shared" si="1"/>
        <v>ACTIVE</v>
      </c>
    </row>
    <row r="3748" ht="22.5" customHeight="1">
      <c r="A3748" s="11" t="str">
        <f t="array" ref="A3748">IFERROR(
  INDEX('Starlink Launches'!$A:$A, MATCH($E3748, 'Starlink Launches'!$B:$B, 0)),
  ""
)
</f>
        <v>10-29</v>
      </c>
      <c r="B3748" s="3" t="s">
        <v>25</v>
      </c>
      <c r="C3748" s="12" t="s">
        <v>3768</v>
      </c>
      <c r="D3748" s="13">
        <v>65030.0</v>
      </c>
      <c r="E3748" s="4">
        <v>45868.0</v>
      </c>
      <c r="F3748" s="4" t="str">
        <f>IF(D3748="","", IFNA(VLOOKUP(D3748, SATCAT_DECAY!A:B, 2, FALSE), ""))
</f>
        <v/>
      </c>
      <c r="G3748" s="3" t="str">
        <f t="shared" si="1"/>
        <v>ACTIVE</v>
      </c>
    </row>
    <row r="3749" ht="22.5" customHeight="1">
      <c r="A3749" s="11" t="str">
        <f t="array" ref="A3749">IFERROR(
  INDEX('Starlink Launches'!$A:$A, MATCH($E3749, 'Starlink Launches'!$B:$B, 0)),
  ""
)
</f>
        <v>10-29</v>
      </c>
      <c r="B3749" s="3" t="s">
        <v>25</v>
      </c>
      <c r="C3749" s="12" t="s">
        <v>3769</v>
      </c>
      <c r="D3749" s="13">
        <v>65031.0</v>
      </c>
      <c r="E3749" s="4">
        <v>45868.0</v>
      </c>
      <c r="F3749" s="4" t="str">
        <f>IF(D3749="","", IFNA(VLOOKUP(D3749, SATCAT_DECAY!A:B, 2, FALSE), ""))
</f>
        <v/>
      </c>
      <c r="G3749" s="3" t="str">
        <f t="shared" si="1"/>
        <v>ACTIVE</v>
      </c>
    </row>
    <row r="3750" ht="22.5" customHeight="1">
      <c r="A3750" s="11" t="str">
        <f t="array" ref="A3750">IFERROR(
  INDEX('Starlink Launches'!$A:$A, MATCH($E3750, 'Starlink Launches'!$B:$B, 0)),
  ""
)
</f>
        <v>10-29</v>
      </c>
      <c r="B3750" s="3" t="s">
        <v>25</v>
      </c>
      <c r="C3750" s="12" t="s">
        <v>3770</v>
      </c>
      <c r="D3750" s="13">
        <v>65032.0</v>
      </c>
      <c r="E3750" s="4">
        <v>45868.0</v>
      </c>
      <c r="F3750" s="4" t="str">
        <f>IF(D3750="","", IFNA(VLOOKUP(D3750, SATCAT_DECAY!A:B, 2, FALSE), ""))
</f>
        <v/>
      </c>
      <c r="G3750" s="3" t="str">
        <f t="shared" si="1"/>
        <v>ACTIVE</v>
      </c>
    </row>
    <row r="3751" ht="22.5" customHeight="1">
      <c r="A3751" s="11" t="str">
        <f t="array" ref="A3751">IFERROR(
  INDEX('Starlink Launches'!$A:$A, MATCH($E3751, 'Starlink Launches'!$B:$B, 0)),
  ""
)
</f>
        <v>10-29</v>
      </c>
      <c r="B3751" s="3" t="s">
        <v>25</v>
      </c>
      <c r="C3751" s="12" t="s">
        <v>3771</v>
      </c>
      <c r="D3751" s="13">
        <v>65033.0</v>
      </c>
      <c r="E3751" s="4">
        <v>45868.0</v>
      </c>
      <c r="F3751" s="4" t="str">
        <f>IF(D3751="","", IFNA(VLOOKUP(D3751, SATCAT_DECAY!A:B, 2, FALSE), ""))
</f>
        <v/>
      </c>
      <c r="G3751" s="3" t="str">
        <f t="shared" si="1"/>
        <v>ACTIVE</v>
      </c>
    </row>
    <row r="3752" ht="22.5" customHeight="1">
      <c r="A3752" s="11" t="str">
        <f t="array" ref="A3752">IFERROR(
  INDEX('Starlink Launches'!$A:$A, MATCH($E3752, 'Starlink Launches'!$B:$B, 0)),
  ""
)
</f>
        <v>10-29</v>
      </c>
      <c r="B3752" s="3" t="s">
        <v>25</v>
      </c>
      <c r="C3752" s="12" t="s">
        <v>3772</v>
      </c>
      <c r="D3752" s="13">
        <v>65034.0</v>
      </c>
      <c r="E3752" s="4">
        <v>45868.0</v>
      </c>
      <c r="F3752" s="4" t="str">
        <f>IF(D3752="","", IFNA(VLOOKUP(D3752, SATCAT_DECAY!A:B, 2, FALSE), ""))
</f>
        <v/>
      </c>
      <c r="G3752" s="3" t="str">
        <f t="shared" si="1"/>
        <v>ACTIVE</v>
      </c>
    </row>
    <row r="3753" ht="22.5" customHeight="1">
      <c r="A3753" s="11" t="str">
        <f t="array" ref="A3753">IFERROR(
  INDEX('Starlink Launches'!$A:$A, MATCH($E3753, 'Starlink Launches'!$B:$B, 0)),
  ""
)
</f>
        <v>10-29</v>
      </c>
      <c r="B3753" s="3" t="s">
        <v>25</v>
      </c>
      <c r="C3753" s="12" t="s">
        <v>3773</v>
      </c>
      <c r="D3753" s="13">
        <v>65035.0</v>
      </c>
      <c r="E3753" s="4">
        <v>45868.0</v>
      </c>
      <c r="F3753" s="4" t="str">
        <f>IF(D3753="","", IFNA(VLOOKUP(D3753, SATCAT_DECAY!A:B, 2, FALSE), ""))
</f>
        <v/>
      </c>
      <c r="G3753" s="3" t="str">
        <f t="shared" si="1"/>
        <v>ACTIVE</v>
      </c>
    </row>
    <row r="3754" ht="22.5" customHeight="1">
      <c r="A3754" s="11" t="str">
        <f t="array" ref="A3754">IFERROR(
  INDEX('Starlink Launches'!$A:$A, MATCH($E3754, 'Starlink Launches'!$B:$B, 0)),
  ""
)
</f>
        <v>10-29</v>
      </c>
      <c r="B3754" s="3" t="s">
        <v>25</v>
      </c>
      <c r="C3754" s="12" t="s">
        <v>3774</v>
      </c>
      <c r="D3754" s="13">
        <v>65036.0</v>
      </c>
      <c r="E3754" s="4">
        <v>45868.0</v>
      </c>
      <c r="F3754" s="4" t="str">
        <f>IF(D3754="","", IFNA(VLOOKUP(D3754, SATCAT_DECAY!A:B, 2, FALSE), ""))
</f>
        <v/>
      </c>
      <c r="G3754" s="3" t="str">
        <f t="shared" si="1"/>
        <v>ACTIVE</v>
      </c>
    </row>
    <row r="3755" ht="22.5" customHeight="1">
      <c r="A3755" s="11" t="str">
        <f t="array" ref="A3755">IFERROR(
  INDEX('Starlink Launches'!$A:$A, MATCH($E3755, 'Starlink Launches'!$B:$B, 0)),
  ""
)
</f>
        <v>10-29</v>
      </c>
      <c r="B3755" s="3" t="s">
        <v>25</v>
      </c>
      <c r="C3755" s="12" t="s">
        <v>3775</v>
      </c>
      <c r="D3755" s="13">
        <v>65037.0</v>
      </c>
      <c r="E3755" s="4">
        <v>45868.0</v>
      </c>
      <c r="F3755" s="4" t="str">
        <f>IF(D3755="","", IFNA(VLOOKUP(D3755, SATCAT_DECAY!A:B, 2, FALSE), ""))
</f>
        <v/>
      </c>
      <c r="G3755" s="3" t="str">
        <f t="shared" si="1"/>
        <v>ACTIVE</v>
      </c>
    </row>
    <row r="3756" ht="22.5" customHeight="1">
      <c r="A3756" s="11" t="str">
        <f t="array" ref="A3756">IFERROR(
  INDEX('Starlink Launches'!$A:$A, MATCH($E3756, 'Starlink Launches'!$B:$B, 0)),
  ""
)
</f>
        <v>10-29</v>
      </c>
      <c r="B3756" s="3" t="s">
        <v>25</v>
      </c>
      <c r="C3756" s="12" t="s">
        <v>3776</v>
      </c>
      <c r="D3756" s="13">
        <v>65038.0</v>
      </c>
      <c r="E3756" s="4">
        <v>45868.0</v>
      </c>
      <c r="F3756" s="4" t="str">
        <f>IF(D3756="","", IFNA(VLOOKUP(D3756, SATCAT_DECAY!A:B, 2, FALSE), ""))
</f>
        <v/>
      </c>
      <c r="G3756" s="3" t="str">
        <f t="shared" si="1"/>
        <v>ACTIVE</v>
      </c>
    </row>
    <row r="3757" ht="22.5" customHeight="1">
      <c r="A3757" s="11" t="str">
        <f t="array" ref="A3757">IFERROR(
  INDEX('Starlink Launches'!$A:$A, MATCH($E3757, 'Starlink Launches'!$B:$B, 0)),
  ""
)
</f>
        <v>10-29</v>
      </c>
      <c r="B3757" s="3" t="s">
        <v>25</v>
      </c>
      <c r="C3757" s="12" t="s">
        <v>3777</v>
      </c>
      <c r="D3757" s="13">
        <v>65039.0</v>
      </c>
      <c r="E3757" s="4">
        <v>45868.0</v>
      </c>
      <c r="F3757" s="4" t="str">
        <f>IF(D3757="","", IFNA(VLOOKUP(D3757, SATCAT_DECAY!A:B, 2, FALSE), ""))
</f>
        <v/>
      </c>
      <c r="G3757" s="3" t="str">
        <f t="shared" si="1"/>
        <v>ACTIVE</v>
      </c>
    </row>
    <row r="3758" ht="22.5" customHeight="1">
      <c r="A3758" s="11" t="str">
        <f t="array" ref="A3758">IFERROR(
  INDEX('Starlink Launches'!$A:$A, MATCH($E3758, 'Starlink Launches'!$B:$B, 0)),
  ""
)
</f>
        <v>10-29</v>
      </c>
      <c r="B3758" s="3" t="s">
        <v>25</v>
      </c>
      <c r="C3758" s="12" t="s">
        <v>3778</v>
      </c>
      <c r="D3758" s="13">
        <v>65040.0</v>
      </c>
      <c r="E3758" s="4">
        <v>45868.0</v>
      </c>
      <c r="F3758" s="4" t="str">
        <f>IF(D3758="","", IFNA(VLOOKUP(D3758, SATCAT_DECAY!A:B, 2, FALSE), ""))
</f>
        <v/>
      </c>
      <c r="G3758" s="3" t="str">
        <f t="shared" si="1"/>
        <v>ACTIVE</v>
      </c>
    </row>
    <row r="3759" ht="22.5" customHeight="1">
      <c r="A3759" s="11" t="str">
        <f t="array" ref="A3759">IFERROR(
  INDEX('Starlink Launches'!$A:$A, MATCH($E3759, 'Starlink Launches'!$B:$B, 0)),
  ""
)
</f>
        <v>10-29</v>
      </c>
      <c r="B3759" s="3" t="s">
        <v>25</v>
      </c>
      <c r="C3759" s="12" t="s">
        <v>3779</v>
      </c>
      <c r="D3759" s="13">
        <v>65041.0</v>
      </c>
      <c r="E3759" s="4">
        <v>45868.0</v>
      </c>
      <c r="F3759" s="4" t="str">
        <f>IF(D3759="","", IFNA(VLOOKUP(D3759, SATCAT_DECAY!A:B, 2, FALSE), ""))
</f>
        <v/>
      </c>
      <c r="G3759" s="3" t="str">
        <f t="shared" si="1"/>
        <v>ACTIVE</v>
      </c>
    </row>
    <row r="3760" ht="22.5" customHeight="1">
      <c r="A3760" s="11" t="str">
        <f t="array" ref="A3760">IFERROR(
  INDEX('Starlink Launches'!$A:$A, MATCH($E3760, 'Starlink Launches'!$B:$B, 0)),
  ""
)
</f>
        <v>10-29</v>
      </c>
      <c r="B3760" s="3" t="s">
        <v>25</v>
      </c>
      <c r="C3760" s="12" t="s">
        <v>3780</v>
      </c>
      <c r="D3760" s="13">
        <v>65042.0</v>
      </c>
      <c r="E3760" s="4">
        <v>45868.0</v>
      </c>
      <c r="F3760" s="4" t="str">
        <f>IF(D3760="","", IFNA(VLOOKUP(D3760, SATCAT_DECAY!A:B, 2, FALSE), ""))
</f>
        <v/>
      </c>
      <c r="G3760" s="3" t="str">
        <f t="shared" si="1"/>
        <v>ACTIVE</v>
      </c>
    </row>
    <row r="3761" ht="22.5" customHeight="1">
      <c r="A3761" s="11" t="str">
        <f t="array" ref="A3761">IFERROR(
  INDEX('Starlink Launches'!$A:$A, MATCH($E3761, 'Starlink Launches'!$B:$B, 0)),
  ""
)
</f>
        <v>10-30</v>
      </c>
      <c r="B3761" s="3" t="s">
        <v>25</v>
      </c>
      <c r="C3761" s="12" t="s">
        <v>3781</v>
      </c>
      <c r="D3761" s="13">
        <v>65078.0</v>
      </c>
      <c r="E3761" s="4">
        <v>45873.0</v>
      </c>
      <c r="F3761" s="4" t="str">
        <f>IF(D3761="","", IFNA(VLOOKUP(D3761, SATCAT_DECAY!A:B, 2, FALSE), ""))
</f>
        <v/>
      </c>
      <c r="G3761" s="3" t="str">
        <f t="shared" si="1"/>
        <v>ACTIVE</v>
      </c>
    </row>
    <row r="3762" ht="22.5" customHeight="1">
      <c r="A3762" s="11" t="str">
        <f t="array" ref="A3762">IFERROR(
  INDEX('Starlink Launches'!$A:$A, MATCH($E3762, 'Starlink Launches'!$B:$B, 0)),
  ""
)
</f>
        <v>10-30</v>
      </c>
      <c r="B3762" s="3" t="s">
        <v>25</v>
      </c>
      <c r="C3762" s="12" t="s">
        <v>3782</v>
      </c>
      <c r="D3762" s="13">
        <v>65079.0</v>
      </c>
      <c r="E3762" s="4">
        <v>45873.0</v>
      </c>
      <c r="F3762" s="4" t="str">
        <f>IF(D3762="","", IFNA(VLOOKUP(D3762, SATCAT_DECAY!A:B, 2, FALSE), ""))
</f>
        <v/>
      </c>
      <c r="G3762" s="3" t="str">
        <f t="shared" si="1"/>
        <v>ACTIVE</v>
      </c>
    </row>
    <row r="3763" ht="22.5" customHeight="1">
      <c r="A3763" s="11" t="str">
        <f t="array" ref="A3763">IFERROR(
  INDEX('Starlink Launches'!$A:$A, MATCH($E3763, 'Starlink Launches'!$B:$B, 0)),
  ""
)
</f>
        <v>10-30</v>
      </c>
      <c r="B3763" s="3" t="s">
        <v>25</v>
      </c>
      <c r="C3763" s="12" t="s">
        <v>3783</v>
      </c>
      <c r="D3763" s="13">
        <v>65080.0</v>
      </c>
      <c r="E3763" s="4">
        <v>45873.0</v>
      </c>
      <c r="F3763" s="4" t="str">
        <f>IF(D3763="","", IFNA(VLOOKUP(D3763, SATCAT_DECAY!A:B, 2, FALSE), ""))
</f>
        <v/>
      </c>
      <c r="G3763" s="3" t="str">
        <f t="shared" si="1"/>
        <v>ACTIVE</v>
      </c>
    </row>
    <row r="3764" ht="22.5" customHeight="1">
      <c r="A3764" s="11" t="str">
        <f t="array" ref="A3764">IFERROR(
  INDEX('Starlink Launches'!$A:$A, MATCH($E3764, 'Starlink Launches'!$B:$B, 0)),
  ""
)
</f>
        <v>10-30</v>
      </c>
      <c r="B3764" s="3" t="s">
        <v>25</v>
      </c>
      <c r="C3764" s="12" t="s">
        <v>3784</v>
      </c>
      <c r="D3764" s="13">
        <v>65081.0</v>
      </c>
      <c r="E3764" s="4">
        <v>45873.0</v>
      </c>
      <c r="F3764" s="4" t="str">
        <f>IF(D3764="","", IFNA(VLOOKUP(D3764, SATCAT_DECAY!A:B, 2, FALSE), ""))
</f>
        <v/>
      </c>
      <c r="G3764" s="3" t="str">
        <f t="shared" si="1"/>
        <v>ACTIVE</v>
      </c>
    </row>
    <row r="3765" ht="22.5" customHeight="1">
      <c r="A3765" s="11" t="str">
        <f t="array" ref="A3765">IFERROR(
  INDEX('Starlink Launches'!$A:$A, MATCH($E3765, 'Starlink Launches'!$B:$B, 0)),
  ""
)
</f>
        <v>10-30</v>
      </c>
      <c r="B3765" s="3" t="s">
        <v>25</v>
      </c>
      <c r="C3765" s="12" t="s">
        <v>3785</v>
      </c>
      <c r="D3765" s="13">
        <v>65082.0</v>
      </c>
      <c r="E3765" s="4">
        <v>45873.0</v>
      </c>
      <c r="F3765" s="4" t="str">
        <f>IF(D3765="","", IFNA(VLOOKUP(D3765, SATCAT_DECAY!A:B, 2, FALSE), ""))
</f>
        <v/>
      </c>
      <c r="G3765" s="3" t="str">
        <f t="shared" si="1"/>
        <v>ACTIVE</v>
      </c>
    </row>
    <row r="3766" ht="22.5" customHeight="1">
      <c r="A3766" s="11" t="str">
        <f t="array" ref="A3766">IFERROR(
  INDEX('Starlink Launches'!$A:$A, MATCH($E3766, 'Starlink Launches'!$B:$B, 0)),
  ""
)
</f>
        <v>10-30</v>
      </c>
      <c r="B3766" s="3" t="s">
        <v>25</v>
      </c>
      <c r="C3766" s="12" t="s">
        <v>3786</v>
      </c>
      <c r="D3766" s="13">
        <v>65083.0</v>
      </c>
      <c r="E3766" s="4">
        <v>45873.0</v>
      </c>
      <c r="F3766" s="4" t="str">
        <f>IF(D3766="","", IFNA(VLOOKUP(D3766, SATCAT_DECAY!A:B, 2, FALSE), ""))
</f>
        <v/>
      </c>
      <c r="G3766" s="3" t="str">
        <f t="shared" si="1"/>
        <v>ACTIVE</v>
      </c>
    </row>
    <row r="3767" ht="22.5" customHeight="1">
      <c r="A3767" s="11" t="str">
        <f t="array" ref="A3767">IFERROR(
  INDEX('Starlink Launches'!$A:$A, MATCH($E3767, 'Starlink Launches'!$B:$B, 0)),
  ""
)
</f>
        <v>10-30</v>
      </c>
      <c r="B3767" s="3" t="s">
        <v>25</v>
      </c>
      <c r="C3767" s="12" t="s">
        <v>3787</v>
      </c>
      <c r="D3767" s="13">
        <v>65084.0</v>
      </c>
      <c r="E3767" s="4">
        <v>45873.0</v>
      </c>
      <c r="F3767" s="4" t="str">
        <f>IF(D3767="","", IFNA(VLOOKUP(D3767, SATCAT_DECAY!A:B, 2, FALSE), ""))
</f>
        <v/>
      </c>
      <c r="G3767" s="3" t="str">
        <f t="shared" si="1"/>
        <v>ACTIVE</v>
      </c>
    </row>
    <row r="3768" ht="22.5" customHeight="1">
      <c r="A3768" s="11" t="str">
        <f t="array" ref="A3768">IFERROR(
  INDEX('Starlink Launches'!$A:$A, MATCH($E3768, 'Starlink Launches'!$B:$B, 0)),
  ""
)
</f>
        <v>10-30</v>
      </c>
      <c r="B3768" s="3" t="s">
        <v>25</v>
      </c>
      <c r="C3768" s="12" t="s">
        <v>3788</v>
      </c>
      <c r="D3768" s="13">
        <v>65085.0</v>
      </c>
      <c r="E3768" s="4">
        <v>45873.0</v>
      </c>
      <c r="F3768" s="4" t="str">
        <f>IF(D3768="","", IFNA(VLOOKUP(D3768, SATCAT_DECAY!A:B, 2, FALSE), ""))
</f>
        <v/>
      </c>
      <c r="G3768" s="3" t="str">
        <f t="shared" si="1"/>
        <v>ACTIVE</v>
      </c>
    </row>
    <row r="3769" ht="22.5" customHeight="1">
      <c r="A3769" s="11" t="str">
        <f t="array" ref="A3769">IFERROR(
  INDEX('Starlink Launches'!$A:$A, MATCH($E3769, 'Starlink Launches'!$B:$B, 0)),
  ""
)
</f>
        <v>10-30</v>
      </c>
      <c r="B3769" s="3" t="s">
        <v>25</v>
      </c>
      <c r="C3769" s="12" t="s">
        <v>3789</v>
      </c>
      <c r="D3769" s="13">
        <v>65086.0</v>
      </c>
      <c r="E3769" s="4">
        <v>45873.0</v>
      </c>
      <c r="F3769" s="4" t="str">
        <f>IF(D3769="","", IFNA(VLOOKUP(D3769, SATCAT_DECAY!A:B, 2, FALSE), ""))
</f>
        <v/>
      </c>
      <c r="G3769" s="3" t="str">
        <f t="shared" si="1"/>
        <v>ACTIVE</v>
      </c>
    </row>
    <row r="3770" ht="22.5" customHeight="1">
      <c r="A3770" s="11" t="str">
        <f t="array" ref="A3770">IFERROR(
  INDEX('Starlink Launches'!$A:$A, MATCH($E3770, 'Starlink Launches'!$B:$B, 0)),
  ""
)
</f>
        <v>10-30</v>
      </c>
      <c r="B3770" s="3" t="s">
        <v>25</v>
      </c>
      <c r="C3770" s="12" t="s">
        <v>3790</v>
      </c>
      <c r="D3770" s="13">
        <v>65087.0</v>
      </c>
      <c r="E3770" s="4">
        <v>45873.0</v>
      </c>
      <c r="F3770" s="4" t="str">
        <f>IF(D3770="","", IFNA(VLOOKUP(D3770, SATCAT_DECAY!A:B, 2, FALSE), ""))
</f>
        <v/>
      </c>
      <c r="G3770" s="3" t="str">
        <f t="shared" si="1"/>
        <v>ACTIVE</v>
      </c>
    </row>
    <row r="3771" ht="22.5" customHeight="1">
      <c r="A3771" s="11" t="str">
        <f t="array" ref="A3771">IFERROR(
  INDEX('Starlink Launches'!$A:$A, MATCH($E3771, 'Starlink Launches'!$B:$B, 0)),
  ""
)
</f>
        <v>10-30</v>
      </c>
      <c r="B3771" s="3" t="s">
        <v>25</v>
      </c>
      <c r="C3771" s="12" t="s">
        <v>3791</v>
      </c>
      <c r="D3771" s="13">
        <v>65088.0</v>
      </c>
      <c r="E3771" s="4">
        <v>45873.0</v>
      </c>
      <c r="F3771" s="4" t="str">
        <f>IF(D3771="","", IFNA(VLOOKUP(D3771, SATCAT_DECAY!A:B, 2, FALSE), ""))
</f>
        <v/>
      </c>
      <c r="G3771" s="3" t="str">
        <f t="shared" si="1"/>
        <v>ACTIVE</v>
      </c>
    </row>
    <row r="3772" ht="22.5" customHeight="1">
      <c r="A3772" s="11" t="str">
        <f t="array" ref="A3772">IFERROR(
  INDEX('Starlink Launches'!$A:$A, MATCH($E3772, 'Starlink Launches'!$B:$B, 0)),
  ""
)
</f>
        <v>10-30</v>
      </c>
      <c r="B3772" s="3" t="s">
        <v>25</v>
      </c>
      <c r="C3772" s="12" t="s">
        <v>3792</v>
      </c>
      <c r="D3772" s="13">
        <v>65089.0</v>
      </c>
      <c r="E3772" s="4">
        <v>45873.0</v>
      </c>
      <c r="F3772" s="4" t="str">
        <f>IF(D3772="","", IFNA(VLOOKUP(D3772, SATCAT_DECAY!A:B, 2, FALSE), ""))
</f>
        <v/>
      </c>
      <c r="G3772" s="3" t="str">
        <f t="shared" si="1"/>
        <v>ACTIVE</v>
      </c>
    </row>
    <row r="3773" ht="22.5" customHeight="1">
      <c r="A3773" s="11" t="str">
        <f t="array" ref="A3773">IFERROR(
  INDEX('Starlink Launches'!$A:$A, MATCH($E3773, 'Starlink Launches'!$B:$B, 0)),
  ""
)
</f>
        <v>10-30</v>
      </c>
      <c r="B3773" s="3" t="s">
        <v>25</v>
      </c>
      <c r="C3773" s="12" t="s">
        <v>3793</v>
      </c>
      <c r="D3773" s="13">
        <v>65090.0</v>
      </c>
      <c r="E3773" s="4">
        <v>45873.0</v>
      </c>
      <c r="F3773" s="4" t="str">
        <f>IF(D3773="","", IFNA(VLOOKUP(D3773, SATCAT_DECAY!A:B, 2, FALSE), ""))
</f>
        <v/>
      </c>
      <c r="G3773" s="3" t="str">
        <f t="shared" si="1"/>
        <v>ACTIVE</v>
      </c>
    </row>
    <row r="3774" ht="22.5" customHeight="1">
      <c r="A3774" s="11" t="str">
        <f t="array" ref="A3774">IFERROR(
  INDEX('Starlink Launches'!$A:$A, MATCH($E3774, 'Starlink Launches'!$B:$B, 0)),
  ""
)
</f>
        <v>10-30</v>
      </c>
      <c r="B3774" s="3" t="s">
        <v>25</v>
      </c>
      <c r="C3774" s="12" t="s">
        <v>3794</v>
      </c>
      <c r="D3774" s="13">
        <v>65091.0</v>
      </c>
      <c r="E3774" s="4">
        <v>45873.0</v>
      </c>
      <c r="F3774" s="4" t="str">
        <f>IF(D3774="","", IFNA(VLOOKUP(D3774, SATCAT_DECAY!A:B, 2, FALSE), ""))
</f>
        <v/>
      </c>
      <c r="G3774" s="3" t="str">
        <f t="shared" si="1"/>
        <v>ACTIVE</v>
      </c>
    </row>
    <row r="3775" ht="22.5" customHeight="1">
      <c r="A3775" s="11" t="str">
        <f t="array" ref="A3775">IFERROR(
  INDEX('Starlink Launches'!$A:$A, MATCH($E3775, 'Starlink Launches'!$B:$B, 0)),
  ""
)
</f>
        <v>10-30</v>
      </c>
      <c r="B3775" s="3" t="s">
        <v>25</v>
      </c>
      <c r="C3775" s="12" t="s">
        <v>3795</v>
      </c>
      <c r="D3775" s="13">
        <v>65092.0</v>
      </c>
      <c r="E3775" s="4">
        <v>45873.0</v>
      </c>
      <c r="F3775" s="4" t="str">
        <f>IF(D3775="","", IFNA(VLOOKUP(D3775, SATCAT_DECAY!A:B, 2, FALSE), ""))
</f>
        <v/>
      </c>
      <c r="G3775" s="3" t="str">
        <f t="shared" si="1"/>
        <v>ACTIVE</v>
      </c>
    </row>
    <row r="3776" ht="22.5" customHeight="1">
      <c r="A3776" s="11" t="str">
        <f t="array" ref="A3776">IFERROR(
  INDEX('Starlink Launches'!$A:$A, MATCH($E3776, 'Starlink Launches'!$B:$B, 0)),
  ""
)
</f>
        <v>10-30</v>
      </c>
      <c r="B3776" s="3" t="s">
        <v>25</v>
      </c>
      <c r="C3776" s="12" t="s">
        <v>3796</v>
      </c>
      <c r="D3776" s="13">
        <v>65093.0</v>
      </c>
      <c r="E3776" s="4">
        <v>45873.0</v>
      </c>
      <c r="F3776" s="4" t="str">
        <f>IF(D3776="","", IFNA(VLOOKUP(D3776, SATCAT_DECAY!A:B, 2, FALSE), ""))
</f>
        <v/>
      </c>
      <c r="G3776" s="3" t="str">
        <f t="shared" si="1"/>
        <v>ACTIVE</v>
      </c>
    </row>
    <row r="3777" ht="22.5" customHeight="1">
      <c r="A3777" s="11" t="str">
        <f t="array" ref="A3777">IFERROR(
  INDEX('Starlink Launches'!$A:$A, MATCH($E3777, 'Starlink Launches'!$B:$B, 0)),
  ""
)
</f>
        <v>10-30</v>
      </c>
      <c r="B3777" s="3" t="s">
        <v>25</v>
      </c>
      <c r="C3777" s="12" t="s">
        <v>3797</v>
      </c>
      <c r="D3777" s="13">
        <v>65094.0</v>
      </c>
      <c r="E3777" s="4">
        <v>45873.0</v>
      </c>
      <c r="F3777" s="4" t="str">
        <f>IF(D3777="","", IFNA(VLOOKUP(D3777, SATCAT_DECAY!A:B, 2, FALSE), ""))
</f>
        <v/>
      </c>
      <c r="G3777" s="3" t="str">
        <f t="shared" si="1"/>
        <v>ACTIVE</v>
      </c>
    </row>
    <row r="3778" ht="22.5" customHeight="1">
      <c r="A3778" s="11" t="str">
        <f t="array" ref="A3778">IFERROR(
  INDEX('Starlink Launches'!$A:$A, MATCH($E3778, 'Starlink Launches'!$B:$B, 0)),
  ""
)
</f>
        <v>10-30</v>
      </c>
      <c r="B3778" s="3" t="s">
        <v>25</v>
      </c>
      <c r="C3778" s="12" t="s">
        <v>3798</v>
      </c>
      <c r="D3778" s="13">
        <v>65095.0</v>
      </c>
      <c r="E3778" s="4">
        <v>45873.0</v>
      </c>
      <c r="F3778" s="4" t="str">
        <f>IF(D3778="","", IFNA(VLOOKUP(D3778, SATCAT_DECAY!A:B, 2, FALSE), ""))
</f>
        <v/>
      </c>
      <c r="G3778" s="3" t="str">
        <f t="shared" si="1"/>
        <v>ACTIVE</v>
      </c>
    </row>
    <row r="3779" ht="22.5" customHeight="1">
      <c r="A3779" s="11" t="str">
        <f t="array" ref="A3779">IFERROR(
  INDEX('Starlink Launches'!$A:$A, MATCH($E3779, 'Starlink Launches'!$B:$B, 0)),
  ""
)
</f>
        <v>10-30</v>
      </c>
      <c r="B3779" s="3" t="s">
        <v>25</v>
      </c>
      <c r="C3779" s="12" t="s">
        <v>3799</v>
      </c>
      <c r="D3779" s="13">
        <v>65096.0</v>
      </c>
      <c r="E3779" s="4">
        <v>45873.0</v>
      </c>
      <c r="F3779" s="4" t="str">
        <f>IF(D3779="","", IFNA(VLOOKUP(D3779, SATCAT_DECAY!A:B, 2, FALSE), ""))
</f>
        <v/>
      </c>
      <c r="G3779" s="3" t="str">
        <f t="shared" si="1"/>
        <v>ACTIVE</v>
      </c>
    </row>
    <row r="3780" ht="22.5" customHeight="1">
      <c r="A3780" s="11" t="str">
        <f t="array" ref="A3780">IFERROR(
  INDEX('Starlink Launches'!$A:$A, MATCH($E3780, 'Starlink Launches'!$B:$B, 0)),
  ""
)
</f>
        <v>10-30</v>
      </c>
      <c r="B3780" s="3" t="s">
        <v>25</v>
      </c>
      <c r="C3780" s="12" t="s">
        <v>3800</v>
      </c>
      <c r="D3780" s="13">
        <v>65097.0</v>
      </c>
      <c r="E3780" s="4">
        <v>45873.0</v>
      </c>
      <c r="F3780" s="4" t="str">
        <f>IF(D3780="","", IFNA(VLOOKUP(D3780, SATCAT_DECAY!A:B, 2, FALSE), ""))
</f>
        <v/>
      </c>
      <c r="G3780" s="3" t="str">
        <f t="shared" si="1"/>
        <v>ACTIVE</v>
      </c>
    </row>
    <row r="3781" ht="22.5" customHeight="1">
      <c r="A3781" s="11" t="str">
        <f t="array" ref="A3781">IFERROR(
  INDEX('Starlink Launches'!$A:$A, MATCH($E3781, 'Starlink Launches'!$B:$B, 0)),
  ""
)
</f>
        <v>10-30</v>
      </c>
      <c r="B3781" s="3" t="s">
        <v>25</v>
      </c>
      <c r="C3781" s="12" t="s">
        <v>3801</v>
      </c>
      <c r="D3781" s="13">
        <v>65098.0</v>
      </c>
      <c r="E3781" s="4">
        <v>45873.0</v>
      </c>
      <c r="F3781" s="4" t="str">
        <f>IF(D3781="","", IFNA(VLOOKUP(D3781, SATCAT_DECAY!A:B, 2, FALSE), ""))
</f>
        <v/>
      </c>
      <c r="G3781" s="3" t="str">
        <f t="shared" si="1"/>
        <v>ACTIVE</v>
      </c>
    </row>
    <row r="3782" ht="22.5" customHeight="1">
      <c r="A3782" s="11" t="str">
        <f t="array" ref="A3782">IFERROR(
  INDEX('Starlink Launches'!$A:$A, MATCH($E3782, 'Starlink Launches'!$B:$B, 0)),
  ""
)
</f>
        <v>10-30</v>
      </c>
      <c r="B3782" s="3" t="s">
        <v>25</v>
      </c>
      <c r="C3782" s="12" t="s">
        <v>3802</v>
      </c>
      <c r="D3782" s="13">
        <v>65099.0</v>
      </c>
      <c r="E3782" s="4">
        <v>45873.0</v>
      </c>
      <c r="F3782" s="4" t="str">
        <f>IF(D3782="","", IFNA(VLOOKUP(D3782, SATCAT_DECAY!A:B, 2, FALSE), ""))
</f>
        <v/>
      </c>
      <c r="G3782" s="3" t="str">
        <f t="shared" si="1"/>
        <v>ACTIVE</v>
      </c>
    </row>
    <row r="3783" ht="22.5" customHeight="1">
      <c r="A3783" s="11" t="str">
        <f t="array" ref="A3783">IFERROR(
  INDEX('Starlink Launches'!$A:$A, MATCH($E3783, 'Starlink Launches'!$B:$B, 0)),
  ""
)
</f>
        <v>10-30</v>
      </c>
      <c r="B3783" s="3" t="s">
        <v>25</v>
      </c>
      <c r="C3783" s="12" t="s">
        <v>3803</v>
      </c>
      <c r="D3783" s="13">
        <v>65100.0</v>
      </c>
      <c r="E3783" s="4">
        <v>45873.0</v>
      </c>
      <c r="F3783" s="4" t="str">
        <f>IF(D3783="","", IFNA(VLOOKUP(D3783, SATCAT_DECAY!A:B, 2, FALSE), ""))
</f>
        <v/>
      </c>
      <c r="G3783" s="3" t="str">
        <f t="shared" si="1"/>
        <v>ACTIVE</v>
      </c>
    </row>
    <row r="3784" ht="22.5" customHeight="1">
      <c r="A3784" s="11" t="str">
        <f t="array" ref="A3784">IFERROR(
  INDEX('Starlink Launches'!$A:$A, MATCH($E3784, 'Starlink Launches'!$B:$B, 0)),
  ""
)
</f>
        <v>10-30</v>
      </c>
      <c r="B3784" s="3" t="s">
        <v>25</v>
      </c>
      <c r="C3784" s="12" t="s">
        <v>3804</v>
      </c>
      <c r="D3784" s="13">
        <v>65101.0</v>
      </c>
      <c r="E3784" s="4">
        <v>45873.0</v>
      </c>
      <c r="F3784" s="4" t="str">
        <f>IF(D3784="","", IFNA(VLOOKUP(D3784, SATCAT_DECAY!A:B, 2, FALSE), ""))
</f>
        <v/>
      </c>
      <c r="G3784" s="3" t="str">
        <f t="shared" si="1"/>
        <v>ACTIVE</v>
      </c>
    </row>
    <row r="3785" ht="22.5" customHeight="1">
      <c r="A3785" s="11" t="str">
        <f t="array" ref="A3785">IFERROR(
  INDEX('Starlink Launches'!$A:$A, MATCH($E3785, 'Starlink Launches'!$B:$B, 0)),
  ""
)
</f>
        <v>10-30</v>
      </c>
      <c r="B3785" s="3" t="s">
        <v>25</v>
      </c>
      <c r="C3785" s="12" t="s">
        <v>3805</v>
      </c>
      <c r="D3785" s="13">
        <v>65102.0</v>
      </c>
      <c r="E3785" s="4">
        <v>45873.0</v>
      </c>
      <c r="F3785" s="4" t="str">
        <f>IF(D3785="","", IFNA(VLOOKUP(D3785, SATCAT_DECAY!A:B, 2, FALSE), ""))
</f>
        <v/>
      </c>
      <c r="G3785" s="3" t="str">
        <f t="shared" si="1"/>
        <v>ACTIVE</v>
      </c>
    </row>
    <row r="3786" ht="22.5" customHeight="1">
      <c r="A3786" s="11" t="str">
        <f t="array" ref="A3786">IFERROR(
  INDEX('Starlink Launches'!$A:$A, MATCH($E3786, 'Starlink Launches'!$B:$B, 0)),
  ""
)
</f>
        <v>10-30</v>
      </c>
      <c r="B3786" s="3" t="s">
        <v>25</v>
      </c>
      <c r="C3786" s="12" t="s">
        <v>3806</v>
      </c>
      <c r="D3786" s="13">
        <v>65103.0</v>
      </c>
      <c r="E3786" s="4">
        <v>45873.0</v>
      </c>
      <c r="F3786" s="4" t="str">
        <f>IF(D3786="","", IFNA(VLOOKUP(D3786, SATCAT_DECAY!A:B, 2, FALSE), ""))
</f>
        <v/>
      </c>
      <c r="G3786" s="3" t="str">
        <f t="shared" si="1"/>
        <v>ACTIVE</v>
      </c>
    </row>
    <row r="3787" ht="22.5" customHeight="1">
      <c r="A3787" s="11" t="str">
        <f t="array" ref="A3787">IFERROR(
  INDEX('Starlink Launches'!$A:$A, MATCH($E3787, 'Starlink Launches'!$B:$B, 0)),
  ""
)
</f>
        <v>10-30</v>
      </c>
      <c r="B3787" s="3" t="s">
        <v>25</v>
      </c>
      <c r="C3787" s="12" t="s">
        <v>3807</v>
      </c>
      <c r="D3787" s="13">
        <v>65104.0</v>
      </c>
      <c r="E3787" s="4">
        <v>45873.0</v>
      </c>
      <c r="F3787" s="4" t="str">
        <f>IF(D3787="","", IFNA(VLOOKUP(D3787, SATCAT_DECAY!A:B, 2, FALSE), ""))
</f>
        <v/>
      </c>
      <c r="G3787" s="3" t="str">
        <f t="shared" si="1"/>
        <v>ACTIVE</v>
      </c>
    </row>
    <row r="3788" ht="22.5" customHeight="1">
      <c r="A3788" s="11" t="str">
        <f t="array" ref="A3788">IFERROR(
  INDEX('Starlink Launches'!$A:$A, MATCH($E3788, 'Starlink Launches'!$B:$B, 0)),
  ""
)
</f>
        <v>10-30</v>
      </c>
      <c r="B3788" s="3" t="s">
        <v>25</v>
      </c>
      <c r="C3788" s="12" t="s">
        <v>3808</v>
      </c>
      <c r="D3788" s="13">
        <v>65105.0</v>
      </c>
      <c r="E3788" s="4">
        <v>45873.0</v>
      </c>
      <c r="F3788" s="4" t="str">
        <f>IF(D3788="","", IFNA(VLOOKUP(D3788, SATCAT_DECAY!A:B, 2, FALSE), ""))
</f>
        <v/>
      </c>
      <c r="G3788" s="3" t="str">
        <f t="shared" si="1"/>
        <v>ACTIVE</v>
      </c>
    </row>
    <row r="3789" ht="22.5" customHeight="1">
      <c r="A3789" s="11" t="str">
        <f t="array" ref="A3789">IFERROR(
  INDEX('Starlink Launches'!$A:$A, MATCH($E3789, 'Starlink Launches'!$B:$B, 0)),
  ""
)
</f>
        <v>10-20</v>
      </c>
      <c r="B3789" s="3" t="s">
        <v>25</v>
      </c>
      <c r="C3789" s="12" t="s">
        <v>3809</v>
      </c>
      <c r="D3789" s="13">
        <v>65198.0</v>
      </c>
      <c r="E3789" s="4">
        <v>45883.0</v>
      </c>
      <c r="F3789" s="4" t="str">
        <f>IF(D3789="","", IFNA(VLOOKUP(D3789, SATCAT_DECAY!A:B, 2, FALSE), ""))
</f>
        <v/>
      </c>
      <c r="G3789" s="3" t="str">
        <f t="shared" si="1"/>
        <v>ACTIVE</v>
      </c>
    </row>
    <row r="3790" ht="22.5" customHeight="1">
      <c r="A3790" s="11" t="str">
        <f t="array" ref="A3790">IFERROR(
  INDEX('Starlink Launches'!$A:$A, MATCH($E3790, 'Starlink Launches'!$B:$B, 0)),
  ""
)
</f>
        <v>10-20</v>
      </c>
      <c r="B3790" s="3" t="s">
        <v>25</v>
      </c>
      <c r="C3790" s="12" t="s">
        <v>3810</v>
      </c>
      <c r="D3790" s="13">
        <v>65199.0</v>
      </c>
      <c r="E3790" s="4">
        <v>45883.0</v>
      </c>
      <c r="F3790" s="4" t="str">
        <f>IF(D3790="","", IFNA(VLOOKUP(D3790, SATCAT_DECAY!A:B, 2, FALSE), ""))
</f>
        <v/>
      </c>
      <c r="G3790" s="3" t="str">
        <f t="shared" si="1"/>
        <v>ACTIVE</v>
      </c>
    </row>
    <row r="3791" ht="22.5" customHeight="1">
      <c r="A3791" s="11" t="str">
        <f t="array" ref="A3791">IFERROR(
  INDEX('Starlink Launches'!$A:$A, MATCH($E3791, 'Starlink Launches'!$B:$B, 0)),
  ""
)
</f>
        <v>10-20</v>
      </c>
      <c r="B3791" s="3" t="s">
        <v>25</v>
      </c>
      <c r="C3791" s="12" t="s">
        <v>3811</v>
      </c>
      <c r="D3791" s="13">
        <v>65200.0</v>
      </c>
      <c r="E3791" s="4">
        <v>45883.0</v>
      </c>
      <c r="F3791" s="4" t="str">
        <f>IF(D3791="","", IFNA(VLOOKUP(D3791, SATCAT_DECAY!A:B, 2, FALSE), ""))
</f>
        <v/>
      </c>
      <c r="G3791" s="3" t="str">
        <f t="shared" si="1"/>
        <v>ACTIVE</v>
      </c>
    </row>
    <row r="3792" ht="22.5" customHeight="1">
      <c r="A3792" s="11" t="str">
        <f t="array" ref="A3792">IFERROR(
  INDEX('Starlink Launches'!$A:$A, MATCH($E3792, 'Starlink Launches'!$B:$B, 0)),
  ""
)
</f>
        <v>10-20</v>
      </c>
      <c r="B3792" s="3" t="s">
        <v>25</v>
      </c>
      <c r="C3792" s="12" t="s">
        <v>3812</v>
      </c>
      <c r="D3792" s="13">
        <v>65201.0</v>
      </c>
      <c r="E3792" s="4">
        <v>45883.0</v>
      </c>
      <c r="F3792" s="4" t="str">
        <f>IF(D3792="","", IFNA(VLOOKUP(D3792, SATCAT_DECAY!A:B, 2, FALSE), ""))
</f>
        <v/>
      </c>
      <c r="G3792" s="3" t="str">
        <f t="shared" si="1"/>
        <v>ACTIVE</v>
      </c>
    </row>
    <row r="3793" ht="22.5" customHeight="1">
      <c r="A3793" s="11" t="str">
        <f t="array" ref="A3793">IFERROR(
  INDEX('Starlink Launches'!$A:$A, MATCH($E3793, 'Starlink Launches'!$B:$B, 0)),
  ""
)
</f>
        <v>10-20</v>
      </c>
      <c r="B3793" s="3" t="s">
        <v>25</v>
      </c>
      <c r="C3793" s="12" t="s">
        <v>3813</v>
      </c>
      <c r="D3793" s="13">
        <v>65202.0</v>
      </c>
      <c r="E3793" s="4">
        <v>45883.0</v>
      </c>
      <c r="F3793" s="4" t="str">
        <f>IF(D3793="","", IFNA(VLOOKUP(D3793, SATCAT_DECAY!A:B, 2, FALSE), ""))
</f>
        <v/>
      </c>
      <c r="G3793" s="3" t="str">
        <f t="shared" si="1"/>
        <v>ACTIVE</v>
      </c>
    </row>
    <row r="3794" ht="22.5" customHeight="1">
      <c r="A3794" s="11" t="str">
        <f t="array" ref="A3794">IFERROR(
  INDEX('Starlink Launches'!$A:$A, MATCH($E3794, 'Starlink Launches'!$B:$B, 0)),
  ""
)
</f>
        <v>10-20</v>
      </c>
      <c r="B3794" s="3" t="s">
        <v>25</v>
      </c>
      <c r="C3794" s="12" t="s">
        <v>3814</v>
      </c>
      <c r="D3794" s="13">
        <v>65203.0</v>
      </c>
      <c r="E3794" s="4">
        <v>45883.0</v>
      </c>
      <c r="F3794" s="4" t="str">
        <f>IF(D3794="","", IFNA(VLOOKUP(D3794, SATCAT_DECAY!A:B, 2, FALSE), ""))
</f>
        <v/>
      </c>
      <c r="G3794" s="3" t="str">
        <f t="shared" si="1"/>
        <v>ACTIVE</v>
      </c>
    </row>
    <row r="3795" ht="22.5" customHeight="1">
      <c r="A3795" s="11" t="str">
        <f t="array" ref="A3795">IFERROR(
  INDEX('Starlink Launches'!$A:$A, MATCH($E3795, 'Starlink Launches'!$B:$B, 0)),
  ""
)
</f>
        <v>10-20</v>
      </c>
      <c r="B3795" s="3" t="s">
        <v>25</v>
      </c>
      <c r="C3795" s="12" t="s">
        <v>3815</v>
      </c>
      <c r="D3795" s="13">
        <v>65204.0</v>
      </c>
      <c r="E3795" s="4">
        <v>45883.0</v>
      </c>
      <c r="F3795" s="4" t="str">
        <f>IF(D3795="","", IFNA(VLOOKUP(D3795, SATCAT_DECAY!A:B, 2, FALSE), ""))
</f>
        <v/>
      </c>
      <c r="G3795" s="3" t="str">
        <f t="shared" si="1"/>
        <v>ACTIVE</v>
      </c>
    </row>
    <row r="3796" ht="22.5" customHeight="1">
      <c r="A3796" s="11" t="str">
        <f t="array" ref="A3796">IFERROR(
  INDEX('Starlink Launches'!$A:$A, MATCH($E3796, 'Starlink Launches'!$B:$B, 0)),
  ""
)
</f>
        <v>10-20</v>
      </c>
      <c r="B3796" s="3" t="s">
        <v>25</v>
      </c>
      <c r="C3796" s="12" t="s">
        <v>3816</v>
      </c>
      <c r="D3796" s="13">
        <v>65205.0</v>
      </c>
      <c r="E3796" s="4">
        <v>45883.0</v>
      </c>
      <c r="F3796" s="4" t="str">
        <f>IF(D3796="","", IFNA(VLOOKUP(D3796, SATCAT_DECAY!A:B, 2, FALSE), ""))
</f>
        <v/>
      </c>
      <c r="G3796" s="3" t="str">
        <f t="shared" si="1"/>
        <v>ACTIVE</v>
      </c>
    </row>
    <row r="3797" ht="22.5" customHeight="1">
      <c r="A3797" s="11" t="str">
        <f t="array" ref="A3797">IFERROR(
  INDEX('Starlink Launches'!$A:$A, MATCH($E3797, 'Starlink Launches'!$B:$B, 0)),
  ""
)
</f>
        <v>10-20</v>
      </c>
      <c r="B3797" s="3" t="s">
        <v>25</v>
      </c>
      <c r="C3797" s="12" t="s">
        <v>3817</v>
      </c>
      <c r="D3797" s="13">
        <v>65206.0</v>
      </c>
      <c r="E3797" s="4">
        <v>45883.0</v>
      </c>
      <c r="F3797" s="4" t="str">
        <f>IF(D3797="","", IFNA(VLOOKUP(D3797, SATCAT_DECAY!A:B, 2, FALSE), ""))
</f>
        <v/>
      </c>
      <c r="G3797" s="3" t="str">
        <f t="shared" si="1"/>
        <v>ACTIVE</v>
      </c>
    </row>
    <row r="3798" ht="22.5" customHeight="1">
      <c r="A3798" s="11" t="str">
        <f t="array" ref="A3798">IFERROR(
  INDEX('Starlink Launches'!$A:$A, MATCH($E3798, 'Starlink Launches'!$B:$B, 0)),
  ""
)
</f>
        <v>10-20</v>
      </c>
      <c r="B3798" s="3" t="s">
        <v>25</v>
      </c>
      <c r="C3798" s="12" t="s">
        <v>3818</v>
      </c>
      <c r="D3798" s="13">
        <v>65207.0</v>
      </c>
      <c r="E3798" s="4">
        <v>45883.0</v>
      </c>
      <c r="F3798" s="4" t="str">
        <f>IF(D3798="","", IFNA(VLOOKUP(D3798, SATCAT_DECAY!A:B, 2, FALSE), ""))
</f>
        <v/>
      </c>
      <c r="G3798" s="3" t="str">
        <f t="shared" si="1"/>
        <v>ACTIVE</v>
      </c>
    </row>
    <row r="3799" ht="22.5" customHeight="1">
      <c r="A3799" s="11" t="str">
        <f t="array" ref="A3799">IFERROR(
  INDEX('Starlink Launches'!$A:$A, MATCH($E3799, 'Starlink Launches'!$B:$B, 0)),
  ""
)
</f>
        <v>10-20</v>
      </c>
      <c r="B3799" s="3" t="s">
        <v>25</v>
      </c>
      <c r="C3799" s="12" t="s">
        <v>3819</v>
      </c>
      <c r="D3799" s="13">
        <v>65208.0</v>
      </c>
      <c r="E3799" s="4">
        <v>45883.0</v>
      </c>
      <c r="F3799" s="4" t="str">
        <f>IF(D3799="","", IFNA(VLOOKUP(D3799, SATCAT_DECAY!A:B, 2, FALSE), ""))
</f>
        <v/>
      </c>
      <c r="G3799" s="3" t="str">
        <f t="shared" si="1"/>
        <v>ACTIVE</v>
      </c>
    </row>
    <row r="3800" ht="22.5" customHeight="1">
      <c r="A3800" s="11" t="str">
        <f t="array" ref="A3800">IFERROR(
  INDEX('Starlink Launches'!$A:$A, MATCH($E3800, 'Starlink Launches'!$B:$B, 0)),
  ""
)
</f>
        <v>10-20</v>
      </c>
      <c r="B3800" s="3" t="s">
        <v>25</v>
      </c>
      <c r="C3800" s="12" t="s">
        <v>3820</v>
      </c>
      <c r="D3800" s="13">
        <v>65209.0</v>
      </c>
      <c r="E3800" s="4">
        <v>45883.0</v>
      </c>
      <c r="F3800" s="4" t="str">
        <f>IF(D3800="","", IFNA(VLOOKUP(D3800, SATCAT_DECAY!A:B, 2, FALSE), ""))
</f>
        <v/>
      </c>
      <c r="G3800" s="3" t="str">
        <f t="shared" si="1"/>
        <v>ACTIVE</v>
      </c>
    </row>
    <row r="3801" ht="22.5" customHeight="1">
      <c r="A3801" s="11" t="str">
        <f t="array" ref="A3801">IFERROR(
  INDEX('Starlink Launches'!$A:$A, MATCH($E3801, 'Starlink Launches'!$B:$B, 0)),
  ""
)
</f>
        <v>10-20</v>
      </c>
      <c r="B3801" s="3" t="s">
        <v>25</v>
      </c>
      <c r="C3801" s="12" t="s">
        <v>3821</v>
      </c>
      <c r="D3801" s="13">
        <v>65210.0</v>
      </c>
      <c r="E3801" s="4">
        <v>45883.0</v>
      </c>
      <c r="F3801" s="4" t="str">
        <f>IF(D3801="","", IFNA(VLOOKUP(D3801, SATCAT_DECAY!A:B, 2, FALSE), ""))
</f>
        <v/>
      </c>
      <c r="G3801" s="3" t="str">
        <f t="shared" si="1"/>
        <v>ACTIVE</v>
      </c>
    </row>
    <row r="3802" ht="22.5" customHeight="1">
      <c r="A3802" s="11" t="str">
        <f t="array" ref="A3802">IFERROR(
  INDEX('Starlink Launches'!$A:$A, MATCH($E3802, 'Starlink Launches'!$B:$B, 0)),
  ""
)
</f>
        <v>10-20</v>
      </c>
      <c r="B3802" s="3" t="s">
        <v>25</v>
      </c>
      <c r="C3802" s="12" t="s">
        <v>3822</v>
      </c>
      <c r="D3802" s="13">
        <v>65211.0</v>
      </c>
      <c r="E3802" s="4">
        <v>45883.0</v>
      </c>
      <c r="F3802" s="4" t="str">
        <f>IF(D3802="","", IFNA(VLOOKUP(D3802, SATCAT_DECAY!A:B, 2, FALSE), ""))
</f>
        <v/>
      </c>
      <c r="G3802" s="3" t="str">
        <f t="shared" si="1"/>
        <v>ACTIVE</v>
      </c>
    </row>
    <row r="3803" ht="22.5" customHeight="1">
      <c r="A3803" s="11" t="str">
        <f t="array" ref="A3803">IFERROR(
  INDEX('Starlink Launches'!$A:$A, MATCH($E3803, 'Starlink Launches'!$B:$B, 0)),
  ""
)
</f>
        <v>10-20</v>
      </c>
      <c r="B3803" s="3" t="s">
        <v>25</v>
      </c>
      <c r="C3803" s="12" t="s">
        <v>3823</v>
      </c>
      <c r="D3803" s="13">
        <v>65212.0</v>
      </c>
      <c r="E3803" s="4">
        <v>45883.0</v>
      </c>
      <c r="F3803" s="4" t="str">
        <f>IF(D3803="","", IFNA(VLOOKUP(D3803, SATCAT_DECAY!A:B, 2, FALSE), ""))
</f>
        <v/>
      </c>
      <c r="G3803" s="3" t="str">
        <f t="shared" si="1"/>
        <v>ACTIVE</v>
      </c>
    </row>
    <row r="3804" ht="22.5" customHeight="1">
      <c r="A3804" s="11" t="str">
        <f t="array" ref="A3804">IFERROR(
  INDEX('Starlink Launches'!$A:$A, MATCH($E3804, 'Starlink Launches'!$B:$B, 0)),
  ""
)
</f>
        <v>10-20</v>
      </c>
      <c r="B3804" s="3" t="s">
        <v>25</v>
      </c>
      <c r="C3804" s="12" t="s">
        <v>3824</v>
      </c>
      <c r="D3804" s="13">
        <v>65213.0</v>
      </c>
      <c r="E3804" s="4">
        <v>45883.0</v>
      </c>
      <c r="F3804" s="4" t="str">
        <f>IF(D3804="","", IFNA(VLOOKUP(D3804, SATCAT_DECAY!A:B, 2, FALSE), ""))
</f>
        <v/>
      </c>
      <c r="G3804" s="3" t="str">
        <f t="shared" si="1"/>
        <v>ACTIVE</v>
      </c>
    </row>
    <row r="3805" ht="22.5" customHeight="1">
      <c r="A3805" s="11" t="str">
        <f t="array" ref="A3805">IFERROR(
  INDEX('Starlink Launches'!$A:$A, MATCH($E3805, 'Starlink Launches'!$B:$B, 0)),
  ""
)
</f>
        <v>10-20</v>
      </c>
      <c r="B3805" s="3" t="s">
        <v>25</v>
      </c>
      <c r="C3805" s="12" t="s">
        <v>3825</v>
      </c>
      <c r="D3805" s="13">
        <v>65214.0</v>
      </c>
      <c r="E3805" s="4">
        <v>45883.0</v>
      </c>
      <c r="F3805" s="4" t="str">
        <f>IF(D3805="","", IFNA(VLOOKUP(D3805, SATCAT_DECAY!A:B, 2, FALSE), ""))
</f>
        <v/>
      </c>
      <c r="G3805" s="3" t="str">
        <f t="shared" si="1"/>
        <v>ACTIVE</v>
      </c>
    </row>
    <row r="3806" ht="22.5" customHeight="1">
      <c r="A3806" s="11" t="str">
        <f t="array" ref="A3806">IFERROR(
  INDEX('Starlink Launches'!$A:$A, MATCH($E3806, 'Starlink Launches'!$B:$B, 0)),
  ""
)
</f>
        <v>10-20</v>
      </c>
      <c r="B3806" s="3" t="s">
        <v>25</v>
      </c>
      <c r="C3806" s="12" t="s">
        <v>3826</v>
      </c>
      <c r="D3806" s="13">
        <v>65215.0</v>
      </c>
      <c r="E3806" s="4">
        <v>45883.0</v>
      </c>
      <c r="F3806" s="4" t="str">
        <f>IF(D3806="","", IFNA(VLOOKUP(D3806, SATCAT_DECAY!A:B, 2, FALSE), ""))
</f>
        <v/>
      </c>
      <c r="G3806" s="3" t="str">
        <f t="shared" si="1"/>
        <v>ACTIVE</v>
      </c>
    </row>
    <row r="3807" ht="22.5" customHeight="1">
      <c r="A3807" s="11" t="str">
        <f t="array" ref="A3807">IFERROR(
  INDEX('Starlink Launches'!$A:$A, MATCH($E3807, 'Starlink Launches'!$B:$B, 0)),
  ""
)
</f>
        <v>10-20</v>
      </c>
      <c r="B3807" s="3" t="s">
        <v>25</v>
      </c>
      <c r="C3807" s="12" t="s">
        <v>3827</v>
      </c>
      <c r="D3807" s="13">
        <v>65216.0</v>
      </c>
      <c r="E3807" s="4">
        <v>45883.0</v>
      </c>
      <c r="F3807" s="4" t="str">
        <f>IF(D3807="","", IFNA(VLOOKUP(D3807, SATCAT_DECAY!A:B, 2, FALSE), ""))
</f>
        <v/>
      </c>
      <c r="G3807" s="3" t="str">
        <f t="shared" si="1"/>
        <v>ACTIVE</v>
      </c>
    </row>
    <row r="3808" ht="22.5" customHeight="1">
      <c r="A3808" s="11" t="str">
        <f t="array" ref="A3808">IFERROR(
  INDEX('Starlink Launches'!$A:$A, MATCH($E3808, 'Starlink Launches'!$B:$B, 0)),
  ""
)
</f>
        <v>10-20</v>
      </c>
      <c r="B3808" s="3" t="s">
        <v>25</v>
      </c>
      <c r="C3808" s="12" t="s">
        <v>3828</v>
      </c>
      <c r="D3808" s="13">
        <v>65217.0</v>
      </c>
      <c r="E3808" s="4">
        <v>45883.0</v>
      </c>
      <c r="F3808" s="4" t="str">
        <f>IF(D3808="","", IFNA(VLOOKUP(D3808, SATCAT_DECAY!A:B, 2, FALSE), ""))
</f>
        <v/>
      </c>
      <c r="G3808" s="3" t="str">
        <f t="shared" si="1"/>
        <v>ACTIVE</v>
      </c>
    </row>
    <row r="3809" ht="22.5" customHeight="1">
      <c r="A3809" s="11" t="str">
        <f t="array" ref="A3809">IFERROR(
  INDEX('Starlink Launches'!$A:$A, MATCH($E3809, 'Starlink Launches'!$B:$B, 0)),
  ""
)
</f>
        <v>10-20</v>
      </c>
      <c r="B3809" s="3" t="s">
        <v>25</v>
      </c>
      <c r="C3809" s="12" t="s">
        <v>3829</v>
      </c>
      <c r="D3809" s="13">
        <v>65218.0</v>
      </c>
      <c r="E3809" s="4">
        <v>45883.0</v>
      </c>
      <c r="F3809" s="4" t="str">
        <f>IF(D3809="","", IFNA(VLOOKUP(D3809, SATCAT_DECAY!A:B, 2, FALSE), ""))
</f>
        <v/>
      </c>
      <c r="G3809" s="3" t="str">
        <f t="shared" si="1"/>
        <v>ACTIVE</v>
      </c>
    </row>
    <row r="3810" ht="22.5" customHeight="1">
      <c r="A3810" s="11" t="str">
        <f t="array" ref="A3810">IFERROR(
  INDEX('Starlink Launches'!$A:$A, MATCH($E3810, 'Starlink Launches'!$B:$B, 0)),
  ""
)
</f>
        <v>10-20</v>
      </c>
      <c r="B3810" s="3" t="s">
        <v>25</v>
      </c>
      <c r="C3810" s="12" t="s">
        <v>3830</v>
      </c>
      <c r="D3810" s="13">
        <v>65219.0</v>
      </c>
      <c r="E3810" s="4">
        <v>45883.0</v>
      </c>
      <c r="F3810" s="4" t="str">
        <f>IF(D3810="","", IFNA(VLOOKUP(D3810, SATCAT_DECAY!A:B, 2, FALSE), ""))
</f>
        <v/>
      </c>
      <c r="G3810" s="3" t="str">
        <f t="shared" si="1"/>
        <v>ACTIVE</v>
      </c>
    </row>
    <row r="3811" ht="22.5" customHeight="1">
      <c r="A3811" s="11" t="str">
        <f t="array" ref="A3811">IFERROR(
  INDEX('Starlink Launches'!$A:$A, MATCH($E3811, 'Starlink Launches'!$B:$B, 0)),
  ""
)
</f>
        <v>10-20</v>
      </c>
      <c r="B3811" s="3" t="s">
        <v>25</v>
      </c>
      <c r="C3811" s="12" t="s">
        <v>3831</v>
      </c>
      <c r="D3811" s="13">
        <v>65220.0</v>
      </c>
      <c r="E3811" s="4">
        <v>45883.0</v>
      </c>
      <c r="F3811" s="4" t="str">
        <f>IF(D3811="","", IFNA(VLOOKUP(D3811, SATCAT_DECAY!A:B, 2, FALSE), ""))
</f>
        <v/>
      </c>
      <c r="G3811" s="3" t="str">
        <f t="shared" si="1"/>
        <v>ACTIVE</v>
      </c>
    </row>
    <row r="3812" ht="22.5" customHeight="1">
      <c r="A3812" s="11" t="str">
        <f t="array" ref="A3812">IFERROR(
  INDEX('Starlink Launches'!$A:$A, MATCH($E3812, 'Starlink Launches'!$B:$B, 0)),
  ""
)
</f>
        <v>10-20</v>
      </c>
      <c r="B3812" s="3" t="s">
        <v>25</v>
      </c>
      <c r="C3812" s="12" t="s">
        <v>3832</v>
      </c>
      <c r="D3812" s="13">
        <v>65221.0</v>
      </c>
      <c r="E3812" s="4">
        <v>45883.0</v>
      </c>
      <c r="F3812" s="4" t="str">
        <f>IF(D3812="","", IFNA(VLOOKUP(D3812, SATCAT_DECAY!A:B, 2, FALSE), ""))
</f>
        <v/>
      </c>
      <c r="G3812" s="3" t="str">
        <f t="shared" si="1"/>
        <v>ACTIVE</v>
      </c>
    </row>
    <row r="3813" ht="22.5" customHeight="1">
      <c r="A3813" s="11" t="str">
        <f t="array" ref="A3813">IFERROR(
  INDEX('Starlink Launches'!$A:$A, MATCH($E3813, 'Starlink Launches'!$B:$B, 0)),
  ""
)
</f>
        <v>10-20</v>
      </c>
      <c r="B3813" s="3" t="s">
        <v>25</v>
      </c>
      <c r="C3813" s="12" t="s">
        <v>3833</v>
      </c>
      <c r="D3813" s="13">
        <v>65222.0</v>
      </c>
      <c r="E3813" s="4">
        <v>45883.0</v>
      </c>
      <c r="F3813" s="4" t="str">
        <f>IF(D3813="","", IFNA(VLOOKUP(D3813, SATCAT_DECAY!A:B, 2, FALSE), ""))
</f>
        <v/>
      </c>
      <c r="G3813" s="3" t="str">
        <f t="shared" si="1"/>
        <v>ACTIVE</v>
      </c>
    </row>
    <row r="3814" ht="22.5" customHeight="1">
      <c r="A3814" s="11" t="str">
        <f t="array" ref="A3814">IFERROR(
  INDEX('Starlink Launches'!$A:$A, MATCH($E3814, 'Starlink Launches'!$B:$B, 0)),
  ""
)
</f>
        <v>10-20</v>
      </c>
      <c r="B3814" s="3" t="s">
        <v>25</v>
      </c>
      <c r="C3814" s="12" t="s">
        <v>3834</v>
      </c>
      <c r="D3814" s="13">
        <v>65223.0</v>
      </c>
      <c r="E3814" s="4">
        <v>45883.0</v>
      </c>
      <c r="F3814" s="4" t="str">
        <f>IF(D3814="","", IFNA(VLOOKUP(D3814, SATCAT_DECAY!A:B, 2, FALSE), ""))
</f>
        <v/>
      </c>
      <c r="G3814" s="3" t="str">
        <f t="shared" si="1"/>
        <v>ACTIVE</v>
      </c>
    </row>
    <row r="3815" ht="22.5" customHeight="1">
      <c r="A3815" s="11" t="str">
        <f t="array" ref="A3815">IFERROR(
  INDEX('Starlink Launches'!$A:$A, MATCH($E3815, 'Starlink Launches'!$B:$B, 0)),
  ""
)
</f>
        <v>10-20</v>
      </c>
      <c r="B3815" s="3" t="s">
        <v>25</v>
      </c>
      <c r="C3815" s="12" t="s">
        <v>3835</v>
      </c>
      <c r="D3815" s="13">
        <v>65224.0</v>
      </c>
      <c r="E3815" s="4">
        <v>45883.0</v>
      </c>
      <c r="F3815" s="4" t="str">
        <f>IF(D3815="","", IFNA(VLOOKUP(D3815, SATCAT_DECAY!A:B, 2, FALSE), ""))
</f>
        <v/>
      </c>
      <c r="G3815" s="3" t="str">
        <f t="shared" si="1"/>
        <v>ACTIVE</v>
      </c>
    </row>
    <row r="3816" ht="22.5" customHeight="1">
      <c r="A3816" s="11" t="str">
        <f t="array" ref="A3816">IFERROR(
  INDEX('Starlink Launches'!$A:$A, MATCH($E3816, 'Starlink Launches'!$B:$B, 0)),
  ""
)
</f>
        <v>10-20</v>
      </c>
      <c r="B3816" s="3" t="s">
        <v>25</v>
      </c>
      <c r="C3816" s="12" t="s">
        <v>3836</v>
      </c>
      <c r="D3816" s="13">
        <v>65225.0</v>
      </c>
      <c r="E3816" s="4">
        <v>45883.0</v>
      </c>
      <c r="F3816" s="4" t="str">
        <f>IF(D3816="","", IFNA(VLOOKUP(D3816, SATCAT_DECAY!A:B, 2, FALSE), ""))
</f>
        <v/>
      </c>
      <c r="G3816" s="3" t="str">
        <f t="shared" si="1"/>
        <v>ACTIVE</v>
      </c>
    </row>
    <row r="3817" ht="22.5" customHeight="1">
      <c r="A3817" s="11" t="str">
        <f t="array" ref="A3817">IFERROR(
  INDEX('Starlink Launches'!$A:$A, MATCH($E3817, 'Starlink Launches'!$B:$B, 0)),
  ""
)
</f>
        <v>10-11</v>
      </c>
      <c r="B3817" s="3" t="s">
        <v>25</v>
      </c>
      <c r="C3817" s="12" t="s">
        <v>3837</v>
      </c>
      <c r="D3817" s="13">
        <v>65351.0</v>
      </c>
      <c r="E3817" s="4">
        <v>45897.0</v>
      </c>
      <c r="F3817" s="4" t="str">
        <f>IF(D3817="","", IFNA(VLOOKUP(D3817, SATCAT_DECAY!A:B, 2, FALSE), ""))
</f>
        <v/>
      </c>
      <c r="G3817" s="3" t="str">
        <f t="shared" si="1"/>
        <v>ACTIVE</v>
      </c>
    </row>
    <row r="3818" ht="22.5" customHeight="1">
      <c r="A3818" s="11" t="str">
        <f t="array" ref="A3818">IFERROR(
  INDEX('Starlink Launches'!$A:$A, MATCH($E3818, 'Starlink Launches'!$B:$B, 0)),
  ""
)
</f>
        <v>10-11</v>
      </c>
      <c r="B3818" s="3" t="s">
        <v>25</v>
      </c>
      <c r="C3818" s="12" t="s">
        <v>3838</v>
      </c>
      <c r="D3818" s="13">
        <v>65352.0</v>
      </c>
      <c r="E3818" s="4">
        <v>45897.0</v>
      </c>
      <c r="F3818" s="4" t="str">
        <f>IF(D3818="","", IFNA(VLOOKUP(D3818, SATCAT_DECAY!A:B, 2, FALSE), ""))
</f>
        <v/>
      </c>
      <c r="G3818" s="3" t="str">
        <f t="shared" si="1"/>
        <v>ACTIVE</v>
      </c>
    </row>
    <row r="3819" ht="22.5" customHeight="1">
      <c r="A3819" s="11" t="str">
        <f t="array" ref="A3819">IFERROR(
  INDEX('Starlink Launches'!$A:$A, MATCH($E3819, 'Starlink Launches'!$B:$B, 0)),
  ""
)
</f>
        <v>10-11</v>
      </c>
      <c r="B3819" s="3" t="s">
        <v>25</v>
      </c>
      <c r="C3819" s="12" t="s">
        <v>3839</v>
      </c>
      <c r="D3819" s="13">
        <v>65353.0</v>
      </c>
      <c r="E3819" s="4">
        <v>45897.0</v>
      </c>
      <c r="F3819" s="4" t="str">
        <f>IF(D3819="","", IFNA(VLOOKUP(D3819, SATCAT_DECAY!A:B, 2, FALSE), ""))
</f>
        <v/>
      </c>
      <c r="G3819" s="3" t="str">
        <f t="shared" si="1"/>
        <v>ACTIVE</v>
      </c>
    </row>
    <row r="3820" ht="22.5" customHeight="1">
      <c r="A3820" s="11" t="str">
        <f t="array" ref="A3820">IFERROR(
  INDEX('Starlink Launches'!$A:$A, MATCH($E3820, 'Starlink Launches'!$B:$B, 0)),
  ""
)
</f>
        <v>10-11</v>
      </c>
      <c r="B3820" s="3" t="s">
        <v>25</v>
      </c>
      <c r="C3820" s="12" t="s">
        <v>3840</v>
      </c>
      <c r="D3820" s="13">
        <v>65354.0</v>
      </c>
      <c r="E3820" s="4">
        <v>45897.0</v>
      </c>
      <c r="F3820" s="4" t="str">
        <f>IF(D3820="","", IFNA(VLOOKUP(D3820, SATCAT_DECAY!A:B, 2, FALSE), ""))
</f>
        <v/>
      </c>
      <c r="G3820" s="3" t="str">
        <f t="shared" si="1"/>
        <v>ACTIVE</v>
      </c>
    </row>
    <row r="3821" ht="22.5" customHeight="1">
      <c r="A3821" s="11" t="str">
        <f t="array" ref="A3821">IFERROR(
  INDEX('Starlink Launches'!$A:$A, MATCH($E3821, 'Starlink Launches'!$B:$B, 0)),
  ""
)
</f>
        <v>10-11</v>
      </c>
      <c r="B3821" s="3" t="s">
        <v>25</v>
      </c>
      <c r="C3821" s="12" t="s">
        <v>3841</v>
      </c>
      <c r="D3821" s="13">
        <v>65355.0</v>
      </c>
      <c r="E3821" s="4">
        <v>45897.0</v>
      </c>
      <c r="F3821" s="4" t="str">
        <f>IF(D3821="","", IFNA(VLOOKUP(D3821, SATCAT_DECAY!A:B, 2, FALSE), ""))
</f>
        <v/>
      </c>
      <c r="G3821" s="3" t="str">
        <f t="shared" si="1"/>
        <v>ACTIVE</v>
      </c>
    </row>
    <row r="3822" ht="22.5" customHeight="1">
      <c r="A3822" s="11" t="str">
        <f t="array" ref="A3822">IFERROR(
  INDEX('Starlink Launches'!$A:$A, MATCH($E3822, 'Starlink Launches'!$B:$B, 0)),
  ""
)
</f>
        <v>10-11</v>
      </c>
      <c r="B3822" s="3" t="s">
        <v>25</v>
      </c>
      <c r="C3822" s="12" t="s">
        <v>3842</v>
      </c>
      <c r="D3822" s="13">
        <v>65356.0</v>
      </c>
      <c r="E3822" s="4">
        <v>45897.0</v>
      </c>
      <c r="F3822" s="4" t="str">
        <f>IF(D3822="","", IFNA(VLOOKUP(D3822, SATCAT_DECAY!A:B, 2, FALSE), ""))
</f>
        <v/>
      </c>
      <c r="G3822" s="3" t="str">
        <f t="shared" si="1"/>
        <v>ACTIVE</v>
      </c>
    </row>
    <row r="3823" ht="22.5" customHeight="1">
      <c r="A3823" s="11" t="str">
        <f t="array" ref="A3823">IFERROR(
  INDEX('Starlink Launches'!$A:$A, MATCH($E3823, 'Starlink Launches'!$B:$B, 0)),
  ""
)
</f>
        <v>10-11</v>
      </c>
      <c r="B3823" s="3" t="s">
        <v>25</v>
      </c>
      <c r="C3823" s="12" t="s">
        <v>3843</v>
      </c>
      <c r="D3823" s="13">
        <v>65357.0</v>
      </c>
      <c r="E3823" s="4">
        <v>45897.0</v>
      </c>
      <c r="F3823" s="4" t="str">
        <f>IF(D3823="","", IFNA(VLOOKUP(D3823, SATCAT_DECAY!A:B, 2, FALSE), ""))
</f>
        <v/>
      </c>
      <c r="G3823" s="3" t="str">
        <f t="shared" si="1"/>
        <v>ACTIVE</v>
      </c>
    </row>
    <row r="3824" ht="22.5" customHeight="1">
      <c r="A3824" s="11" t="str">
        <f t="array" ref="A3824">IFERROR(
  INDEX('Starlink Launches'!$A:$A, MATCH($E3824, 'Starlink Launches'!$B:$B, 0)),
  ""
)
</f>
        <v>10-11</v>
      </c>
      <c r="B3824" s="3" t="s">
        <v>25</v>
      </c>
      <c r="C3824" s="12" t="s">
        <v>3844</v>
      </c>
      <c r="D3824" s="13">
        <v>65358.0</v>
      </c>
      <c r="E3824" s="4">
        <v>45897.0</v>
      </c>
      <c r="F3824" s="4" t="str">
        <f>IF(D3824="","", IFNA(VLOOKUP(D3824, SATCAT_DECAY!A:B, 2, FALSE), ""))
</f>
        <v/>
      </c>
      <c r="G3824" s="3" t="str">
        <f t="shared" si="1"/>
        <v>ACTIVE</v>
      </c>
    </row>
    <row r="3825" ht="22.5" customHeight="1">
      <c r="A3825" s="11" t="str">
        <f t="array" ref="A3825">IFERROR(
  INDEX('Starlink Launches'!$A:$A, MATCH($E3825, 'Starlink Launches'!$B:$B, 0)),
  ""
)
</f>
        <v>10-11</v>
      </c>
      <c r="B3825" s="3" t="s">
        <v>25</v>
      </c>
      <c r="C3825" s="12" t="s">
        <v>3845</v>
      </c>
      <c r="D3825" s="13">
        <v>65359.0</v>
      </c>
      <c r="E3825" s="4">
        <v>45897.0</v>
      </c>
      <c r="F3825" s="4" t="str">
        <f>IF(D3825="","", IFNA(VLOOKUP(D3825, SATCAT_DECAY!A:B, 2, FALSE), ""))
</f>
        <v/>
      </c>
      <c r="G3825" s="3" t="str">
        <f t="shared" si="1"/>
        <v>ACTIVE</v>
      </c>
    </row>
    <row r="3826" ht="22.5" customHeight="1">
      <c r="A3826" s="11" t="str">
        <f t="array" ref="A3826">IFERROR(
  INDEX('Starlink Launches'!$A:$A, MATCH($E3826, 'Starlink Launches'!$B:$B, 0)),
  ""
)
</f>
        <v>10-11</v>
      </c>
      <c r="B3826" s="3" t="s">
        <v>25</v>
      </c>
      <c r="C3826" s="12" t="s">
        <v>3846</v>
      </c>
      <c r="D3826" s="13">
        <v>65360.0</v>
      </c>
      <c r="E3826" s="4">
        <v>45897.0</v>
      </c>
      <c r="F3826" s="4" t="str">
        <f>IF(D3826="","", IFNA(VLOOKUP(D3826, SATCAT_DECAY!A:B, 2, FALSE), ""))
</f>
        <v/>
      </c>
      <c r="G3826" s="3" t="str">
        <f t="shared" si="1"/>
        <v>ACTIVE</v>
      </c>
    </row>
    <row r="3827" ht="22.5" customHeight="1">
      <c r="A3827" s="11" t="str">
        <f t="array" ref="A3827">IFERROR(
  INDEX('Starlink Launches'!$A:$A, MATCH($E3827, 'Starlink Launches'!$B:$B, 0)),
  ""
)
</f>
        <v>10-11</v>
      </c>
      <c r="B3827" s="3" t="s">
        <v>25</v>
      </c>
      <c r="C3827" s="12" t="s">
        <v>3847</v>
      </c>
      <c r="D3827" s="13">
        <v>65361.0</v>
      </c>
      <c r="E3827" s="4">
        <v>45897.0</v>
      </c>
      <c r="F3827" s="4" t="str">
        <f>IF(D3827="","", IFNA(VLOOKUP(D3827, SATCAT_DECAY!A:B, 2, FALSE), ""))
</f>
        <v/>
      </c>
      <c r="G3827" s="3" t="str">
        <f t="shared" si="1"/>
        <v>ACTIVE</v>
      </c>
    </row>
    <row r="3828" ht="22.5" customHeight="1">
      <c r="A3828" s="11" t="str">
        <f t="array" ref="A3828">IFERROR(
  INDEX('Starlink Launches'!$A:$A, MATCH($E3828, 'Starlink Launches'!$B:$B, 0)),
  ""
)
</f>
        <v>10-11</v>
      </c>
      <c r="B3828" s="3" t="s">
        <v>25</v>
      </c>
      <c r="C3828" s="12" t="s">
        <v>3848</v>
      </c>
      <c r="D3828" s="13">
        <v>65362.0</v>
      </c>
      <c r="E3828" s="4">
        <v>45897.0</v>
      </c>
      <c r="F3828" s="4" t="str">
        <f>IF(D3828="","", IFNA(VLOOKUP(D3828, SATCAT_DECAY!A:B, 2, FALSE), ""))
</f>
        <v/>
      </c>
      <c r="G3828" s="3" t="str">
        <f t="shared" si="1"/>
        <v>ACTIVE</v>
      </c>
    </row>
    <row r="3829" ht="22.5" customHeight="1">
      <c r="A3829" s="11" t="str">
        <f t="array" ref="A3829">IFERROR(
  INDEX('Starlink Launches'!$A:$A, MATCH($E3829, 'Starlink Launches'!$B:$B, 0)),
  ""
)
</f>
        <v>10-11</v>
      </c>
      <c r="B3829" s="3" t="s">
        <v>25</v>
      </c>
      <c r="C3829" s="12" t="s">
        <v>3849</v>
      </c>
      <c r="D3829" s="13">
        <v>65363.0</v>
      </c>
      <c r="E3829" s="4">
        <v>45897.0</v>
      </c>
      <c r="F3829" s="4" t="str">
        <f>IF(D3829="","", IFNA(VLOOKUP(D3829, SATCAT_DECAY!A:B, 2, FALSE), ""))
</f>
        <v/>
      </c>
      <c r="G3829" s="3" t="str">
        <f t="shared" si="1"/>
        <v>ACTIVE</v>
      </c>
    </row>
    <row r="3830" ht="22.5" customHeight="1">
      <c r="A3830" s="11" t="str">
        <f t="array" ref="A3830">IFERROR(
  INDEX('Starlink Launches'!$A:$A, MATCH($E3830, 'Starlink Launches'!$B:$B, 0)),
  ""
)
</f>
        <v>10-11</v>
      </c>
      <c r="B3830" s="3" t="s">
        <v>25</v>
      </c>
      <c r="C3830" s="12" t="s">
        <v>3850</v>
      </c>
      <c r="D3830" s="13">
        <v>65364.0</v>
      </c>
      <c r="E3830" s="4">
        <v>45897.0</v>
      </c>
      <c r="F3830" s="4" t="str">
        <f>IF(D3830="","", IFNA(VLOOKUP(D3830, SATCAT_DECAY!A:B, 2, FALSE), ""))
</f>
        <v/>
      </c>
      <c r="G3830" s="3" t="str">
        <f t="shared" si="1"/>
        <v>ACTIVE</v>
      </c>
    </row>
    <row r="3831" ht="22.5" customHeight="1">
      <c r="A3831" s="11" t="str">
        <f t="array" ref="A3831">IFERROR(
  INDEX('Starlink Launches'!$A:$A, MATCH($E3831, 'Starlink Launches'!$B:$B, 0)),
  ""
)
</f>
        <v>10-11</v>
      </c>
      <c r="B3831" s="3" t="s">
        <v>25</v>
      </c>
      <c r="C3831" s="12" t="s">
        <v>3851</v>
      </c>
      <c r="D3831" s="13">
        <v>65365.0</v>
      </c>
      <c r="E3831" s="4">
        <v>45897.0</v>
      </c>
      <c r="F3831" s="4" t="str">
        <f>IF(D3831="","", IFNA(VLOOKUP(D3831, SATCAT_DECAY!A:B, 2, FALSE), ""))
</f>
        <v/>
      </c>
      <c r="G3831" s="3" t="str">
        <f t="shared" si="1"/>
        <v>ACTIVE</v>
      </c>
    </row>
    <row r="3832" ht="22.5" customHeight="1">
      <c r="A3832" s="11" t="str">
        <f t="array" ref="A3832">IFERROR(
  INDEX('Starlink Launches'!$A:$A, MATCH($E3832, 'Starlink Launches'!$B:$B, 0)),
  ""
)
</f>
        <v>10-11</v>
      </c>
      <c r="B3832" s="3" t="s">
        <v>25</v>
      </c>
      <c r="C3832" s="12" t="s">
        <v>3852</v>
      </c>
      <c r="D3832" s="13">
        <v>65366.0</v>
      </c>
      <c r="E3832" s="4">
        <v>45897.0</v>
      </c>
      <c r="F3832" s="4" t="str">
        <f>IF(D3832="","", IFNA(VLOOKUP(D3832, SATCAT_DECAY!A:B, 2, FALSE), ""))
</f>
        <v/>
      </c>
      <c r="G3832" s="3" t="str">
        <f t="shared" si="1"/>
        <v>ACTIVE</v>
      </c>
    </row>
    <row r="3833" ht="22.5" customHeight="1">
      <c r="A3833" s="11" t="str">
        <f t="array" ref="A3833">IFERROR(
  INDEX('Starlink Launches'!$A:$A, MATCH($E3833, 'Starlink Launches'!$B:$B, 0)),
  ""
)
</f>
        <v>10-11</v>
      </c>
      <c r="B3833" s="3" t="s">
        <v>25</v>
      </c>
      <c r="C3833" s="12" t="s">
        <v>3853</v>
      </c>
      <c r="D3833" s="13">
        <v>65367.0</v>
      </c>
      <c r="E3833" s="4">
        <v>45897.0</v>
      </c>
      <c r="F3833" s="4" t="str">
        <f>IF(D3833="","", IFNA(VLOOKUP(D3833, SATCAT_DECAY!A:B, 2, FALSE), ""))
</f>
        <v/>
      </c>
      <c r="G3833" s="3" t="str">
        <f t="shared" si="1"/>
        <v>ACTIVE</v>
      </c>
    </row>
    <row r="3834" ht="22.5" customHeight="1">
      <c r="A3834" s="11" t="str">
        <f t="array" ref="A3834">IFERROR(
  INDEX('Starlink Launches'!$A:$A, MATCH($E3834, 'Starlink Launches'!$B:$B, 0)),
  ""
)
</f>
        <v>10-11</v>
      </c>
      <c r="B3834" s="3" t="s">
        <v>25</v>
      </c>
      <c r="C3834" s="12" t="s">
        <v>3854</v>
      </c>
      <c r="D3834" s="13">
        <v>65368.0</v>
      </c>
      <c r="E3834" s="4">
        <v>45897.0</v>
      </c>
      <c r="F3834" s="4" t="str">
        <f>IF(D3834="","", IFNA(VLOOKUP(D3834, SATCAT_DECAY!A:B, 2, FALSE), ""))
</f>
        <v/>
      </c>
      <c r="G3834" s="3" t="str">
        <f t="shared" si="1"/>
        <v>ACTIVE</v>
      </c>
    </row>
    <row r="3835" ht="22.5" customHeight="1">
      <c r="A3835" s="11" t="str">
        <f t="array" ref="A3835">IFERROR(
  INDEX('Starlink Launches'!$A:$A, MATCH($E3835, 'Starlink Launches'!$B:$B, 0)),
  ""
)
</f>
        <v>10-11</v>
      </c>
      <c r="B3835" s="3" t="s">
        <v>25</v>
      </c>
      <c r="C3835" s="12" t="s">
        <v>3855</v>
      </c>
      <c r="D3835" s="13">
        <v>65369.0</v>
      </c>
      <c r="E3835" s="4">
        <v>45897.0</v>
      </c>
      <c r="F3835" s="4" t="str">
        <f>IF(D3835="","", IFNA(VLOOKUP(D3835, SATCAT_DECAY!A:B, 2, FALSE), ""))
</f>
        <v/>
      </c>
      <c r="G3835" s="3" t="str">
        <f t="shared" si="1"/>
        <v>ACTIVE</v>
      </c>
    </row>
    <row r="3836" ht="22.5" customHeight="1">
      <c r="A3836" s="11" t="str">
        <f t="array" ref="A3836">IFERROR(
  INDEX('Starlink Launches'!$A:$A, MATCH($E3836, 'Starlink Launches'!$B:$B, 0)),
  ""
)
</f>
        <v>10-11</v>
      </c>
      <c r="B3836" s="3" t="s">
        <v>25</v>
      </c>
      <c r="C3836" s="12" t="s">
        <v>3856</v>
      </c>
      <c r="D3836" s="13">
        <v>65370.0</v>
      </c>
      <c r="E3836" s="4">
        <v>45897.0</v>
      </c>
      <c r="F3836" s="4" t="str">
        <f>IF(D3836="","", IFNA(VLOOKUP(D3836, SATCAT_DECAY!A:B, 2, FALSE), ""))
</f>
        <v/>
      </c>
      <c r="G3836" s="3" t="str">
        <f t="shared" si="1"/>
        <v>ACTIVE</v>
      </c>
    </row>
    <row r="3837" ht="22.5" customHeight="1">
      <c r="A3837" s="11" t="str">
        <f t="array" ref="A3837">IFERROR(
  INDEX('Starlink Launches'!$A:$A, MATCH($E3837, 'Starlink Launches'!$B:$B, 0)),
  ""
)
</f>
        <v>10-11</v>
      </c>
      <c r="B3837" s="3" t="s">
        <v>25</v>
      </c>
      <c r="C3837" s="12" t="s">
        <v>3857</v>
      </c>
      <c r="D3837" s="13">
        <v>65371.0</v>
      </c>
      <c r="E3837" s="4">
        <v>45897.0</v>
      </c>
      <c r="F3837" s="4" t="str">
        <f>IF(D3837="","", IFNA(VLOOKUP(D3837, SATCAT_DECAY!A:B, 2, FALSE), ""))
</f>
        <v/>
      </c>
      <c r="G3837" s="3" t="str">
        <f t="shared" si="1"/>
        <v>ACTIVE</v>
      </c>
    </row>
    <row r="3838" ht="22.5" customHeight="1">
      <c r="A3838" s="11" t="str">
        <f t="array" ref="A3838">IFERROR(
  INDEX('Starlink Launches'!$A:$A, MATCH($E3838, 'Starlink Launches'!$B:$B, 0)),
  ""
)
</f>
        <v>10-11</v>
      </c>
      <c r="B3838" s="3" t="s">
        <v>25</v>
      </c>
      <c r="C3838" s="12" t="s">
        <v>3858</v>
      </c>
      <c r="D3838" s="13">
        <v>65372.0</v>
      </c>
      <c r="E3838" s="4">
        <v>45897.0</v>
      </c>
      <c r="F3838" s="4" t="str">
        <f>IF(D3838="","", IFNA(VLOOKUP(D3838, SATCAT_DECAY!A:B, 2, FALSE), ""))
</f>
        <v/>
      </c>
      <c r="G3838" s="3" t="str">
        <f t="shared" si="1"/>
        <v>ACTIVE</v>
      </c>
    </row>
    <row r="3839" ht="22.5" customHeight="1">
      <c r="A3839" s="11" t="str">
        <f t="array" ref="A3839">IFERROR(
  INDEX('Starlink Launches'!$A:$A, MATCH($E3839, 'Starlink Launches'!$B:$B, 0)),
  ""
)
</f>
        <v>10-11</v>
      </c>
      <c r="B3839" s="3" t="s">
        <v>25</v>
      </c>
      <c r="C3839" s="12" t="s">
        <v>3859</v>
      </c>
      <c r="D3839" s="13">
        <v>65373.0</v>
      </c>
      <c r="E3839" s="4">
        <v>45897.0</v>
      </c>
      <c r="F3839" s="4" t="str">
        <f>IF(D3839="","", IFNA(VLOOKUP(D3839, SATCAT_DECAY!A:B, 2, FALSE), ""))
</f>
        <v/>
      </c>
      <c r="G3839" s="3" t="str">
        <f t="shared" si="1"/>
        <v>ACTIVE</v>
      </c>
    </row>
    <row r="3840" ht="22.5" customHeight="1">
      <c r="A3840" s="11" t="str">
        <f t="array" ref="A3840">IFERROR(
  INDEX('Starlink Launches'!$A:$A, MATCH($E3840, 'Starlink Launches'!$B:$B, 0)),
  ""
)
</f>
        <v>10-11</v>
      </c>
      <c r="B3840" s="3" t="s">
        <v>25</v>
      </c>
      <c r="C3840" s="12" t="s">
        <v>3860</v>
      </c>
      <c r="D3840" s="13">
        <v>65374.0</v>
      </c>
      <c r="E3840" s="4">
        <v>45897.0</v>
      </c>
      <c r="F3840" s="4" t="str">
        <f>IF(D3840="","", IFNA(VLOOKUP(D3840, SATCAT_DECAY!A:B, 2, FALSE), ""))
</f>
        <v/>
      </c>
      <c r="G3840" s="3" t="str">
        <f t="shared" si="1"/>
        <v>ACTIVE</v>
      </c>
    </row>
    <row r="3841" ht="22.5" customHeight="1">
      <c r="A3841" s="11" t="str">
        <f t="array" ref="A3841">IFERROR(
  INDEX('Starlink Launches'!$A:$A, MATCH($E3841, 'Starlink Launches'!$B:$B, 0)),
  ""
)
</f>
        <v>10-11</v>
      </c>
      <c r="B3841" s="3" t="s">
        <v>25</v>
      </c>
      <c r="C3841" s="12" t="s">
        <v>3861</v>
      </c>
      <c r="D3841" s="13">
        <v>65375.0</v>
      </c>
      <c r="E3841" s="4">
        <v>45897.0</v>
      </c>
      <c r="F3841" s="4" t="str">
        <f>IF(D3841="","", IFNA(VLOOKUP(D3841, SATCAT_DECAY!A:B, 2, FALSE), ""))
</f>
        <v/>
      </c>
      <c r="G3841" s="3" t="str">
        <f t="shared" si="1"/>
        <v>ACTIVE</v>
      </c>
    </row>
    <row r="3842" ht="22.5" customHeight="1">
      <c r="A3842" s="11" t="str">
        <f t="array" ref="A3842">IFERROR(
  INDEX('Starlink Launches'!$A:$A, MATCH($E3842, 'Starlink Launches'!$B:$B, 0)),
  ""
)
</f>
        <v>10-11</v>
      </c>
      <c r="B3842" s="3" t="s">
        <v>25</v>
      </c>
      <c r="C3842" s="12" t="s">
        <v>3862</v>
      </c>
      <c r="D3842" s="13">
        <v>65376.0</v>
      </c>
      <c r="E3842" s="4">
        <v>45897.0</v>
      </c>
      <c r="F3842" s="4" t="str">
        <f>IF(D3842="","", IFNA(VLOOKUP(D3842, SATCAT_DECAY!A:B, 2, FALSE), ""))
</f>
        <v/>
      </c>
      <c r="G3842" s="3" t="str">
        <f t="shared" si="1"/>
        <v>ACTIVE</v>
      </c>
    </row>
    <row r="3843" ht="22.5" customHeight="1">
      <c r="A3843" s="11" t="str">
        <f t="array" ref="A3843">IFERROR(
  INDEX('Starlink Launches'!$A:$A, MATCH($E3843, 'Starlink Launches'!$B:$B, 0)),
  ""
)
</f>
        <v>10-11</v>
      </c>
      <c r="B3843" s="3" t="s">
        <v>25</v>
      </c>
      <c r="C3843" s="12" t="s">
        <v>3863</v>
      </c>
      <c r="D3843" s="13">
        <v>65377.0</v>
      </c>
      <c r="E3843" s="4">
        <v>45897.0</v>
      </c>
      <c r="F3843" s="4" t="str">
        <f>IF(D3843="","", IFNA(VLOOKUP(D3843, SATCAT_DECAY!A:B, 2, FALSE), ""))
</f>
        <v/>
      </c>
      <c r="G3843" s="3" t="str">
        <f t="shared" si="1"/>
        <v>ACTIVE</v>
      </c>
    </row>
    <row r="3844" ht="22.5" customHeight="1">
      <c r="A3844" s="11" t="str">
        <f t="array" ref="A3844">IFERROR(
  INDEX('Starlink Launches'!$A:$A, MATCH($E3844, 'Starlink Launches'!$B:$B, 0)),
  ""
)
</f>
        <v>10-11</v>
      </c>
      <c r="B3844" s="3" t="s">
        <v>25</v>
      </c>
      <c r="C3844" s="12" t="s">
        <v>3864</v>
      </c>
      <c r="D3844" s="13">
        <v>65378.0</v>
      </c>
      <c r="E3844" s="4">
        <v>45897.0</v>
      </c>
      <c r="F3844" s="4" t="str">
        <f>IF(D3844="","", IFNA(VLOOKUP(D3844, SATCAT_DECAY!A:B, 2, FALSE), ""))
</f>
        <v/>
      </c>
      <c r="G3844" s="3" t="str">
        <f t="shared" si="1"/>
        <v>ACTIVE</v>
      </c>
    </row>
    <row r="3845" ht="22.5" customHeight="1">
      <c r="A3845" s="11" t="str">
        <f t="array" ref="A3845">IFERROR(
  INDEX('Starlink Launches'!$A:$A, MATCH($E3845, 'Starlink Launches'!$B:$B, 0)),
  ""
)
</f>
        <v>10-14</v>
      </c>
      <c r="B3845" s="3" t="s">
        <v>25</v>
      </c>
      <c r="C3845" s="12" t="s">
        <v>3865</v>
      </c>
      <c r="D3845" s="13">
        <v>65404.0</v>
      </c>
      <c r="E3845" s="4">
        <v>45900.0</v>
      </c>
      <c r="F3845" s="4" t="str">
        <f>IF(D3845="","", IFNA(VLOOKUP(D3845, SATCAT_DECAY!A:B, 2, FALSE), ""))
</f>
        <v/>
      </c>
      <c r="G3845" s="3" t="str">
        <f t="shared" si="1"/>
        <v>ACTIVE</v>
      </c>
    </row>
    <row r="3846" ht="22.5" customHeight="1">
      <c r="A3846" s="11" t="str">
        <f t="array" ref="A3846">IFERROR(
  INDEX('Starlink Launches'!$A:$A, MATCH($E3846, 'Starlink Launches'!$B:$B, 0)),
  ""
)
</f>
        <v>10-14</v>
      </c>
      <c r="B3846" s="3" t="s">
        <v>25</v>
      </c>
      <c r="C3846" s="12" t="s">
        <v>3866</v>
      </c>
      <c r="D3846" s="13">
        <v>65405.0</v>
      </c>
      <c r="E3846" s="4">
        <v>45900.0</v>
      </c>
      <c r="F3846" s="4" t="str">
        <f>IF(D3846="","", IFNA(VLOOKUP(D3846, SATCAT_DECAY!A:B, 2, FALSE), ""))
</f>
        <v/>
      </c>
      <c r="G3846" s="3" t="str">
        <f t="shared" si="1"/>
        <v>ACTIVE</v>
      </c>
    </row>
    <row r="3847" ht="22.5" customHeight="1">
      <c r="A3847" s="11" t="str">
        <f t="array" ref="A3847">IFERROR(
  INDEX('Starlink Launches'!$A:$A, MATCH($E3847, 'Starlink Launches'!$B:$B, 0)),
  ""
)
</f>
        <v>10-14</v>
      </c>
      <c r="B3847" s="3" t="s">
        <v>25</v>
      </c>
      <c r="C3847" s="12" t="s">
        <v>3867</v>
      </c>
      <c r="D3847" s="13">
        <v>65406.0</v>
      </c>
      <c r="E3847" s="4">
        <v>45900.0</v>
      </c>
      <c r="F3847" s="4" t="str">
        <f>IF(D3847="","", IFNA(VLOOKUP(D3847, SATCAT_DECAY!A:B, 2, FALSE), ""))
</f>
        <v/>
      </c>
      <c r="G3847" s="3" t="str">
        <f t="shared" si="1"/>
        <v>ACTIVE</v>
      </c>
    </row>
    <row r="3848" ht="22.5" customHeight="1">
      <c r="A3848" s="11" t="str">
        <f t="array" ref="A3848">IFERROR(
  INDEX('Starlink Launches'!$A:$A, MATCH($E3848, 'Starlink Launches'!$B:$B, 0)),
  ""
)
</f>
        <v>10-14</v>
      </c>
      <c r="B3848" s="3" t="s">
        <v>25</v>
      </c>
      <c r="C3848" s="12" t="s">
        <v>3868</v>
      </c>
      <c r="D3848" s="13">
        <v>65407.0</v>
      </c>
      <c r="E3848" s="4">
        <v>45900.0</v>
      </c>
      <c r="F3848" s="4" t="str">
        <f>IF(D3848="","", IFNA(VLOOKUP(D3848, SATCAT_DECAY!A:B, 2, FALSE), ""))
</f>
        <v/>
      </c>
      <c r="G3848" s="3" t="str">
        <f t="shared" si="1"/>
        <v>ACTIVE</v>
      </c>
    </row>
    <row r="3849" ht="22.5" customHeight="1">
      <c r="A3849" s="11" t="str">
        <f t="array" ref="A3849">IFERROR(
  INDEX('Starlink Launches'!$A:$A, MATCH($E3849, 'Starlink Launches'!$B:$B, 0)),
  ""
)
</f>
        <v>10-14</v>
      </c>
      <c r="B3849" s="3" t="s">
        <v>25</v>
      </c>
      <c r="C3849" s="12" t="s">
        <v>3869</v>
      </c>
      <c r="D3849" s="13">
        <v>65408.0</v>
      </c>
      <c r="E3849" s="4">
        <v>45900.0</v>
      </c>
      <c r="F3849" s="4" t="str">
        <f>IF(D3849="","", IFNA(VLOOKUP(D3849, SATCAT_DECAY!A:B, 2, FALSE), ""))
</f>
        <v/>
      </c>
      <c r="G3849" s="3" t="str">
        <f t="shared" si="1"/>
        <v>ACTIVE</v>
      </c>
    </row>
    <row r="3850" ht="22.5" customHeight="1">
      <c r="A3850" s="11" t="str">
        <f t="array" ref="A3850">IFERROR(
  INDEX('Starlink Launches'!$A:$A, MATCH($E3850, 'Starlink Launches'!$B:$B, 0)),
  ""
)
</f>
        <v>10-14</v>
      </c>
      <c r="B3850" s="3" t="s">
        <v>25</v>
      </c>
      <c r="C3850" s="12" t="s">
        <v>3870</v>
      </c>
      <c r="D3850" s="13">
        <v>65409.0</v>
      </c>
      <c r="E3850" s="4">
        <v>45900.0</v>
      </c>
      <c r="F3850" s="4" t="str">
        <f>IF(D3850="","", IFNA(VLOOKUP(D3850, SATCAT_DECAY!A:B, 2, FALSE), ""))
</f>
        <v/>
      </c>
      <c r="G3850" s="3" t="str">
        <f t="shared" si="1"/>
        <v>ACTIVE</v>
      </c>
    </row>
    <row r="3851" ht="22.5" customHeight="1">
      <c r="A3851" s="11" t="str">
        <f t="array" ref="A3851">IFERROR(
  INDEX('Starlink Launches'!$A:$A, MATCH($E3851, 'Starlink Launches'!$B:$B, 0)),
  ""
)
</f>
        <v>10-14</v>
      </c>
      <c r="B3851" s="3" t="s">
        <v>25</v>
      </c>
      <c r="C3851" s="12" t="s">
        <v>3871</v>
      </c>
      <c r="D3851" s="13">
        <v>65410.0</v>
      </c>
      <c r="E3851" s="4">
        <v>45900.0</v>
      </c>
      <c r="F3851" s="4" t="str">
        <f>IF(D3851="","", IFNA(VLOOKUP(D3851, SATCAT_DECAY!A:B, 2, FALSE), ""))
</f>
        <v/>
      </c>
      <c r="G3851" s="3" t="str">
        <f t="shared" si="1"/>
        <v>ACTIVE</v>
      </c>
    </row>
    <row r="3852" ht="22.5" customHeight="1">
      <c r="A3852" s="11" t="str">
        <f t="array" ref="A3852">IFERROR(
  INDEX('Starlink Launches'!$A:$A, MATCH($E3852, 'Starlink Launches'!$B:$B, 0)),
  ""
)
</f>
        <v>10-14</v>
      </c>
      <c r="B3852" s="3" t="s">
        <v>25</v>
      </c>
      <c r="C3852" s="12" t="s">
        <v>3872</v>
      </c>
      <c r="D3852" s="13">
        <v>65411.0</v>
      </c>
      <c r="E3852" s="4">
        <v>45900.0</v>
      </c>
      <c r="F3852" s="4" t="str">
        <f>IF(D3852="","", IFNA(VLOOKUP(D3852, SATCAT_DECAY!A:B, 2, FALSE), ""))
</f>
        <v/>
      </c>
      <c r="G3852" s="3" t="str">
        <f t="shared" si="1"/>
        <v>ACTIVE</v>
      </c>
    </row>
    <row r="3853" ht="22.5" customHeight="1">
      <c r="A3853" s="11" t="str">
        <f t="array" ref="A3853">IFERROR(
  INDEX('Starlink Launches'!$A:$A, MATCH($E3853, 'Starlink Launches'!$B:$B, 0)),
  ""
)
</f>
        <v>10-14</v>
      </c>
      <c r="B3853" s="3" t="s">
        <v>25</v>
      </c>
      <c r="C3853" s="12" t="s">
        <v>3873</v>
      </c>
      <c r="D3853" s="13">
        <v>65412.0</v>
      </c>
      <c r="E3853" s="4">
        <v>45900.0</v>
      </c>
      <c r="F3853" s="4" t="str">
        <f>IF(D3853="","", IFNA(VLOOKUP(D3853, SATCAT_DECAY!A:B, 2, FALSE), ""))
</f>
        <v/>
      </c>
      <c r="G3853" s="3" t="str">
        <f t="shared" si="1"/>
        <v>ACTIVE</v>
      </c>
    </row>
    <row r="3854" ht="22.5" customHeight="1">
      <c r="A3854" s="11" t="str">
        <f t="array" ref="A3854">IFERROR(
  INDEX('Starlink Launches'!$A:$A, MATCH($E3854, 'Starlink Launches'!$B:$B, 0)),
  ""
)
</f>
        <v>10-14</v>
      </c>
      <c r="B3854" s="3" t="s">
        <v>25</v>
      </c>
      <c r="C3854" s="12" t="s">
        <v>3874</v>
      </c>
      <c r="D3854" s="13">
        <v>65413.0</v>
      </c>
      <c r="E3854" s="4">
        <v>45900.0</v>
      </c>
      <c r="F3854" s="4" t="str">
        <f>IF(D3854="","", IFNA(VLOOKUP(D3854, SATCAT_DECAY!A:B, 2, FALSE), ""))
</f>
        <v/>
      </c>
      <c r="G3854" s="3" t="str">
        <f t="shared" si="1"/>
        <v>ACTIVE</v>
      </c>
    </row>
    <row r="3855" ht="22.5" customHeight="1">
      <c r="A3855" s="11" t="str">
        <f t="array" ref="A3855">IFERROR(
  INDEX('Starlink Launches'!$A:$A, MATCH($E3855, 'Starlink Launches'!$B:$B, 0)),
  ""
)
</f>
        <v>10-14</v>
      </c>
      <c r="B3855" s="3" t="s">
        <v>25</v>
      </c>
      <c r="C3855" s="12" t="s">
        <v>3875</v>
      </c>
      <c r="D3855" s="13">
        <v>65414.0</v>
      </c>
      <c r="E3855" s="4">
        <v>45900.0</v>
      </c>
      <c r="F3855" s="4" t="str">
        <f>IF(D3855="","", IFNA(VLOOKUP(D3855, SATCAT_DECAY!A:B, 2, FALSE), ""))
</f>
        <v/>
      </c>
      <c r="G3855" s="3" t="str">
        <f t="shared" si="1"/>
        <v>ACTIVE</v>
      </c>
    </row>
    <row r="3856" ht="22.5" customHeight="1">
      <c r="A3856" s="11" t="str">
        <f t="array" ref="A3856">IFERROR(
  INDEX('Starlink Launches'!$A:$A, MATCH($E3856, 'Starlink Launches'!$B:$B, 0)),
  ""
)
</f>
        <v>10-14</v>
      </c>
      <c r="B3856" s="3" t="s">
        <v>25</v>
      </c>
      <c r="C3856" s="12" t="s">
        <v>3876</v>
      </c>
      <c r="D3856" s="13">
        <v>65415.0</v>
      </c>
      <c r="E3856" s="4">
        <v>45900.0</v>
      </c>
      <c r="F3856" s="4" t="str">
        <f>IF(D3856="","", IFNA(VLOOKUP(D3856, SATCAT_DECAY!A:B, 2, FALSE), ""))
</f>
        <v/>
      </c>
      <c r="G3856" s="3" t="str">
        <f t="shared" si="1"/>
        <v>ACTIVE</v>
      </c>
    </row>
    <row r="3857" ht="22.5" customHeight="1">
      <c r="A3857" s="11" t="str">
        <f t="array" ref="A3857">IFERROR(
  INDEX('Starlink Launches'!$A:$A, MATCH($E3857, 'Starlink Launches'!$B:$B, 0)),
  ""
)
</f>
        <v>10-14</v>
      </c>
      <c r="B3857" s="3" t="s">
        <v>25</v>
      </c>
      <c r="C3857" s="12" t="s">
        <v>3877</v>
      </c>
      <c r="D3857" s="13">
        <v>65416.0</v>
      </c>
      <c r="E3857" s="4">
        <v>45900.0</v>
      </c>
      <c r="F3857" s="4" t="str">
        <f>IF(D3857="","", IFNA(VLOOKUP(D3857, SATCAT_DECAY!A:B, 2, FALSE), ""))
</f>
        <v/>
      </c>
      <c r="G3857" s="3" t="str">
        <f t="shared" si="1"/>
        <v>ACTIVE</v>
      </c>
    </row>
    <row r="3858" ht="22.5" customHeight="1">
      <c r="A3858" s="11" t="str">
        <f t="array" ref="A3858">IFERROR(
  INDEX('Starlink Launches'!$A:$A, MATCH($E3858, 'Starlink Launches'!$B:$B, 0)),
  ""
)
</f>
        <v>10-14</v>
      </c>
      <c r="B3858" s="3" t="s">
        <v>25</v>
      </c>
      <c r="C3858" s="12" t="s">
        <v>3878</v>
      </c>
      <c r="D3858" s="13">
        <v>65417.0</v>
      </c>
      <c r="E3858" s="4">
        <v>45900.0</v>
      </c>
      <c r="F3858" s="4" t="str">
        <f>IF(D3858="","", IFNA(VLOOKUP(D3858, SATCAT_DECAY!A:B, 2, FALSE), ""))
</f>
        <v/>
      </c>
      <c r="G3858" s="3" t="str">
        <f t="shared" si="1"/>
        <v>ACTIVE</v>
      </c>
    </row>
    <row r="3859" ht="22.5" customHeight="1">
      <c r="A3859" s="11" t="str">
        <f t="array" ref="A3859">IFERROR(
  INDEX('Starlink Launches'!$A:$A, MATCH($E3859, 'Starlink Launches'!$B:$B, 0)),
  ""
)
</f>
        <v>10-14</v>
      </c>
      <c r="B3859" s="3" t="s">
        <v>25</v>
      </c>
      <c r="C3859" s="12" t="s">
        <v>3879</v>
      </c>
      <c r="D3859" s="13">
        <v>65418.0</v>
      </c>
      <c r="E3859" s="4">
        <v>45900.0</v>
      </c>
      <c r="F3859" s="4" t="str">
        <f>IF(D3859="","", IFNA(VLOOKUP(D3859, SATCAT_DECAY!A:B, 2, FALSE), ""))
</f>
        <v/>
      </c>
      <c r="G3859" s="3" t="str">
        <f t="shared" si="1"/>
        <v>ACTIVE</v>
      </c>
    </row>
    <row r="3860" ht="22.5" customHeight="1">
      <c r="A3860" s="11" t="str">
        <f t="array" ref="A3860">IFERROR(
  INDEX('Starlink Launches'!$A:$A, MATCH($E3860, 'Starlink Launches'!$B:$B, 0)),
  ""
)
</f>
        <v>10-14</v>
      </c>
      <c r="B3860" s="3" t="s">
        <v>25</v>
      </c>
      <c r="C3860" s="12" t="s">
        <v>3880</v>
      </c>
      <c r="D3860" s="13">
        <v>65419.0</v>
      </c>
      <c r="E3860" s="4">
        <v>45900.0</v>
      </c>
      <c r="F3860" s="4" t="str">
        <f>IF(D3860="","", IFNA(VLOOKUP(D3860, SATCAT_DECAY!A:B, 2, FALSE), ""))
</f>
        <v/>
      </c>
      <c r="G3860" s="3" t="str">
        <f t="shared" si="1"/>
        <v>ACTIVE</v>
      </c>
    </row>
    <row r="3861" ht="22.5" customHeight="1">
      <c r="A3861" s="11" t="str">
        <f t="array" ref="A3861">IFERROR(
  INDEX('Starlink Launches'!$A:$A, MATCH($E3861, 'Starlink Launches'!$B:$B, 0)),
  ""
)
</f>
        <v>10-14</v>
      </c>
      <c r="B3861" s="3" t="s">
        <v>25</v>
      </c>
      <c r="C3861" s="12" t="s">
        <v>3881</v>
      </c>
      <c r="D3861" s="13">
        <v>65420.0</v>
      </c>
      <c r="E3861" s="4">
        <v>45900.0</v>
      </c>
      <c r="F3861" s="4" t="str">
        <f>IF(D3861="","", IFNA(VLOOKUP(D3861, SATCAT_DECAY!A:B, 2, FALSE), ""))
</f>
        <v/>
      </c>
      <c r="G3861" s="3" t="str">
        <f t="shared" si="1"/>
        <v>ACTIVE</v>
      </c>
    </row>
    <row r="3862" ht="22.5" customHeight="1">
      <c r="A3862" s="11" t="str">
        <f t="array" ref="A3862">IFERROR(
  INDEX('Starlink Launches'!$A:$A, MATCH($E3862, 'Starlink Launches'!$B:$B, 0)),
  ""
)
</f>
        <v>10-14</v>
      </c>
      <c r="B3862" s="3" t="s">
        <v>25</v>
      </c>
      <c r="C3862" s="12" t="s">
        <v>3882</v>
      </c>
      <c r="D3862" s="13">
        <v>65421.0</v>
      </c>
      <c r="E3862" s="4">
        <v>45900.0</v>
      </c>
      <c r="F3862" s="4" t="str">
        <f>IF(D3862="","", IFNA(VLOOKUP(D3862, SATCAT_DECAY!A:B, 2, FALSE), ""))
</f>
        <v/>
      </c>
      <c r="G3862" s="3" t="str">
        <f t="shared" si="1"/>
        <v>ACTIVE</v>
      </c>
    </row>
    <row r="3863" ht="22.5" customHeight="1">
      <c r="A3863" s="11" t="str">
        <f t="array" ref="A3863">IFERROR(
  INDEX('Starlink Launches'!$A:$A, MATCH($E3863, 'Starlink Launches'!$B:$B, 0)),
  ""
)
</f>
        <v>10-14</v>
      </c>
      <c r="B3863" s="3" t="s">
        <v>25</v>
      </c>
      <c r="C3863" s="12" t="s">
        <v>3883</v>
      </c>
      <c r="D3863" s="13">
        <v>65422.0</v>
      </c>
      <c r="E3863" s="4">
        <v>45900.0</v>
      </c>
      <c r="F3863" s="4" t="str">
        <f>IF(D3863="","", IFNA(VLOOKUP(D3863, SATCAT_DECAY!A:B, 2, FALSE), ""))
</f>
        <v/>
      </c>
      <c r="G3863" s="3" t="str">
        <f t="shared" si="1"/>
        <v>ACTIVE</v>
      </c>
    </row>
    <row r="3864" ht="22.5" customHeight="1">
      <c r="A3864" s="11" t="str">
        <f t="array" ref="A3864">IFERROR(
  INDEX('Starlink Launches'!$A:$A, MATCH($E3864, 'Starlink Launches'!$B:$B, 0)),
  ""
)
</f>
        <v>10-14</v>
      </c>
      <c r="B3864" s="3" t="s">
        <v>25</v>
      </c>
      <c r="C3864" s="12" t="s">
        <v>3884</v>
      </c>
      <c r="D3864" s="13">
        <v>65423.0</v>
      </c>
      <c r="E3864" s="4">
        <v>45900.0</v>
      </c>
      <c r="F3864" s="4" t="str">
        <f>IF(D3864="","", IFNA(VLOOKUP(D3864, SATCAT_DECAY!A:B, 2, FALSE), ""))
</f>
        <v/>
      </c>
      <c r="G3864" s="3" t="str">
        <f t="shared" si="1"/>
        <v>ACTIVE</v>
      </c>
    </row>
    <row r="3865" ht="22.5" customHeight="1">
      <c r="A3865" s="11" t="str">
        <f t="array" ref="A3865">IFERROR(
  INDEX('Starlink Launches'!$A:$A, MATCH($E3865, 'Starlink Launches'!$B:$B, 0)),
  ""
)
</f>
        <v>10-14</v>
      </c>
      <c r="B3865" s="3" t="s">
        <v>25</v>
      </c>
      <c r="C3865" s="12" t="s">
        <v>3885</v>
      </c>
      <c r="D3865" s="13">
        <v>65424.0</v>
      </c>
      <c r="E3865" s="4">
        <v>45900.0</v>
      </c>
      <c r="F3865" s="4" t="str">
        <f>IF(D3865="","", IFNA(VLOOKUP(D3865, SATCAT_DECAY!A:B, 2, FALSE), ""))
</f>
        <v/>
      </c>
      <c r="G3865" s="3" t="str">
        <f t="shared" si="1"/>
        <v>ACTIVE</v>
      </c>
    </row>
    <row r="3866" ht="22.5" customHeight="1">
      <c r="A3866" s="11" t="str">
        <f t="array" ref="A3866">IFERROR(
  INDEX('Starlink Launches'!$A:$A, MATCH($E3866, 'Starlink Launches'!$B:$B, 0)),
  ""
)
</f>
        <v>10-14</v>
      </c>
      <c r="B3866" s="3" t="s">
        <v>25</v>
      </c>
      <c r="C3866" s="12" t="s">
        <v>3886</v>
      </c>
      <c r="D3866" s="13">
        <v>65425.0</v>
      </c>
      <c r="E3866" s="4">
        <v>45900.0</v>
      </c>
      <c r="F3866" s="4" t="str">
        <f>IF(D3866="","", IFNA(VLOOKUP(D3866, SATCAT_DECAY!A:B, 2, FALSE), ""))
</f>
        <v/>
      </c>
      <c r="G3866" s="3" t="str">
        <f t="shared" si="1"/>
        <v>ACTIVE</v>
      </c>
    </row>
    <row r="3867" ht="22.5" customHeight="1">
      <c r="A3867" s="11" t="str">
        <f t="array" ref="A3867">IFERROR(
  INDEX('Starlink Launches'!$A:$A, MATCH($E3867, 'Starlink Launches'!$B:$B, 0)),
  ""
)
</f>
        <v>10-14</v>
      </c>
      <c r="B3867" s="3" t="s">
        <v>25</v>
      </c>
      <c r="C3867" s="12" t="s">
        <v>3887</v>
      </c>
      <c r="D3867" s="13">
        <v>65426.0</v>
      </c>
      <c r="E3867" s="4">
        <v>45900.0</v>
      </c>
      <c r="F3867" s="4" t="str">
        <f>IF(D3867="","", IFNA(VLOOKUP(D3867, SATCAT_DECAY!A:B, 2, FALSE), ""))
</f>
        <v/>
      </c>
      <c r="G3867" s="3" t="str">
        <f t="shared" si="1"/>
        <v>ACTIVE</v>
      </c>
    </row>
    <row r="3868" ht="22.5" customHeight="1">
      <c r="A3868" s="11" t="str">
        <f t="array" ref="A3868">IFERROR(
  INDEX('Starlink Launches'!$A:$A, MATCH($E3868, 'Starlink Launches'!$B:$B, 0)),
  ""
)
</f>
        <v>10-14</v>
      </c>
      <c r="B3868" s="3" t="s">
        <v>25</v>
      </c>
      <c r="C3868" s="12" t="s">
        <v>3888</v>
      </c>
      <c r="D3868" s="13">
        <v>65427.0</v>
      </c>
      <c r="E3868" s="4">
        <v>45900.0</v>
      </c>
      <c r="F3868" s="4" t="str">
        <f>IF(D3868="","", IFNA(VLOOKUP(D3868, SATCAT_DECAY!A:B, 2, FALSE), ""))
</f>
        <v/>
      </c>
      <c r="G3868" s="3" t="str">
        <f t="shared" si="1"/>
        <v>ACTIVE</v>
      </c>
    </row>
    <row r="3869" ht="22.5" customHeight="1">
      <c r="A3869" s="11" t="str">
        <f t="array" ref="A3869">IFERROR(
  INDEX('Starlink Launches'!$A:$A, MATCH($E3869, 'Starlink Launches'!$B:$B, 0)),
  ""
)
</f>
        <v>10-14</v>
      </c>
      <c r="B3869" s="3" t="s">
        <v>25</v>
      </c>
      <c r="C3869" s="12" t="s">
        <v>3889</v>
      </c>
      <c r="D3869" s="13">
        <v>65428.0</v>
      </c>
      <c r="E3869" s="4">
        <v>45900.0</v>
      </c>
      <c r="F3869" s="4" t="str">
        <f>IF(D3869="","", IFNA(VLOOKUP(D3869, SATCAT_DECAY!A:B, 2, FALSE), ""))
</f>
        <v/>
      </c>
      <c r="G3869" s="3" t="str">
        <f t="shared" si="1"/>
        <v>ACTIVE</v>
      </c>
    </row>
    <row r="3870" ht="22.5" customHeight="1">
      <c r="A3870" s="11" t="str">
        <f t="array" ref="A3870">IFERROR(
  INDEX('Starlink Launches'!$A:$A, MATCH($E3870, 'Starlink Launches'!$B:$B, 0)),
  ""
)
</f>
        <v>10-14</v>
      </c>
      <c r="B3870" s="3" t="s">
        <v>25</v>
      </c>
      <c r="C3870" s="12" t="s">
        <v>3890</v>
      </c>
      <c r="D3870" s="13">
        <v>65429.0</v>
      </c>
      <c r="E3870" s="4">
        <v>45900.0</v>
      </c>
      <c r="F3870" s="4" t="str">
        <f>IF(D3870="","", IFNA(VLOOKUP(D3870, SATCAT_DECAY!A:B, 2, FALSE), ""))
</f>
        <v/>
      </c>
      <c r="G3870" s="3" t="str">
        <f t="shared" si="1"/>
        <v>ACTIVE</v>
      </c>
    </row>
    <row r="3871" ht="22.5" customHeight="1">
      <c r="A3871" s="11" t="str">
        <f t="array" ref="A3871">IFERROR(
  INDEX('Starlink Launches'!$A:$A, MATCH($E3871, 'Starlink Launches'!$B:$B, 0)),
  ""
)
</f>
        <v>10-14</v>
      </c>
      <c r="B3871" s="3" t="s">
        <v>25</v>
      </c>
      <c r="C3871" s="12" t="s">
        <v>3891</v>
      </c>
      <c r="D3871" s="13">
        <v>65430.0</v>
      </c>
      <c r="E3871" s="4">
        <v>45900.0</v>
      </c>
      <c r="F3871" s="4" t="str">
        <f>IF(D3871="","", IFNA(VLOOKUP(D3871, SATCAT_DECAY!A:B, 2, FALSE), ""))
</f>
        <v/>
      </c>
      <c r="G3871" s="3" t="str">
        <f t="shared" si="1"/>
        <v>ACTIVE</v>
      </c>
    </row>
    <row r="3872" ht="22.5" customHeight="1">
      <c r="A3872" s="11" t="str">
        <f t="array" ref="A3872">IFERROR(
  INDEX('Starlink Launches'!$A:$A, MATCH($E3872, 'Starlink Launches'!$B:$B, 0)),
  ""
)
</f>
        <v>10-14</v>
      </c>
      <c r="B3872" s="3" t="s">
        <v>25</v>
      </c>
      <c r="C3872" s="12" t="s">
        <v>3892</v>
      </c>
      <c r="D3872" s="13">
        <v>65431.0</v>
      </c>
      <c r="E3872" s="4">
        <v>45900.0</v>
      </c>
      <c r="F3872" s="4" t="str">
        <f>IF(D3872="","", IFNA(VLOOKUP(D3872, SATCAT_DECAY!A:B, 2, FALSE), ""))
</f>
        <v/>
      </c>
      <c r="G3872" s="3" t="str">
        <f t="shared" si="1"/>
        <v>ACTIVE</v>
      </c>
    </row>
    <row r="3873" ht="22.5" customHeight="1">
      <c r="A3873" s="11" t="str">
        <f t="array" ref="A3873">IFERROR(
  INDEX('Starlink Launches'!$A:$A, MATCH($E3873, 'Starlink Launches'!$B:$B, 0)),
  ""
)
</f>
        <v>10-22</v>
      </c>
      <c r="B3873" s="3" t="s">
        <v>25</v>
      </c>
      <c r="C3873" s="12" t="s">
        <v>3893</v>
      </c>
      <c r="D3873" s="13">
        <v>65458.0</v>
      </c>
      <c r="E3873" s="4">
        <v>45903.0</v>
      </c>
      <c r="F3873" s="4" t="str">
        <f>IF(D3873="","", IFNA(VLOOKUP(D3873, SATCAT_DECAY!A:B, 2, FALSE), ""))
</f>
        <v/>
      </c>
      <c r="G3873" s="3" t="str">
        <f t="shared" si="1"/>
        <v>ACTIVE</v>
      </c>
    </row>
    <row r="3874" ht="22.5" customHeight="1">
      <c r="A3874" s="11" t="str">
        <f t="array" ref="A3874">IFERROR(
  INDEX('Starlink Launches'!$A:$A, MATCH($E3874, 'Starlink Launches'!$B:$B, 0)),
  ""
)
</f>
        <v>10-22</v>
      </c>
      <c r="B3874" s="3" t="s">
        <v>25</v>
      </c>
      <c r="C3874" s="12" t="s">
        <v>3894</v>
      </c>
      <c r="D3874" s="13">
        <v>65459.0</v>
      </c>
      <c r="E3874" s="4">
        <v>45903.0</v>
      </c>
      <c r="F3874" s="4" t="str">
        <f>IF(D3874="","", IFNA(VLOOKUP(D3874, SATCAT_DECAY!A:B, 2, FALSE), ""))
</f>
        <v/>
      </c>
      <c r="G3874" s="3" t="str">
        <f t="shared" si="1"/>
        <v>ACTIVE</v>
      </c>
    </row>
    <row r="3875" ht="22.5" customHeight="1">
      <c r="A3875" s="11" t="str">
        <f t="array" ref="A3875">IFERROR(
  INDEX('Starlink Launches'!$A:$A, MATCH($E3875, 'Starlink Launches'!$B:$B, 0)),
  ""
)
</f>
        <v>10-22</v>
      </c>
      <c r="B3875" s="3" t="s">
        <v>25</v>
      </c>
      <c r="C3875" s="12" t="s">
        <v>3895</v>
      </c>
      <c r="D3875" s="13">
        <v>65460.0</v>
      </c>
      <c r="E3875" s="4">
        <v>45903.0</v>
      </c>
      <c r="F3875" s="4" t="str">
        <f>IF(D3875="","", IFNA(VLOOKUP(D3875, SATCAT_DECAY!A:B, 2, FALSE), ""))
</f>
        <v/>
      </c>
      <c r="G3875" s="3" t="str">
        <f t="shared" si="1"/>
        <v>ACTIVE</v>
      </c>
    </row>
    <row r="3876" ht="22.5" customHeight="1">
      <c r="A3876" s="11" t="str">
        <f t="array" ref="A3876">IFERROR(
  INDEX('Starlink Launches'!$A:$A, MATCH($E3876, 'Starlink Launches'!$B:$B, 0)),
  ""
)
</f>
        <v>10-22</v>
      </c>
      <c r="B3876" s="3" t="s">
        <v>25</v>
      </c>
      <c r="C3876" s="12" t="s">
        <v>3896</v>
      </c>
      <c r="D3876" s="13">
        <v>65461.0</v>
      </c>
      <c r="E3876" s="4">
        <v>45903.0</v>
      </c>
      <c r="F3876" s="4" t="str">
        <f>IF(D3876="","", IFNA(VLOOKUP(D3876, SATCAT_DECAY!A:B, 2, FALSE), ""))
</f>
        <v/>
      </c>
      <c r="G3876" s="3" t="str">
        <f t="shared" si="1"/>
        <v>ACTIVE</v>
      </c>
    </row>
    <row r="3877" ht="22.5" customHeight="1">
      <c r="A3877" s="11" t="str">
        <f t="array" ref="A3877">IFERROR(
  INDEX('Starlink Launches'!$A:$A, MATCH($E3877, 'Starlink Launches'!$B:$B, 0)),
  ""
)
</f>
        <v>10-22</v>
      </c>
      <c r="B3877" s="3" t="s">
        <v>25</v>
      </c>
      <c r="C3877" s="12" t="s">
        <v>3897</v>
      </c>
      <c r="D3877" s="13">
        <v>65462.0</v>
      </c>
      <c r="E3877" s="4">
        <v>45903.0</v>
      </c>
      <c r="F3877" s="4" t="str">
        <f>IF(D3877="","", IFNA(VLOOKUP(D3877, SATCAT_DECAY!A:B, 2, FALSE), ""))
</f>
        <v/>
      </c>
      <c r="G3877" s="3" t="str">
        <f t="shared" si="1"/>
        <v>ACTIVE</v>
      </c>
    </row>
    <row r="3878" ht="22.5" customHeight="1">
      <c r="A3878" s="11" t="str">
        <f t="array" ref="A3878">IFERROR(
  INDEX('Starlink Launches'!$A:$A, MATCH($E3878, 'Starlink Launches'!$B:$B, 0)),
  ""
)
</f>
        <v>10-22</v>
      </c>
      <c r="B3878" s="3" t="s">
        <v>25</v>
      </c>
      <c r="C3878" s="12" t="s">
        <v>3898</v>
      </c>
      <c r="D3878" s="13">
        <v>65463.0</v>
      </c>
      <c r="E3878" s="4">
        <v>45903.0</v>
      </c>
      <c r="F3878" s="4" t="str">
        <f>IF(D3878="","", IFNA(VLOOKUP(D3878, SATCAT_DECAY!A:B, 2, FALSE), ""))
</f>
        <v/>
      </c>
      <c r="G3878" s="3" t="str">
        <f t="shared" si="1"/>
        <v>ACTIVE</v>
      </c>
    </row>
    <row r="3879" ht="22.5" customHeight="1">
      <c r="A3879" s="11" t="str">
        <f t="array" ref="A3879">IFERROR(
  INDEX('Starlink Launches'!$A:$A, MATCH($E3879, 'Starlink Launches'!$B:$B, 0)),
  ""
)
</f>
        <v>10-22</v>
      </c>
      <c r="B3879" s="3" t="s">
        <v>25</v>
      </c>
      <c r="C3879" s="12" t="s">
        <v>3899</v>
      </c>
      <c r="D3879" s="13">
        <v>65464.0</v>
      </c>
      <c r="E3879" s="4">
        <v>45903.0</v>
      </c>
      <c r="F3879" s="4" t="str">
        <f>IF(D3879="","", IFNA(VLOOKUP(D3879, SATCAT_DECAY!A:B, 2, FALSE), ""))
</f>
        <v/>
      </c>
      <c r="G3879" s="3" t="str">
        <f t="shared" si="1"/>
        <v>ACTIVE</v>
      </c>
    </row>
    <row r="3880" ht="22.5" customHeight="1">
      <c r="A3880" s="11" t="str">
        <f t="array" ref="A3880">IFERROR(
  INDEX('Starlink Launches'!$A:$A, MATCH($E3880, 'Starlink Launches'!$B:$B, 0)),
  ""
)
</f>
        <v>10-22</v>
      </c>
      <c r="B3880" s="3" t="s">
        <v>25</v>
      </c>
      <c r="C3880" s="12" t="s">
        <v>3900</v>
      </c>
      <c r="D3880" s="13">
        <v>65465.0</v>
      </c>
      <c r="E3880" s="4">
        <v>45903.0</v>
      </c>
      <c r="F3880" s="4" t="str">
        <f>IF(D3880="","", IFNA(VLOOKUP(D3880, SATCAT_DECAY!A:B, 2, FALSE), ""))
</f>
        <v/>
      </c>
      <c r="G3880" s="3" t="str">
        <f t="shared" si="1"/>
        <v>ACTIVE</v>
      </c>
    </row>
    <row r="3881" ht="22.5" customHeight="1">
      <c r="A3881" s="11" t="str">
        <f t="array" ref="A3881">IFERROR(
  INDEX('Starlink Launches'!$A:$A, MATCH($E3881, 'Starlink Launches'!$B:$B, 0)),
  ""
)
</f>
        <v>10-22</v>
      </c>
      <c r="B3881" s="3" t="s">
        <v>25</v>
      </c>
      <c r="C3881" s="12" t="s">
        <v>3901</v>
      </c>
      <c r="D3881" s="13">
        <v>65466.0</v>
      </c>
      <c r="E3881" s="4">
        <v>45903.0</v>
      </c>
      <c r="F3881" s="4" t="str">
        <f>IF(D3881="","", IFNA(VLOOKUP(D3881, SATCAT_DECAY!A:B, 2, FALSE), ""))
</f>
        <v/>
      </c>
      <c r="G3881" s="3" t="str">
        <f t="shared" si="1"/>
        <v>ACTIVE</v>
      </c>
    </row>
    <row r="3882" ht="22.5" customHeight="1">
      <c r="A3882" s="11" t="str">
        <f t="array" ref="A3882">IFERROR(
  INDEX('Starlink Launches'!$A:$A, MATCH($E3882, 'Starlink Launches'!$B:$B, 0)),
  ""
)
</f>
        <v>10-22</v>
      </c>
      <c r="B3882" s="3" t="s">
        <v>25</v>
      </c>
      <c r="C3882" s="12" t="s">
        <v>3902</v>
      </c>
      <c r="D3882" s="13">
        <v>65467.0</v>
      </c>
      <c r="E3882" s="4">
        <v>45903.0</v>
      </c>
      <c r="F3882" s="4" t="str">
        <f>IF(D3882="","", IFNA(VLOOKUP(D3882, SATCAT_DECAY!A:B, 2, FALSE), ""))
</f>
        <v/>
      </c>
      <c r="G3882" s="3" t="str">
        <f t="shared" si="1"/>
        <v>ACTIVE</v>
      </c>
    </row>
    <row r="3883" ht="22.5" customHeight="1">
      <c r="A3883" s="11" t="str">
        <f t="array" ref="A3883">IFERROR(
  INDEX('Starlink Launches'!$A:$A, MATCH($E3883, 'Starlink Launches'!$B:$B, 0)),
  ""
)
</f>
        <v>10-22</v>
      </c>
      <c r="B3883" s="3" t="s">
        <v>25</v>
      </c>
      <c r="C3883" s="12" t="s">
        <v>3903</v>
      </c>
      <c r="D3883" s="13">
        <v>65468.0</v>
      </c>
      <c r="E3883" s="4">
        <v>45903.0</v>
      </c>
      <c r="F3883" s="4" t="str">
        <f>IF(D3883="","", IFNA(VLOOKUP(D3883, SATCAT_DECAY!A:B, 2, FALSE), ""))
</f>
        <v/>
      </c>
      <c r="G3883" s="3" t="str">
        <f t="shared" si="1"/>
        <v>ACTIVE</v>
      </c>
    </row>
    <row r="3884" ht="22.5" customHeight="1">
      <c r="A3884" s="11" t="str">
        <f t="array" ref="A3884">IFERROR(
  INDEX('Starlink Launches'!$A:$A, MATCH($E3884, 'Starlink Launches'!$B:$B, 0)),
  ""
)
</f>
        <v>10-22</v>
      </c>
      <c r="B3884" s="3" t="s">
        <v>25</v>
      </c>
      <c r="C3884" s="12" t="s">
        <v>3904</v>
      </c>
      <c r="D3884" s="13">
        <v>65469.0</v>
      </c>
      <c r="E3884" s="4">
        <v>45903.0</v>
      </c>
      <c r="F3884" s="4" t="str">
        <f>IF(D3884="","", IFNA(VLOOKUP(D3884, SATCAT_DECAY!A:B, 2, FALSE), ""))
</f>
        <v/>
      </c>
      <c r="G3884" s="3" t="str">
        <f t="shared" si="1"/>
        <v>ACTIVE</v>
      </c>
    </row>
    <row r="3885" ht="22.5" customHeight="1">
      <c r="A3885" s="11" t="str">
        <f t="array" ref="A3885">IFERROR(
  INDEX('Starlink Launches'!$A:$A, MATCH($E3885, 'Starlink Launches'!$B:$B, 0)),
  ""
)
</f>
        <v>10-22</v>
      </c>
      <c r="B3885" s="3" t="s">
        <v>25</v>
      </c>
      <c r="C3885" s="12" t="s">
        <v>3905</v>
      </c>
      <c r="D3885" s="13">
        <v>65470.0</v>
      </c>
      <c r="E3885" s="4">
        <v>45903.0</v>
      </c>
      <c r="F3885" s="4" t="str">
        <f>IF(D3885="","", IFNA(VLOOKUP(D3885, SATCAT_DECAY!A:B, 2, FALSE), ""))
</f>
        <v/>
      </c>
      <c r="G3885" s="3" t="str">
        <f t="shared" si="1"/>
        <v>ACTIVE</v>
      </c>
    </row>
    <row r="3886" ht="22.5" customHeight="1">
      <c r="A3886" s="11" t="str">
        <f t="array" ref="A3886">IFERROR(
  INDEX('Starlink Launches'!$A:$A, MATCH($E3886, 'Starlink Launches'!$B:$B, 0)),
  ""
)
</f>
        <v>10-22</v>
      </c>
      <c r="B3886" s="3" t="s">
        <v>25</v>
      </c>
      <c r="C3886" s="12" t="s">
        <v>3906</v>
      </c>
      <c r="D3886" s="13">
        <v>65471.0</v>
      </c>
      <c r="E3886" s="4">
        <v>45903.0</v>
      </c>
      <c r="F3886" s="4" t="str">
        <f>IF(D3886="","", IFNA(VLOOKUP(D3886, SATCAT_DECAY!A:B, 2, FALSE), ""))
</f>
        <v/>
      </c>
      <c r="G3886" s="3" t="str">
        <f t="shared" si="1"/>
        <v>ACTIVE</v>
      </c>
    </row>
    <row r="3887" ht="22.5" customHeight="1">
      <c r="A3887" s="11" t="str">
        <f t="array" ref="A3887">IFERROR(
  INDEX('Starlink Launches'!$A:$A, MATCH($E3887, 'Starlink Launches'!$B:$B, 0)),
  ""
)
</f>
        <v>10-22</v>
      </c>
      <c r="B3887" s="3" t="s">
        <v>25</v>
      </c>
      <c r="C3887" s="12" t="s">
        <v>3907</v>
      </c>
      <c r="D3887" s="13">
        <v>65472.0</v>
      </c>
      <c r="E3887" s="4">
        <v>45903.0</v>
      </c>
      <c r="F3887" s="4" t="str">
        <f>IF(D3887="","", IFNA(VLOOKUP(D3887, SATCAT_DECAY!A:B, 2, FALSE), ""))
</f>
        <v/>
      </c>
      <c r="G3887" s="3" t="str">
        <f t="shared" si="1"/>
        <v>ACTIVE</v>
      </c>
    </row>
    <row r="3888" ht="22.5" customHeight="1">
      <c r="A3888" s="11" t="str">
        <f t="array" ref="A3888">IFERROR(
  INDEX('Starlink Launches'!$A:$A, MATCH($E3888, 'Starlink Launches'!$B:$B, 0)),
  ""
)
</f>
        <v>10-22</v>
      </c>
      <c r="B3888" s="3" t="s">
        <v>25</v>
      </c>
      <c r="C3888" s="12" t="s">
        <v>3908</v>
      </c>
      <c r="D3888" s="13">
        <v>65473.0</v>
      </c>
      <c r="E3888" s="4">
        <v>45903.0</v>
      </c>
      <c r="F3888" s="4" t="str">
        <f>IF(D3888="","", IFNA(VLOOKUP(D3888, SATCAT_DECAY!A:B, 2, FALSE), ""))
</f>
        <v/>
      </c>
      <c r="G3888" s="3" t="str">
        <f t="shared" si="1"/>
        <v>ACTIVE</v>
      </c>
    </row>
    <row r="3889" ht="22.5" customHeight="1">
      <c r="A3889" s="11" t="str">
        <f t="array" ref="A3889">IFERROR(
  INDEX('Starlink Launches'!$A:$A, MATCH($E3889, 'Starlink Launches'!$B:$B, 0)),
  ""
)
</f>
        <v>10-22</v>
      </c>
      <c r="B3889" s="3" t="s">
        <v>25</v>
      </c>
      <c r="C3889" s="12" t="s">
        <v>3909</v>
      </c>
      <c r="D3889" s="13">
        <v>65474.0</v>
      </c>
      <c r="E3889" s="4">
        <v>45903.0</v>
      </c>
      <c r="F3889" s="4" t="str">
        <f>IF(D3889="","", IFNA(VLOOKUP(D3889, SATCAT_DECAY!A:B, 2, FALSE), ""))
</f>
        <v/>
      </c>
      <c r="G3889" s="3" t="str">
        <f t="shared" si="1"/>
        <v>ACTIVE</v>
      </c>
    </row>
    <row r="3890" ht="22.5" customHeight="1">
      <c r="A3890" s="11" t="str">
        <f t="array" ref="A3890">IFERROR(
  INDEX('Starlink Launches'!$A:$A, MATCH($E3890, 'Starlink Launches'!$B:$B, 0)),
  ""
)
</f>
        <v>10-22</v>
      </c>
      <c r="B3890" s="3" t="s">
        <v>25</v>
      </c>
      <c r="C3890" s="12" t="s">
        <v>3910</v>
      </c>
      <c r="D3890" s="13">
        <v>65475.0</v>
      </c>
      <c r="E3890" s="4">
        <v>45903.0</v>
      </c>
      <c r="F3890" s="4" t="str">
        <f>IF(D3890="","", IFNA(VLOOKUP(D3890, SATCAT_DECAY!A:B, 2, FALSE), ""))
</f>
        <v/>
      </c>
      <c r="G3890" s="3" t="str">
        <f t="shared" si="1"/>
        <v>ACTIVE</v>
      </c>
    </row>
    <row r="3891" ht="22.5" customHeight="1">
      <c r="A3891" s="11" t="str">
        <f t="array" ref="A3891">IFERROR(
  INDEX('Starlink Launches'!$A:$A, MATCH($E3891, 'Starlink Launches'!$B:$B, 0)),
  ""
)
</f>
        <v>10-22</v>
      </c>
      <c r="B3891" s="3" t="s">
        <v>25</v>
      </c>
      <c r="C3891" s="12" t="s">
        <v>3911</v>
      </c>
      <c r="D3891" s="13">
        <v>65476.0</v>
      </c>
      <c r="E3891" s="4">
        <v>45903.0</v>
      </c>
      <c r="F3891" s="4" t="str">
        <f>IF(D3891="","", IFNA(VLOOKUP(D3891, SATCAT_DECAY!A:B, 2, FALSE), ""))
</f>
        <v/>
      </c>
      <c r="G3891" s="3" t="str">
        <f t="shared" si="1"/>
        <v>ACTIVE</v>
      </c>
    </row>
    <row r="3892" ht="22.5" customHeight="1">
      <c r="A3892" s="11" t="str">
        <f t="array" ref="A3892">IFERROR(
  INDEX('Starlink Launches'!$A:$A, MATCH($E3892, 'Starlink Launches'!$B:$B, 0)),
  ""
)
</f>
        <v>10-22</v>
      </c>
      <c r="B3892" s="3" t="s">
        <v>25</v>
      </c>
      <c r="C3892" s="12" t="s">
        <v>3912</v>
      </c>
      <c r="D3892" s="13">
        <v>65477.0</v>
      </c>
      <c r="E3892" s="4">
        <v>45903.0</v>
      </c>
      <c r="F3892" s="4" t="str">
        <f>IF(D3892="","", IFNA(VLOOKUP(D3892, SATCAT_DECAY!A:B, 2, FALSE), ""))
</f>
        <v/>
      </c>
      <c r="G3892" s="3" t="str">
        <f t="shared" si="1"/>
        <v>ACTIVE</v>
      </c>
    </row>
    <row r="3893" ht="22.5" customHeight="1">
      <c r="A3893" s="11" t="str">
        <f t="array" ref="A3893">IFERROR(
  INDEX('Starlink Launches'!$A:$A, MATCH($E3893, 'Starlink Launches'!$B:$B, 0)),
  ""
)
</f>
        <v>10-22</v>
      </c>
      <c r="B3893" s="3" t="s">
        <v>25</v>
      </c>
      <c r="C3893" s="12" t="s">
        <v>3913</v>
      </c>
      <c r="D3893" s="13">
        <v>65478.0</v>
      </c>
      <c r="E3893" s="4">
        <v>45903.0</v>
      </c>
      <c r="F3893" s="4" t="str">
        <f>IF(D3893="","", IFNA(VLOOKUP(D3893, SATCAT_DECAY!A:B, 2, FALSE), ""))
</f>
        <v/>
      </c>
      <c r="G3893" s="3" t="str">
        <f t="shared" si="1"/>
        <v>ACTIVE</v>
      </c>
    </row>
    <row r="3894" ht="22.5" customHeight="1">
      <c r="A3894" s="11" t="str">
        <f t="array" ref="A3894">IFERROR(
  INDEX('Starlink Launches'!$A:$A, MATCH($E3894, 'Starlink Launches'!$B:$B, 0)),
  ""
)
</f>
        <v>10-22</v>
      </c>
      <c r="B3894" s="3" t="s">
        <v>25</v>
      </c>
      <c r="C3894" s="12" t="s">
        <v>3914</v>
      </c>
      <c r="D3894" s="13">
        <v>65479.0</v>
      </c>
      <c r="E3894" s="4">
        <v>45903.0</v>
      </c>
      <c r="F3894" s="4" t="str">
        <f>IF(D3894="","", IFNA(VLOOKUP(D3894, SATCAT_DECAY!A:B, 2, FALSE), ""))
</f>
        <v/>
      </c>
      <c r="G3894" s="3" t="str">
        <f t="shared" si="1"/>
        <v>ACTIVE</v>
      </c>
    </row>
    <row r="3895" ht="22.5" customHeight="1">
      <c r="A3895" s="11" t="str">
        <f t="array" ref="A3895">IFERROR(
  INDEX('Starlink Launches'!$A:$A, MATCH($E3895, 'Starlink Launches'!$B:$B, 0)),
  ""
)
</f>
        <v>10-22</v>
      </c>
      <c r="B3895" s="3" t="s">
        <v>25</v>
      </c>
      <c r="C3895" s="12" t="s">
        <v>3915</v>
      </c>
      <c r="D3895" s="13">
        <v>65480.0</v>
      </c>
      <c r="E3895" s="4">
        <v>45903.0</v>
      </c>
      <c r="F3895" s="4" t="str">
        <f>IF(D3895="","", IFNA(VLOOKUP(D3895, SATCAT_DECAY!A:B, 2, FALSE), ""))
</f>
        <v/>
      </c>
      <c r="G3895" s="3" t="str">
        <f t="shared" si="1"/>
        <v>ACTIVE</v>
      </c>
    </row>
    <row r="3896" ht="22.5" customHeight="1">
      <c r="A3896" s="11" t="str">
        <f t="array" ref="A3896">IFERROR(
  INDEX('Starlink Launches'!$A:$A, MATCH($E3896, 'Starlink Launches'!$B:$B, 0)),
  ""
)
</f>
        <v>10-22</v>
      </c>
      <c r="B3896" s="3" t="s">
        <v>25</v>
      </c>
      <c r="C3896" s="12" t="s">
        <v>3916</v>
      </c>
      <c r="D3896" s="13">
        <v>65481.0</v>
      </c>
      <c r="E3896" s="4">
        <v>45903.0</v>
      </c>
      <c r="F3896" s="4" t="str">
        <f>IF(D3896="","", IFNA(VLOOKUP(D3896, SATCAT_DECAY!A:B, 2, FALSE), ""))
</f>
        <v/>
      </c>
      <c r="G3896" s="3" t="str">
        <f t="shared" si="1"/>
        <v>ACTIVE</v>
      </c>
    </row>
    <row r="3897" ht="22.5" customHeight="1">
      <c r="A3897" s="11" t="str">
        <f t="array" ref="A3897">IFERROR(
  INDEX('Starlink Launches'!$A:$A, MATCH($E3897, 'Starlink Launches'!$B:$B, 0)),
  ""
)
</f>
        <v>10-22</v>
      </c>
      <c r="B3897" s="3" t="s">
        <v>25</v>
      </c>
      <c r="C3897" s="12" t="s">
        <v>3917</v>
      </c>
      <c r="D3897" s="13">
        <v>65482.0</v>
      </c>
      <c r="E3897" s="4">
        <v>45903.0</v>
      </c>
      <c r="F3897" s="4" t="str">
        <f>IF(D3897="","", IFNA(VLOOKUP(D3897, SATCAT_DECAY!A:B, 2, FALSE), ""))
</f>
        <v/>
      </c>
      <c r="G3897" s="3" t="str">
        <f t="shared" si="1"/>
        <v>ACTIVE</v>
      </c>
    </row>
    <row r="3898" ht="22.5" customHeight="1">
      <c r="A3898" s="11" t="str">
        <f t="array" ref="A3898">IFERROR(
  INDEX('Starlink Launches'!$A:$A, MATCH($E3898, 'Starlink Launches'!$B:$B, 0)),
  ""
)
</f>
        <v>10-22</v>
      </c>
      <c r="B3898" s="3" t="s">
        <v>25</v>
      </c>
      <c r="C3898" s="12" t="s">
        <v>3918</v>
      </c>
      <c r="D3898" s="13">
        <v>65483.0</v>
      </c>
      <c r="E3898" s="4">
        <v>45903.0</v>
      </c>
      <c r="F3898" s="4" t="str">
        <f>IF(D3898="","", IFNA(VLOOKUP(D3898, SATCAT_DECAY!A:B, 2, FALSE), ""))
</f>
        <v/>
      </c>
      <c r="G3898" s="3" t="str">
        <f t="shared" si="1"/>
        <v>ACTIVE</v>
      </c>
    </row>
    <row r="3899" ht="22.5" customHeight="1">
      <c r="A3899" s="11" t="str">
        <f t="array" ref="A3899">IFERROR(
  INDEX('Starlink Launches'!$A:$A, MATCH($E3899, 'Starlink Launches'!$B:$B, 0)),
  ""
)
</f>
        <v>10-22</v>
      </c>
      <c r="B3899" s="3" t="s">
        <v>25</v>
      </c>
      <c r="C3899" s="12" t="s">
        <v>3919</v>
      </c>
      <c r="D3899" s="13">
        <v>65484.0</v>
      </c>
      <c r="E3899" s="4">
        <v>45903.0</v>
      </c>
      <c r="F3899" s="4" t="str">
        <f>IF(D3899="","", IFNA(VLOOKUP(D3899, SATCAT_DECAY!A:B, 2, FALSE), ""))
</f>
        <v/>
      </c>
      <c r="G3899" s="3" t="str">
        <f t="shared" si="1"/>
        <v>ACTIVE</v>
      </c>
    </row>
    <row r="3900" ht="22.5" customHeight="1">
      <c r="A3900" s="11" t="str">
        <f t="array" ref="A3900">IFERROR(
  INDEX('Starlink Launches'!$A:$A, MATCH($E3900, 'Starlink Launches'!$B:$B, 0)),
  ""
)
</f>
        <v>10-22</v>
      </c>
      <c r="B3900" s="3" t="s">
        <v>25</v>
      </c>
      <c r="C3900" s="12" t="s">
        <v>3920</v>
      </c>
      <c r="D3900" s="13">
        <v>65485.0</v>
      </c>
      <c r="E3900" s="4">
        <v>45903.0</v>
      </c>
      <c r="F3900" s="4" t="str">
        <f>IF(D3900="","", IFNA(VLOOKUP(D3900, SATCAT_DECAY!A:B, 2, FALSE), ""))
</f>
        <v/>
      </c>
      <c r="G3900" s="3" t="str">
        <f t="shared" si="1"/>
        <v>ACTIVE</v>
      </c>
    </row>
    <row r="3901" ht="22.5" customHeight="1">
      <c r="A3901" s="11" t="str">
        <f t="array" ref="A3901">IFERROR(
  INDEX('Starlink Launches'!$A:$A, MATCH($E3901, 'Starlink Launches'!$B:$B, 0)),
  ""
)
</f>
        <v>10-27</v>
      </c>
      <c r="B3901" s="3" t="s">
        <v>25</v>
      </c>
      <c r="C3901" s="12" t="s">
        <v>3921</v>
      </c>
      <c r="D3901" s="13">
        <v>65676.0</v>
      </c>
      <c r="E3901" s="4">
        <v>45921.0</v>
      </c>
      <c r="F3901" s="4" t="str">
        <f>IF(D3901="","", IFNA(VLOOKUP(D3901, SATCAT_DECAY!A:B, 2, FALSE), ""))
</f>
        <v/>
      </c>
      <c r="G3901" s="3" t="str">
        <f t="shared" si="1"/>
        <v>ACTIVE</v>
      </c>
    </row>
    <row r="3902" ht="22.5" customHeight="1">
      <c r="A3902" s="11" t="str">
        <f t="array" ref="A3902">IFERROR(
  INDEX('Starlink Launches'!$A:$A, MATCH($E3902, 'Starlink Launches'!$B:$B, 0)),
  ""
)
</f>
        <v>10-27</v>
      </c>
      <c r="B3902" s="3" t="s">
        <v>25</v>
      </c>
      <c r="C3902" s="12" t="s">
        <v>3922</v>
      </c>
      <c r="D3902" s="13">
        <v>65677.0</v>
      </c>
      <c r="E3902" s="4">
        <v>45921.0</v>
      </c>
      <c r="F3902" s="4" t="str">
        <f>IF(D3902="","", IFNA(VLOOKUP(D3902, SATCAT_DECAY!A:B, 2, FALSE), ""))
</f>
        <v/>
      </c>
      <c r="G3902" s="3" t="str">
        <f t="shared" si="1"/>
        <v>ACTIVE</v>
      </c>
    </row>
    <row r="3903" ht="22.5" customHeight="1">
      <c r="A3903" s="11" t="str">
        <f t="array" ref="A3903">IFERROR(
  INDEX('Starlink Launches'!$A:$A, MATCH($E3903, 'Starlink Launches'!$B:$B, 0)),
  ""
)
</f>
        <v>10-27</v>
      </c>
      <c r="B3903" s="3" t="s">
        <v>25</v>
      </c>
      <c r="C3903" s="12" t="s">
        <v>3923</v>
      </c>
      <c r="D3903" s="13">
        <v>65678.0</v>
      </c>
      <c r="E3903" s="4">
        <v>45921.0</v>
      </c>
      <c r="F3903" s="4" t="str">
        <f>IF(D3903="","", IFNA(VLOOKUP(D3903, SATCAT_DECAY!A:B, 2, FALSE), ""))
</f>
        <v/>
      </c>
      <c r="G3903" s="3" t="str">
        <f t="shared" si="1"/>
        <v>ACTIVE</v>
      </c>
    </row>
    <row r="3904" ht="22.5" customHeight="1">
      <c r="A3904" s="11" t="str">
        <f t="array" ref="A3904">IFERROR(
  INDEX('Starlink Launches'!$A:$A, MATCH($E3904, 'Starlink Launches'!$B:$B, 0)),
  ""
)
</f>
        <v>10-27</v>
      </c>
      <c r="B3904" s="3" t="s">
        <v>25</v>
      </c>
      <c r="C3904" s="12" t="s">
        <v>3924</v>
      </c>
      <c r="D3904" s="13">
        <v>65679.0</v>
      </c>
      <c r="E3904" s="4">
        <v>45921.0</v>
      </c>
      <c r="F3904" s="4" t="str">
        <f>IF(D3904="","", IFNA(VLOOKUP(D3904, SATCAT_DECAY!A:B, 2, FALSE), ""))
</f>
        <v/>
      </c>
      <c r="G3904" s="3" t="str">
        <f t="shared" si="1"/>
        <v>ACTIVE</v>
      </c>
    </row>
    <row r="3905" ht="22.5" customHeight="1">
      <c r="A3905" s="11" t="str">
        <f t="array" ref="A3905">IFERROR(
  INDEX('Starlink Launches'!$A:$A, MATCH($E3905, 'Starlink Launches'!$B:$B, 0)),
  ""
)
</f>
        <v>10-27</v>
      </c>
      <c r="B3905" s="3" t="s">
        <v>25</v>
      </c>
      <c r="C3905" s="12" t="s">
        <v>3925</v>
      </c>
      <c r="D3905" s="13">
        <v>65680.0</v>
      </c>
      <c r="E3905" s="4">
        <v>45921.0</v>
      </c>
      <c r="F3905" s="4" t="str">
        <f>IF(D3905="","", IFNA(VLOOKUP(D3905, SATCAT_DECAY!A:B, 2, FALSE), ""))
</f>
        <v/>
      </c>
      <c r="G3905" s="3" t="str">
        <f t="shared" si="1"/>
        <v>ACTIVE</v>
      </c>
    </row>
    <row r="3906" ht="22.5" customHeight="1">
      <c r="A3906" s="11" t="str">
        <f t="array" ref="A3906">IFERROR(
  INDEX('Starlink Launches'!$A:$A, MATCH($E3906, 'Starlink Launches'!$B:$B, 0)),
  ""
)
</f>
        <v>10-27</v>
      </c>
      <c r="B3906" s="3" t="s">
        <v>25</v>
      </c>
      <c r="C3906" s="12" t="s">
        <v>3926</v>
      </c>
      <c r="D3906" s="13">
        <v>65681.0</v>
      </c>
      <c r="E3906" s="4">
        <v>45921.0</v>
      </c>
      <c r="F3906" s="4" t="str">
        <f>IF(D3906="","", IFNA(VLOOKUP(D3906, SATCAT_DECAY!A:B, 2, FALSE), ""))
</f>
        <v/>
      </c>
      <c r="G3906" s="3" t="str">
        <f t="shared" si="1"/>
        <v>ACTIVE</v>
      </c>
    </row>
    <row r="3907" ht="22.5" customHeight="1">
      <c r="A3907" s="11" t="str">
        <f t="array" ref="A3907">IFERROR(
  INDEX('Starlink Launches'!$A:$A, MATCH($E3907, 'Starlink Launches'!$B:$B, 0)),
  ""
)
</f>
        <v>10-27</v>
      </c>
      <c r="B3907" s="3" t="s">
        <v>25</v>
      </c>
      <c r="C3907" s="12" t="s">
        <v>3927</v>
      </c>
      <c r="D3907" s="13">
        <v>65682.0</v>
      </c>
      <c r="E3907" s="4">
        <v>45921.0</v>
      </c>
      <c r="F3907" s="4" t="str">
        <f>IF(D3907="","", IFNA(VLOOKUP(D3907, SATCAT_DECAY!A:B, 2, FALSE), ""))
</f>
        <v/>
      </c>
      <c r="G3907" s="3" t="str">
        <f t="shared" si="1"/>
        <v>ACTIVE</v>
      </c>
    </row>
    <row r="3908" ht="22.5" customHeight="1">
      <c r="A3908" s="11" t="str">
        <f t="array" ref="A3908">IFERROR(
  INDEX('Starlink Launches'!$A:$A, MATCH($E3908, 'Starlink Launches'!$B:$B, 0)),
  ""
)
</f>
        <v>10-27</v>
      </c>
      <c r="B3908" s="3" t="s">
        <v>25</v>
      </c>
      <c r="C3908" s="12" t="s">
        <v>3928</v>
      </c>
      <c r="D3908" s="13">
        <v>65683.0</v>
      </c>
      <c r="E3908" s="4">
        <v>45921.0</v>
      </c>
      <c r="F3908" s="4" t="str">
        <f>IF(D3908="","", IFNA(VLOOKUP(D3908, SATCAT_DECAY!A:B, 2, FALSE), ""))
</f>
        <v/>
      </c>
      <c r="G3908" s="3" t="str">
        <f t="shared" si="1"/>
        <v>ACTIVE</v>
      </c>
    </row>
    <row r="3909" ht="22.5" customHeight="1">
      <c r="A3909" s="11" t="str">
        <f t="array" ref="A3909">IFERROR(
  INDEX('Starlink Launches'!$A:$A, MATCH($E3909, 'Starlink Launches'!$B:$B, 0)),
  ""
)
</f>
        <v>10-27</v>
      </c>
      <c r="B3909" s="3" t="s">
        <v>25</v>
      </c>
      <c r="C3909" s="12" t="s">
        <v>3929</v>
      </c>
      <c r="D3909" s="13">
        <v>65684.0</v>
      </c>
      <c r="E3909" s="4">
        <v>45921.0</v>
      </c>
      <c r="F3909" s="4" t="str">
        <f>IF(D3909="","", IFNA(VLOOKUP(D3909, SATCAT_DECAY!A:B, 2, FALSE), ""))
</f>
        <v/>
      </c>
      <c r="G3909" s="3" t="str">
        <f t="shared" si="1"/>
        <v>ACTIVE</v>
      </c>
    </row>
    <row r="3910" ht="22.5" customHeight="1">
      <c r="A3910" s="11" t="str">
        <f t="array" ref="A3910">IFERROR(
  INDEX('Starlink Launches'!$A:$A, MATCH($E3910, 'Starlink Launches'!$B:$B, 0)),
  ""
)
</f>
        <v>10-27</v>
      </c>
      <c r="B3910" s="3" t="s">
        <v>25</v>
      </c>
      <c r="C3910" s="12" t="s">
        <v>3930</v>
      </c>
      <c r="D3910" s="13">
        <v>65685.0</v>
      </c>
      <c r="E3910" s="4">
        <v>45921.0</v>
      </c>
      <c r="F3910" s="4" t="str">
        <f>IF(D3910="","", IFNA(VLOOKUP(D3910, SATCAT_DECAY!A:B, 2, FALSE), ""))
</f>
        <v/>
      </c>
      <c r="G3910" s="3" t="str">
        <f t="shared" si="1"/>
        <v>ACTIVE</v>
      </c>
    </row>
    <row r="3911" ht="22.5" customHeight="1">
      <c r="A3911" s="11" t="str">
        <f t="array" ref="A3911">IFERROR(
  INDEX('Starlink Launches'!$A:$A, MATCH($E3911, 'Starlink Launches'!$B:$B, 0)),
  ""
)
</f>
        <v>10-27</v>
      </c>
      <c r="B3911" s="3" t="s">
        <v>25</v>
      </c>
      <c r="C3911" s="12" t="s">
        <v>3931</v>
      </c>
      <c r="D3911" s="13">
        <v>65686.0</v>
      </c>
      <c r="E3911" s="4">
        <v>45921.0</v>
      </c>
      <c r="F3911" s="4" t="str">
        <f>IF(D3911="","", IFNA(VLOOKUP(D3911, SATCAT_DECAY!A:B, 2, FALSE), ""))
</f>
        <v/>
      </c>
      <c r="G3911" s="3" t="str">
        <f t="shared" si="1"/>
        <v>ACTIVE</v>
      </c>
    </row>
    <row r="3912" ht="22.5" customHeight="1">
      <c r="A3912" s="11" t="str">
        <f t="array" ref="A3912">IFERROR(
  INDEX('Starlink Launches'!$A:$A, MATCH($E3912, 'Starlink Launches'!$B:$B, 0)),
  ""
)
</f>
        <v>10-27</v>
      </c>
      <c r="B3912" s="3" t="s">
        <v>25</v>
      </c>
      <c r="C3912" s="12" t="s">
        <v>3932</v>
      </c>
      <c r="D3912" s="13">
        <v>65687.0</v>
      </c>
      <c r="E3912" s="4">
        <v>45921.0</v>
      </c>
      <c r="F3912" s="4" t="str">
        <f>IF(D3912="","", IFNA(VLOOKUP(D3912, SATCAT_DECAY!A:B, 2, FALSE), ""))
</f>
        <v/>
      </c>
      <c r="G3912" s="3" t="str">
        <f t="shared" si="1"/>
        <v>ACTIVE</v>
      </c>
    </row>
    <row r="3913" ht="22.5" customHeight="1">
      <c r="A3913" s="11" t="str">
        <f t="array" ref="A3913">IFERROR(
  INDEX('Starlink Launches'!$A:$A, MATCH($E3913, 'Starlink Launches'!$B:$B, 0)),
  ""
)
</f>
        <v>10-27</v>
      </c>
      <c r="B3913" s="3" t="s">
        <v>25</v>
      </c>
      <c r="C3913" s="12" t="s">
        <v>3933</v>
      </c>
      <c r="D3913" s="13">
        <v>65688.0</v>
      </c>
      <c r="E3913" s="4">
        <v>45921.0</v>
      </c>
      <c r="F3913" s="4" t="str">
        <f>IF(D3913="","", IFNA(VLOOKUP(D3913, SATCAT_DECAY!A:B, 2, FALSE), ""))
</f>
        <v/>
      </c>
      <c r="G3913" s="3" t="str">
        <f t="shared" si="1"/>
        <v>ACTIVE</v>
      </c>
    </row>
    <row r="3914" ht="22.5" customHeight="1">
      <c r="A3914" s="11" t="str">
        <f t="array" ref="A3914">IFERROR(
  INDEX('Starlink Launches'!$A:$A, MATCH($E3914, 'Starlink Launches'!$B:$B, 0)),
  ""
)
</f>
        <v>10-27</v>
      </c>
      <c r="B3914" s="3" t="s">
        <v>25</v>
      </c>
      <c r="C3914" s="12" t="s">
        <v>3934</v>
      </c>
      <c r="D3914" s="13">
        <v>65689.0</v>
      </c>
      <c r="E3914" s="4">
        <v>45921.0</v>
      </c>
      <c r="F3914" s="4" t="str">
        <f>IF(D3914="","", IFNA(VLOOKUP(D3914, SATCAT_DECAY!A:B, 2, FALSE), ""))
</f>
        <v/>
      </c>
      <c r="G3914" s="3" t="str">
        <f t="shared" si="1"/>
        <v>ACTIVE</v>
      </c>
    </row>
    <row r="3915" ht="22.5" customHeight="1">
      <c r="A3915" s="11" t="str">
        <f t="array" ref="A3915">IFERROR(
  INDEX('Starlink Launches'!$A:$A, MATCH($E3915, 'Starlink Launches'!$B:$B, 0)),
  ""
)
</f>
        <v>10-27</v>
      </c>
      <c r="B3915" s="3" t="s">
        <v>25</v>
      </c>
      <c r="C3915" s="12" t="s">
        <v>3935</v>
      </c>
      <c r="D3915" s="13">
        <v>65690.0</v>
      </c>
      <c r="E3915" s="4">
        <v>45921.0</v>
      </c>
      <c r="F3915" s="4" t="str">
        <f>IF(D3915="","", IFNA(VLOOKUP(D3915, SATCAT_DECAY!A:B, 2, FALSE), ""))
</f>
        <v/>
      </c>
      <c r="G3915" s="3" t="str">
        <f t="shared" si="1"/>
        <v>ACTIVE</v>
      </c>
    </row>
    <row r="3916" ht="22.5" customHeight="1">
      <c r="A3916" s="11" t="str">
        <f t="array" ref="A3916">IFERROR(
  INDEX('Starlink Launches'!$A:$A, MATCH($E3916, 'Starlink Launches'!$B:$B, 0)),
  ""
)
</f>
        <v>10-27</v>
      </c>
      <c r="B3916" s="3" t="s">
        <v>25</v>
      </c>
      <c r="C3916" s="12" t="s">
        <v>3936</v>
      </c>
      <c r="D3916" s="13">
        <v>65691.0</v>
      </c>
      <c r="E3916" s="4">
        <v>45921.0</v>
      </c>
      <c r="F3916" s="4" t="str">
        <f>IF(D3916="","", IFNA(VLOOKUP(D3916, SATCAT_DECAY!A:B, 2, FALSE), ""))
</f>
        <v/>
      </c>
      <c r="G3916" s="3" t="str">
        <f t="shared" si="1"/>
        <v>ACTIVE</v>
      </c>
    </row>
    <row r="3917" ht="22.5" customHeight="1">
      <c r="A3917" s="11" t="str">
        <f t="array" ref="A3917">IFERROR(
  INDEX('Starlink Launches'!$A:$A, MATCH($E3917, 'Starlink Launches'!$B:$B, 0)),
  ""
)
</f>
        <v>10-27</v>
      </c>
      <c r="B3917" s="3" t="s">
        <v>25</v>
      </c>
      <c r="C3917" s="12" t="s">
        <v>3937</v>
      </c>
      <c r="D3917" s="13">
        <v>65692.0</v>
      </c>
      <c r="E3917" s="4">
        <v>45921.0</v>
      </c>
      <c r="F3917" s="4" t="str">
        <f>IF(D3917="","", IFNA(VLOOKUP(D3917, SATCAT_DECAY!A:B, 2, FALSE), ""))
</f>
        <v/>
      </c>
      <c r="G3917" s="3" t="str">
        <f t="shared" si="1"/>
        <v>ACTIVE</v>
      </c>
    </row>
    <row r="3918" ht="22.5" customHeight="1">
      <c r="A3918" s="11" t="str">
        <f t="array" ref="A3918">IFERROR(
  INDEX('Starlink Launches'!$A:$A, MATCH($E3918, 'Starlink Launches'!$B:$B, 0)),
  ""
)
</f>
        <v>10-27</v>
      </c>
      <c r="B3918" s="3" t="s">
        <v>25</v>
      </c>
      <c r="C3918" s="12" t="s">
        <v>3938</v>
      </c>
      <c r="D3918" s="13">
        <v>65693.0</v>
      </c>
      <c r="E3918" s="4">
        <v>45921.0</v>
      </c>
      <c r="F3918" s="4" t="str">
        <f>IF(D3918="","", IFNA(VLOOKUP(D3918, SATCAT_DECAY!A:B, 2, FALSE), ""))
</f>
        <v/>
      </c>
      <c r="G3918" s="3" t="str">
        <f t="shared" si="1"/>
        <v>ACTIVE</v>
      </c>
    </row>
    <row r="3919" ht="22.5" customHeight="1">
      <c r="A3919" s="11" t="str">
        <f t="array" ref="A3919">IFERROR(
  INDEX('Starlink Launches'!$A:$A, MATCH($E3919, 'Starlink Launches'!$B:$B, 0)),
  ""
)
</f>
        <v>10-27</v>
      </c>
      <c r="B3919" s="3" t="s">
        <v>25</v>
      </c>
      <c r="C3919" s="12" t="s">
        <v>3939</v>
      </c>
      <c r="D3919" s="13">
        <v>65694.0</v>
      </c>
      <c r="E3919" s="4">
        <v>45921.0</v>
      </c>
      <c r="F3919" s="4" t="str">
        <f>IF(D3919="","", IFNA(VLOOKUP(D3919, SATCAT_DECAY!A:B, 2, FALSE), ""))
</f>
        <v/>
      </c>
      <c r="G3919" s="3" t="str">
        <f t="shared" si="1"/>
        <v>ACTIVE</v>
      </c>
    </row>
    <row r="3920" ht="22.5" customHeight="1">
      <c r="A3920" s="11" t="str">
        <f t="array" ref="A3920">IFERROR(
  INDEX('Starlink Launches'!$A:$A, MATCH($E3920, 'Starlink Launches'!$B:$B, 0)),
  ""
)
</f>
        <v>10-27</v>
      </c>
      <c r="B3920" s="3" t="s">
        <v>25</v>
      </c>
      <c r="C3920" s="12" t="s">
        <v>3940</v>
      </c>
      <c r="D3920" s="13">
        <v>65695.0</v>
      </c>
      <c r="E3920" s="4">
        <v>45921.0</v>
      </c>
      <c r="F3920" s="4" t="str">
        <f>IF(D3920="","", IFNA(VLOOKUP(D3920, SATCAT_DECAY!A:B, 2, FALSE), ""))
</f>
        <v/>
      </c>
      <c r="G3920" s="3" t="str">
        <f t="shared" si="1"/>
        <v>ACTIVE</v>
      </c>
    </row>
    <row r="3921" ht="22.5" customHeight="1">
      <c r="A3921" s="11" t="str">
        <f t="array" ref="A3921">IFERROR(
  INDEX('Starlink Launches'!$A:$A, MATCH($E3921, 'Starlink Launches'!$B:$B, 0)),
  ""
)
</f>
        <v>10-27</v>
      </c>
      <c r="B3921" s="3" t="s">
        <v>25</v>
      </c>
      <c r="C3921" s="12" t="s">
        <v>3941</v>
      </c>
      <c r="D3921" s="13">
        <v>65696.0</v>
      </c>
      <c r="E3921" s="4">
        <v>45921.0</v>
      </c>
      <c r="F3921" s="4" t="str">
        <f>IF(D3921="","", IFNA(VLOOKUP(D3921, SATCAT_DECAY!A:B, 2, FALSE), ""))
</f>
        <v/>
      </c>
      <c r="G3921" s="3" t="str">
        <f t="shared" si="1"/>
        <v>ACTIVE</v>
      </c>
    </row>
    <row r="3922" ht="22.5" customHeight="1">
      <c r="A3922" s="11" t="str">
        <f t="array" ref="A3922">IFERROR(
  INDEX('Starlink Launches'!$A:$A, MATCH($E3922, 'Starlink Launches'!$B:$B, 0)),
  ""
)
</f>
        <v>10-27</v>
      </c>
      <c r="B3922" s="3" t="s">
        <v>25</v>
      </c>
      <c r="C3922" s="12" t="s">
        <v>3942</v>
      </c>
      <c r="D3922" s="13">
        <v>65697.0</v>
      </c>
      <c r="E3922" s="4">
        <v>45921.0</v>
      </c>
      <c r="F3922" s="4" t="str">
        <f>IF(D3922="","", IFNA(VLOOKUP(D3922, SATCAT_DECAY!A:B, 2, FALSE), ""))
</f>
        <v/>
      </c>
      <c r="G3922" s="3" t="str">
        <f t="shared" si="1"/>
        <v>ACTIVE</v>
      </c>
    </row>
    <row r="3923" ht="22.5" customHeight="1">
      <c r="A3923" s="11" t="str">
        <f t="array" ref="A3923">IFERROR(
  INDEX('Starlink Launches'!$A:$A, MATCH($E3923, 'Starlink Launches'!$B:$B, 0)),
  ""
)
</f>
        <v>10-27</v>
      </c>
      <c r="B3923" s="3" t="s">
        <v>25</v>
      </c>
      <c r="C3923" s="12" t="s">
        <v>3943</v>
      </c>
      <c r="D3923" s="13">
        <v>65698.0</v>
      </c>
      <c r="E3923" s="4">
        <v>45921.0</v>
      </c>
      <c r="F3923" s="4" t="str">
        <f>IF(D3923="","", IFNA(VLOOKUP(D3923, SATCAT_DECAY!A:B, 2, FALSE), ""))
</f>
        <v/>
      </c>
      <c r="G3923" s="3" t="str">
        <f t="shared" si="1"/>
        <v>ACTIVE</v>
      </c>
    </row>
    <row r="3924" ht="22.5" customHeight="1">
      <c r="A3924" s="11" t="str">
        <f t="array" ref="A3924">IFERROR(
  INDEX('Starlink Launches'!$A:$A, MATCH($E3924, 'Starlink Launches'!$B:$B, 0)),
  ""
)
</f>
        <v>10-27</v>
      </c>
      <c r="B3924" s="3" t="s">
        <v>25</v>
      </c>
      <c r="C3924" s="12" t="s">
        <v>3944</v>
      </c>
      <c r="D3924" s="13">
        <v>65699.0</v>
      </c>
      <c r="E3924" s="4">
        <v>45921.0</v>
      </c>
      <c r="F3924" s="4" t="str">
        <f>IF(D3924="","", IFNA(VLOOKUP(D3924, SATCAT_DECAY!A:B, 2, FALSE), ""))
</f>
        <v/>
      </c>
      <c r="G3924" s="3" t="str">
        <f t="shared" si="1"/>
        <v>ACTIVE</v>
      </c>
    </row>
    <row r="3925" ht="22.5" customHeight="1">
      <c r="A3925" s="11" t="str">
        <f t="array" ref="A3925">IFERROR(
  INDEX('Starlink Launches'!$A:$A, MATCH($E3925, 'Starlink Launches'!$B:$B, 0)),
  ""
)
</f>
        <v>10-27</v>
      </c>
      <c r="B3925" s="3" t="s">
        <v>25</v>
      </c>
      <c r="C3925" s="12" t="s">
        <v>3945</v>
      </c>
      <c r="D3925" s="13">
        <v>65700.0</v>
      </c>
      <c r="E3925" s="4">
        <v>45921.0</v>
      </c>
      <c r="F3925" s="4" t="str">
        <f>IF(D3925="","", IFNA(VLOOKUP(D3925, SATCAT_DECAY!A:B, 2, FALSE), ""))
</f>
        <v/>
      </c>
      <c r="G3925" s="3" t="str">
        <f t="shared" si="1"/>
        <v>ACTIVE</v>
      </c>
    </row>
    <row r="3926" ht="22.5" customHeight="1">
      <c r="A3926" s="11" t="str">
        <f t="array" ref="A3926">IFERROR(
  INDEX('Starlink Launches'!$A:$A, MATCH($E3926, 'Starlink Launches'!$B:$B, 0)),
  ""
)
</f>
        <v>10-27</v>
      </c>
      <c r="B3926" s="3" t="s">
        <v>25</v>
      </c>
      <c r="C3926" s="12" t="s">
        <v>3946</v>
      </c>
      <c r="D3926" s="13">
        <v>65701.0</v>
      </c>
      <c r="E3926" s="4">
        <v>45921.0</v>
      </c>
      <c r="F3926" s="4" t="str">
        <f>IF(D3926="","", IFNA(VLOOKUP(D3926, SATCAT_DECAY!A:B, 2, FALSE), ""))
</f>
        <v/>
      </c>
      <c r="G3926" s="3" t="str">
        <f t="shared" si="1"/>
        <v>ACTIVE</v>
      </c>
    </row>
    <row r="3927" ht="22.5" customHeight="1">
      <c r="A3927" s="11" t="str">
        <f t="array" ref="A3927">IFERROR(
  INDEX('Starlink Launches'!$A:$A, MATCH($E3927, 'Starlink Launches'!$B:$B, 0)),
  ""
)
</f>
        <v>10-27</v>
      </c>
      <c r="B3927" s="3" t="s">
        <v>25</v>
      </c>
      <c r="C3927" s="12" t="s">
        <v>3947</v>
      </c>
      <c r="D3927" s="13">
        <v>65702.0</v>
      </c>
      <c r="E3927" s="4">
        <v>45921.0</v>
      </c>
      <c r="F3927" s="4" t="str">
        <f>IF(D3927="","", IFNA(VLOOKUP(D3927, SATCAT_DECAY!A:B, 2, FALSE), ""))
</f>
        <v/>
      </c>
      <c r="G3927" s="3" t="str">
        <f t="shared" si="1"/>
        <v>ACTIVE</v>
      </c>
    </row>
    <row r="3928" ht="22.5" customHeight="1">
      <c r="A3928" s="11" t="str">
        <f t="array" ref="A3928">IFERROR(
  INDEX('Starlink Launches'!$A:$A, MATCH($E3928, 'Starlink Launches'!$B:$B, 0)),
  ""
)
</f>
        <v>10-27</v>
      </c>
      <c r="B3928" s="3" t="s">
        <v>25</v>
      </c>
      <c r="C3928" s="12" t="s">
        <v>3948</v>
      </c>
      <c r="D3928" s="13">
        <v>65703.0</v>
      </c>
      <c r="E3928" s="4">
        <v>45921.0</v>
      </c>
      <c r="F3928" s="4" t="str">
        <f>IF(D3928="","", IFNA(VLOOKUP(D3928, SATCAT_DECAY!A:B, 2, FALSE), ""))
</f>
        <v/>
      </c>
      <c r="G3928" s="3" t="str">
        <f t="shared" si="1"/>
        <v>ACTIVE</v>
      </c>
    </row>
    <row r="3929" ht="22.5" customHeight="1">
      <c r="A3929" s="11" t="str">
        <f t="array" ref="A3929">IFERROR(
  INDEX('Starlink Launches'!$A:$A, MATCH($E3929, 'Starlink Launches'!$B:$B, 0)),
  ""
)
</f>
        <v>10-15</v>
      </c>
      <c r="B3929" s="3" t="s">
        <v>25</v>
      </c>
      <c r="C3929" s="12" t="s">
        <v>3949</v>
      </c>
      <c r="D3929" s="13">
        <v>65734.0</v>
      </c>
      <c r="E3929" s="4">
        <v>45925.0</v>
      </c>
      <c r="F3929" s="4" t="str">
        <f>IF(D3929="","", IFNA(VLOOKUP(D3929, SATCAT_DECAY!A:B, 2, FALSE), ""))
</f>
        <v/>
      </c>
      <c r="G3929" s="3" t="str">
        <f t="shared" si="1"/>
        <v>ACTIVE</v>
      </c>
    </row>
    <row r="3930" ht="22.5" customHeight="1">
      <c r="A3930" s="11" t="str">
        <f t="array" ref="A3930">IFERROR(
  INDEX('Starlink Launches'!$A:$A, MATCH($E3930, 'Starlink Launches'!$B:$B, 0)),
  ""
)
</f>
        <v>10-15</v>
      </c>
      <c r="B3930" s="3" t="s">
        <v>25</v>
      </c>
      <c r="C3930" s="12" t="s">
        <v>3950</v>
      </c>
      <c r="D3930" s="13">
        <v>65735.0</v>
      </c>
      <c r="E3930" s="4">
        <v>45925.0</v>
      </c>
      <c r="F3930" s="4" t="str">
        <f>IF(D3930="","", IFNA(VLOOKUP(D3930, SATCAT_DECAY!A:B, 2, FALSE), ""))
</f>
        <v/>
      </c>
      <c r="G3930" s="3" t="str">
        <f t="shared" si="1"/>
        <v>ACTIVE</v>
      </c>
    </row>
    <row r="3931" ht="22.5" customHeight="1">
      <c r="A3931" s="11" t="str">
        <f t="array" ref="A3931">IFERROR(
  INDEX('Starlink Launches'!$A:$A, MATCH($E3931, 'Starlink Launches'!$B:$B, 0)),
  ""
)
</f>
        <v>10-15</v>
      </c>
      <c r="B3931" s="3" t="s">
        <v>25</v>
      </c>
      <c r="C3931" s="12" t="s">
        <v>3951</v>
      </c>
      <c r="D3931" s="13">
        <v>65736.0</v>
      </c>
      <c r="E3931" s="4">
        <v>45925.0</v>
      </c>
      <c r="F3931" s="4" t="str">
        <f>IF(D3931="","", IFNA(VLOOKUP(D3931, SATCAT_DECAY!A:B, 2, FALSE), ""))
</f>
        <v/>
      </c>
      <c r="G3931" s="3" t="str">
        <f t="shared" si="1"/>
        <v>ACTIVE</v>
      </c>
    </row>
    <row r="3932" ht="22.5" customHeight="1">
      <c r="A3932" s="11" t="str">
        <f t="array" ref="A3932">IFERROR(
  INDEX('Starlink Launches'!$A:$A, MATCH($E3932, 'Starlink Launches'!$B:$B, 0)),
  ""
)
</f>
        <v>10-15</v>
      </c>
      <c r="B3932" s="3" t="s">
        <v>25</v>
      </c>
      <c r="C3932" s="12" t="s">
        <v>3952</v>
      </c>
      <c r="D3932" s="13">
        <v>65737.0</v>
      </c>
      <c r="E3932" s="4">
        <v>45925.0</v>
      </c>
      <c r="F3932" s="4" t="str">
        <f>IF(D3932="","", IFNA(VLOOKUP(D3932, SATCAT_DECAY!A:B, 2, FALSE), ""))
</f>
        <v/>
      </c>
      <c r="G3932" s="3" t="str">
        <f t="shared" si="1"/>
        <v>ACTIVE</v>
      </c>
    </row>
    <row r="3933" ht="22.5" customHeight="1">
      <c r="A3933" s="11" t="str">
        <f t="array" ref="A3933">IFERROR(
  INDEX('Starlink Launches'!$A:$A, MATCH($E3933, 'Starlink Launches'!$B:$B, 0)),
  ""
)
</f>
        <v>10-15</v>
      </c>
      <c r="B3933" s="3" t="s">
        <v>25</v>
      </c>
      <c r="C3933" s="12" t="s">
        <v>3953</v>
      </c>
      <c r="D3933" s="13">
        <v>65738.0</v>
      </c>
      <c r="E3933" s="4">
        <v>45925.0</v>
      </c>
      <c r="F3933" s="4" t="str">
        <f>IF(D3933="","", IFNA(VLOOKUP(D3933, SATCAT_DECAY!A:B, 2, FALSE), ""))
</f>
        <v/>
      </c>
      <c r="G3933" s="3" t="str">
        <f t="shared" si="1"/>
        <v>ACTIVE</v>
      </c>
    </row>
    <row r="3934" ht="22.5" customHeight="1">
      <c r="A3934" s="11" t="str">
        <f t="array" ref="A3934">IFERROR(
  INDEX('Starlink Launches'!$A:$A, MATCH($E3934, 'Starlink Launches'!$B:$B, 0)),
  ""
)
</f>
        <v>10-15</v>
      </c>
      <c r="B3934" s="3" t="s">
        <v>25</v>
      </c>
      <c r="C3934" s="12" t="s">
        <v>3954</v>
      </c>
      <c r="D3934" s="13">
        <v>65739.0</v>
      </c>
      <c r="E3934" s="4">
        <v>45925.0</v>
      </c>
      <c r="F3934" s="4" t="str">
        <f>IF(D3934="","", IFNA(VLOOKUP(D3934, SATCAT_DECAY!A:B, 2, FALSE), ""))
</f>
        <v/>
      </c>
      <c r="G3934" s="3" t="str">
        <f t="shared" si="1"/>
        <v>ACTIVE</v>
      </c>
    </row>
    <row r="3935" ht="22.5" customHeight="1">
      <c r="A3935" s="11" t="str">
        <f t="array" ref="A3935">IFERROR(
  INDEX('Starlink Launches'!$A:$A, MATCH($E3935, 'Starlink Launches'!$B:$B, 0)),
  ""
)
</f>
        <v>10-15</v>
      </c>
      <c r="B3935" s="3" t="s">
        <v>25</v>
      </c>
      <c r="C3935" s="12" t="s">
        <v>3955</v>
      </c>
      <c r="D3935" s="13">
        <v>65740.0</v>
      </c>
      <c r="E3935" s="4">
        <v>45925.0</v>
      </c>
      <c r="F3935" s="4" t="str">
        <f>IF(D3935="","", IFNA(VLOOKUP(D3935, SATCAT_DECAY!A:B, 2, FALSE), ""))
</f>
        <v/>
      </c>
      <c r="G3935" s="3" t="str">
        <f t="shared" si="1"/>
        <v>ACTIVE</v>
      </c>
    </row>
    <row r="3936" ht="22.5" customHeight="1">
      <c r="A3936" s="11" t="str">
        <f t="array" ref="A3936">IFERROR(
  INDEX('Starlink Launches'!$A:$A, MATCH($E3936, 'Starlink Launches'!$B:$B, 0)),
  ""
)
</f>
        <v>10-15</v>
      </c>
      <c r="B3936" s="3" t="s">
        <v>25</v>
      </c>
      <c r="C3936" s="12" t="s">
        <v>3956</v>
      </c>
      <c r="D3936" s="13">
        <v>65741.0</v>
      </c>
      <c r="E3936" s="4">
        <v>45925.0</v>
      </c>
      <c r="F3936" s="4" t="str">
        <f>IF(D3936="","", IFNA(VLOOKUP(D3936, SATCAT_DECAY!A:B, 2, FALSE), ""))
</f>
        <v/>
      </c>
      <c r="G3936" s="3" t="str">
        <f t="shared" si="1"/>
        <v>ACTIVE</v>
      </c>
    </row>
    <row r="3937" ht="22.5" customHeight="1">
      <c r="A3937" s="11" t="str">
        <f t="array" ref="A3937">IFERROR(
  INDEX('Starlink Launches'!$A:$A, MATCH($E3937, 'Starlink Launches'!$B:$B, 0)),
  ""
)
</f>
        <v>10-15</v>
      </c>
      <c r="B3937" s="3" t="s">
        <v>25</v>
      </c>
      <c r="C3937" s="12" t="s">
        <v>3957</v>
      </c>
      <c r="D3937" s="13">
        <v>65742.0</v>
      </c>
      <c r="E3937" s="4">
        <v>45925.0</v>
      </c>
      <c r="F3937" s="4" t="str">
        <f>IF(D3937="","", IFNA(VLOOKUP(D3937, SATCAT_DECAY!A:B, 2, FALSE), ""))
</f>
        <v/>
      </c>
      <c r="G3937" s="3" t="str">
        <f t="shared" si="1"/>
        <v>ACTIVE</v>
      </c>
    </row>
    <row r="3938" ht="22.5" customHeight="1">
      <c r="A3938" s="11" t="str">
        <f t="array" ref="A3938">IFERROR(
  INDEX('Starlink Launches'!$A:$A, MATCH($E3938, 'Starlink Launches'!$B:$B, 0)),
  ""
)
</f>
        <v>10-15</v>
      </c>
      <c r="B3938" s="3" t="s">
        <v>25</v>
      </c>
      <c r="C3938" s="12" t="s">
        <v>3958</v>
      </c>
      <c r="D3938" s="13">
        <v>65743.0</v>
      </c>
      <c r="E3938" s="4">
        <v>45925.0</v>
      </c>
      <c r="F3938" s="4" t="str">
        <f>IF(D3938="","", IFNA(VLOOKUP(D3938, SATCAT_DECAY!A:B, 2, FALSE), ""))
</f>
        <v/>
      </c>
      <c r="G3938" s="3" t="str">
        <f t="shared" si="1"/>
        <v>ACTIVE</v>
      </c>
    </row>
    <row r="3939" ht="22.5" customHeight="1">
      <c r="A3939" s="11" t="str">
        <f t="array" ref="A3939">IFERROR(
  INDEX('Starlink Launches'!$A:$A, MATCH($E3939, 'Starlink Launches'!$B:$B, 0)),
  ""
)
</f>
        <v>10-15</v>
      </c>
      <c r="B3939" s="3" t="s">
        <v>25</v>
      </c>
      <c r="C3939" s="12" t="s">
        <v>3959</v>
      </c>
      <c r="D3939" s="13">
        <v>65744.0</v>
      </c>
      <c r="E3939" s="4">
        <v>45925.0</v>
      </c>
      <c r="F3939" s="4" t="str">
        <f>IF(D3939="","", IFNA(VLOOKUP(D3939, SATCAT_DECAY!A:B, 2, FALSE), ""))
</f>
        <v/>
      </c>
      <c r="G3939" s="3" t="str">
        <f t="shared" si="1"/>
        <v>ACTIVE</v>
      </c>
    </row>
    <row r="3940" ht="22.5" customHeight="1">
      <c r="A3940" s="11" t="str">
        <f t="array" ref="A3940">IFERROR(
  INDEX('Starlink Launches'!$A:$A, MATCH($E3940, 'Starlink Launches'!$B:$B, 0)),
  ""
)
</f>
        <v>10-15</v>
      </c>
      <c r="B3940" s="3" t="s">
        <v>25</v>
      </c>
      <c r="C3940" s="12" t="s">
        <v>3960</v>
      </c>
      <c r="D3940" s="13">
        <v>65745.0</v>
      </c>
      <c r="E3940" s="4">
        <v>45925.0</v>
      </c>
      <c r="F3940" s="4" t="str">
        <f>IF(D3940="","", IFNA(VLOOKUP(D3940, SATCAT_DECAY!A:B, 2, FALSE), ""))
</f>
        <v/>
      </c>
      <c r="G3940" s="3" t="str">
        <f t="shared" si="1"/>
        <v>ACTIVE</v>
      </c>
    </row>
    <row r="3941" ht="22.5" customHeight="1">
      <c r="A3941" s="11" t="str">
        <f t="array" ref="A3941">IFERROR(
  INDEX('Starlink Launches'!$A:$A, MATCH($E3941, 'Starlink Launches'!$B:$B, 0)),
  ""
)
</f>
        <v>10-15</v>
      </c>
      <c r="B3941" s="3" t="s">
        <v>25</v>
      </c>
      <c r="C3941" s="12" t="s">
        <v>3961</v>
      </c>
      <c r="D3941" s="13">
        <v>65746.0</v>
      </c>
      <c r="E3941" s="4">
        <v>45925.0</v>
      </c>
      <c r="F3941" s="4" t="str">
        <f>IF(D3941="","", IFNA(VLOOKUP(D3941, SATCAT_DECAY!A:B, 2, FALSE), ""))
</f>
        <v/>
      </c>
      <c r="G3941" s="3" t="str">
        <f t="shared" si="1"/>
        <v>ACTIVE</v>
      </c>
    </row>
    <row r="3942" ht="22.5" customHeight="1">
      <c r="A3942" s="11" t="str">
        <f t="array" ref="A3942">IFERROR(
  INDEX('Starlink Launches'!$A:$A, MATCH($E3942, 'Starlink Launches'!$B:$B, 0)),
  ""
)
</f>
        <v>10-15</v>
      </c>
      <c r="B3942" s="3" t="s">
        <v>25</v>
      </c>
      <c r="C3942" s="12" t="s">
        <v>3962</v>
      </c>
      <c r="D3942" s="13">
        <v>65747.0</v>
      </c>
      <c r="E3942" s="4">
        <v>45925.0</v>
      </c>
      <c r="F3942" s="4" t="str">
        <f>IF(D3942="","", IFNA(VLOOKUP(D3942, SATCAT_DECAY!A:B, 2, FALSE), ""))
</f>
        <v/>
      </c>
      <c r="G3942" s="3" t="str">
        <f t="shared" si="1"/>
        <v>ACTIVE</v>
      </c>
    </row>
    <row r="3943" ht="22.5" customHeight="1">
      <c r="A3943" s="11" t="str">
        <f t="array" ref="A3943">IFERROR(
  INDEX('Starlink Launches'!$A:$A, MATCH($E3943, 'Starlink Launches'!$B:$B, 0)),
  ""
)
</f>
        <v>10-15</v>
      </c>
      <c r="B3943" s="3" t="s">
        <v>25</v>
      </c>
      <c r="C3943" s="12" t="s">
        <v>3963</v>
      </c>
      <c r="D3943" s="13">
        <v>65748.0</v>
      </c>
      <c r="E3943" s="4">
        <v>45925.0</v>
      </c>
      <c r="F3943" s="4" t="str">
        <f>IF(D3943="","", IFNA(VLOOKUP(D3943, SATCAT_DECAY!A:B, 2, FALSE), ""))
</f>
        <v/>
      </c>
      <c r="G3943" s="3" t="str">
        <f t="shared" si="1"/>
        <v>ACTIVE</v>
      </c>
    </row>
    <row r="3944" ht="22.5" customHeight="1">
      <c r="A3944" s="11" t="str">
        <f t="array" ref="A3944">IFERROR(
  INDEX('Starlink Launches'!$A:$A, MATCH($E3944, 'Starlink Launches'!$B:$B, 0)),
  ""
)
</f>
        <v>10-15</v>
      </c>
      <c r="B3944" s="3" t="s">
        <v>25</v>
      </c>
      <c r="C3944" s="12" t="s">
        <v>3964</v>
      </c>
      <c r="D3944" s="13">
        <v>65749.0</v>
      </c>
      <c r="E3944" s="4">
        <v>45925.0</v>
      </c>
      <c r="F3944" s="4" t="str">
        <f>IF(D3944="","", IFNA(VLOOKUP(D3944, SATCAT_DECAY!A:B, 2, FALSE), ""))
</f>
        <v/>
      </c>
      <c r="G3944" s="3" t="str">
        <f t="shared" si="1"/>
        <v>ACTIVE</v>
      </c>
    </row>
    <row r="3945" ht="22.5" customHeight="1">
      <c r="A3945" s="11" t="str">
        <f t="array" ref="A3945">IFERROR(
  INDEX('Starlink Launches'!$A:$A, MATCH($E3945, 'Starlink Launches'!$B:$B, 0)),
  ""
)
</f>
        <v>10-15</v>
      </c>
      <c r="B3945" s="3" t="s">
        <v>25</v>
      </c>
      <c r="C3945" s="12" t="s">
        <v>3965</v>
      </c>
      <c r="D3945" s="13">
        <v>65750.0</v>
      </c>
      <c r="E3945" s="4">
        <v>45925.0</v>
      </c>
      <c r="F3945" s="4" t="str">
        <f>IF(D3945="","", IFNA(VLOOKUP(D3945, SATCAT_DECAY!A:B, 2, FALSE), ""))
</f>
        <v/>
      </c>
      <c r="G3945" s="3" t="str">
        <f t="shared" si="1"/>
        <v>ACTIVE</v>
      </c>
    </row>
    <row r="3946" ht="22.5" customHeight="1">
      <c r="A3946" s="11" t="str">
        <f t="array" ref="A3946">IFERROR(
  INDEX('Starlink Launches'!$A:$A, MATCH($E3946, 'Starlink Launches'!$B:$B, 0)),
  ""
)
</f>
        <v>10-15</v>
      </c>
      <c r="B3946" s="3" t="s">
        <v>25</v>
      </c>
      <c r="C3946" s="12" t="s">
        <v>3966</v>
      </c>
      <c r="D3946" s="13">
        <v>65751.0</v>
      </c>
      <c r="E3946" s="4">
        <v>45925.0</v>
      </c>
      <c r="F3946" s="4" t="str">
        <f>IF(D3946="","", IFNA(VLOOKUP(D3946, SATCAT_DECAY!A:B, 2, FALSE), ""))
</f>
        <v/>
      </c>
      <c r="G3946" s="3" t="str">
        <f t="shared" si="1"/>
        <v>ACTIVE</v>
      </c>
    </row>
    <row r="3947" ht="22.5" customHeight="1">
      <c r="A3947" s="11" t="str">
        <f t="array" ref="A3947">IFERROR(
  INDEX('Starlink Launches'!$A:$A, MATCH($E3947, 'Starlink Launches'!$B:$B, 0)),
  ""
)
</f>
        <v>10-15</v>
      </c>
      <c r="B3947" s="3" t="s">
        <v>25</v>
      </c>
      <c r="C3947" s="12" t="s">
        <v>3967</v>
      </c>
      <c r="D3947" s="13">
        <v>65752.0</v>
      </c>
      <c r="E3947" s="4">
        <v>45925.0</v>
      </c>
      <c r="F3947" s="4" t="str">
        <f>IF(D3947="","", IFNA(VLOOKUP(D3947, SATCAT_DECAY!A:B, 2, FALSE), ""))
</f>
        <v/>
      </c>
      <c r="G3947" s="3" t="str">
        <f t="shared" si="1"/>
        <v>ACTIVE</v>
      </c>
    </row>
    <row r="3948" ht="22.5" customHeight="1">
      <c r="A3948" s="11" t="str">
        <f t="array" ref="A3948">IFERROR(
  INDEX('Starlink Launches'!$A:$A, MATCH($E3948, 'Starlink Launches'!$B:$B, 0)),
  ""
)
</f>
        <v>10-15</v>
      </c>
      <c r="B3948" s="3" t="s">
        <v>25</v>
      </c>
      <c r="C3948" s="12" t="s">
        <v>3968</v>
      </c>
      <c r="D3948" s="13">
        <v>65753.0</v>
      </c>
      <c r="E3948" s="4">
        <v>45925.0</v>
      </c>
      <c r="F3948" s="4" t="str">
        <f>IF(D3948="","", IFNA(VLOOKUP(D3948, SATCAT_DECAY!A:B, 2, FALSE), ""))
</f>
        <v/>
      </c>
      <c r="G3948" s="3" t="str">
        <f t="shared" si="1"/>
        <v>ACTIVE</v>
      </c>
    </row>
    <row r="3949" ht="22.5" customHeight="1">
      <c r="A3949" s="11" t="str">
        <f t="array" ref="A3949">IFERROR(
  INDEX('Starlink Launches'!$A:$A, MATCH($E3949, 'Starlink Launches'!$B:$B, 0)),
  ""
)
</f>
        <v>10-15</v>
      </c>
      <c r="B3949" s="3" t="s">
        <v>25</v>
      </c>
      <c r="C3949" s="12" t="s">
        <v>3969</v>
      </c>
      <c r="D3949" s="13">
        <v>65754.0</v>
      </c>
      <c r="E3949" s="4">
        <v>45925.0</v>
      </c>
      <c r="F3949" s="4" t="str">
        <f>IF(D3949="","", IFNA(VLOOKUP(D3949, SATCAT_DECAY!A:B, 2, FALSE), ""))
</f>
        <v/>
      </c>
      <c r="G3949" s="3" t="str">
        <f t="shared" si="1"/>
        <v>ACTIVE</v>
      </c>
    </row>
    <row r="3950" ht="22.5" customHeight="1">
      <c r="A3950" s="11" t="str">
        <f t="array" ref="A3950">IFERROR(
  INDEX('Starlink Launches'!$A:$A, MATCH($E3950, 'Starlink Launches'!$B:$B, 0)),
  ""
)
</f>
        <v>10-15</v>
      </c>
      <c r="B3950" s="3" t="s">
        <v>25</v>
      </c>
      <c r="C3950" s="12" t="s">
        <v>3970</v>
      </c>
      <c r="D3950" s="13">
        <v>65755.0</v>
      </c>
      <c r="E3950" s="4">
        <v>45925.0</v>
      </c>
      <c r="F3950" s="4" t="str">
        <f>IF(D3950="","", IFNA(VLOOKUP(D3950, SATCAT_DECAY!A:B, 2, FALSE), ""))
</f>
        <v/>
      </c>
      <c r="G3950" s="3" t="str">
        <f t="shared" si="1"/>
        <v>ACTIVE</v>
      </c>
    </row>
    <row r="3951" ht="22.5" customHeight="1">
      <c r="A3951" s="11" t="str">
        <f t="array" ref="A3951">IFERROR(
  INDEX('Starlink Launches'!$A:$A, MATCH($E3951, 'Starlink Launches'!$B:$B, 0)),
  ""
)
</f>
        <v>10-15</v>
      </c>
      <c r="B3951" s="3" t="s">
        <v>25</v>
      </c>
      <c r="C3951" s="12" t="s">
        <v>3971</v>
      </c>
      <c r="D3951" s="13">
        <v>65756.0</v>
      </c>
      <c r="E3951" s="4">
        <v>45925.0</v>
      </c>
      <c r="F3951" s="4" t="str">
        <f>IF(D3951="","", IFNA(VLOOKUP(D3951, SATCAT_DECAY!A:B, 2, FALSE), ""))
</f>
        <v/>
      </c>
      <c r="G3951" s="3" t="str">
        <f t="shared" si="1"/>
        <v>ACTIVE</v>
      </c>
    </row>
    <row r="3952" ht="22.5" customHeight="1">
      <c r="A3952" s="11" t="str">
        <f t="array" ref="A3952">IFERROR(
  INDEX('Starlink Launches'!$A:$A, MATCH($E3952, 'Starlink Launches'!$B:$B, 0)),
  ""
)
</f>
        <v>10-15</v>
      </c>
      <c r="B3952" s="3" t="s">
        <v>25</v>
      </c>
      <c r="C3952" s="12" t="s">
        <v>3972</v>
      </c>
      <c r="D3952" s="13">
        <v>65757.0</v>
      </c>
      <c r="E3952" s="4">
        <v>45925.0</v>
      </c>
      <c r="F3952" s="4" t="str">
        <f>IF(D3952="","", IFNA(VLOOKUP(D3952, SATCAT_DECAY!A:B, 2, FALSE), ""))
</f>
        <v/>
      </c>
      <c r="G3952" s="3" t="str">
        <f t="shared" si="1"/>
        <v>ACTIVE</v>
      </c>
    </row>
    <row r="3953" ht="22.5" customHeight="1">
      <c r="A3953" s="11" t="str">
        <f t="array" ref="A3953">IFERROR(
  INDEX('Starlink Launches'!$A:$A, MATCH($E3953, 'Starlink Launches'!$B:$B, 0)),
  ""
)
</f>
        <v>10-15</v>
      </c>
      <c r="B3953" s="3" t="s">
        <v>25</v>
      </c>
      <c r="C3953" s="12" t="s">
        <v>3973</v>
      </c>
      <c r="D3953" s="13">
        <v>65758.0</v>
      </c>
      <c r="E3953" s="4">
        <v>45925.0</v>
      </c>
      <c r="F3953" s="4" t="str">
        <f>IF(D3953="","", IFNA(VLOOKUP(D3953, SATCAT_DECAY!A:B, 2, FALSE), ""))
</f>
        <v/>
      </c>
      <c r="G3953" s="3" t="str">
        <f t="shared" si="1"/>
        <v>ACTIVE</v>
      </c>
    </row>
    <row r="3954" ht="22.5" customHeight="1">
      <c r="A3954" s="11" t="str">
        <f t="array" ref="A3954">IFERROR(
  INDEX('Starlink Launches'!$A:$A, MATCH($E3954, 'Starlink Launches'!$B:$B, 0)),
  ""
)
</f>
        <v>10-15</v>
      </c>
      <c r="B3954" s="3" t="s">
        <v>25</v>
      </c>
      <c r="C3954" s="12" t="s">
        <v>3974</v>
      </c>
      <c r="D3954" s="13">
        <v>65759.0</v>
      </c>
      <c r="E3954" s="4">
        <v>45925.0</v>
      </c>
      <c r="F3954" s="4" t="str">
        <f>IF(D3954="","", IFNA(VLOOKUP(D3954, SATCAT_DECAY!A:B, 2, FALSE), ""))
</f>
        <v/>
      </c>
      <c r="G3954" s="3" t="str">
        <f t="shared" si="1"/>
        <v>ACTIVE</v>
      </c>
    </row>
    <row r="3955" ht="22.5" customHeight="1">
      <c r="A3955" s="11" t="str">
        <f t="array" ref="A3955">IFERROR(
  INDEX('Starlink Launches'!$A:$A, MATCH($E3955, 'Starlink Launches'!$B:$B, 0)),
  ""
)
</f>
        <v>10-15</v>
      </c>
      <c r="B3955" s="3" t="s">
        <v>25</v>
      </c>
      <c r="C3955" s="12" t="s">
        <v>3975</v>
      </c>
      <c r="D3955" s="13">
        <v>65760.0</v>
      </c>
      <c r="E3955" s="4">
        <v>45925.0</v>
      </c>
      <c r="F3955" s="4" t="str">
        <f>IF(D3955="","", IFNA(VLOOKUP(D3955, SATCAT_DECAY!A:B, 2, FALSE), ""))
</f>
        <v/>
      </c>
      <c r="G3955" s="3" t="str">
        <f t="shared" si="1"/>
        <v>ACTIVE</v>
      </c>
    </row>
    <row r="3956" ht="22.5" customHeight="1">
      <c r="A3956" s="11" t="str">
        <f t="array" ref="A3956">IFERROR(
  INDEX('Starlink Launches'!$A:$A, MATCH($E3956, 'Starlink Launches'!$B:$B, 0)),
  ""
)
</f>
        <v>10-15</v>
      </c>
      <c r="B3956" s="3" t="s">
        <v>25</v>
      </c>
      <c r="C3956" s="12" t="s">
        <v>3976</v>
      </c>
      <c r="D3956" s="13">
        <v>65761.0</v>
      </c>
      <c r="E3956" s="4">
        <v>45925.0</v>
      </c>
      <c r="F3956" s="4" t="str">
        <f>IF(D3956="","", IFNA(VLOOKUP(D3956, SATCAT_DECAY!A:B, 2, FALSE), ""))
</f>
        <v/>
      </c>
      <c r="G3956" s="3" t="str">
        <f t="shared" si="1"/>
        <v>ACTIVE</v>
      </c>
    </row>
    <row r="3957" ht="22.5" customHeight="1">
      <c r="A3957" s="11" t="str">
        <f t="array" ref="A3957">IFERROR(
  INDEX('Starlink Launches'!$A:$A, MATCH($E3957, 'Starlink Launches'!$B:$B, 0)),
  ""
)
</f>
        <v>10-17</v>
      </c>
      <c r="B3957" s="3" t="s">
        <v>25</v>
      </c>
      <c r="C3957" s="12" t="s">
        <v>3977</v>
      </c>
      <c r="D3957" s="13">
        <v>66086.0</v>
      </c>
      <c r="E3957" s="4">
        <v>45949.0</v>
      </c>
      <c r="F3957" s="4" t="str">
        <f>IF(D3957="","", IFNA(VLOOKUP(D3957, SATCAT_DECAY!A:B, 2, FALSE), ""))
</f>
        <v/>
      </c>
      <c r="G3957" s="3" t="str">
        <f t="shared" si="1"/>
        <v>ACTIVE</v>
      </c>
    </row>
    <row r="3958" ht="22.5" customHeight="1">
      <c r="A3958" s="11" t="str">
        <f t="array" ref="A3958">IFERROR(
  INDEX('Starlink Launches'!$A:$A, MATCH($E3958, 'Starlink Launches'!$B:$B, 0)),
  ""
)
</f>
        <v>10-17</v>
      </c>
      <c r="B3958" s="3" t="s">
        <v>25</v>
      </c>
      <c r="C3958" s="12" t="s">
        <v>3978</v>
      </c>
      <c r="D3958" s="13">
        <v>66087.0</v>
      </c>
      <c r="E3958" s="4">
        <v>45949.0</v>
      </c>
      <c r="F3958" s="4" t="str">
        <f>IF(D3958="","", IFNA(VLOOKUP(D3958, SATCAT_DECAY!A:B, 2, FALSE), ""))
</f>
        <v/>
      </c>
      <c r="G3958" s="3" t="str">
        <f t="shared" si="1"/>
        <v>ACTIVE</v>
      </c>
    </row>
    <row r="3959" ht="22.5" customHeight="1">
      <c r="A3959" s="11" t="str">
        <f t="array" ref="A3959">IFERROR(
  INDEX('Starlink Launches'!$A:$A, MATCH($E3959, 'Starlink Launches'!$B:$B, 0)),
  ""
)
</f>
        <v>10-17</v>
      </c>
      <c r="B3959" s="3" t="s">
        <v>25</v>
      </c>
      <c r="C3959" s="12" t="s">
        <v>3979</v>
      </c>
      <c r="D3959" s="13">
        <v>66088.0</v>
      </c>
      <c r="E3959" s="4">
        <v>45949.0</v>
      </c>
      <c r="F3959" s="4" t="str">
        <f>IF(D3959="","", IFNA(VLOOKUP(D3959, SATCAT_DECAY!A:B, 2, FALSE), ""))
</f>
        <v/>
      </c>
      <c r="G3959" s="3" t="str">
        <f t="shared" si="1"/>
        <v>ACTIVE</v>
      </c>
    </row>
    <row r="3960" ht="22.5" customHeight="1">
      <c r="A3960" s="11" t="str">
        <f t="array" ref="A3960">IFERROR(
  INDEX('Starlink Launches'!$A:$A, MATCH($E3960, 'Starlink Launches'!$B:$B, 0)),
  ""
)
</f>
        <v>10-17</v>
      </c>
      <c r="B3960" s="3" t="s">
        <v>25</v>
      </c>
      <c r="C3960" s="12" t="s">
        <v>3980</v>
      </c>
      <c r="D3960" s="13">
        <v>66089.0</v>
      </c>
      <c r="E3960" s="4">
        <v>45949.0</v>
      </c>
      <c r="F3960" s="4" t="str">
        <f>IF(D3960="","", IFNA(VLOOKUP(D3960, SATCAT_DECAY!A:B, 2, FALSE), ""))
</f>
        <v/>
      </c>
      <c r="G3960" s="3" t="str">
        <f t="shared" si="1"/>
        <v>ACTIVE</v>
      </c>
    </row>
    <row r="3961" ht="22.5" customHeight="1">
      <c r="A3961" s="11" t="str">
        <f t="array" ref="A3961">IFERROR(
  INDEX('Starlink Launches'!$A:$A, MATCH($E3961, 'Starlink Launches'!$B:$B, 0)),
  ""
)
</f>
        <v>10-17</v>
      </c>
      <c r="B3961" s="3" t="s">
        <v>25</v>
      </c>
      <c r="C3961" s="12" t="s">
        <v>3981</v>
      </c>
      <c r="D3961" s="13">
        <v>66090.0</v>
      </c>
      <c r="E3961" s="4">
        <v>45949.0</v>
      </c>
      <c r="F3961" s="4" t="str">
        <f>IF(D3961="","", IFNA(VLOOKUP(D3961, SATCAT_DECAY!A:B, 2, FALSE), ""))
</f>
        <v/>
      </c>
      <c r="G3961" s="3" t="str">
        <f t="shared" si="1"/>
        <v>ACTIVE</v>
      </c>
    </row>
    <row r="3962" ht="22.5" customHeight="1">
      <c r="A3962" s="11" t="str">
        <f t="array" ref="A3962">IFERROR(
  INDEX('Starlink Launches'!$A:$A, MATCH($E3962, 'Starlink Launches'!$B:$B, 0)),
  ""
)
</f>
        <v>10-17</v>
      </c>
      <c r="B3962" s="3" t="s">
        <v>25</v>
      </c>
      <c r="C3962" s="12" t="s">
        <v>3982</v>
      </c>
      <c r="D3962" s="13">
        <v>66091.0</v>
      </c>
      <c r="E3962" s="4">
        <v>45949.0</v>
      </c>
      <c r="F3962" s="4" t="str">
        <f>IF(D3962="","", IFNA(VLOOKUP(D3962, SATCAT_DECAY!A:B, 2, FALSE), ""))
</f>
        <v/>
      </c>
      <c r="G3962" s="3" t="str">
        <f t="shared" si="1"/>
        <v>ACTIVE</v>
      </c>
    </row>
    <row r="3963" ht="22.5" customHeight="1">
      <c r="A3963" s="11" t="str">
        <f t="array" ref="A3963">IFERROR(
  INDEX('Starlink Launches'!$A:$A, MATCH($E3963, 'Starlink Launches'!$B:$B, 0)),
  ""
)
</f>
        <v>10-17</v>
      </c>
      <c r="B3963" s="3" t="s">
        <v>25</v>
      </c>
      <c r="C3963" s="12" t="s">
        <v>3983</v>
      </c>
      <c r="D3963" s="13">
        <v>66092.0</v>
      </c>
      <c r="E3963" s="4">
        <v>45949.0</v>
      </c>
      <c r="F3963" s="4" t="str">
        <f>IF(D3963="","", IFNA(VLOOKUP(D3963, SATCAT_DECAY!A:B, 2, FALSE), ""))
</f>
        <v/>
      </c>
      <c r="G3963" s="3" t="str">
        <f t="shared" si="1"/>
        <v>ACTIVE</v>
      </c>
    </row>
    <row r="3964" ht="22.5" customHeight="1">
      <c r="A3964" s="11" t="str">
        <f t="array" ref="A3964">IFERROR(
  INDEX('Starlink Launches'!$A:$A, MATCH($E3964, 'Starlink Launches'!$B:$B, 0)),
  ""
)
</f>
        <v>10-17</v>
      </c>
      <c r="B3964" s="3" t="s">
        <v>25</v>
      </c>
      <c r="C3964" s="12" t="s">
        <v>3984</v>
      </c>
      <c r="D3964" s="13">
        <v>66093.0</v>
      </c>
      <c r="E3964" s="4">
        <v>45949.0</v>
      </c>
      <c r="F3964" s="4" t="str">
        <f>IF(D3964="","", IFNA(VLOOKUP(D3964, SATCAT_DECAY!A:B, 2, FALSE), ""))
</f>
        <v/>
      </c>
      <c r="G3964" s="3" t="str">
        <f t="shared" si="1"/>
        <v>ACTIVE</v>
      </c>
    </row>
    <row r="3965" ht="22.5" customHeight="1">
      <c r="A3965" s="11" t="str">
        <f t="array" ref="A3965">IFERROR(
  INDEX('Starlink Launches'!$A:$A, MATCH($E3965, 'Starlink Launches'!$B:$B, 0)),
  ""
)
</f>
        <v>10-17</v>
      </c>
      <c r="B3965" s="3" t="s">
        <v>25</v>
      </c>
      <c r="C3965" s="12" t="s">
        <v>3985</v>
      </c>
      <c r="D3965" s="13">
        <v>66094.0</v>
      </c>
      <c r="E3965" s="4">
        <v>45949.0</v>
      </c>
      <c r="F3965" s="4" t="str">
        <f>IF(D3965="","", IFNA(VLOOKUP(D3965, SATCAT_DECAY!A:B, 2, FALSE), ""))
</f>
        <v/>
      </c>
      <c r="G3965" s="3" t="str">
        <f t="shared" si="1"/>
        <v>ACTIVE</v>
      </c>
    </row>
    <row r="3966" ht="22.5" customHeight="1">
      <c r="A3966" s="11" t="str">
        <f t="array" ref="A3966">IFERROR(
  INDEX('Starlink Launches'!$A:$A, MATCH($E3966, 'Starlink Launches'!$B:$B, 0)),
  ""
)
</f>
        <v>10-17</v>
      </c>
      <c r="B3966" s="3" t="s">
        <v>25</v>
      </c>
      <c r="C3966" s="12" t="s">
        <v>3986</v>
      </c>
      <c r="D3966" s="13">
        <v>66095.0</v>
      </c>
      <c r="E3966" s="4">
        <v>45949.0</v>
      </c>
      <c r="F3966" s="4" t="str">
        <f>IF(D3966="","", IFNA(VLOOKUP(D3966, SATCAT_DECAY!A:B, 2, FALSE), ""))
</f>
        <v/>
      </c>
      <c r="G3966" s="3" t="str">
        <f t="shared" si="1"/>
        <v>ACTIVE</v>
      </c>
    </row>
    <row r="3967" ht="22.5" customHeight="1">
      <c r="A3967" s="11" t="str">
        <f t="array" ref="A3967">IFERROR(
  INDEX('Starlink Launches'!$A:$A, MATCH($E3967, 'Starlink Launches'!$B:$B, 0)),
  ""
)
</f>
        <v>10-17</v>
      </c>
      <c r="B3967" s="3" t="s">
        <v>25</v>
      </c>
      <c r="C3967" s="12" t="s">
        <v>3987</v>
      </c>
      <c r="D3967" s="13">
        <v>66096.0</v>
      </c>
      <c r="E3967" s="4">
        <v>45949.0</v>
      </c>
      <c r="F3967" s="4" t="str">
        <f>IF(D3967="","", IFNA(VLOOKUP(D3967, SATCAT_DECAY!A:B, 2, FALSE), ""))
</f>
        <v/>
      </c>
      <c r="G3967" s="3" t="str">
        <f t="shared" si="1"/>
        <v>ACTIVE</v>
      </c>
    </row>
    <row r="3968" ht="22.5" customHeight="1">
      <c r="A3968" s="11" t="str">
        <f t="array" ref="A3968">IFERROR(
  INDEX('Starlink Launches'!$A:$A, MATCH($E3968, 'Starlink Launches'!$B:$B, 0)),
  ""
)
</f>
        <v>10-17</v>
      </c>
      <c r="B3968" s="3" t="s">
        <v>25</v>
      </c>
      <c r="C3968" s="12" t="s">
        <v>3988</v>
      </c>
      <c r="D3968" s="13">
        <v>66097.0</v>
      </c>
      <c r="E3968" s="4">
        <v>45949.0</v>
      </c>
      <c r="F3968" s="4" t="str">
        <f>IF(D3968="","", IFNA(VLOOKUP(D3968, SATCAT_DECAY!A:B, 2, FALSE), ""))
</f>
        <v/>
      </c>
      <c r="G3968" s="3" t="str">
        <f t="shared" si="1"/>
        <v>ACTIVE</v>
      </c>
    </row>
    <row r="3969" ht="22.5" customHeight="1">
      <c r="A3969" s="11" t="str">
        <f t="array" ref="A3969">IFERROR(
  INDEX('Starlink Launches'!$A:$A, MATCH($E3969, 'Starlink Launches'!$B:$B, 0)),
  ""
)
</f>
        <v>10-17</v>
      </c>
      <c r="B3969" s="3" t="s">
        <v>25</v>
      </c>
      <c r="C3969" s="12" t="s">
        <v>3989</v>
      </c>
      <c r="D3969" s="13">
        <v>66098.0</v>
      </c>
      <c r="E3969" s="4">
        <v>45949.0</v>
      </c>
      <c r="F3969" s="4" t="str">
        <f>IF(D3969="","", IFNA(VLOOKUP(D3969, SATCAT_DECAY!A:B, 2, FALSE), ""))
</f>
        <v/>
      </c>
      <c r="G3969" s="3" t="str">
        <f t="shared" si="1"/>
        <v>ACTIVE</v>
      </c>
    </row>
    <row r="3970" ht="22.5" customHeight="1">
      <c r="A3970" s="11" t="str">
        <f t="array" ref="A3970">IFERROR(
  INDEX('Starlink Launches'!$A:$A, MATCH($E3970, 'Starlink Launches'!$B:$B, 0)),
  ""
)
</f>
        <v>10-17</v>
      </c>
      <c r="B3970" s="3" t="s">
        <v>25</v>
      </c>
      <c r="C3970" s="12" t="s">
        <v>3990</v>
      </c>
      <c r="D3970" s="13">
        <v>66099.0</v>
      </c>
      <c r="E3970" s="4">
        <v>45949.0</v>
      </c>
      <c r="F3970" s="4" t="str">
        <f>IF(D3970="","", IFNA(VLOOKUP(D3970, SATCAT_DECAY!A:B, 2, FALSE), ""))
</f>
        <v/>
      </c>
      <c r="G3970" s="3" t="str">
        <f t="shared" si="1"/>
        <v>ACTIVE</v>
      </c>
    </row>
    <row r="3971" ht="22.5" customHeight="1">
      <c r="A3971" s="11" t="str">
        <f t="array" ref="A3971">IFERROR(
  INDEX('Starlink Launches'!$A:$A, MATCH($E3971, 'Starlink Launches'!$B:$B, 0)),
  ""
)
</f>
        <v>10-17</v>
      </c>
      <c r="B3971" s="3" t="s">
        <v>25</v>
      </c>
      <c r="C3971" s="12" t="s">
        <v>3991</v>
      </c>
      <c r="D3971" s="13">
        <v>66100.0</v>
      </c>
      <c r="E3971" s="4">
        <v>45949.0</v>
      </c>
      <c r="F3971" s="4" t="str">
        <f>IF(D3971="","", IFNA(VLOOKUP(D3971, SATCAT_DECAY!A:B, 2, FALSE), ""))
</f>
        <v/>
      </c>
      <c r="G3971" s="3" t="str">
        <f t="shared" si="1"/>
        <v>ACTIVE</v>
      </c>
    </row>
    <row r="3972" ht="22.5" customHeight="1">
      <c r="A3972" s="11" t="str">
        <f t="array" ref="A3972">IFERROR(
  INDEX('Starlink Launches'!$A:$A, MATCH($E3972, 'Starlink Launches'!$B:$B, 0)),
  ""
)
</f>
        <v>10-17</v>
      </c>
      <c r="B3972" s="3" t="s">
        <v>25</v>
      </c>
      <c r="C3972" s="12" t="s">
        <v>3992</v>
      </c>
      <c r="D3972" s="13">
        <v>66101.0</v>
      </c>
      <c r="E3972" s="4">
        <v>45949.0</v>
      </c>
      <c r="F3972" s="4" t="str">
        <f>IF(D3972="","", IFNA(VLOOKUP(D3972, SATCAT_DECAY!A:B, 2, FALSE), ""))
</f>
        <v/>
      </c>
      <c r="G3972" s="3" t="str">
        <f t="shared" si="1"/>
        <v>ACTIVE</v>
      </c>
    </row>
    <row r="3973" ht="22.5" customHeight="1">
      <c r="A3973" s="11" t="str">
        <f t="array" ref="A3973">IFERROR(
  INDEX('Starlink Launches'!$A:$A, MATCH($E3973, 'Starlink Launches'!$B:$B, 0)),
  ""
)
</f>
        <v>10-17</v>
      </c>
      <c r="B3973" s="3" t="s">
        <v>25</v>
      </c>
      <c r="C3973" s="12" t="s">
        <v>3993</v>
      </c>
      <c r="D3973" s="13">
        <v>66102.0</v>
      </c>
      <c r="E3973" s="4">
        <v>45949.0</v>
      </c>
      <c r="F3973" s="4" t="str">
        <f>IF(D3973="","", IFNA(VLOOKUP(D3973, SATCAT_DECAY!A:B, 2, FALSE), ""))
</f>
        <v/>
      </c>
      <c r="G3973" s="3" t="str">
        <f t="shared" si="1"/>
        <v>ACTIVE</v>
      </c>
    </row>
    <row r="3974" ht="22.5" customHeight="1">
      <c r="A3974" s="11" t="str">
        <f t="array" ref="A3974">IFERROR(
  INDEX('Starlink Launches'!$A:$A, MATCH($E3974, 'Starlink Launches'!$B:$B, 0)),
  ""
)
</f>
        <v>10-17</v>
      </c>
      <c r="B3974" s="3" t="s">
        <v>25</v>
      </c>
      <c r="C3974" s="12" t="s">
        <v>3994</v>
      </c>
      <c r="D3974" s="13">
        <v>66103.0</v>
      </c>
      <c r="E3974" s="4">
        <v>45949.0</v>
      </c>
      <c r="F3974" s="4" t="str">
        <f>IF(D3974="","", IFNA(VLOOKUP(D3974, SATCAT_DECAY!A:B, 2, FALSE), ""))
</f>
        <v/>
      </c>
      <c r="G3974" s="3" t="str">
        <f t="shared" si="1"/>
        <v>ACTIVE</v>
      </c>
    </row>
    <row r="3975" ht="22.5" customHeight="1">
      <c r="A3975" s="11" t="str">
        <f t="array" ref="A3975">IFERROR(
  INDEX('Starlink Launches'!$A:$A, MATCH($E3975, 'Starlink Launches'!$B:$B, 0)),
  ""
)
</f>
        <v>10-17</v>
      </c>
      <c r="B3975" s="3" t="s">
        <v>25</v>
      </c>
      <c r="C3975" s="12" t="s">
        <v>3995</v>
      </c>
      <c r="D3975" s="13">
        <v>66104.0</v>
      </c>
      <c r="E3975" s="4">
        <v>45949.0</v>
      </c>
      <c r="F3975" s="4" t="str">
        <f>IF(D3975="","", IFNA(VLOOKUP(D3975, SATCAT_DECAY!A:B, 2, FALSE), ""))
</f>
        <v/>
      </c>
      <c r="G3975" s="3" t="str">
        <f t="shared" si="1"/>
        <v>ACTIVE</v>
      </c>
    </row>
    <row r="3976" ht="22.5" customHeight="1">
      <c r="A3976" s="11" t="str">
        <f t="array" ref="A3976">IFERROR(
  INDEX('Starlink Launches'!$A:$A, MATCH($E3976, 'Starlink Launches'!$B:$B, 0)),
  ""
)
</f>
        <v>10-17</v>
      </c>
      <c r="B3976" s="3" t="s">
        <v>25</v>
      </c>
      <c r="C3976" s="12" t="s">
        <v>3996</v>
      </c>
      <c r="D3976" s="13">
        <v>66105.0</v>
      </c>
      <c r="E3976" s="4">
        <v>45949.0</v>
      </c>
      <c r="F3976" s="4" t="str">
        <f>IF(D3976="","", IFNA(VLOOKUP(D3976, SATCAT_DECAY!A:B, 2, FALSE), ""))
</f>
        <v/>
      </c>
      <c r="G3976" s="3" t="str">
        <f t="shared" si="1"/>
        <v>ACTIVE</v>
      </c>
    </row>
    <row r="3977" ht="22.5" customHeight="1">
      <c r="A3977" s="11" t="str">
        <f t="array" ref="A3977">IFERROR(
  INDEX('Starlink Launches'!$A:$A, MATCH($E3977, 'Starlink Launches'!$B:$B, 0)),
  ""
)
</f>
        <v>10-17</v>
      </c>
      <c r="B3977" s="3" t="s">
        <v>25</v>
      </c>
      <c r="C3977" s="12" t="s">
        <v>3997</v>
      </c>
      <c r="D3977" s="13">
        <v>66106.0</v>
      </c>
      <c r="E3977" s="4">
        <v>45949.0</v>
      </c>
      <c r="F3977" s="4" t="str">
        <f>IF(D3977="","", IFNA(VLOOKUP(D3977, SATCAT_DECAY!A:B, 2, FALSE), ""))
</f>
        <v/>
      </c>
      <c r="G3977" s="3" t="str">
        <f t="shared" si="1"/>
        <v>ACTIVE</v>
      </c>
    </row>
    <row r="3978" ht="22.5" customHeight="1">
      <c r="A3978" s="11" t="str">
        <f t="array" ref="A3978">IFERROR(
  INDEX('Starlink Launches'!$A:$A, MATCH($E3978, 'Starlink Launches'!$B:$B, 0)),
  ""
)
</f>
        <v>10-17</v>
      </c>
      <c r="B3978" s="3" t="s">
        <v>25</v>
      </c>
      <c r="C3978" s="12" t="s">
        <v>3998</v>
      </c>
      <c r="D3978" s="13">
        <v>66107.0</v>
      </c>
      <c r="E3978" s="4">
        <v>45949.0</v>
      </c>
      <c r="F3978" s="4" t="str">
        <f>IF(D3978="","", IFNA(VLOOKUP(D3978, SATCAT_DECAY!A:B, 2, FALSE), ""))
</f>
        <v/>
      </c>
      <c r="G3978" s="3" t="str">
        <f t="shared" si="1"/>
        <v>ACTIVE</v>
      </c>
    </row>
    <row r="3979" ht="22.5" customHeight="1">
      <c r="A3979" s="11" t="str">
        <f t="array" ref="A3979">IFERROR(
  INDEX('Starlink Launches'!$A:$A, MATCH($E3979, 'Starlink Launches'!$B:$B, 0)),
  ""
)
</f>
        <v>10-17</v>
      </c>
      <c r="B3979" s="3" t="s">
        <v>25</v>
      </c>
      <c r="C3979" s="12" t="s">
        <v>3999</v>
      </c>
      <c r="D3979" s="13">
        <v>66108.0</v>
      </c>
      <c r="E3979" s="4">
        <v>45949.0</v>
      </c>
      <c r="F3979" s="4" t="str">
        <f>IF(D3979="","", IFNA(VLOOKUP(D3979, SATCAT_DECAY!A:B, 2, FALSE), ""))
</f>
        <v/>
      </c>
      <c r="G3979" s="3" t="str">
        <f t="shared" si="1"/>
        <v>ACTIVE</v>
      </c>
    </row>
    <row r="3980" ht="22.5" customHeight="1">
      <c r="A3980" s="11" t="str">
        <f t="array" ref="A3980">IFERROR(
  INDEX('Starlink Launches'!$A:$A, MATCH($E3980, 'Starlink Launches'!$B:$B, 0)),
  ""
)
</f>
        <v>10-17</v>
      </c>
      <c r="B3980" s="3" t="s">
        <v>25</v>
      </c>
      <c r="C3980" s="12" t="s">
        <v>4000</v>
      </c>
      <c r="D3980" s="13">
        <v>66109.0</v>
      </c>
      <c r="E3980" s="4">
        <v>45949.0</v>
      </c>
      <c r="F3980" s="4" t="str">
        <f>IF(D3980="","", IFNA(VLOOKUP(D3980, SATCAT_DECAY!A:B, 2, FALSE), ""))
</f>
        <v/>
      </c>
      <c r="G3980" s="3" t="str">
        <f t="shared" si="1"/>
        <v>ACTIVE</v>
      </c>
    </row>
    <row r="3981" ht="22.5" customHeight="1">
      <c r="A3981" s="11" t="str">
        <f t="array" ref="A3981">IFERROR(
  INDEX('Starlink Launches'!$A:$A, MATCH($E3981, 'Starlink Launches'!$B:$B, 0)),
  ""
)
</f>
        <v>10-17</v>
      </c>
      <c r="B3981" s="3" t="s">
        <v>25</v>
      </c>
      <c r="C3981" s="12" t="s">
        <v>4001</v>
      </c>
      <c r="D3981" s="13">
        <v>66110.0</v>
      </c>
      <c r="E3981" s="4">
        <v>45949.0</v>
      </c>
      <c r="F3981" s="4" t="str">
        <f>IF(D3981="","", IFNA(VLOOKUP(D3981, SATCAT_DECAY!A:B, 2, FALSE), ""))
</f>
        <v/>
      </c>
      <c r="G3981" s="3" t="str">
        <f t="shared" si="1"/>
        <v>ACTIVE</v>
      </c>
    </row>
    <row r="3982" ht="22.5" customHeight="1">
      <c r="A3982" s="11" t="str">
        <f t="array" ref="A3982">IFERROR(
  INDEX('Starlink Launches'!$A:$A, MATCH($E3982, 'Starlink Launches'!$B:$B, 0)),
  ""
)
</f>
        <v>10-17</v>
      </c>
      <c r="B3982" s="3" t="s">
        <v>25</v>
      </c>
      <c r="C3982" s="12" t="s">
        <v>4002</v>
      </c>
      <c r="D3982" s="13">
        <v>66111.0</v>
      </c>
      <c r="E3982" s="4">
        <v>45949.0</v>
      </c>
      <c r="F3982" s="4" t="str">
        <f>IF(D3982="","", IFNA(VLOOKUP(D3982, SATCAT_DECAY!A:B, 2, FALSE), ""))
</f>
        <v/>
      </c>
      <c r="G3982" s="3" t="str">
        <f t="shared" si="1"/>
        <v>ACTIVE</v>
      </c>
    </row>
    <row r="3983" ht="22.5" customHeight="1">
      <c r="A3983" s="11" t="str">
        <f t="array" ref="A3983">IFERROR(
  INDEX('Starlink Launches'!$A:$A, MATCH($E3983, 'Starlink Launches'!$B:$B, 0)),
  ""
)
</f>
        <v>10-17</v>
      </c>
      <c r="B3983" s="3" t="s">
        <v>25</v>
      </c>
      <c r="C3983" s="12" t="s">
        <v>4003</v>
      </c>
      <c r="D3983" s="13">
        <v>66112.0</v>
      </c>
      <c r="E3983" s="4">
        <v>45949.0</v>
      </c>
      <c r="F3983" s="4" t="str">
        <f>IF(D3983="","", IFNA(VLOOKUP(D3983, SATCAT_DECAY!A:B, 2, FALSE), ""))
</f>
        <v/>
      </c>
      <c r="G3983" s="3" t="str">
        <f t="shared" si="1"/>
        <v>ACTIVE</v>
      </c>
    </row>
    <row r="3984" ht="22.5" customHeight="1">
      <c r="A3984" s="11" t="str">
        <f t="array" ref="A3984">IFERROR(
  INDEX('Starlink Launches'!$A:$A, MATCH($E3984, 'Starlink Launches'!$B:$B, 0)),
  ""
)
</f>
        <v>10-17</v>
      </c>
      <c r="B3984" s="3" t="s">
        <v>25</v>
      </c>
      <c r="C3984" s="12" t="s">
        <v>4004</v>
      </c>
      <c r="D3984" s="13">
        <v>66113.0</v>
      </c>
      <c r="E3984" s="4">
        <v>45949.0</v>
      </c>
      <c r="F3984" s="4" t="str">
        <f>IF(D3984="","", IFNA(VLOOKUP(D3984, SATCAT_DECAY!A:B, 2, FALSE), ""))
</f>
        <v/>
      </c>
      <c r="G3984" s="3" t="str">
        <f t="shared" si="1"/>
        <v>ACTIVE</v>
      </c>
    </row>
    <row r="3985" ht="22.5" customHeight="1">
      <c r="A3985" s="11" t="str">
        <f t="array" ref="A3985">IFERROR(
  INDEX('Starlink Launches'!$A:$A, MATCH($E3985, 'Starlink Launches'!$B:$B, 0)),
  ""
)
</f>
        <v>10-21</v>
      </c>
      <c r="B3985" s="3" t="s">
        <v>25</v>
      </c>
      <c r="C3985" s="12" t="s">
        <v>4005</v>
      </c>
      <c r="D3985" s="13">
        <v>66178.0</v>
      </c>
      <c r="E3985" s="4">
        <v>45956.0</v>
      </c>
      <c r="F3985" s="4" t="str">
        <f>IF(D3985="","", IFNA(VLOOKUP(D3985, SATCAT_DECAY!A:B, 2, FALSE), ""))
</f>
        <v/>
      </c>
      <c r="G3985" s="3" t="str">
        <f t="shared" si="1"/>
        <v>ACTIVE</v>
      </c>
    </row>
    <row r="3986" ht="22.5" customHeight="1">
      <c r="A3986" s="11" t="str">
        <f t="array" ref="A3986">IFERROR(
  INDEX('Starlink Launches'!$A:$A, MATCH($E3986, 'Starlink Launches'!$B:$B, 0)),
  ""
)
</f>
        <v>10-21</v>
      </c>
      <c r="B3986" s="3" t="s">
        <v>25</v>
      </c>
      <c r="C3986" s="12" t="s">
        <v>4006</v>
      </c>
      <c r="D3986" s="13">
        <v>66179.0</v>
      </c>
      <c r="E3986" s="4">
        <v>45956.0</v>
      </c>
      <c r="F3986" s="4" t="str">
        <f>IF(D3986="","", IFNA(VLOOKUP(D3986, SATCAT_DECAY!A:B, 2, FALSE), ""))
</f>
        <v/>
      </c>
      <c r="G3986" s="3" t="str">
        <f t="shared" si="1"/>
        <v>ACTIVE</v>
      </c>
    </row>
    <row r="3987" ht="22.5" customHeight="1">
      <c r="A3987" s="11" t="str">
        <f t="array" ref="A3987">IFERROR(
  INDEX('Starlink Launches'!$A:$A, MATCH($E3987, 'Starlink Launches'!$B:$B, 0)),
  ""
)
</f>
        <v>10-21</v>
      </c>
      <c r="B3987" s="3" t="s">
        <v>25</v>
      </c>
      <c r="C3987" s="12" t="s">
        <v>4007</v>
      </c>
      <c r="D3987" s="13">
        <v>66180.0</v>
      </c>
      <c r="E3987" s="4">
        <v>45956.0</v>
      </c>
      <c r="F3987" s="4" t="str">
        <f>IF(D3987="","", IFNA(VLOOKUP(D3987, SATCAT_DECAY!A:B, 2, FALSE), ""))
</f>
        <v/>
      </c>
      <c r="G3987" s="3" t="str">
        <f t="shared" si="1"/>
        <v>ACTIVE</v>
      </c>
    </row>
    <row r="3988" ht="22.5" customHeight="1">
      <c r="A3988" s="11" t="str">
        <f t="array" ref="A3988">IFERROR(
  INDEX('Starlink Launches'!$A:$A, MATCH($E3988, 'Starlink Launches'!$B:$B, 0)),
  ""
)
</f>
        <v>10-21</v>
      </c>
      <c r="B3988" s="3" t="s">
        <v>25</v>
      </c>
      <c r="C3988" s="12" t="s">
        <v>4008</v>
      </c>
      <c r="D3988" s="13">
        <v>66181.0</v>
      </c>
      <c r="E3988" s="4">
        <v>45956.0</v>
      </c>
      <c r="F3988" s="4" t="str">
        <f>IF(D3988="","", IFNA(VLOOKUP(D3988, SATCAT_DECAY!A:B, 2, FALSE), ""))
</f>
        <v/>
      </c>
      <c r="G3988" s="3" t="str">
        <f t="shared" si="1"/>
        <v>ACTIVE</v>
      </c>
    </row>
    <row r="3989" ht="22.5" customHeight="1">
      <c r="A3989" s="11" t="str">
        <f t="array" ref="A3989">IFERROR(
  INDEX('Starlink Launches'!$A:$A, MATCH($E3989, 'Starlink Launches'!$B:$B, 0)),
  ""
)
</f>
        <v>10-21</v>
      </c>
      <c r="B3989" s="3" t="s">
        <v>25</v>
      </c>
      <c r="C3989" s="12" t="s">
        <v>4009</v>
      </c>
      <c r="D3989" s="13">
        <v>66182.0</v>
      </c>
      <c r="E3989" s="4">
        <v>45956.0</v>
      </c>
      <c r="F3989" s="4" t="str">
        <f>IF(D3989="","", IFNA(VLOOKUP(D3989, SATCAT_DECAY!A:B, 2, FALSE), ""))
</f>
        <v/>
      </c>
      <c r="G3989" s="3" t="str">
        <f t="shared" si="1"/>
        <v>ACTIVE</v>
      </c>
    </row>
    <row r="3990" ht="22.5" customHeight="1">
      <c r="A3990" s="11" t="str">
        <f t="array" ref="A3990">IFERROR(
  INDEX('Starlink Launches'!$A:$A, MATCH($E3990, 'Starlink Launches'!$B:$B, 0)),
  ""
)
</f>
        <v>10-21</v>
      </c>
      <c r="B3990" s="3" t="s">
        <v>25</v>
      </c>
      <c r="C3990" s="12" t="s">
        <v>4010</v>
      </c>
      <c r="D3990" s="13">
        <v>66183.0</v>
      </c>
      <c r="E3990" s="4">
        <v>45956.0</v>
      </c>
      <c r="F3990" s="4" t="str">
        <f>IF(D3990="","", IFNA(VLOOKUP(D3990, SATCAT_DECAY!A:B, 2, FALSE), ""))
</f>
        <v/>
      </c>
      <c r="G3990" s="3" t="str">
        <f t="shared" si="1"/>
        <v>ACTIVE</v>
      </c>
    </row>
    <row r="3991" ht="22.5" customHeight="1">
      <c r="A3991" s="11" t="str">
        <f t="array" ref="A3991">IFERROR(
  INDEX('Starlink Launches'!$A:$A, MATCH($E3991, 'Starlink Launches'!$B:$B, 0)),
  ""
)
</f>
        <v>10-21</v>
      </c>
      <c r="B3991" s="3" t="s">
        <v>25</v>
      </c>
      <c r="C3991" s="12" t="s">
        <v>4011</v>
      </c>
      <c r="D3991" s="13">
        <v>66184.0</v>
      </c>
      <c r="E3991" s="4">
        <v>45956.0</v>
      </c>
      <c r="F3991" s="4" t="str">
        <f>IF(D3991="","", IFNA(VLOOKUP(D3991, SATCAT_DECAY!A:B, 2, FALSE), ""))
</f>
        <v/>
      </c>
      <c r="G3991" s="3" t="str">
        <f t="shared" si="1"/>
        <v>ACTIVE</v>
      </c>
    </row>
    <row r="3992" ht="22.5" customHeight="1">
      <c r="A3992" s="11" t="str">
        <f t="array" ref="A3992">IFERROR(
  INDEX('Starlink Launches'!$A:$A, MATCH($E3992, 'Starlink Launches'!$B:$B, 0)),
  ""
)
</f>
        <v>10-21</v>
      </c>
      <c r="B3992" s="3" t="s">
        <v>25</v>
      </c>
      <c r="C3992" s="12" t="s">
        <v>4012</v>
      </c>
      <c r="D3992" s="13">
        <v>66185.0</v>
      </c>
      <c r="E3992" s="4">
        <v>45956.0</v>
      </c>
      <c r="F3992" s="4" t="str">
        <f>IF(D3992="","", IFNA(VLOOKUP(D3992, SATCAT_DECAY!A:B, 2, FALSE), ""))
</f>
        <v/>
      </c>
      <c r="G3992" s="3" t="str">
        <f t="shared" si="1"/>
        <v>ACTIVE</v>
      </c>
    </row>
    <row r="3993" ht="22.5" customHeight="1">
      <c r="A3993" s="11" t="str">
        <f t="array" ref="A3993">IFERROR(
  INDEX('Starlink Launches'!$A:$A, MATCH($E3993, 'Starlink Launches'!$B:$B, 0)),
  ""
)
</f>
        <v>10-21</v>
      </c>
      <c r="B3993" s="3" t="s">
        <v>25</v>
      </c>
      <c r="C3993" s="12" t="s">
        <v>4013</v>
      </c>
      <c r="D3993" s="13">
        <v>66186.0</v>
      </c>
      <c r="E3993" s="4">
        <v>45956.0</v>
      </c>
      <c r="F3993" s="4" t="str">
        <f>IF(D3993="","", IFNA(VLOOKUP(D3993, SATCAT_DECAY!A:B, 2, FALSE), ""))
</f>
        <v/>
      </c>
      <c r="G3993" s="3" t="str">
        <f t="shared" si="1"/>
        <v>ACTIVE</v>
      </c>
    </row>
    <row r="3994" ht="22.5" customHeight="1">
      <c r="A3994" s="11" t="str">
        <f t="array" ref="A3994">IFERROR(
  INDEX('Starlink Launches'!$A:$A, MATCH($E3994, 'Starlink Launches'!$B:$B, 0)),
  ""
)
</f>
        <v>10-21</v>
      </c>
      <c r="B3994" s="3" t="s">
        <v>25</v>
      </c>
      <c r="C3994" s="12" t="s">
        <v>4014</v>
      </c>
      <c r="D3994" s="13">
        <v>66187.0</v>
      </c>
      <c r="E3994" s="4">
        <v>45956.0</v>
      </c>
      <c r="F3994" s="4" t="str">
        <f>IF(D3994="","", IFNA(VLOOKUP(D3994, SATCAT_DECAY!A:B, 2, FALSE), ""))
</f>
        <v/>
      </c>
      <c r="G3994" s="3" t="str">
        <f t="shared" si="1"/>
        <v>ACTIVE</v>
      </c>
    </row>
    <row r="3995" ht="22.5" customHeight="1">
      <c r="A3995" s="11" t="str">
        <f t="array" ref="A3995">IFERROR(
  INDEX('Starlink Launches'!$A:$A, MATCH($E3995, 'Starlink Launches'!$B:$B, 0)),
  ""
)
</f>
        <v>10-21</v>
      </c>
      <c r="B3995" s="3" t="s">
        <v>25</v>
      </c>
      <c r="C3995" s="12" t="s">
        <v>4015</v>
      </c>
      <c r="D3995" s="13">
        <v>66188.0</v>
      </c>
      <c r="E3995" s="4">
        <v>45956.0</v>
      </c>
      <c r="F3995" s="4" t="str">
        <f>IF(D3995="","", IFNA(VLOOKUP(D3995, SATCAT_DECAY!A:B, 2, FALSE), ""))
</f>
        <v/>
      </c>
      <c r="G3995" s="3" t="str">
        <f t="shared" si="1"/>
        <v>ACTIVE</v>
      </c>
    </row>
    <row r="3996" ht="22.5" customHeight="1">
      <c r="A3996" s="11" t="str">
        <f t="array" ref="A3996">IFERROR(
  INDEX('Starlink Launches'!$A:$A, MATCH($E3996, 'Starlink Launches'!$B:$B, 0)),
  ""
)
</f>
        <v>10-21</v>
      </c>
      <c r="B3996" s="3" t="s">
        <v>25</v>
      </c>
      <c r="C3996" s="12" t="s">
        <v>4016</v>
      </c>
      <c r="D3996" s="13">
        <v>66189.0</v>
      </c>
      <c r="E3996" s="4">
        <v>45956.0</v>
      </c>
      <c r="F3996" s="4" t="str">
        <f>IF(D3996="","", IFNA(VLOOKUP(D3996, SATCAT_DECAY!A:B, 2, FALSE), ""))
</f>
        <v/>
      </c>
      <c r="G3996" s="3" t="str">
        <f t="shared" si="1"/>
        <v>ACTIVE</v>
      </c>
    </row>
    <row r="3997" ht="22.5" customHeight="1">
      <c r="A3997" s="11" t="str">
        <f t="array" ref="A3997">IFERROR(
  INDEX('Starlink Launches'!$A:$A, MATCH($E3997, 'Starlink Launches'!$B:$B, 0)),
  ""
)
</f>
        <v>10-21</v>
      </c>
      <c r="B3997" s="3" t="s">
        <v>25</v>
      </c>
      <c r="C3997" s="12" t="s">
        <v>4017</v>
      </c>
      <c r="D3997" s="13">
        <v>66190.0</v>
      </c>
      <c r="E3997" s="4">
        <v>45956.0</v>
      </c>
      <c r="F3997" s="4" t="str">
        <f>IF(D3997="","", IFNA(VLOOKUP(D3997, SATCAT_DECAY!A:B, 2, FALSE), ""))
</f>
        <v/>
      </c>
      <c r="G3997" s="3" t="str">
        <f t="shared" si="1"/>
        <v>ACTIVE</v>
      </c>
    </row>
    <row r="3998" ht="22.5" customHeight="1">
      <c r="A3998" s="11" t="str">
        <f t="array" ref="A3998">IFERROR(
  INDEX('Starlink Launches'!$A:$A, MATCH($E3998, 'Starlink Launches'!$B:$B, 0)),
  ""
)
</f>
        <v>10-21</v>
      </c>
      <c r="B3998" s="3" t="s">
        <v>25</v>
      </c>
      <c r="C3998" s="12" t="s">
        <v>4018</v>
      </c>
      <c r="D3998" s="13">
        <v>66191.0</v>
      </c>
      <c r="E3998" s="4">
        <v>45956.0</v>
      </c>
      <c r="F3998" s="4" t="str">
        <f>IF(D3998="","", IFNA(VLOOKUP(D3998, SATCAT_DECAY!A:B, 2, FALSE), ""))
</f>
        <v/>
      </c>
      <c r="G3998" s="3" t="str">
        <f t="shared" si="1"/>
        <v>ACTIVE</v>
      </c>
    </row>
    <row r="3999" ht="22.5" customHeight="1">
      <c r="A3999" s="11" t="str">
        <f t="array" ref="A3999">IFERROR(
  INDEX('Starlink Launches'!$A:$A, MATCH($E3999, 'Starlink Launches'!$B:$B, 0)),
  ""
)
</f>
        <v>10-21</v>
      </c>
      <c r="B3999" s="3" t="s">
        <v>25</v>
      </c>
      <c r="C3999" s="12" t="s">
        <v>4019</v>
      </c>
      <c r="D3999" s="13">
        <v>66192.0</v>
      </c>
      <c r="E3999" s="4">
        <v>45956.0</v>
      </c>
      <c r="F3999" s="4" t="str">
        <f>IF(D3999="","", IFNA(VLOOKUP(D3999, SATCAT_DECAY!A:B, 2, FALSE), ""))
</f>
        <v/>
      </c>
      <c r="G3999" s="3" t="str">
        <f t="shared" si="1"/>
        <v>ACTIVE</v>
      </c>
    </row>
    <row r="4000" ht="22.5" customHeight="1">
      <c r="A4000" s="11" t="str">
        <f t="array" ref="A4000">IFERROR(
  INDEX('Starlink Launches'!$A:$A, MATCH($E4000, 'Starlink Launches'!$B:$B, 0)),
  ""
)
</f>
        <v>10-21</v>
      </c>
      <c r="B4000" s="3" t="s">
        <v>25</v>
      </c>
      <c r="C4000" s="12" t="s">
        <v>4020</v>
      </c>
      <c r="D4000" s="13">
        <v>66193.0</v>
      </c>
      <c r="E4000" s="4">
        <v>45956.0</v>
      </c>
      <c r="F4000" s="4" t="str">
        <f>IF(D4000="","", IFNA(VLOOKUP(D4000, SATCAT_DECAY!A:B, 2, FALSE), ""))
</f>
        <v/>
      </c>
      <c r="G4000" s="3" t="str">
        <f t="shared" si="1"/>
        <v>ACTIVE</v>
      </c>
    </row>
    <row r="4001" ht="22.5" customHeight="1">
      <c r="A4001" s="11" t="str">
        <f t="array" ref="A4001">IFERROR(
  INDEX('Starlink Launches'!$A:$A, MATCH($E4001, 'Starlink Launches'!$B:$B, 0)),
  ""
)
</f>
        <v>10-21</v>
      </c>
      <c r="B4001" s="3" t="s">
        <v>25</v>
      </c>
      <c r="C4001" s="12" t="s">
        <v>4021</v>
      </c>
      <c r="D4001" s="13">
        <v>66194.0</v>
      </c>
      <c r="E4001" s="4">
        <v>45956.0</v>
      </c>
      <c r="F4001" s="4" t="str">
        <f>IF(D4001="","", IFNA(VLOOKUP(D4001, SATCAT_DECAY!A:B, 2, FALSE), ""))
</f>
        <v/>
      </c>
      <c r="G4001" s="3" t="str">
        <f t="shared" si="1"/>
        <v>ACTIVE</v>
      </c>
    </row>
    <row r="4002" ht="22.5" customHeight="1">
      <c r="A4002" s="11" t="str">
        <f t="array" ref="A4002">IFERROR(
  INDEX('Starlink Launches'!$A:$A, MATCH($E4002, 'Starlink Launches'!$B:$B, 0)),
  ""
)
</f>
        <v>10-21</v>
      </c>
      <c r="B4002" s="3" t="s">
        <v>25</v>
      </c>
      <c r="C4002" s="12" t="s">
        <v>4022</v>
      </c>
      <c r="D4002" s="13">
        <v>66195.0</v>
      </c>
      <c r="E4002" s="4">
        <v>45956.0</v>
      </c>
      <c r="F4002" s="4" t="str">
        <f>IF(D4002="","", IFNA(VLOOKUP(D4002, SATCAT_DECAY!A:B, 2, FALSE), ""))
</f>
        <v/>
      </c>
      <c r="G4002" s="3" t="str">
        <f t="shared" si="1"/>
        <v>ACTIVE</v>
      </c>
    </row>
    <row r="4003" ht="22.5" customHeight="1">
      <c r="A4003" s="11" t="str">
        <f t="array" ref="A4003">IFERROR(
  INDEX('Starlink Launches'!$A:$A, MATCH($E4003, 'Starlink Launches'!$B:$B, 0)),
  ""
)
</f>
        <v>10-21</v>
      </c>
      <c r="B4003" s="3" t="s">
        <v>25</v>
      </c>
      <c r="C4003" s="12" t="s">
        <v>4023</v>
      </c>
      <c r="D4003" s="13">
        <v>66196.0</v>
      </c>
      <c r="E4003" s="4">
        <v>45956.0</v>
      </c>
      <c r="F4003" s="4" t="str">
        <f>IF(D4003="","", IFNA(VLOOKUP(D4003, SATCAT_DECAY!A:B, 2, FALSE), ""))
</f>
        <v/>
      </c>
      <c r="G4003" s="3" t="str">
        <f t="shared" si="1"/>
        <v>ACTIVE</v>
      </c>
    </row>
    <row r="4004" ht="22.5" customHeight="1">
      <c r="A4004" s="11" t="str">
        <f t="array" ref="A4004">IFERROR(
  INDEX('Starlink Launches'!$A:$A, MATCH($E4004, 'Starlink Launches'!$B:$B, 0)),
  ""
)
</f>
        <v>10-21</v>
      </c>
      <c r="B4004" s="3" t="s">
        <v>25</v>
      </c>
      <c r="C4004" s="12" t="s">
        <v>4024</v>
      </c>
      <c r="D4004" s="13">
        <v>66197.0</v>
      </c>
      <c r="E4004" s="4">
        <v>45956.0</v>
      </c>
      <c r="F4004" s="4" t="str">
        <f>IF(D4004="","", IFNA(VLOOKUP(D4004, SATCAT_DECAY!A:B, 2, FALSE), ""))
</f>
        <v/>
      </c>
      <c r="G4004" s="3" t="str">
        <f t="shared" si="1"/>
        <v>ACTIVE</v>
      </c>
    </row>
    <row r="4005" ht="22.5" customHeight="1">
      <c r="A4005" s="11" t="str">
        <f t="array" ref="A4005">IFERROR(
  INDEX('Starlink Launches'!$A:$A, MATCH($E4005, 'Starlink Launches'!$B:$B, 0)),
  ""
)
</f>
        <v>10-21</v>
      </c>
      <c r="B4005" s="3" t="s">
        <v>25</v>
      </c>
      <c r="C4005" s="12" t="s">
        <v>4025</v>
      </c>
      <c r="D4005" s="13">
        <v>66198.0</v>
      </c>
      <c r="E4005" s="4">
        <v>45956.0</v>
      </c>
      <c r="F4005" s="4" t="str">
        <f>IF(D4005="","", IFNA(VLOOKUP(D4005, SATCAT_DECAY!A:B, 2, FALSE), ""))
</f>
        <v/>
      </c>
      <c r="G4005" s="3" t="str">
        <f t="shared" si="1"/>
        <v>ACTIVE</v>
      </c>
    </row>
    <row r="4006" ht="22.5" customHeight="1">
      <c r="A4006" s="11" t="str">
        <f t="array" ref="A4006">IFERROR(
  INDEX('Starlink Launches'!$A:$A, MATCH($E4006, 'Starlink Launches'!$B:$B, 0)),
  ""
)
</f>
        <v>10-21</v>
      </c>
      <c r="B4006" s="3" t="s">
        <v>25</v>
      </c>
      <c r="C4006" s="12" t="s">
        <v>4026</v>
      </c>
      <c r="D4006" s="13">
        <v>66199.0</v>
      </c>
      <c r="E4006" s="4">
        <v>45956.0</v>
      </c>
      <c r="F4006" s="4" t="str">
        <f>IF(D4006="","", IFNA(VLOOKUP(D4006, SATCAT_DECAY!A:B, 2, FALSE), ""))
</f>
        <v/>
      </c>
      <c r="G4006" s="3" t="str">
        <f t="shared" si="1"/>
        <v>ACTIVE</v>
      </c>
    </row>
    <row r="4007" ht="22.5" customHeight="1">
      <c r="A4007" s="11" t="str">
        <f t="array" ref="A4007">IFERROR(
  INDEX('Starlink Launches'!$A:$A, MATCH($E4007, 'Starlink Launches'!$B:$B, 0)),
  ""
)
</f>
        <v>10-21</v>
      </c>
      <c r="B4007" s="3" t="s">
        <v>25</v>
      </c>
      <c r="C4007" s="12" t="s">
        <v>4027</v>
      </c>
      <c r="D4007" s="13">
        <v>66200.0</v>
      </c>
      <c r="E4007" s="4">
        <v>45956.0</v>
      </c>
      <c r="F4007" s="4" t="str">
        <f>IF(D4007="","", IFNA(VLOOKUP(D4007, SATCAT_DECAY!A:B, 2, FALSE), ""))
</f>
        <v/>
      </c>
      <c r="G4007" s="3" t="str">
        <f t="shared" si="1"/>
        <v>ACTIVE</v>
      </c>
    </row>
    <row r="4008" ht="22.5" customHeight="1">
      <c r="A4008" s="11" t="str">
        <f t="array" ref="A4008">IFERROR(
  INDEX('Starlink Launches'!$A:$A, MATCH($E4008, 'Starlink Launches'!$B:$B, 0)),
  ""
)
</f>
        <v>10-21</v>
      </c>
      <c r="B4008" s="3" t="s">
        <v>25</v>
      </c>
      <c r="C4008" s="12" t="s">
        <v>4028</v>
      </c>
      <c r="D4008" s="13">
        <v>66201.0</v>
      </c>
      <c r="E4008" s="4">
        <v>45956.0</v>
      </c>
      <c r="F4008" s="4" t="str">
        <f>IF(D4008="","", IFNA(VLOOKUP(D4008, SATCAT_DECAY!A:B, 2, FALSE), ""))
</f>
        <v/>
      </c>
      <c r="G4008" s="3" t="str">
        <f t="shared" si="1"/>
        <v>ACTIVE</v>
      </c>
    </row>
    <row r="4009" ht="22.5" customHeight="1">
      <c r="A4009" s="11" t="str">
        <f t="array" ref="A4009">IFERROR(
  INDEX('Starlink Launches'!$A:$A, MATCH($E4009, 'Starlink Launches'!$B:$B, 0)),
  ""
)
</f>
        <v>10-21</v>
      </c>
      <c r="B4009" s="3" t="s">
        <v>25</v>
      </c>
      <c r="C4009" s="12" t="s">
        <v>4029</v>
      </c>
      <c r="D4009" s="13">
        <v>66202.0</v>
      </c>
      <c r="E4009" s="4">
        <v>45956.0</v>
      </c>
      <c r="F4009" s="4" t="str">
        <f>IF(D4009="","", IFNA(VLOOKUP(D4009, SATCAT_DECAY!A:B, 2, FALSE), ""))
</f>
        <v/>
      </c>
      <c r="G4009" s="3" t="str">
        <f t="shared" si="1"/>
        <v>ACTIVE</v>
      </c>
    </row>
    <row r="4010" ht="22.5" customHeight="1">
      <c r="A4010" s="11" t="str">
        <f t="array" ref="A4010">IFERROR(
  INDEX('Starlink Launches'!$A:$A, MATCH($E4010, 'Starlink Launches'!$B:$B, 0)),
  ""
)
</f>
        <v>10-21</v>
      </c>
      <c r="B4010" s="3" t="s">
        <v>25</v>
      </c>
      <c r="C4010" s="12" t="s">
        <v>4030</v>
      </c>
      <c r="D4010" s="13">
        <v>66203.0</v>
      </c>
      <c r="E4010" s="4">
        <v>45956.0</v>
      </c>
      <c r="F4010" s="4" t="str">
        <f>IF(D4010="","", IFNA(VLOOKUP(D4010, SATCAT_DECAY!A:B, 2, FALSE), ""))
</f>
        <v/>
      </c>
      <c r="G4010" s="3" t="str">
        <f t="shared" si="1"/>
        <v>ACTIVE</v>
      </c>
    </row>
    <row r="4011" ht="22.5" customHeight="1">
      <c r="A4011" s="11" t="str">
        <f t="array" ref="A4011">IFERROR(
  INDEX('Starlink Launches'!$A:$A, MATCH($E4011, 'Starlink Launches'!$B:$B, 0)),
  ""
)
</f>
        <v>10-21</v>
      </c>
      <c r="B4011" s="3" t="s">
        <v>25</v>
      </c>
      <c r="C4011" s="12" t="s">
        <v>4031</v>
      </c>
      <c r="D4011" s="13">
        <v>66204.0</v>
      </c>
      <c r="E4011" s="4">
        <v>45956.0</v>
      </c>
      <c r="F4011" s="4" t="str">
        <f>IF(D4011="","", IFNA(VLOOKUP(D4011, SATCAT_DECAY!A:B, 2, FALSE), ""))
</f>
        <v/>
      </c>
      <c r="G4011" s="3" t="str">
        <f t="shared" si="1"/>
        <v>ACTIVE</v>
      </c>
    </row>
    <row r="4012" ht="22.5" customHeight="1">
      <c r="A4012" s="11" t="str">
        <f t="array" ref="A4012">IFERROR(
  INDEX('Starlink Launches'!$A:$A, MATCH($E4012, 'Starlink Launches'!$B:$B, 0)),
  ""
)
</f>
        <v>10-37</v>
      </c>
      <c r="B4012" s="3" t="s">
        <v>25</v>
      </c>
      <c r="C4012" s="12" t="s">
        <v>4032</v>
      </c>
      <c r="D4012" s="13">
        <v>66234.0</v>
      </c>
      <c r="E4012" s="4">
        <v>45959.0</v>
      </c>
      <c r="F4012" s="4" t="str">
        <f>IF(D4012="","", IFNA(VLOOKUP(D4012, SATCAT_DECAY!A:B, 2, FALSE), ""))
</f>
        <v/>
      </c>
      <c r="G4012" s="3" t="str">
        <f t="shared" si="1"/>
        <v>ACTIVE</v>
      </c>
    </row>
    <row r="4013" ht="22.5" customHeight="1">
      <c r="A4013" s="11" t="str">
        <f t="array" ref="A4013">IFERROR(
  INDEX('Starlink Launches'!$A:$A, MATCH($E4013, 'Starlink Launches'!$B:$B, 0)),
  ""
)
</f>
        <v>10-37</v>
      </c>
      <c r="B4013" s="3" t="s">
        <v>25</v>
      </c>
      <c r="C4013" s="12" t="s">
        <v>4033</v>
      </c>
      <c r="D4013" s="13">
        <v>66235.0</v>
      </c>
      <c r="E4013" s="4">
        <v>45959.0</v>
      </c>
      <c r="F4013" s="4" t="str">
        <f>IF(D4013="","", IFNA(VLOOKUP(D4013, SATCAT_DECAY!A:B, 2, FALSE), ""))
</f>
        <v/>
      </c>
      <c r="G4013" s="3" t="str">
        <f t="shared" si="1"/>
        <v>ACTIVE</v>
      </c>
    </row>
    <row r="4014" ht="22.5" customHeight="1">
      <c r="A4014" s="11" t="str">
        <f t="array" ref="A4014">IFERROR(
  INDEX('Starlink Launches'!$A:$A, MATCH($E4014, 'Starlink Launches'!$B:$B, 0)),
  ""
)
</f>
        <v>10-37</v>
      </c>
      <c r="B4014" s="3" t="s">
        <v>25</v>
      </c>
      <c r="C4014" s="12" t="s">
        <v>4034</v>
      </c>
      <c r="D4014" s="13">
        <v>66236.0</v>
      </c>
      <c r="E4014" s="4">
        <v>45959.0</v>
      </c>
      <c r="F4014" s="4" t="str">
        <f>IF(D4014="","", IFNA(VLOOKUP(D4014, SATCAT_DECAY!A:B, 2, FALSE), ""))
</f>
        <v/>
      </c>
      <c r="G4014" s="3" t="str">
        <f t="shared" si="1"/>
        <v>ACTIVE</v>
      </c>
    </row>
    <row r="4015" ht="22.5" customHeight="1">
      <c r="A4015" s="11" t="str">
        <f t="array" ref="A4015">IFERROR(
  INDEX('Starlink Launches'!$A:$A, MATCH($E4015, 'Starlink Launches'!$B:$B, 0)),
  ""
)
</f>
        <v>10-37</v>
      </c>
      <c r="B4015" s="3" t="s">
        <v>25</v>
      </c>
      <c r="C4015" s="12" t="s">
        <v>4035</v>
      </c>
      <c r="D4015" s="13">
        <v>66237.0</v>
      </c>
      <c r="E4015" s="4">
        <v>45959.0</v>
      </c>
      <c r="F4015" s="4" t="str">
        <f>IF(D4015="","", IFNA(VLOOKUP(D4015, SATCAT_DECAY!A:B, 2, FALSE), ""))
</f>
        <v/>
      </c>
      <c r="G4015" s="3" t="str">
        <f t="shared" si="1"/>
        <v>ACTIVE</v>
      </c>
    </row>
    <row r="4016" ht="22.5" customHeight="1">
      <c r="A4016" s="11" t="str">
        <f t="array" ref="A4016">IFERROR(
  INDEX('Starlink Launches'!$A:$A, MATCH($E4016, 'Starlink Launches'!$B:$B, 0)),
  ""
)
</f>
        <v>10-37</v>
      </c>
      <c r="B4016" s="3" t="s">
        <v>25</v>
      </c>
      <c r="C4016" s="12" t="s">
        <v>4036</v>
      </c>
      <c r="D4016" s="13">
        <v>66238.0</v>
      </c>
      <c r="E4016" s="4">
        <v>45959.0</v>
      </c>
      <c r="F4016" s="4" t="str">
        <f>IF(D4016="","", IFNA(VLOOKUP(D4016, SATCAT_DECAY!A:B, 2, FALSE), ""))
</f>
        <v/>
      </c>
      <c r="G4016" s="3" t="str">
        <f t="shared" si="1"/>
        <v>ACTIVE</v>
      </c>
    </row>
    <row r="4017" ht="22.5" customHeight="1">
      <c r="A4017" s="11" t="str">
        <f t="array" ref="A4017">IFERROR(
  INDEX('Starlink Launches'!$A:$A, MATCH($E4017, 'Starlink Launches'!$B:$B, 0)),
  ""
)
</f>
        <v>10-37</v>
      </c>
      <c r="B4017" s="3" t="s">
        <v>25</v>
      </c>
      <c r="C4017" s="12" t="s">
        <v>4037</v>
      </c>
      <c r="D4017" s="13">
        <v>66239.0</v>
      </c>
      <c r="E4017" s="4">
        <v>45959.0</v>
      </c>
      <c r="F4017" s="4" t="str">
        <f>IF(D4017="","", IFNA(VLOOKUP(D4017, SATCAT_DECAY!A:B, 2, FALSE), ""))
</f>
        <v/>
      </c>
      <c r="G4017" s="3" t="str">
        <f t="shared" si="1"/>
        <v>ACTIVE</v>
      </c>
    </row>
    <row r="4018" ht="22.5" customHeight="1">
      <c r="A4018" s="11" t="str">
        <f t="array" ref="A4018">IFERROR(
  INDEX('Starlink Launches'!$A:$A, MATCH($E4018, 'Starlink Launches'!$B:$B, 0)),
  ""
)
</f>
        <v>10-37</v>
      </c>
      <c r="B4018" s="3" t="s">
        <v>25</v>
      </c>
      <c r="C4018" s="12" t="s">
        <v>4038</v>
      </c>
      <c r="D4018" s="13">
        <v>66240.0</v>
      </c>
      <c r="E4018" s="4">
        <v>45959.0</v>
      </c>
      <c r="F4018" s="4" t="str">
        <f>IF(D4018="","", IFNA(VLOOKUP(D4018, SATCAT_DECAY!A:B, 2, FALSE), ""))
</f>
        <v/>
      </c>
      <c r="G4018" s="3" t="str">
        <f t="shared" si="1"/>
        <v>ACTIVE</v>
      </c>
    </row>
    <row r="4019" ht="22.5" customHeight="1">
      <c r="A4019" s="11" t="str">
        <f t="array" ref="A4019">IFERROR(
  INDEX('Starlink Launches'!$A:$A, MATCH($E4019, 'Starlink Launches'!$B:$B, 0)),
  ""
)
</f>
        <v>10-37</v>
      </c>
      <c r="B4019" s="3" t="s">
        <v>25</v>
      </c>
      <c r="C4019" s="12" t="s">
        <v>4039</v>
      </c>
      <c r="D4019" s="13">
        <v>66241.0</v>
      </c>
      <c r="E4019" s="4">
        <v>45959.0</v>
      </c>
      <c r="F4019" s="4" t="str">
        <f>IF(D4019="","", IFNA(VLOOKUP(D4019, SATCAT_DECAY!A:B, 2, FALSE), ""))
</f>
        <v/>
      </c>
      <c r="G4019" s="3" t="str">
        <f t="shared" si="1"/>
        <v>ACTIVE</v>
      </c>
    </row>
    <row r="4020" ht="22.5" customHeight="1">
      <c r="A4020" s="11" t="str">
        <f t="array" ref="A4020">IFERROR(
  INDEX('Starlink Launches'!$A:$A, MATCH($E4020, 'Starlink Launches'!$B:$B, 0)),
  ""
)
</f>
        <v>10-37</v>
      </c>
      <c r="B4020" s="3" t="s">
        <v>25</v>
      </c>
      <c r="C4020" s="12" t="s">
        <v>4040</v>
      </c>
      <c r="D4020" s="13">
        <v>66242.0</v>
      </c>
      <c r="E4020" s="4">
        <v>45959.0</v>
      </c>
      <c r="F4020" s="4" t="str">
        <f>IF(D4020="","", IFNA(VLOOKUP(D4020, SATCAT_DECAY!A:B, 2, FALSE), ""))
</f>
        <v/>
      </c>
      <c r="G4020" s="3" t="str">
        <f t="shared" si="1"/>
        <v>ACTIVE</v>
      </c>
    </row>
    <row r="4021" ht="22.5" customHeight="1">
      <c r="A4021" s="11" t="str">
        <f t="array" ref="A4021">IFERROR(
  INDEX('Starlink Launches'!$A:$A, MATCH($E4021, 'Starlink Launches'!$B:$B, 0)),
  ""
)
</f>
        <v>10-37</v>
      </c>
      <c r="B4021" s="3" t="s">
        <v>25</v>
      </c>
      <c r="C4021" s="12" t="s">
        <v>4041</v>
      </c>
      <c r="D4021" s="13">
        <v>66243.0</v>
      </c>
      <c r="E4021" s="4">
        <v>45959.0</v>
      </c>
      <c r="F4021" s="4" t="str">
        <f>IF(D4021="","", IFNA(VLOOKUP(D4021, SATCAT_DECAY!A:B, 2, FALSE), ""))
</f>
        <v/>
      </c>
      <c r="G4021" s="3" t="str">
        <f t="shared" si="1"/>
        <v>ACTIVE</v>
      </c>
    </row>
    <row r="4022" ht="22.5" customHeight="1">
      <c r="A4022" s="11" t="str">
        <f t="array" ref="A4022">IFERROR(
  INDEX('Starlink Launches'!$A:$A, MATCH($E4022, 'Starlink Launches'!$B:$B, 0)),
  ""
)
</f>
        <v>10-37</v>
      </c>
      <c r="B4022" s="3" t="s">
        <v>25</v>
      </c>
      <c r="C4022" s="12" t="s">
        <v>4042</v>
      </c>
      <c r="D4022" s="13">
        <v>66244.0</v>
      </c>
      <c r="E4022" s="4">
        <v>45959.0</v>
      </c>
      <c r="F4022" s="4" t="str">
        <f>IF(D4022="","", IFNA(VLOOKUP(D4022, SATCAT_DECAY!A:B, 2, FALSE), ""))
</f>
        <v/>
      </c>
      <c r="G4022" s="3" t="str">
        <f t="shared" si="1"/>
        <v>ACTIVE</v>
      </c>
    </row>
    <row r="4023" ht="22.5" customHeight="1">
      <c r="A4023" s="11" t="str">
        <f t="array" ref="A4023">IFERROR(
  INDEX('Starlink Launches'!$A:$A, MATCH($E4023, 'Starlink Launches'!$B:$B, 0)),
  ""
)
</f>
        <v>10-37</v>
      </c>
      <c r="B4023" s="3" t="s">
        <v>25</v>
      </c>
      <c r="C4023" s="12" t="s">
        <v>4043</v>
      </c>
      <c r="D4023" s="13">
        <v>66245.0</v>
      </c>
      <c r="E4023" s="4">
        <v>45959.0</v>
      </c>
      <c r="F4023" s="4" t="str">
        <f>IF(D4023="","", IFNA(VLOOKUP(D4023, SATCAT_DECAY!A:B, 2, FALSE), ""))
</f>
        <v/>
      </c>
      <c r="G4023" s="3" t="str">
        <f t="shared" si="1"/>
        <v>ACTIVE</v>
      </c>
    </row>
    <row r="4024" ht="22.5" customHeight="1">
      <c r="A4024" s="11" t="str">
        <f t="array" ref="A4024">IFERROR(
  INDEX('Starlink Launches'!$A:$A, MATCH($E4024, 'Starlink Launches'!$B:$B, 0)),
  ""
)
</f>
        <v>10-37</v>
      </c>
      <c r="B4024" s="3" t="s">
        <v>25</v>
      </c>
      <c r="C4024" s="12" t="s">
        <v>4044</v>
      </c>
      <c r="D4024" s="13">
        <v>66246.0</v>
      </c>
      <c r="E4024" s="4">
        <v>45959.0</v>
      </c>
      <c r="F4024" s="4" t="str">
        <f>IF(D4024="","", IFNA(VLOOKUP(D4024, SATCAT_DECAY!A:B, 2, FALSE), ""))
</f>
        <v/>
      </c>
      <c r="G4024" s="3" t="str">
        <f t="shared" si="1"/>
        <v>ACTIVE</v>
      </c>
    </row>
    <row r="4025" ht="22.5" customHeight="1">
      <c r="A4025" s="11" t="str">
        <f t="array" ref="A4025">IFERROR(
  INDEX('Starlink Launches'!$A:$A, MATCH($E4025, 'Starlink Launches'!$B:$B, 0)),
  ""
)
</f>
        <v>10-37</v>
      </c>
      <c r="B4025" s="3" t="s">
        <v>25</v>
      </c>
      <c r="C4025" s="12" t="s">
        <v>4045</v>
      </c>
      <c r="D4025" s="13">
        <v>66247.0</v>
      </c>
      <c r="E4025" s="4">
        <v>45959.0</v>
      </c>
      <c r="F4025" s="4" t="str">
        <f>IF(D4025="","", IFNA(VLOOKUP(D4025, SATCAT_DECAY!A:B, 2, FALSE), ""))
</f>
        <v/>
      </c>
      <c r="G4025" s="3" t="str">
        <f t="shared" si="1"/>
        <v>ACTIVE</v>
      </c>
    </row>
    <row r="4026" ht="22.5" customHeight="1">
      <c r="A4026" s="11" t="str">
        <f t="array" ref="A4026">IFERROR(
  INDEX('Starlink Launches'!$A:$A, MATCH($E4026, 'Starlink Launches'!$B:$B, 0)),
  ""
)
</f>
        <v>10-37</v>
      </c>
      <c r="B4026" s="3" t="s">
        <v>25</v>
      </c>
      <c r="C4026" s="12" t="s">
        <v>4046</v>
      </c>
      <c r="D4026" s="13">
        <v>66248.0</v>
      </c>
      <c r="E4026" s="4">
        <v>45959.0</v>
      </c>
      <c r="F4026" s="4" t="str">
        <f>IF(D4026="","", IFNA(VLOOKUP(D4026, SATCAT_DECAY!A:B, 2, FALSE), ""))
</f>
        <v/>
      </c>
      <c r="G4026" s="3" t="str">
        <f t="shared" si="1"/>
        <v>ACTIVE</v>
      </c>
    </row>
    <row r="4027" ht="22.5" customHeight="1">
      <c r="A4027" s="11" t="str">
        <f t="array" ref="A4027">IFERROR(
  INDEX('Starlink Launches'!$A:$A, MATCH($E4027, 'Starlink Launches'!$B:$B, 0)),
  ""
)
</f>
        <v>10-37</v>
      </c>
      <c r="B4027" s="3" t="s">
        <v>25</v>
      </c>
      <c r="C4027" s="12" t="s">
        <v>4047</v>
      </c>
      <c r="D4027" s="13">
        <v>66249.0</v>
      </c>
      <c r="E4027" s="4">
        <v>45959.0</v>
      </c>
      <c r="F4027" s="4" t="str">
        <f>IF(D4027="","", IFNA(VLOOKUP(D4027, SATCAT_DECAY!A:B, 2, FALSE), ""))
</f>
        <v/>
      </c>
      <c r="G4027" s="3" t="str">
        <f t="shared" si="1"/>
        <v>ACTIVE</v>
      </c>
    </row>
    <row r="4028" ht="22.5" customHeight="1">
      <c r="A4028" s="11" t="str">
        <f t="array" ref="A4028">IFERROR(
  INDEX('Starlink Launches'!$A:$A, MATCH($E4028, 'Starlink Launches'!$B:$B, 0)),
  ""
)
</f>
        <v>10-37</v>
      </c>
      <c r="B4028" s="3" t="s">
        <v>25</v>
      </c>
      <c r="C4028" s="12" t="s">
        <v>4048</v>
      </c>
      <c r="D4028" s="13">
        <v>66250.0</v>
      </c>
      <c r="E4028" s="4">
        <v>45959.0</v>
      </c>
      <c r="F4028" s="4" t="str">
        <f>IF(D4028="","", IFNA(VLOOKUP(D4028, SATCAT_DECAY!A:B, 2, FALSE), ""))
</f>
        <v/>
      </c>
      <c r="G4028" s="3" t="str">
        <f t="shared" si="1"/>
        <v>ACTIVE</v>
      </c>
    </row>
    <row r="4029" ht="22.5" customHeight="1">
      <c r="A4029" s="11" t="str">
        <f t="array" ref="A4029">IFERROR(
  INDEX('Starlink Launches'!$A:$A, MATCH($E4029, 'Starlink Launches'!$B:$B, 0)),
  ""
)
</f>
        <v>10-37</v>
      </c>
      <c r="B4029" s="3" t="s">
        <v>25</v>
      </c>
      <c r="C4029" s="12" t="s">
        <v>4049</v>
      </c>
      <c r="D4029" s="13">
        <v>66251.0</v>
      </c>
      <c r="E4029" s="4">
        <v>45959.0</v>
      </c>
      <c r="F4029" s="4" t="str">
        <f>IF(D4029="","", IFNA(VLOOKUP(D4029, SATCAT_DECAY!A:B, 2, FALSE), ""))
</f>
        <v/>
      </c>
      <c r="G4029" s="3" t="str">
        <f t="shared" si="1"/>
        <v>ACTIVE</v>
      </c>
    </row>
    <row r="4030" ht="22.5" customHeight="1">
      <c r="A4030" s="11" t="str">
        <f t="array" ref="A4030">IFERROR(
  INDEX('Starlink Launches'!$A:$A, MATCH($E4030, 'Starlink Launches'!$B:$B, 0)),
  ""
)
</f>
        <v>10-37</v>
      </c>
      <c r="B4030" s="3" t="s">
        <v>25</v>
      </c>
      <c r="C4030" s="12" t="s">
        <v>4050</v>
      </c>
      <c r="D4030" s="13">
        <v>66252.0</v>
      </c>
      <c r="E4030" s="4">
        <v>45959.0</v>
      </c>
      <c r="F4030" s="4" t="str">
        <f>IF(D4030="","", IFNA(VLOOKUP(D4030, SATCAT_DECAY!A:B, 2, FALSE), ""))
</f>
        <v/>
      </c>
      <c r="G4030" s="3" t="str">
        <f t="shared" si="1"/>
        <v>ACTIVE</v>
      </c>
    </row>
    <row r="4031" ht="22.5" customHeight="1">
      <c r="A4031" s="11" t="str">
        <f t="array" ref="A4031">IFERROR(
  INDEX('Starlink Launches'!$A:$A, MATCH($E4031, 'Starlink Launches'!$B:$B, 0)),
  ""
)
</f>
        <v>10-37</v>
      </c>
      <c r="B4031" s="3" t="s">
        <v>25</v>
      </c>
      <c r="C4031" s="12" t="s">
        <v>4051</v>
      </c>
      <c r="D4031" s="13">
        <v>66253.0</v>
      </c>
      <c r="E4031" s="4">
        <v>45959.0</v>
      </c>
      <c r="F4031" s="4" t="str">
        <f>IF(D4031="","", IFNA(VLOOKUP(D4031, SATCAT_DECAY!A:B, 2, FALSE), ""))
</f>
        <v/>
      </c>
      <c r="G4031" s="3" t="str">
        <f t="shared" si="1"/>
        <v>ACTIVE</v>
      </c>
    </row>
    <row r="4032" ht="22.5" customHeight="1">
      <c r="A4032" s="11" t="str">
        <f t="array" ref="A4032">IFERROR(
  INDEX('Starlink Launches'!$A:$A, MATCH($E4032, 'Starlink Launches'!$B:$B, 0)),
  ""
)
</f>
        <v>10-37</v>
      </c>
      <c r="B4032" s="3" t="s">
        <v>25</v>
      </c>
      <c r="C4032" s="12" t="s">
        <v>4052</v>
      </c>
      <c r="D4032" s="13">
        <v>66254.0</v>
      </c>
      <c r="E4032" s="4">
        <v>45959.0</v>
      </c>
      <c r="F4032" s="4" t="str">
        <f>IF(D4032="","", IFNA(VLOOKUP(D4032, SATCAT_DECAY!A:B, 2, FALSE), ""))
</f>
        <v/>
      </c>
      <c r="G4032" s="3" t="str">
        <f t="shared" si="1"/>
        <v>ACTIVE</v>
      </c>
    </row>
    <row r="4033" ht="22.5" customHeight="1">
      <c r="A4033" s="11" t="str">
        <f t="array" ref="A4033">IFERROR(
  INDEX('Starlink Launches'!$A:$A, MATCH($E4033, 'Starlink Launches'!$B:$B, 0)),
  ""
)
</f>
        <v>10-37</v>
      </c>
      <c r="B4033" s="3" t="s">
        <v>25</v>
      </c>
      <c r="C4033" s="12" t="s">
        <v>4053</v>
      </c>
      <c r="D4033" s="13">
        <v>66255.0</v>
      </c>
      <c r="E4033" s="4">
        <v>45959.0</v>
      </c>
      <c r="F4033" s="4" t="str">
        <f>IF(D4033="","", IFNA(VLOOKUP(D4033, SATCAT_DECAY!A:B, 2, FALSE), ""))
</f>
        <v/>
      </c>
      <c r="G4033" s="3" t="str">
        <f t="shared" si="1"/>
        <v>ACTIVE</v>
      </c>
    </row>
    <row r="4034" ht="22.5" customHeight="1">
      <c r="A4034" s="11" t="str">
        <f t="array" ref="A4034">IFERROR(
  INDEX('Starlink Launches'!$A:$A, MATCH($E4034, 'Starlink Launches'!$B:$B, 0)),
  ""
)
</f>
        <v>10-37</v>
      </c>
      <c r="B4034" s="3" t="s">
        <v>25</v>
      </c>
      <c r="C4034" s="12" t="s">
        <v>4054</v>
      </c>
      <c r="D4034" s="13">
        <v>66256.0</v>
      </c>
      <c r="E4034" s="4">
        <v>45959.0</v>
      </c>
      <c r="F4034" s="4" t="str">
        <f>IF(D4034="","", IFNA(VLOOKUP(D4034, SATCAT_DECAY!A:B, 2, FALSE), ""))
</f>
        <v/>
      </c>
      <c r="G4034" s="3" t="str">
        <f t="shared" si="1"/>
        <v>ACTIVE</v>
      </c>
    </row>
    <row r="4035" ht="22.5" customHeight="1">
      <c r="A4035" s="11" t="str">
        <f t="array" ref="A4035">IFERROR(
  INDEX('Starlink Launches'!$A:$A, MATCH($E4035, 'Starlink Launches'!$B:$B, 0)),
  ""
)
</f>
        <v>10-37</v>
      </c>
      <c r="B4035" s="3" t="s">
        <v>25</v>
      </c>
      <c r="C4035" s="12" t="s">
        <v>4055</v>
      </c>
      <c r="D4035" s="13">
        <v>66257.0</v>
      </c>
      <c r="E4035" s="4">
        <v>45959.0</v>
      </c>
      <c r="F4035" s="4" t="str">
        <f>IF(D4035="","", IFNA(VLOOKUP(D4035, SATCAT_DECAY!A:B, 2, FALSE), ""))
</f>
        <v/>
      </c>
      <c r="G4035" s="3" t="str">
        <f t="shared" si="1"/>
        <v>ACTIVE</v>
      </c>
    </row>
    <row r="4036" ht="22.5" customHeight="1">
      <c r="A4036" s="11" t="str">
        <f t="array" ref="A4036">IFERROR(
  INDEX('Starlink Launches'!$A:$A, MATCH($E4036, 'Starlink Launches'!$B:$B, 0)),
  ""
)
</f>
        <v>10-37</v>
      </c>
      <c r="B4036" s="3" t="s">
        <v>25</v>
      </c>
      <c r="C4036" s="12" t="s">
        <v>4056</v>
      </c>
      <c r="D4036" s="13">
        <v>66258.0</v>
      </c>
      <c r="E4036" s="4">
        <v>45959.0</v>
      </c>
      <c r="F4036" s="4" t="str">
        <f>IF(D4036="","", IFNA(VLOOKUP(D4036, SATCAT_DECAY!A:B, 2, FALSE), ""))
</f>
        <v/>
      </c>
      <c r="G4036" s="3" t="str">
        <f t="shared" si="1"/>
        <v>ACTIVE</v>
      </c>
    </row>
    <row r="4037" ht="22.5" customHeight="1">
      <c r="A4037" s="11" t="str">
        <f t="array" ref="A4037">IFERROR(
  INDEX('Starlink Launches'!$A:$A, MATCH($E4037, 'Starlink Launches'!$B:$B, 0)),
  ""
)
</f>
        <v>10-37</v>
      </c>
      <c r="B4037" s="3" t="s">
        <v>25</v>
      </c>
      <c r="C4037" s="12" t="s">
        <v>4057</v>
      </c>
      <c r="D4037" s="13">
        <v>66259.0</v>
      </c>
      <c r="E4037" s="4">
        <v>45959.0</v>
      </c>
      <c r="F4037" s="4" t="str">
        <f>IF(D4037="","", IFNA(VLOOKUP(D4037, SATCAT_DECAY!A:B, 2, FALSE), ""))
</f>
        <v/>
      </c>
      <c r="G4037" s="3" t="str">
        <f t="shared" si="1"/>
        <v>ACTIVE</v>
      </c>
    </row>
    <row r="4038" ht="22.5" customHeight="1">
      <c r="A4038" s="11" t="str">
        <f t="array" ref="A4038">IFERROR(
  INDEX('Starlink Launches'!$A:$A, MATCH($E4038, 'Starlink Launches'!$B:$B, 0)),
  ""
)
</f>
        <v>10-37</v>
      </c>
      <c r="B4038" s="3" t="s">
        <v>25</v>
      </c>
      <c r="C4038" s="12" t="s">
        <v>4058</v>
      </c>
      <c r="D4038" s="13">
        <v>66260.0</v>
      </c>
      <c r="E4038" s="4">
        <v>45959.0</v>
      </c>
      <c r="F4038" s="4" t="str">
        <f>IF(D4038="","", IFNA(VLOOKUP(D4038, SATCAT_DECAY!A:B, 2, FALSE), ""))
</f>
        <v/>
      </c>
      <c r="G4038" s="3" t="str">
        <f t="shared" si="1"/>
        <v>ACTIVE</v>
      </c>
    </row>
    <row r="4039" ht="22.5" customHeight="1">
      <c r="A4039" s="11" t="str">
        <f t="array" ref="A4039">IFERROR(
  INDEX('Starlink Launches'!$A:$A, MATCH($E4039, 'Starlink Launches'!$B:$B, 0)),
  ""
)
</f>
        <v>10-37</v>
      </c>
      <c r="B4039" s="3" t="s">
        <v>25</v>
      </c>
      <c r="C4039" s="12" t="s">
        <v>4059</v>
      </c>
      <c r="D4039" s="13">
        <v>66261.0</v>
      </c>
      <c r="E4039" s="4">
        <v>45959.0</v>
      </c>
      <c r="F4039" s="4" t="str">
        <f>IF(D4039="","", IFNA(VLOOKUP(D4039, SATCAT_DECAY!A:B, 2, FALSE), ""))
</f>
        <v/>
      </c>
      <c r="G4039" s="3" t="str">
        <f t="shared" si="1"/>
        <v>ACTIVE</v>
      </c>
    </row>
    <row r="4040" ht="22.5" customHeight="1">
      <c r="A4040" s="17" t="str">
        <f t="array" ref="A4040">IFERROR(
  INDEX('Starlink Launches'!$A:$A, MATCH($E4040, 'Starlink Launches'!$B:$B, 0)),
  ""
)
</f>
        <v>10-37</v>
      </c>
      <c r="B4040" s="9" t="s">
        <v>25</v>
      </c>
      <c r="C4040" s="18" t="s">
        <v>4060</v>
      </c>
      <c r="D4040" s="19">
        <v>66262.0</v>
      </c>
      <c r="E4040" s="10">
        <v>45959.0</v>
      </c>
      <c r="F4040" s="4" t="str">
        <f>IF(D4040="","", IFNA(VLOOKUP(D4040, SATCAT_DECAY!A:B, 2, FALSE), ""))
</f>
        <v/>
      </c>
      <c r="G4040" s="9" t="str">
        <f t="shared" si="1"/>
        <v>ACTIVE</v>
      </c>
    </row>
    <row r="4041" ht="22.5" customHeight="1">
      <c r="A4041" s="11" t="str">
        <f t="array" ref="A4041">IFERROR(
  INDEX('Starlink Launches'!$A:$A, MATCH($E4041, 'Starlink Launches'!$B:$B, 0)),
  ""
)
</f>
        <v>11-1</v>
      </c>
      <c r="B4041" s="3" t="s">
        <v>25</v>
      </c>
      <c r="C4041" s="12" t="s">
        <v>4061</v>
      </c>
      <c r="D4041" s="13">
        <v>60355.0</v>
      </c>
      <c r="E4041" s="4">
        <v>45508.0</v>
      </c>
      <c r="F4041" s="4" t="str">
        <f>IF(D4041="","", IFNA(VLOOKUP(D4041, SATCAT_DECAY!A:B, 2, FALSE), ""))
</f>
        <v/>
      </c>
      <c r="G4041" s="3" t="str">
        <f t="shared" si="1"/>
        <v>ACTIVE</v>
      </c>
    </row>
    <row r="4042" ht="22.5" customHeight="1">
      <c r="A4042" s="11" t="str">
        <f t="array" ref="A4042">IFERROR(
  INDEX('Starlink Launches'!$A:$A, MATCH($E4042, 'Starlink Launches'!$B:$B, 0)),
  ""
)
</f>
        <v>11-1</v>
      </c>
      <c r="B4042" s="3" t="s">
        <v>25</v>
      </c>
      <c r="C4042" s="12" t="s">
        <v>4062</v>
      </c>
      <c r="D4042" s="13">
        <v>60356.0</v>
      </c>
      <c r="E4042" s="4">
        <v>45508.0</v>
      </c>
      <c r="F4042" s="4" t="str">
        <f>IF(D4042="","", IFNA(VLOOKUP(D4042, SATCAT_DECAY!A:B, 2, FALSE), ""))
</f>
        <v/>
      </c>
      <c r="G4042" s="3" t="str">
        <f t="shared" si="1"/>
        <v>ACTIVE</v>
      </c>
    </row>
    <row r="4043" ht="22.5" customHeight="1">
      <c r="A4043" s="11" t="str">
        <f t="array" ref="A4043">IFERROR(
  INDEX('Starlink Launches'!$A:$A, MATCH($E4043, 'Starlink Launches'!$B:$B, 0)),
  ""
)
</f>
        <v>11-1</v>
      </c>
      <c r="B4043" s="3" t="s">
        <v>25</v>
      </c>
      <c r="C4043" s="12" t="s">
        <v>4063</v>
      </c>
      <c r="D4043" s="13">
        <v>60358.0</v>
      </c>
      <c r="E4043" s="4">
        <v>45508.0</v>
      </c>
      <c r="F4043" s="4" t="str">
        <f>IF(D4043="","", IFNA(VLOOKUP(D4043, SATCAT_DECAY!A:B, 2, FALSE), ""))
</f>
        <v/>
      </c>
      <c r="G4043" s="3" t="str">
        <f t="shared" si="1"/>
        <v>ACTIVE</v>
      </c>
    </row>
    <row r="4044" ht="22.5" customHeight="1">
      <c r="A4044" s="11" t="str">
        <f t="array" ref="A4044">IFERROR(
  INDEX('Starlink Launches'!$A:$A, MATCH($E4044, 'Starlink Launches'!$B:$B, 0)),
  ""
)
</f>
        <v>11-1</v>
      </c>
      <c r="B4044" s="3" t="s">
        <v>25</v>
      </c>
      <c r="C4044" s="12" t="s">
        <v>4064</v>
      </c>
      <c r="D4044" s="13">
        <v>60359.0</v>
      </c>
      <c r="E4044" s="4">
        <v>45508.0</v>
      </c>
      <c r="F4044" s="4" t="str">
        <f>IF(D4044="","", IFNA(VLOOKUP(D4044, SATCAT_DECAY!A:B, 2, FALSE), ""))
</f>
        <v/>
      </c>
      <c r="G4044" s="3" t="str">
        <f t="shared" si="1"/>
        <v>ACTIVE</v>
      </c>
    </row>
    <row r="4045" ht="22.5" customHeight="1">
      <c r="A4045" s="11" t="str">
        <f t="array" ref="A4045">IFERROR(
  INDEX('Starlink Launches'!$A:$A, MATCH($E4045, 'Starlink Launches'!$B:$B, 0)),
  ""
)
</f>
        <v>11-1</v>
      </c>
      <c r="B4045" s="3" t="s">
        <v>25</v>
      </c>
      <c r="C4045" s="12" t="s">
        <v>4065</v>
      </c>
      <c r="D4045" s="13">
        <v>60360.0</v>
      </c>
      <c r="E4045" s="4">
        <v>45508.0</v>
      </c>
      <c r="F4045" s="4" t="str">
        <f>IF(D4045="","", IFNA(VLOOKUP(D4045, SATCAT_DECAY!A:B, 2, FALSE), ""))
</f>
        <v/>
      </c>
      <c r="G4045" s="3" t="str">
        <f t="shared" si="1"/>
        <v>ACTIVE</v>
      </c>
    </row>
    <row r="4046" ht="22.5" customHeight="1">
      <c r="A4046" s="11" t="str">
        <f t="array" ref="A4046">IFERROR(
  INDEX('Starlink Launches'!$A:$A, MATCH($E4046, 'Starlink Launches'!$B:$B, 0)),
  ""
)
</f>
        <v>11-1</v>
      </c>
      <c r="B4046" s="3" t="s">
        <v>25</v>
      </c>
      <c r="C4046" s="12" t="s">
        <v>4066</v>
      </c>
      <c r="D4046" s="13">
        <v>60361.0</v>
      </c>
      <c r="E4046" s="4">
        <v>45508.0</v>
      </c>
      <c r="F4046" s="4" t="str">
        <f>IF(D4046="","", IFNA(VLOOKUP(D4046, SATCAT_DECAY!A:B, 2, FALSE), ""))
</f>
        <v/>
      </c>
      <c r="G4046" s="3" t="str">
        <f t="shared" si="1"/>
        <v>ACTIVE</v>
      </c>
    </row>
    <row r="4047" ht="22.5" customHeight="1">
      <c r="A4047" s="11" t="str">
        <f t="array" ref="A4047">IFERROR(
  INDEX('Starlink Launches'!$A:$A, MATCH($E4047, 'Starlink Launches'!$B:$B, 0)),
  ""
)
</f>
        <v>11-1</v>
      </c>
      <c r="B4047" s="3" t="s">
        <v>25</v>
      </c>
      <c r="C4047" s="12" t="s">
        <v>4067</v>
      </c>
      <c r="D4047" s="13">
        <v>60362.0</v>
      </c>
      <c r="E4047" s="4">
        <v>45508.0</v>
      </c>
      <c r="F4047" s="4" t="str">
        <f>IF(D4047="","", IFNA(VLOOKUP(D4047, SATCAT_DECAY!A:B, 2, FALSE), ""))
</f>
        <v/>
      </c>
      <c r="G4047" s="3" t="str">
        <f t="shared" si="1"/>
        <v>ACTIVE</v>
      </c>
    </row>
    <row r="4048" ht="22.5" customHeight="1">
      <c r="A4048" s="11" t="str">
        <f t="array" ref="A4048">IFERROR(
  INDEX('Starlink Launches'!$A:$A, MATCH($E4048, 'Starlink Launches'!$B:$B, 0)),
  ""
)
</f>
        <v>11-1</v>
      </c>
      <c r="B4048" s="3" t="s">
        <v>25</v>
      </c>
      <c r="C4048" s="12" t="s">
        <v>4068</v>
      </c>
      <c r="D4048" s="13">
        <v>60363.0</v>
      </c>
      <c r="E4048" s="4">
        <v>45508.0</v>
      </c>
      <c r="F4048" s="4" t="str">
        <f>IF(D4048="","", IFNA(VLOOKUP(D4048, SATCAT_DECAY!A:B, 2, FALSE), ""))
</f>
        <v/>
      </c>
      <c r="G4048" s="3" t="str">
        <f t="shared" si="1"/>
        <v>ACTIVE</v>
      </c>
    </row>
    <row r="4049" ht="22.5" customHeight="1">
      <c r="A4049" s="11" t="str">
        <f t="array" ref="A4049">IFERROR(
  INDEX('Starlink Launches'!$A:$A, MATCH($E4049, 'Starlink Launches'!$B:$B, 0)),
  ""
)
</f>
        <v>11-1</v>
      </c>
      <c r="B4049" s="3" t="s">
        <v>25</v>
      </c>
      <c r="C4049" s="12" t="s">
        <v>4069</v>
      </c>
      <c r="D4049" s="13">
        <v>60364.0</v>
      </c>
      <c r="E4049" s="4">
        <v>45508.0</v>
      </c>
      <c r="F4049" s="4" t="str">
        <f>IF(D4049="","", IFNA(VLOOKUP(D4049, SATCAT_DECAY!A:B, 2, FALSE), ""))
</f>
        <v/>
      </c>
      <c r="G4049" s="3" t="str">
        <f t="shared" si="1"/>
        <v>ACTIVE</v>
      </c>
    </row>
    <row r="4050" ht="22.5" customHeight="1">
      <c r="A4050" s="11" t="str">
        <f t="array" ref="A4050">IFERROR(
  INDEX('Starlink Launches'!$A:$A, MATCH($E4050, 'Starlink Launches'!$B:$B, 0)),
  ""
)
</f>
        <v>11-1</v>
      </c>
      <c r="B4050" s="3" t="s">
        <v>25</v>
      </c>
      <c r="C4050" s="12" t="s">
        <v>4070</v>
      </c>
      <c r="D4050" s="13">
        <v>60365.0</v>
      </c>
      <c r="E4050" s="4">
        <v>45508.0</v>
      </c>
      <c r="F4050" s="4" t="str">
        <f>IF(D4050="","", IFNA(VLOOKUP(D4050, SATCAT_DECAY!A:B, 2, FALSE), ""))
</f>
        <v/>
      </c>
      <c r="G4050" s="3" t="str">
        <f t="shared" si="1"/>
        <v>ACTIVE</v>
      </c>
    </row>
    <row r="4051" ht="22.5" customHeight="1">
      <c r="A4051" s="11" t="str">
        <f t="array" ref="A4051">IFERROR(
  INDEX('Starlink Launches'!$A:$A, MATCH($E4051, 'Starlink Launches'!$B:$B, 0)),
  ""
)
</f>
        <v>11-1</v>
      </c>
      <c r="B4051" s="3" t="s">
        <v>25</v>
      </c>
      <c r="C4051" s="12" t="s">
        <v>4071</v>
      </c>
      <c r="D4051" s="13">
        <v>60366.0</v>
      </c>
      <c r="E4051" s="4">
        <v>45508.0</v>
      </c>
      <c r="F4051" s="4" t="str">
        <f>IF(D4051="","", IFNA(VLOOKUP(D4051, SATCAT_DECAY!A:B, 2, FALSE), ""))
</f>
        <v/>
      </c>
      <c r="G4051" s="3" t="str">
        <f t="shared" si="1"/>
        <v>ACTIVE</v>
      </c>
    </row>
    <row r="4052" ht="22.5" customHeight="1">
      <c r="A4052" s="11" t="str">
        <f t="array" ref="A4052">IFERROR(
  INDEX('Starlink Launches'!$A:$A, MATCH($E4052, 'Starlink Launches'!$B:$B, 0)),
  ""
)
</f>
        <v>11-1</v>
      </c>
      <c r="B4052" s="3" t="s">
        <v>25</v>
      </c>
      <c r="C4052" s="12" t="s">
        <v>4072</v>
      </c>
      <c r="D4052" s="13">
        <v>60367.0</v>
      </c>
      <c r="E4052" s="4">
        <v>45508.0</v>
      </c>
      <c r="F4052" s="4" t="str">
        <f>IF(D4052="","", IFNA(VLOOKUP(D4052, SATCAT_DECAY!A:B, 2, FALSE), ""))
</f>
        <v/>
      </c>
      <c r="G4052" s="3" t="str">
        <f t="shared" si="1"/>
        <v>ACTIVE</v>
      </c>
    </row>
    <row r="4053" ht="22.5" customHeight="1">
      <c r="A4053" s="11" t="str">
        <f t="array" ref="A4053">IFERROR(
  INDEX('Starlink Launches'!$A:$A, MATCH($E4053, 'Starlink Launches'!$B:$B, 0)),
  ""
)
</f>
        <v>11-1</v>
      </c>
      <c r="B4053" s="3" t="s">
        <v>25</v>
      </c>
      <c r="C4053" s="12" t="s">
        <v>4073</v>
      </c>
      <c r="D4053" s="13">
        <v>60368.0</v>
      </c>
      <c r="E4053" s="4">
        <v>45508.0</v>
      </c>
      <c r="F4053" s="4" t="str">
        <f>IF(D4053="","", IFNA(VLOOKUP(D4053, SATCAT_DECAY!A:B, 2, FALSE), ""))
</f>
        <v/>
      </c>
      <c r="G4053" s="3" t="str">
        <f t="shared" si="1"/>
        <v>ACTIVE</v>
      </c>
    </row>
    <row r="4054" ht="22.5" customHeight="1">
      <c r="A4054" s="11" t="str">
        <f t="array" ref="A4054">IFERROR(
  INDEX('Starlink Launches'!$A:$A, MATCH($E4054, 'Starlink Launches'!$B:$B, 0)),
  ""
)
</f>
        <v>11-1</v>
      </c>
      <c r="B4054" s="3" t="s">
        <v>25</v>
      </c>
      <c r="C4054" s="12" t="s">
        <v>4074</v>
      </c>
      <c r="D4054" s="13">
        <v>60369.0</v>
      </c>
      <c r="E4054" s="4">
        <v>45508.0</v>
      </c>
      <c r="F4054" s="4" t="str">
        <f>IF(D4054="","", IFNA(VLOOKUP(D4054, SATCAT_DECAY!A:B, 2, FALSE), ""))
</f>
        <v/>
      </c>
      <c r="G4054" s="3" t="str">
        <f t="shared" si="1"/>
        <v>ACTIVE</v>
      </c>
    </row>
    <row r="4055" ht="22.5" customHeight="1">
      <c r="A4055" s="11" t="str">
        <f t="array" ref="A4055">IFERROR(
  INDEX('Starlink Launches'!$A:$A, MATCH($E4055, 'Starlink Launches'!$B:$B, 0)),
  ""
)
</f>
        <v>11-1</v>
      </c>
      <c r="B4055" s="3" t="s">
        <v>25</v>
      </c>
      <c r="C4055" s="12" t="s">
        <v>4075</v>
      </c>
      <c r="D4055" s="13">
        <v>60370.0</v>
      </c>
      <c r="E4055" s="4">
        <v>45508.0</v>
      </c>
      <c r="F4055" s="4" t="str">
        <f>IF(D4055="","", IFNA(VLOOKUP(D4055, SATCAT_DECAY!A:B, 2, FALSE), ""))
</f>
        <v/>
      </c>
      <c r="G4055" s="3" t="str">
        <f t="shared" si="1"/>
        <v>ACTIVE</v>
      </c>
    </row>
    <row r="4056" ht="22.5" customHeight="1">
      <c r="A4056" s="11" t="str">
        <f t="array" ref="A4056">IFERROR(
  INDEX('Starlink Launches'!$A:$A, MATCH($E4056, 'Starlink Launches'!$B:$B, 0)),
  ""
)
</f>
        <v>11-1</v>
      </c>
      <c r="B4056" s="3" t="s">
        <v>25</v>
      </c>
      <c r="C4056" s="12" t="s">
        <v>4076</v>
      </c>
      <c r="D4056" s="13">
        <v>60371.0</v>
      </c>
      <c r="E4056" s="4">
        <v>45508.0</v>
      </c>
      <c r="F4056" s="4" t="str">
        <f>IF(D4056="","", IFNA(VLOOKUP(D4056, SATCAT_DECAY!A:B, 2, FALSE), ""))
</f>
        <v/>
      </c>
      <c r="G4056" s="3" t="str">
        <f t="shared" si="1"/>
        <v>ACTIVE</v>
      </c>
    </row>
    <row r="4057" ht="22.5" customHeight="1">
      <c r="A4057" s="11" t="str">
        <f t="array" ref="A4057">IFERROR(
  INDEX('Starlink Launches'!$A:$A, MATCH($E4057, 'Starlink Launches'!$B:$B, 0)),
  ""
)
</f>
        <v>11-1</v>
      </c>
      <c r="B4057" s="3" t="s">
        <v>25</v>
      </c>
      <c r="C4057" s="12" t="s">
        <v>4077</v>
      </c>
      <c r="D4057" s="13">
        <v>60372.0</v>
      </c>
      <c r="E4057" s="4">
        <v>45508.0</v>
      </c>
      <c r="F4057" s="4" t="str">
        <f>IF(D4057="","", IFNA(VLOOKUP(D4057, SATCAT_DECAY!A:B, 2, FALSE), ""))
</f>
        <v/>
      </c>
      <c r="G4057" s="3" t="str">
        <f t="shared" si="1"/>
        <v>ACTIVE</v>
      </c>
    </row>
    <row r="4058" ht="22.5" customHeight="1">
      <c r="A4058" s="11" t="str">
        <f t="array" ref="A4058">IFERROR(
  INDEX('Starlink Launches'!$A:$A, MATCH($E4058, 'Starlink Launches'!$B:$B, 0)),
  ""
)
</f>
        <v>11-1</v>
      </c>
      <c r="B4058" s="3" t="s">
        <v>25</v>
      </c>
      <c r="C4058" s="12" t="s">
        <v>4078</v>
      </c>
      <c r="D4058" s="13">
        <v>60373.0</v>
      </c>
      <c r="E4058" s="4">
        <v>45508.0</v>
      </c>
      <c r="F4058" s="4" t="str">
        <f>IF(D4058="","", IFNA(VLOOKUP(D4058, SATCAT_DECAY!A:B, 2, FALSE), ""))
</f>
        <v/>
      </c>
      <c r="G4058" s="3" t="str">
        <f t="shared" si="1"/>
        <v>ACTIVE</v>
      </c>
    </row>
    <row r="4059" ht="22.5" customHeight="1">
      <c r="A4059" s="11" t="str">
        <f t="array" ref="A4059">IFERROR(
  INDEX('Starlink Launches'!$A:$A, MATCH($E4059, 'Starlink Launches'!$B:$B, 0)),
  ""
)
</f>
        <v>11-1</v>
      </c>
      <c r="B4059" s="3" t="s">
        <v>25</v>
      </c>
      <c r="C4059" s="12" t="s">
        <v>4079</v>
      </c>
      <c r="D4059" s="13">
        <v>60374.0</v>
      </c>
      <c r="E4059" s="4">
        <v>45508.0</v>
      </c>
      <c r="F4059" s="4" t="str">
        <f>IF(D4059="","", IFNA(VLOOKUP(D4059, SATCAT_DECAY!A:B, 2, FALSE), ""))
</f>
        <v/>
      </c>
      <c r="G4059" s="3" t="str">
        <f t="shared" si="1"/>
        <v>ACTIVE</v>
      </c>
    </row>
    <row r="4060" ht="22.5" customHeight="1">
      <c r="A4060" s="11" t="str">
        <f t="array" ref="A4060">IFERROR(
  INDEX('Starlink Launches'!$A:$A, MATCH($E4060, 'Starlink Launches'!$B:$B, 0)),
  ""
)
</f>
        <v>11-1</v>
      </c>
      <c r="B4060" s="3" t="s">
        <v>25</v>
      </c>
      <c r="C4060" s="12" t="s">
        <v>4080</v>
      </c>
      <c r="D4060" s="13">
        <v>60375.0</v>
      </c>
      <c r="E4060" s="4">
        <v>45508.0</v>
      </c>
      <c r="F4060" s="4" t="str">
        <f>IF(D4060="","", IFNA(VLOOKUP(D4060, SATCAT_DECAY!A:B, 2, FALSE), ""))
</f>
        <v/>
      </c>
      <c r="G4060" s="3" t="str">
        <f t="shared" si="1"/>
        <v>ACTIVE</v>
      </c>
    </row>
    <row r="4061" ht="22.5" customHeight="1">
      <c r="A4061" s="11" t="str">
        <f t="array" ref="A4061">IFERROR(
  INDEX('Starlink Launches'!$A:$A, MATCH($E4061, 'Starlink Launches'!$B:$B, 0)),
  ""
)
</f>
        <v>11-1</v>
      </c>
      <c r="B4061" s="3" t="s">
        <v>25</v>
      </c>
      <c r="C4061" s="12" t="s">
        <v>4081</v>
      </c>
      <c r="D4061" s="13">
        <v>60376.0</v>
      </c>
      <c r="E4061" s="4">
        <v>45508.0</v>
      </c>
      <c r="F4061" s="4" t="str">
        <f>IF(D4061="","", IFNA(VLOOKUP(D4061, SATCAT_DECAY!A:B, 2, FALSE), ""))
</f>
        <v/>
      </c>
      <c r="G4061" s="3" t="str">
        <f t="shared" si="1"/>
        <v>ACTIVE</v>
      </c>
    </row>
    <row r="4062" ht="22.5" customHeight="1">
      <c r="A4062" s="11" t="str">
        <f t="array" ref="A4062">IFERROR(
  INDEX('Starlink Launches'!$A:$A, MATCH($E4062, 'Starlink Launches'!$B:$B, 0)),
  ""
)
</f>
        <v>11-1</v>
      </c>
      <c r="B4062" s="3" t="s">
        <v>25</v>
      </c>
      <c r="C4062" s="12" t="s">
        <v>4082</v>
      </c>
      <c r="D4062" s="13">
        <v>60377.0</v>
      </c>
      <c r="E4062" s="4">
        <v>45508.0</v>
      </c>
      <c r="F4062" s="4" t="str">
        <f>IF(D4062="","", IFNA(VLOOKUP(D4062, SATCAT_DECAY!A:B, 2, FALSE), ""))
</f>
        <v/>
      </c>
      <c r="G4062" s="3" t="str">
        <f t="shared" si="1"/>
        <v>ACTIVE</v>
      </c>
    </row>
    <row r="4063" ht="22.5" customHeight="1">
      <c r="A4063" s="11" t="str">
        <f t="array" ref="A4063">IFERROR(
  INDEX('Starlink Launches'!$A:$A, MATCH($E4063, 'Starlink Launches'!$B:$B, 0)),
  ""
)
</f>
        <v>11-2</v>
      </c>
      <c r="B4063" s="3" t="s">
        <v>25</v>
      </c>
      <c r="C4063" s="12" t="s">
        <v>4083</v>
      </c>
      <c r="D4063" s="13">
        <v>62301.0</v>
      </c>
      <c r="E4063" s="4">
        <v>45639.0</v>
      </c>
      <c r="F4063" s="4" t="str">
        <f>IF(D4063="","", IFNA(VLOOKUP(D4063, SATCAT_DECAY!A:B, 2, FALSE), ""))
</f>
        <v/>
      </c>
      <c r="G4063" s="3" t="str">
        <f t="shared" si="1"/>
        <v>ACTIVE</v>
      </c>
    </row>
    <row r="4064" ht="22.5" customHeight="1">
      <c r="A4064" s="11" t="str">
        <f t="array" ref="A4064">IFERROR(
  INDEX('Starlink Launches'!$A:$A, MATCH($E4064, 'Starlink Launches'!$B:$B, 0)),
  ""
)
</f>
        <v>11-2</v>
      </c>
      <c r="B4064" s="3" t="s">
        <v>25</v>
      </c>
      <c r="C4064" s="12" t="s">
        <v>4084</v>
      </c>
      <c r="D4064" s="13">
        <v>62302.0</v>
      </c>
      <c r="E4064" s="4">
        <v>45639.0</v>
      </c>
      <c r="F4064" s="4" t="str">
        <f>IF(D4064="","", IFNA(VLOOKUP(D4064, SATCAT_DECAY!A:B, 2, FALSE), ""))
</f>
        <v/>
      </c>
      <c r="G4064" s="3" t="str">
        <f t="shared" si="1"/>
        <v>ACTIVE</v>
      </c>
    </row>
    <row r="4065" ht="22.5" customHeight="1">
      <c r="A4065" s="11" t="str">
        <f t="array" ref="A4065">IFERROR(
  INDEX('Starlink Launches'!$A:$A, MATCH($E4065, 'Starlink Launches'!$B:$B, 0)),
  ""
)
</f>
        <v>11-2</v>
      </c>
      <c r="B4065" s="3" t="s">
        <v>25</v>
      </c>
      <c r="C4065" s="12" t="s">
        <v>4085</v>
      </c>
      <c r="D4065" s="13">
        <v>62303.0</v>
      </c>
      <c r="E4065" s="4">
        <v>45639.0</v>
      </c>
      <c r="F4065" s="4" t="str">
        <f>IF(D4065="","", IFNA(VLOOKUP(D4065, SATCAT_DECAY!A:B, 2, FALSE), ""))
</f>
        <v/>
      </c>
      <c r="G4065" s="3" t="str">
        <f t="shared" si="1"/>
        <v>ACTIVE</v>
      </c>
    </row>
    <row r="4066" ht="22.5" customHeight="1">
      <c r="A4066" s="11" t="str">
        <f t="array" ref="A4066">IFERROR(
  INDEX('Starlink Launches'!$A:$A, MATCH($E4066, 'Starlink Launches'!$B:$B, 0)),
  ""
)
</f>
        <v>11-2</v>
      </c>
      <c r="B4066" s="3" t="s">
        <v>25</v>
      </c>
      <c r="C4066" s="12" t="s">
        <v>4086</v>
      </c>
      <c r="D4066" s="13">
        <v>62304.0</v>
      </c>
      <c r="E4066" s="4">
        <v>45639.0</v>
      </c>
      <c r="F4066" s="4" t="str">
        <f>IF(D4066="","", IFNA(VLOOKUP(D4066, SATCAT_DECAY!A:B, 2, FALSE), ""))
</f>
        <v/>
      </c>
      <c r="G4066" s="3" t="str">
        <f t="shared" si="1"/>
        <v>ACTIVE</v>
      </c>
    </row>
    <row r="4067" ht="22.5" customHeight="1">
      <c r="A4067" s="11" t="str">
        <f t="array" ref="A4067">IFERROR(
  INDEX('Starlink Launches'!$A:$A, MATCH($E4067, 'Starlink Launches'!$B:$B, 0)),
  ""
)
</f>
        <v>11-2</v>
      </c>
      <c r="B4067" s="3" t="s">
        <v>25</v>
      </c>
      <c r="C4067" s="12" t="s">
        <v>4087</v>
      </c>
      <c r="D4067" s="13">
        <v>62305.0</v>
      </c>
      <c r="E4067" s="4">
        <v>45639.0</v>
      </c>
      <c r="F4067" s="4" t="str">
        <f>IF(D4067="","", IFNA(VLOOKUP(D4067, SATCAT_DECAY!A:B, 2, FALSE), ""))
</f>
        <v/>
      </c>
      <c r="G4067" s="3" t="str">
        <f t="shared" si="1"/>
        <v>ACTIVE</v>
      </c>
    </row>
    <row r="4068" ht="22.5" customHeight="1">
      <c r="A4068" s="11" t="str">
        <f t="array" ref="A4068">IFERROR(
  INDEX('Starlink Launches'!$A:$A, MATCH($E4068, 'Starlink Launches'!$B:$B, 0)),
  ""
)
</f>
        <v>11-2</v>
      </c>
      <c r="B4068" s="3" t="s">
        <v>25</v>
      </c>
      <c r="C4068" s="12" t="s">
        <v>4088</v>
      </c>
      <c r="D4068" s="13">
        <v>62306.0</v>
      </c>
      <c r="E4068" s="4">
        <v>45639.0</v>
      </c>
      <c r="F4068" s="4" t="str">
        <f>IF(D4068="","", IFNA(VLOOKUP(D4068, SATCAT_DECAY!A:B, 2, FALSE), ""))
</f>
        <v/>
      </c>
      <c r="G4068" s="3" t="str">
        <f t="shared" si="1"/>
        <v>ACTIVE</v>
      </c>
    </row>
    <row r="4069" ht="22.5" customHeight="1">
      <c r="A4069" s="11" t="str">
        <f t="array" ref="A4069">IFERROR(
  INDEX('Starlink Launches'!$A:$A, MATCH($E4069, 'Starlink Launches'!$B:$B, 0)),
  ""
)
</f>
        <v>11-2</v>
      </c>
      <c r="B4069" s="3" t="s">
        <v>25</v>
      </c>
      <c r="C4069" s="12" t="s">
        <v>4089</v>
      </c>
      <c r="D4069" s="13">
        <v>62307.0</v>
      </c>
      <c r="E4069" s="4">
        <v>45639.0</v>
      </c>
      <c r="F4069" s="4" t="str">
        <f>IF(D4069="","", IFNA(VLOOKUP(D4069, SATCAT_DECAY!A:B, 2, FALSE), ""))
</f>
        <v/>
      </c>
      <c r="G4069" s="3" t="str">
        <f t="shared" si="1"/>
        <v>ACTIVE</v>
      </c>
    </row>
    <row r="4070" ht="22.5" customHeight="1">
      <c r="A4070" s="11" t="str">
        <f t="array" ref="A4070">IFERROR(
  INDEX('Starlink Launches'!$A:$A, MATCH($E4070, 'Starlink Launches'!$B:$B, 0)),
  ""
)
</f>
        <v>11-2</v>
      </c>
      <c r="B4070" s="3" t="s">
        <v>25</v>
      </c>
      <c r="C4070" s="12" t="s">
        <v>4090</v>
      </c>
      <c r="D4070" s="13">
        <v>62308.0</v>
      </c>
      <c r="E4070" s="4">
        <v>45639.0</v>
      </c>
      <c r="F4070" s="4" t="str">
        <f>IF(D4070="","", IFNA(VLOOKUP(D4070, SATCAT_DECAY!A:B, 2, FALSE), ""))
</f>
        <v/>
      </c>
      <c r="G4070" s="3" t="str">
        <f t="shared" si="1"/>
        <v>ACTIVE</v>
      </c>
    </row>
    <row r="4071" ht="22.5" customHeight="1">
      <c r="A4071" s="11" t="str">
        <f t="array" ref="A4071">IFERROR(
  INDEX('Starlink Launches'!$A:$A, MATCH($E4071, 'Starlink Launches'!$B:$B, 0)),
  ""
)
</f>
        <v>11-2</v>
      </c>
      <c r="B4071" s="3" t="s">
        <v>25</v>
      </c>
      <c r="C4071" s="12" t="s">
        <v>4091</v>
      </c>
      <c r="D4071" s="13">
        <v>62309.0</v>
      </c>
      <c r="E4071" s="4">
        <v>45639.0</v>
      </c>
      <c r="F4071" s="4" t="str">
        <f>IF(D4071="","", IFNA(VLOOKUP(D4071, SATCAT_DECAY!A:B, 2, FALSE), ""))
</f>
        <v/>
      </c>
      <c r="G4071" s="3" t="str">
        <f t="shared" si="1"/>
        <v>ACTIVE</v>
      </c>
    </row>
    <row r="4072" ht="22.5" customHeight="1">
      <c r="A4072" s="11" t="str">
        <f t="array" ref="A4072">IFERROR(
  INDEX('Starlink Launches'!$A:$A, MATCH($E4072, 'Starlink Launches'!$B:$B, 0)),
  ""
)
</f>
        <v>11-2</v>
      </c>
      <c r="B4072" s="3" t="s">
        <v>25</v>
      </c>
      <c r="C4072" s="12" t="s">
        <v>4092</v>
      </c>
      <c r="D4072" s="13">
        <v>62310.0</v>
      </c>
      <c r="E4072" s="4">
        <v>45639.0</v>
      </c>
      <c r="F4072" s="4" t="str">
        <f>IF(D4072="","", IFNA(VLOOKUP(D4072, SATCAT_DECAY!A:B, 2, FALSE), ""))
</f>
        <v/>
      </c>
      <c r="G4072" s="3" t="str">
        <f t="shared" si="1"/>
        <v>ACTIVE</v>
      </c>
    </row>
    <row r="4073" ht="22.5" customHeight="1">
      <c r="A4073" s="11" t="str">
        <f t="array" ref="A4073">IFERROR(
  INDEX('Starlink Launches'!$A:$A, MATCH($E4073, 'Starlink Launches'!$B:$B, 0)),
  ""
)
</f>
        <v>11-2</v>
      </c>
      <c r="B4073" s="3" t="s">
        <v>25</v>
      </c>
      <c r="C4073" s="12" t="s">
        <v>4093</v>
      </c>
      <c r="D4073" s="13">
        <v>62311.0</v>
      </c>
      <c r="E4073" s="4">
        <v>45639.0</v>
      </c>
      <c r="F4073" s="4" t="str">
        <f>IF(D4073="","", IFNA(VLOOKUP(D4073, SATCAT_DECAY!A:B, 2, FALSE), ""))
</f>
        <v/>
      </c>
      <c r="G4073" s="3" t="str">
        <f t="shared" si="1"/>
        <v>ACTIVE</v>
      </c>
    </row>
    <row r="4074" ht="22.5" customHeight="1">
      <c r="A4074" s="11" t="str">
        <f t="array" ref="A4074">IFERROR(
  INDEX('Starlink Launches'!$A:$A, MATCH($E4074, 'Starlink Launches'!$B:$B, 0)),
  ""
)
</f>
        <v>11-2</v>
      </c>
      <c r="B4074" s="3" t="s">
        <v>25</v>
      </c>
      <c r="C4074" s="12" t="s">
        <v>4094</v>
      </c>
      <c r="D4074" s="13">
        <v>62312.0</v>
      </c>
      <c r="E4074" s="4">
        <v>45639.0</v>
      </c>
      <c r="F4074" s="4" t="str">
        <f>IF(D4074="","", IFNA(VLOOKUP(D4074, SATCAT_DECAY!A:B, 2, FALSE), ""))
</f>
        <v/>
      </c>
      <c r="G4074" s="3" t="str">
        <f t="shared" si="1"/>
        <v>ACTIVE</v>
      </c>
    </row>
    <row r="4075" ht="22.5" customHeight="1">
      <c r="A4075" s="11" t="str">
        <f t="array" ref="A4075">IFERROR(
  INDEX('Starlink Launches'!$A:$A, MATCH($E4075, 'Starlink Launches'!$B:$B, 0)),
  ""
)
</f>
        <v>11-2</v>
      </c>
      <c r="B4075" s="3" t="s">
        <v>25</v>
      </c>
      <c r="C4075" s="12" t="s">
        <v>4095</v>
      </c>
      <c r="D4075" s="13">
        <v>62313.0</v>
      </c>
      <c r="E4075" s="4">
        <v>45639.0</v>
      </c>
      <c r="F4075" s="4" t="str">
        <f>IF(D4075="","", IFNA(VLOOKUP(D4075, SATCAT_DECAY!A:B, 2, FALSE), ""))
</f>
        <v/>
      </c>
      <c r="G4075" s="3" t="str">
        <f t="shared" si="1"/>
        <v>ACTIVE</v>
      </c>
    </row>
    <row r="4076" ht="22.5" customHeight="1">
      <c r="A4076" s="11" t="str">
        <f t="array" ref="A4076">IFERROR(
  INDEX('Starlink Launches'!$A:$A, MATCH($E4076, 'Starlink Launches'!$B:$B, 0)),
  ""
)
</f>
        <v>11-2</v>
      </c>
      <c r="B4076" s="3" t="s">
        <v>25</v>
      </c>
      <c r="C4076" s="12" t="s">
        <v>4096</v>
      </c>
      <c r="D4076" s="13">
        <v>62314.0</v>
      </c>
      <c r="E4076" s="4">
        <v>45639.0</v>
      </c>
      <c r="F4076" s="4" t="str">
        <f>IF(D4076="","", IFNA(VLOOKUP(D4076, SATCAT_DECAY!A:B, 2, FALSE), ""))
</f>
        <v/>
      </c>
      <c r="G4076" s="3" t="str">
        <f t="shared" si="1"/>
        <v>ACTIVE</v>
      </c>
    </row>
    <row r="4077" ht="22.5" customHeight="1">
      <c r="A4077" s="11" t="str">
        <f t="array" ref="A4077">IFERROR(
  INDEX('Starlink Launches'!$A:$A, MATCH($E4077, 'Starlink Launches'!$B:$B, 0)),
  ""
)
</f>
        <v>11-2</v>
      </c>
      <c r="B4077" s="3" t="s">
        <v>25</v>
      </c>
      <c r="C4077" s="12" t="s">
        <v>4097</v>
      </c>
      <c r="D4077" s="13">
        <v>62315.0</v>
      </c>
      <c r="E4077" s="4">
        <v>45639.0</v>
      </c>
      <c r="F4077" s="4" t="str">
        <f>IF(D4077="","", IFNA(VLOOKUP(D4077, SATCAT_DECAY!A:B, 2, FALSE), ""))
</f>
        <v/>
      </c>
      <c r="G4077" s="3" t="str">
        <f t="shared" si="1"/>
        <v>ACTIVE</v>
      </c>
    </row>
    <row r="4078" ht="22.5" customHeight="1">
      <c r="A4078" s="11" t="str">
        <f t="array" ref="A4078">IFERROR(
  INDEX('Starlink Launches'!$A:$A, MATCH($E4078, 'Starlink Launches'!$B:$B, 0)),
  ""
)
</f>
        <v>11-2</v>
      </c>
      <c r="B4078" s="3" t="s">
        <v>25</v>
      </c>
      <c r="C4078" s="12" t="s">
        <v>4098</v>
      </c>
      <c r="D4078" s="13">
        <v>62316.0</v>
      </c>
      <c r="E4078" s="4">
        <v>45639.0</v>
      </c>
      <c r="F4078" s="4" t="str">
        <f>IF(D4078="","", IFNA(VLOOKUP(D4078, SATCAT_DECAY!A:B, 2, FALSE), ""))
</f>
        <v/>
      </c>
      <c r="G4078" s="3" t="str">
        <f t="shared" si="1"/>
        <v>ACTIVE</v>
      </c>
    </row>
    <row r="4079" ht="22.5" customHeight="1">
      <c r="A4079" s="11" t="str">
        <f t="array" ref="A4079">IFERROR(
  INDEX('Starlink Launches'!$A:$A, MATCH($E4079, 'Starlink Launches'!$B:$B, 0)),
  ""
)
</f>
        <v>11-2</v>
      </c>
      <c r="B4079" s="3" t="s">
        <v>25</v>
      </c>
      <c r="C4079" s="12" t="s">
        <v>4099</v>
      </c>
      <c r="D4079" s="13">
        <v>62317.0</v>
      </c>
      <c r="E4079" s="4">
        <v>45639.0</v>
      </c>
      <c r="F4079" s="4" t="str">
        <f>IF(D4079="","", IFNA(VLOOKUP(D4079, SATCAT_DECAY!A:B, 2, FALSE), ""))
</f>
        <v/>
      </c>
      <c r="G4079" s="3" t="str">
        <f t="shared" si="1"/>
        <v>ACTIVE</v>
      </c>
    </row>
    <row r="4080" ht="22.5" customHeight="1">
      <c r="A4080" s="11" t="str">
        <f t="array" ref="A4080">IFERROR(
  INDEX('Starlink Launches'!$A:$A, MATCH($E4080, 'Starlink Launches'!$B:$B, 0)),
  ""
)
</f>
        <v>11-2</v>
      </c>
      <c r="B4080" s="3" t="s">
        <v>25</v>
      </c>
      <c r="C4080" s="12" t="s">
        <v>4100</v>
      </c>
      <c r="D4080" s="13">
        <v>62319.0</v>
      </c>
      <c r="E4080" s="4">
        <v>45639.0</v>
      </c>
      <c r="F4080" s="4" t="str">
        <f>IF(D4080="","", IFNA(VLOOKUP(D4080, SATCAT_DECAY!A:B, 2, FALSE), ""))
</f>
        <v/>
      </c>
      <c r="G4080" s="3" t="str">
        <f t="shared" si="1"/>
        <v>ACTIVE</v>
      </c>
    </row>
    <row r="4081" ht="22.5" customHeight="1">
      <c r="A4081" s="11" t="str">
        <f t="array" ref="A4081">IFERROR(
  INDEX('Starlink Launches'!$A:$A, MATCH($E4081, 'Starlink Launches'!$B:$B, 0)),
  ""
)
</f>
        <v>11-2</v>
      </c>
      <c r="B4081" s="3" t="s">
        <v>25</v>
      </c>
      <c r="C4081" s="12" t="s">
        <v>4101</v>
      </c>
      <c r="D4081" s="13">
        <v>62320.0</v>
      </c>
      <c r="E4081" s="4">
        <v>45639.0</v>
      </c>
      <c r="F4081" s="4" t="str">
        <f>IF(D4081="","", IFNA(VLOOKUP(D4081, SATCAT_DECAY!A:B, 2, FALSE), ""))
</f>
        <v/>
      </c>
      <c r="G4081" s="3" t="str">
        <f t="shared" si="1"/>
        <v>ACTIVE</v>
      </c>
    </row>
    <row r="4082" ht="22.5" customHeight="1">
      <c r="A4082" s="11" t="str">
        <f t="array" ref="A4082">IFERROR(
  INDEX('Starlink Launches'!$A:$A, MATCH($E4082, 'Starlink Launches'!$B:$B, 0)),
  ""
)
</f>
        <v>11-2</v>
      </c>
      <c r="B4082" s="3" t="s">
        <v>25</v>
      </c>
      <c r="C4082" s="12" t="s">
        <v>4102</v>
      </c>
      <c r="D4082" s="13">
        <v>62321.0</v>
      </c>
      <c r="E4082" s="4">
        <v>45639.0</v>
      </c>
      <c r="F4082" s="4" t="str">
        <f>IF(D4082="","", IFNA(VLOOKUP(D4082, SATCAT_DECAY!A:B, 2, FALSE), ""))
</f>
        <v/>
      </c>
      <c r="G4082" s="3" t="str">
        <f t="shared" si="1"/>
        <v>ACTIVE</v>
      </c>
    </row>
    <row r="4083" ht="22.5" customHeight="1">
      <c r="A4083" s="11" t="str">
        <f t="array" ref="A4083">IFERROR(
  INDEX('Starlink Launches'!$A:$A, MATCH($E4083, 'Starlink Launches'!$B:$B, 0)),
  ""
)
</f>
        <v>11-2</v>
      </c>
      <c r="B4083" s="3" t="s">
        <v>25</v>
      </c>
      <c r="C4083" s="12" t="s">
        <v>4103</v>
      </c>
      <c r="D4083" s="13">
        <v>62322.0</v>
      </c>
      <c r="E4083" s="4">
        <v>45639.0</v>
      </c>
      <c r="F4083" s="4" t="str">
        <f>IF(D4083="","", IFNA(VLOOKUP(D4083, SATCAT_DECAY!A:B, 2, FALSE), ""))
</f>
        <v/>
      </c>
      <c r="G4083" s="3" t="str">
        <f t="shared" si="1"/>
        <v>ACTIVE</v>
      </c>
    </row>
    <row r="4084" ht="22.5" customHeight="1">
      <c r="A4084" s="11" t="str">
        <f t="array" ref="A4084">IFERROR(
  INDEX('Starlink Launches'!$A:$A, MATCH($E4084, 'Starlink Launches'!$B:$B, 0)),
  ""
)
</f>
        <v>11-3</v>
      </c>
      <c r="B4084" s="3" t="s">
        <v>25</v>
      </c>
      <c r="C4084" s="12" t="s">
        <v>4104</v>
      </c>
      <c r="D4084" s="13">
        <v>62432.0</v>
      </c>
      <c r="E4084" s="4">
        <v>45655.0</v>
      </c>
      <c r="F4084" s="4" t="str">
        <f>IF(D4084="","", IFNA(VLOOKUP(D4084, SATCAT_DECAY!A:B, 2, FALSE), ""))
</f>
        <v/>
      </c>
      <c r="G4084" s="3" t="str">
        <f t="shared" si="1"/>
        <v>ACTIVE</v>
      </c>
    </row>
    <row r="4085" ht="22.5" customHeight="1">
      <c r="A4085" s="11" t="str">
        <f t="array" ref="A4085">IFERROR(
  INDEX('Starlink Launches'!$A:$A, MATCH($E4085, 'Starlink Launches'!$B:$B, 0)),
  ""
)
</f>
        <v>11-3</v>
      </c>
      <c r="B4085" s="3" t="s">
        <v>25</v>
      </c>
      <c r="C4085" s="12" t="s">
        <v>4105</v>
      </c>
      <c r="D4085" s="13">
        <v>62433.0</v>
      </c>
      <c r="E4085" s="4">
        <v>45655.0</v>
      </c>
      <c r="F4085" s="4" t="str">
        <f>IF(D4085="","", IFNA(VLOOKUP(D4085, SATCAT_DECAY!A:B, 2, FALSE), ""))
</f>
        <v/>
      </c>
      <c r="G4085" s="3" t="str">
        <f t="shared" si="1"/>
        <v>ACTIVE</v>
      </c>
    </row>
    <row r="4086" ht="22.5" customHeight="1">
      <c r="A4086" s="11" t="str">
        <f t="array" ref="A4086">IFERROR(
  INDEX('Starlink Launches'!$A:$A, MATCH($E4086, 'Starlink Launches'!$B:$B, 0)),
  ""
)
</f>
        <v>11-3</v>
      </c>
      <c r="B4086" s="3" t="s">
        <v>25</v>
      </c>
      <c r="C4086" s="12" t="s">
        <v>4106</v>
      </c>
      <c r="D4086" s="13">
        <v>62434.0</v>
      </c>
      <c r="E4086" s="4">
        <v>45655.0</v>
      </c>
      <c r="F4086" s="4" t="str">
        <f>IF(D4086="","", IFNA(VLOOKUP(D4086, SATCAT_DECAY!A:B, 2, FALSE), ""))
</f>
        <v/>
      </c>
      <c r="G4086" s="3" t="str">
        <f t="shared" si="1"/>
        <v>ACTIVE</v>
      </c>
    </row>
    <row r="4087" ht="22.5" customHeight="1">
      <c r="A4087" s="11" t="str">
        <f t="array" ref="A4087">IFERROR(
  INDEX('Starlink Launches'!$A:$A, MATCH($E4087, 'Starlink Launches'!$B:$B, 0)),
  ""
)
</f>
        <v>11-3</v>
      </c>
      <c r="B4087" s="3" t="s">
        <v>25</v>
      </c>
      <c r="C4087" s="12" t="s">
        <v>4107</v>
      </c>
      <c r="D4087" s="13">
        <v>62435.0</v>
      </c>
      <c r="E4087" s="4">
        <v>45655.0</v>
      </c>
      <c r="F4087" s="4" t="str">
        <f>IF(D4087="","", IFNA(VLOOKUP(D4087, SATCAT_DECAY!A:B, 2, FALSE), ""))
</f>
        <v/>
      </c>
      <c r="G4087" s="3" t="str">
        <f t="shared" si="1"/>
        <v>ACTIVE</v>
      </c>
    </row>
    <row r="4088" ht="22.5" customHeight="1">
      <c r="A4088" s="11" t="str">
        <f t="array" ref="A4088">IFERROR(
  INDEX('Starlink Launches'!$A:$A, MATCH($E4088, 'Starlink Launches'!$B:$B, 0)),
  ""
)
</f>
        <v>11-3</v>
      </c>
      <c r="B4088" s="3" t="s">
        <v>25</v>
      </c>
      <c r="C4088" s="12" t="s">
        <v>4108</v>
      </c>
      <c r="D4088" s="13">
        <v>62436.0</v>
      </c>
      <c r="E4088" s="4">
        <v>45655.0</v>
      </c>
      <c r="F4088" s="4" t="str">
        <f>IF(D4088="","", IFNA(VLOOKUP(D4088, SATCAT_DECAY!A:B, 2, FALSE), ""))
</f>
        <v/>
      </c>
      <c r="G4088" s="3" t="str">
        <f t="shared" si="1"/>
        <v>ACTIVE</v>
      </c>
    </row>
    <row r="4089" ht="22.5" customHeight="1">
      <c r="A4089" s="11" t="str">
        <f t="array" ref="A4089">IFERROR(
  INDEX('Starlink Launches'!$A:$A, MATCH($E4089, 'Starlink Launches'!$B:$B, 0)),
  ""
)
</f>
        <v>11-3</v>
      </c>
      <c r="B4089" s="3" t="s">
        <v>25</v>
      </c>
      <c r="C4089" s="12" t="s">
        <v>4109</v>
      </c>
      <c r="D4089" s="13">
        <v>62437.0</v>
      </c>
      <c r="E4089" s="4">
        <v>45655.0</v>
      </c>
      <c r="F4089" s="4" t="str">
        <f>IF(D4089="","", IFNA(VLOOKUP(D4089, SATCAT_DECAY!A:B, 2, FALSE), ""))
</f>
        <v/>
      </c>
      <c r="G4089" s="3" t="str">
        <f t="shared" si="1"/>
        <v>ACTIVE</v>
      </c>
    </row>
    <row r="4090" ht="22.5" customHeight="1">
      <c r="A4090" s="11" t="str">
        <f t="array" ref="A4090">IFERROR(
  INDEX('Starlink Launches'!$A:$A, MATCH($E4090, 'Starlink Launches'!$B:$B, 0)),
  ""
)
</f>
        <v>11-3</v>
      </c>
      <c r="B4090" s="3" t="s">
        <v>25</v>
      </c>
      <c r="C4090" s="12" t="s">
        <v>4110</v>
      </c>
      <c r="D4090" s="13">
        <v>62438.0</v>
      </c>
      <c r="E4090" s="4">
        <v>45655.0</v>
      </c>
      <c r="F4090" s="4" t="str">
        <f>IF(D4090="","", IFNA(VLOOKUP(D4090, SATCAT_DECAY!A:B, 2, FALSE), ""))
</f>
        <v/>
      </c>
      <c r="G4090" s="3" t="str">
        <f t="shared" si="1"/>
        <v>ACTIVE</v>
      </c>
    </row>
    <row r="4091" ht="22.5" customHeight="1">
      <c r="A4091" s="11" t="str">
        <f t="array" ref="A4091">IFERROR(
  INDEX('Starlink Launches'!$A:$A, MATCH($E4091, 'Starlink Launches'!$B:$B, 0)),
  ""
)
</f>
        <v>11-3</v>
      </c>
      <c r="B4091" s="3" t="s">
        <v>25</v>
      </c>
      <c r="C4091" s="12" t="s">
        <v>4111</v>
      </c>
      <c r="D4091" s="13">
        <v>62439.0</v>
      </c>
      <c r="E4091" s="4">
        <v>45655.0</v>
      </c>
      <c r="F4091" s="4" t="str">
        <f>IF(D4091="","", IFNA(VLOOKUP(D4091, SATCAT_DECAY!A:B, 2, FALSE), ""))
</f>
        <v/>
      </c>
      <c r="G4091" s="3" t="str">
        <f t="shared" si="1"/>
        <v>ACTIVE</v>
      </c>
    </row>
    <row r="4092" ht="22.5" customHeight="1">
      <c r="A4092" s="11" t="str">
        <f t="array" ref="A4092">IFERROR(
  INDEX('Starlink Launches'!$A:$A, MATCH($E4092, 'Starlink Launches'!$B:$B, 0)),
  ""
)
</f>
        <v>11-3</v>
      </c>
      <c r="B4092" s="3" t="s">
        <v>25</v>
      </c>
      <c r="C4092" s="12" t="s">
        <v>4112</v>
      </c>
      <c r="D4092" s="13">
        <v>62440.0</v>
      </c>
      <c r="E4092" s="4">
        <v>45655.0</v>
      </c>
      <c r="F4092" s="4" t="str">
        <f>IF(D4092="","", IFNA(VLOOKUP(D4092, SATCAT_DECAY!A:B, 2, FALSE), ""))
</f>
        <v/>
      </c>
      <c r="G4092" s="3" t="str">
        <f t="shared" si="1"/>
        <v>ACTIVE</v>
      </c>
    </row>
    <row r="4093" ht="22.5" customHeight="1">
      <c r="A4093" s="11" t="str">
        <f t="array" ref="A4093">IFERROR(
  INDEX('Starlink Launches'!$A:$A, MATCH($E4093, 'Starlink Launches'!$B:$B, 0)),
  ""
)
</f>
        <v>11-3</v>
      </c>
      <c r="B4093" s="3" t="s">
        <v>25</v>
      </c>
      <c r="C4093" s="12" t="s">
        <v>4113</v>
      </c>
      <c r="D4093" s="13">
        <v>62441.0</v>
      </c>
      <c r="E4093" s="4">
        <v>45655.0</v>
      </c>
      <c r="F4093" s="4" t="str">
        <f>IF(D4093="","", IFNA(VLOOKUP(D4093, SATCAT_DECAY!A:B, 2, FALSE), ""))
</f>
        <v/>
      </c>
      <c r="G4093" s="3" t="str">
        <f t="shared" si="1"/>
        <v>ACTIVE</v>
      </c>
    </row>
    <row r="4094" ht="22.5" customHeight="1">
      <c r="A4094" s="11" t="str">
        <f t="array" ref="A4094">IFERROR(
  INDEX('Starlink Launches'!$A:$A, MATCH($E4094, 'Starlink Launches'!$B:$B, 0)),
  ""
)
</f>
        <v>11-3</v>
      </c>
      <c r="B4094" s="3" t="s">
        <v>25</v>
      </c>
      <c r="C4094" s="12" t="s">
        <v>4114</v>
      </c>
      <c r="D4094" s="13">
        <v>62442.0</v>
      </c>
      <c r="E4094" s="4">
        <v>45655.0</v>
      </c>
      <c r="F4094" s="4" t="str">
        <f>IF(D4094="","", IFNA(VLOOKUP(D4094, SATCAT_DECAY!A:B, 2, FALSE), ""))
</f>
        <v/>
      </c>
      <c r="G4094" s="3" t="str">
        <f t="shared" si="1"/>
        <v>ACTIVE</v>
      </c>
    </row>
    <row r="4095" ht="22.5" customHeight="1">
      <c r="A4095" s="11" t="str">
        <f t="array" ref="A4095">IFERROR(
  INDEX('Starlink Launches'!$A:$A, MATCH($E4095, 'Starlink Launches'!$B:$B, 0)),
  ""
)
</f>
        <v>11-3</v>
      </c>
      <c r="B4095" s="3" t="s">
        <v>25</v>
      </c>
      <c r="C4095" s="12" t="s">
        <v>4115</v>
      </c>
      <c r="D4095" s="13">
        <v>62443.0</v>
      </c>
      <c r="E4095" s="4">
        <v>45655.0</v>
      </c>
      <c r="F4095" s="4" t="str">
        <f>IF(D4095="","", IFNA(VLOOKUP(D4095, SATCAT_DECAY!A:B, 2, FALSE), ""))
</f>
        <v/>
      </c>
      <c r="G4095" s="3" t="str">
        <f t="shared" si="1"/>
        <v>ACTIVE</v>
      </c>
    </row>
    <row r="4096" ht="22.5" customHeight="1">
      <c r="A4096" s="11" t="str">
        <f t="array" ref="A4096">IFERROR(
  INDEX('Starlink Launches'!$A:$A, MATCH($E4096, 'Starlink Launches'!$B:$B, 0)),
  ""
)
</f>
        <v>11-3</v>
      </c>
      <c r="B4096" s="3" t="s">
        <v>25</v>
      </c>
      <c r="C4096" s="12" t="s">
        <v>4116</v>
      </c>
      <c r="D4096" s="13">
        <v>62444.0</v>
      </c>
      <c r="E4096" s="4">
        <v>45655.0</v>
      </c>
      <c r="F4096" s="4" t="str">
        <f>IF(D4096="","", IFNA(VLOOKUP(D4096, SATCAT_DECAY!A:B, 2, FALSE), ""))
</f>
        <v/>
      </c>
      <c r="G4096" s="3" t="str">
        <f t="shared" si="1"/>
        <v>ACTIVE</v>
      </c>
    </row>
    <row r="4097" ht="22.5" customHeight="1">
      <c r="A4097" s="11" t="str">
        <f t="array" ref="A4097">IFERROR(
  INDEX('Starlink Launches'!$A:$A, MATCH($E4097, 'Starlink Launches'!$B:$B, 0)),
  ""
)
</f>
        <v>11-3</v>
      </c>
      <c r="B4097" s="3" t="s">
        <v>25</v>
      </c>
      <c r="C4097" s="12" t="s">
        <v>4117</v>
      </c>
      <c r="D4097" s="13">
        <v>62445.0</v>
      </c>
      <c r="E4097" s="4">
        <v>45655.0</v>
      </c>
      <c r="F4097" s="4" t="str">
        <f>IF(D4097="","", IFNA(VLOOKUP(D4097, SATCAT_DECAY!A:B, 2, FALSE), ""))
</f>
        <v/>
      </c>
      <c r="G4097" s="3" t="str">
        <f t="shared" si="1"/>
        <v>ACTIVE</v>
      </c>
    </row>
    <row r="4098" ht="22.5" customHeight="1">
      <c r="A4098" s="11" t="str">
        <f t="array" ref="A4098">IFERROR(
  INDEX('Starlink Launches'!$A:$A, MATCH($E4098, 'Starlink Launches'!$B:$B, 0)),
  ""
)
</f>
        <v>11-3</v>
      </c>
      <c r="B4098" s="3" t="s">
        <v>25</v>
      </c>
      <c r="C4098" s="12" t="s">
        <v>4118</v>
      </c>
      <c r="D4098" s="13">
        <v>62446.0</v>
      </c>
      <c r="E4098" s="4">
        <v>45655.0</v>
      </c>
      <c r="F4098" s="4" t="str">
        <f>IF(D4098="","", IFNA(VLOOKUP(D4098, SATCAT_DECAY!A:B, 2, FALSE), ""))
</f>
        <v/>
      </c>
      <c r="G4098" s="3" t="str">
        <f t="shared" si="1"/>
        <v>ACTIVE</v>
      </c>
    </row>
    <row r="4099" ht="22.5" customHeight="1">
      <c r="A4099" s="11" t="str">
        <f t="array" ref="A4099">IFERROR(
  INDEX('Starlink Launches'!$A:$A, MATCH($E4099, 'Starlink Launches'!$B:$B, 0)),
  ""
)
</f>
        <v>11-3</v>
      </c>
      <c r="B4099" s="3" t="s">
        <v>25</v>
      </c>
      <c r="C4099" s="12" t="s">
        <v>4119</v>
      </c>
      <c r="D4099" s="13">
        <v>62447.0</v>
      </c>
      <c r="E4099" s="4">
        <v>45655.0</v>
      </c>
      <c r="F4099" s="4" t="str">
        <f>IF(D4099="","", IFNA(VLOOKUP(D4099, SATCAT_DECAY!A:B, 2, FALSE), ""))
</f>
        <v/>
      </c>
      <c r="G4099" s="3" t="str">
        <f t="shared" si="1"/>
        <v>ACTIVE</v>
      </c>
    </row>
    <row r="4100" ht="22.5" customHeight="1">
      <c r="A4100" s="11" t="str">
        <f t="array" ref="A4100">IFERROR(
  INDEX('Starlink Launches'!$A:$A, MATCH($E4100, 'Starlink Launches'!$B:$B, 0)),
  ""
)
</f>
        <v>11-3</v>
      </c>
      <c r="B4100" s="3" t="s">
        <v>25</v>
      </c>
      <c r="C4100" s="12" t="s">
        <v>4120</v>
      </c>
      <c r="D4100" s="13">
        <v>62448.0</v>
      </c>
      <c r="E4100" s="4">
        <v>45655.0</v>
      </c>
      <c r="F4100" s="4" t="str">
        <f>IF(D4100="","", IFNA(VLOOKUP(D4100, SATCAT_DECAY!A:B, 2, FALSE), ""))
</f>
        <v/>
      </c>
      <c r="G4100" s="3" t="str">
        <f t="shared" si="1"/>
        <v>ACTIVE</v>
      </c>
    </row>
    <row r="4101" ht="22.5" customHeight="1">
      <c r="A4101" s="11" t="str">
        <f t="array" ref="A4101">IFERROR(
  INDEX('Starlink Launches'!$A:$A, MATCH($E4101, 'Starlink Launches'!$B:$B, 0)),
  ""
)
</f>
        <v>11-3</v>
      </c>
      <c r="B4101" s="3" t="s">
        <v>25</v>
      </c>
      <c r="C4101" s="12" t="s">
        <v>4121</v>
      </c>
      <c r="D4101" s="13">
        <v>62449.0</v>
      </c>
      <c r="E4101" s="4">
        <v>45655.0</v>
      </c>
      <c r="F4101" s="4" t="str">
        <f>IF(D4101="","", IFNA(VLOOKUP(D4101, SATCAT_DECAY!A:B, 2, FALSE), ""))
</f>
        <v/>
      </c>
      <c r="G4101" s="3" t="str">
        <f t="shared" si="1"/>
        <v>ACTIVE</v>
      </c>
    </row>
    <row r="4102" ht="22.5" customHeight="1">
      <c r="A4102" s="11" t="str">
        <f t="array" ref="A4102">IFERROR(
  INDEX('Starlink Launches'!$A:$A, MATCH($E4102, 'Starlink Launches'!$B:$B, 0)),
  ""
)
</f>
        <v>11-3</v>
      </c>
      <c r="B4102" s="3" t="s">
        <v>25</v>
      </c>
      <c r="C4102" s="12" t="s">
        <v>4122</v>
      </c>
      <c r="D4102" s="13">
        <v>62450.0</v>
      </c>
      <c r="E4102" s="4">
        <v>45655.0</v>
      </c>
      <c r="F4102" s="4" t="str">
        <f>IF(D4102="","", IFNA(VLOOKUP(D4102, SATCAT_DECAY!A:B, 2, FALSE), ""))
</f>
        <v/>
      </c>
      <c r="G4102" s="3" t="str">
        <f t="shared" si="1"/>
        <v>ACTIVE</v>
      </c>
    </row>
    <row r="4103" ht="22.5" customHeight="1">
      <c r="A4103" s="11" t="str">
        <f t="array" ref="A4103">IFERROR(
  INDEX('Starlink Launches'!$A:$A, MATCH($E4103, 'Starlink Launches'!$B:$B, 0)),
  ""
)
</f>
        <v>11-3</v>
      </c>
      <c r="B4103" s="3" t="s">
        <v>25</v>
      </c>
      <c r="C4103" s="12" t="s">
        <v>4123</v>
      </c>
      <c r="D4103" s="13">
        <v>62451.0</v>
      </c>
      <c r="E4103" s="4">
        <v>45655.0</v>
      </c>
      <c r="F4103" s="4" t="str">
        <f>IF(D4103="","", IFNA(VLOOKUP(D4103, SATCAT_DECAY!A:B, 2, FALSE), ""))
</f>
        <v/>
      </c>
      <c r="G4103" s="3" t="str">
        <f t="shared" si="1"/>
        <v>ACTIVE</v>
      </c>
    </row>
    <row r="4104" ht="22.5" customHeight="1">
      <c r="A4104" s="11" t="str">
        <f t="array" ref="A4104">IFERROR(
  INDEX('Starlink Launches'!$A:$A, MATCH($E4104, 'Starlink Launches'!$B:$B, 0)),
  ""
)
</f>
        <v>11-3</v>
      </c>
      <c r="B4104" s="3" t="s">
        <v>25</v>
      </c>
      <c r="C4104" s="12" t="s">
        <v>4124</v>
      </c>
      <c r="D4104" s="13">
        <v>62452.0</v>
      </c>
      <c r="E4104" s="4">
        <v>45655.0</v>
      </c>
      <c r="F4104" s="4" t="str">
        <f>IF(D4104="","", IFNA(VLOOKUP(D4104, SATCAT_DECAY!A:B, 2, FALSE), ""))
</f>
        <v/>
      </c>
      <c r="G4104" s="3" t="str">
        <f t="shared" si="1"/>
        <v>ACTIVE</v>
      </c>
    </row>
    <row r="4105" ht="22.5" customHeight="1">
      <c r="A4105" s="11" t="str">
        <f t="array" ref="A4105">IFERROR(
  INDEX('Starlink Launches'!$A:$A, MATCH($E4105, 'Starlink Launches'!$B:$B, 0)),
  ""
)
</f>
        <v>11-3</v>
      </c>
      <c r="B4105" s="3" t="s">
        <v>25</v>
      </c>
      <c r="C4105" s="12" t="s">
        <v>4125</v>
      </c>
      <c r="D4105" s="13">
        <v>62453.0</v>
      </c>
      <c r="E4105" s="4">
        <v>45655.0</v>
      </c>
      <c r="F4105" s="4" t="str">
        <f>IF(D4105="","", IFNA(VLOOKUP(D4105, SATCAT_DECAY!A:B, 2, FALSE), ""))
</f>
        <v/>
      </c>
      <c r="G4105" s="3" t="str">
        <f t="shared" si="1"/>
        <v>ACTIVE</v>
      </c>
    </row>
    <row r="4106" ht="22.5" customHeight="1">
      <c r="A4106" s="11" t="str">
        <f t="array" ref="A4106">IFERROR(
  INDEX('Starlink Launches'!$A:$A, MATCH($E4106, 'Starlink Launches'!$B:$B, 0)),
  ""
)
</f>
        <v>11-8</v>
      </c>
      <c r="B4106" s="3" t="s">
        <v>25</v>
      </c>
      <c r="C4106" s="12" t="s">
        <v>4126</v>
      </c>
      <c r="D4106" s="13">
        <v>62758.0</v>
      </c>
      <c r="E4106" s="4">
        <v>45678.0</v>
      </c>
      <c r="F4106" s="4" t="str">
        <f>IF(D4106="","", IFNA(VLOOKUP(D4106, SATCAT_DECAY!A:B, 2, FALSE), ""))
</f>
        <v/>
      </c>
      <c r="G4106" s="3" t="str">
        <f t="shared" si="1"/>
        <v>ACTIVE</v>
      </c>
    </row>
    <row r="4107" ht="22.5" customHeight="1">
      <c r="A4107" s="11" t="str">
        <f t="array" ref="A4107">IFERROR(
  INDEX('Starlink Launches'!$A:$A, MATCH($E4107, 'Starlink Launches'!$B:$B, 0)),
  ""
)
</f>
        <v>11-8</v>
      </c>
      <c r="B4107" s="3" t="s">
        <v>25</v>
      </c>
      <c r="C4107" s="12" t="s">
        <v>4127</v>
      </c>
      <c r="D4107" s="13">
        <v>62759.0</v>
      </c>
      <c r="E4107" s="4">
        <v>45678.0</v>
      </c>
      <c r="F4107" s="4" t="str">
        <f>IF(D4107="","", IFNA(VLOOKUP(D4107, SATCAT_DECAY!A:B, 2, FALSE), ""))
</f>
        <v/>
      </c>
      <c r="G4107" s="3" t="str">
        <f t="shared" si="1"/>
        <v>ACTIVE</v>
      </c>
    </row>
    <row r="4108" ht="22.5" customHeight="1">
      <c r="A4108" s="11" t="str">
        <f t="array" ref="A4108">IFERROR(
  INDEX('Starlink Launches'!$A:$A, MATCH($E4108, 'Starlink Launches'!$B:$B, 0)),
  ""
)
</f>
        <v>11-8</v>
      </c>
      <c r="B4108" s="3" t="s">
        <v>25</v>
      </c>
      <c r="C4108" s="12" t="s">
        <v>4128</v>
      </c>
      <c r="D4108" s="13">
        <v>62760.0</v>
      </c>
      <c r="E4108" s="4">
        <v>45678.0</v>
      </c>
      <c r="F4108" s="4" t="str">
        <f>IF(D4108="","", IFNA(VLOOKUP(D4108, SATCAT_DECAY!A:B, 2, FALSE), ""))
</f>
        <v/>
      </c>
      <c r="G4108" s="3" t="str">
        <f t="shared" si="1"/>
        <v>ACTIVE</v>
      </c>
    </row>
    <row r="4109" ht="22.5" customHeight="1">
      <c r="A4109" s="11" t="str">
        <f t="array" ref="A4109">IFERROR(
  INDEX('Starlink Launches'!$A:$A, MATCH($E4109, 'Starlink Launches'!$B:$B, 0)),
  ""
)
</f>
        <v>11-8</v>
      </c>
      <c r="B4109" s="3" t="s">
        <v>25</v>
      </c>
      <c r="C4109" s="12" t="s">
        <v>4129</v>
      </c>
      <c r="D4109" s="13">
        <v>62761.0</v>
      </c>
      <c r="E4109" s="4">
        <v>45678.0</v>
      </c>
      <c r="F4109" s="4" t="str">
        <f>IF(D4109="","", IFNA(VLOOKUP(D4109, SATCAT_DECAY!A:B, 2, FALSE), ""))
</f>
        <v/>
      </c>
      <c r="G4109" s="3" t="str">
        <f t="shared" si="1"/>
        <v>ACTIVE</v>
      </c>
    </row>
    <row r="4110" ht="22.5" customHeight="1">
      <c r="A4110" s="11" t="str">
        <f t="array" ref="A4110">IFERROR(
  INDEX('Starlink Launches'!$A:$A, MATCH($E4110, 'Starlink Launches'!$B:$B, 0)),
  ""
)
</f>
        <v>11-8</v>
      </c>
      <c r="B4110" s="3" t="s">
        <v>25</v>
      </c>
      <c r="C4110" s="12" t="s">
        <v>4130</v>
      </c>
      <c r="D4110" s="13">
        <v>62762.0</v>
      </c>
      <c r="E4110" s="4">
        <v>45678.0</v>
      </c>
      <c r="F4110" s="4" t="str">
        <f>IF(D4110="","", IFNA(VLOOKUP(D4110, SATCAT_DECAY!A:B, 2, FALSE), ""))
</f>
        <v/>
      </c>
      <c r="G4110" s="3" t="str">
        <f t="shared" si="1"/>
        <v>ACTIVE</v>
      </c>
    </row>
    <row r="4111" ht="22.5" customHeight="1">
      <c r="A4111" s="11" t="str">
        <f t="array" ref="A4111">IFERROR(
  INDEX('Starlink Launches'!$A:$A, MATCH($E4111, 'Starlink Launches'!$B:$B, 0)),
  ""
)
</f>
        <v>11-8</v>
      </c>
      <c r="B4111" s="3" t="s">
        <v>25</v>
      </c>
      <c r="C4111" s="12" t="s">
        <v>4131</v>
      </c>
      <c r="D4111" s="13">
        <v>62763.0</v>
      </c>
      <c r="E4111" s="4">
        <v>45678.0</v>
      </c>
      <c r="F4111" s="4" t="str">
        <f>IF(D4111="","", IFNA(VLOOKUP(D4111, SATCAT_DECAY!A:B, 2, FALSE), ""))
</f>
        <v/>
      </c>
      <c r="G4111" s="3" t="str">
        <f t="shared" si="1"/>
        <v>ACTIVE</v>
      </c>
    </row>
    <row r="4112" ht="22.5" customHeight="1">
      <c r="A4112" s="11" t="str">
        <f t="array" ref="A4112">IFERROR(
  INDEX('Starlink Launches'!$A:$A, MATCH($E4112, 'Starlink Launches'!$B:$B, 0)),
  ""
)
</f>
        <v>11-8</v>
      </c>
      <c r="B4112" s="3" t="s">
        <v>25</v>
      </c>
      <c r="C4112" s="12" t="s">
        <v>4132</v>
      </c>
      <c r="D4112" s="13">
        <v>62764.0</v>
      </c>
      <c r="E4112" s="4">
        <v>45678.0</v>
      </c>
      <c r="F4112" s="4" t="str">
        <f>IF(D4112="","", IFNA(VLOOKUP(D4112, SATCAT_DECAY!A:B, 2, FALSE), ""))
</f>
        <v/>
      </c>
      <c r="G4112" s="3" t="str">
        <f t="shared" si="1"/>
        <v>ACTIVE</v>
      </c>
    </row>
    <row r="4113" ht="22.5" customHeight="1">
      <c r="A4113" s="11" t="str">
        <f t="array" ref="A4113">IFERROR(
  INDEX('Starlink Launches'!$A:$A, MATCH($E4113, 'Starlink Launches'!$B:$B, 0)),
  ""
)
</f>
        <v>11-8</v>
      </c>
      <c r="B4113" s="3" t="s">
        <v>25</v>
      </c>
      <c r="C4113" s="12" t="s">
        <v>4133</v>
      </c>
      <c r="D4113" s="13">
        <v>62765.0</v>
      </c>
      <c r="E4113" s="4">
        <v>45678.0</v>
      </c>
      <c r="F4113" s="4" t="str">
        <f>IF(D4113="","", IFNA(VLOOKUP(D4113, SATCAT_DECAY!A:B, 2, FALSE), ""))
</f>
        <v/>
      </c>
      <c r="G4113" s="3" t="str">
        <f t="shared" si="1"/>
        <v>ACTIVE</v>
      </c>
    </row>
    <row r="4114" ht="22.5" customHeight="1">
      <c r="A4114" s="11" t="str">
        <f t="array" ref="A4114">IFERROR(
  INDEX('Starlink Launches'!$A:$A, MATCH($E4114, 'Starlink Launches'!$B:$B, 0)),
  ""
)
</f>
        <v>11-8</v>
      </c>
      <c r="B4114" s="3" t="s">
        <v>25</v>
      </c>
      <c r="C4114" s="12" t="s">
        <v>4134</v>
      </c>
      <c r="D4114" s="13">
        <v>62766.0</v>
      </c>
      <c r="E4114" s="4">
        <v>45678.0</v>
      </c>
      <c r="F4114" s="4" t="str">
        <f>IF(D4114="","", IFNA(VLOOKUP(D4114, SATCAT_DECAY!A:B, 2, FALSE), ""))
</f>
        <v/>
      </c>
      <c r="G4114" s="3" t="str">
        <f t="shared" si="1"/>
        <v>ACTIVE</v>
      </c>
    </row>
    <row r="4115" ht="22.5" customHeight="1">
      <c r="A4115" s="11" t="str">
        <f t="array" ref="A4115">IFERROR(
  INDEX('Starlink Launches'!$A:$A, MATCH($E4115, 'Starlink Launches'!$B:$B, 0)),
  ""
)
</f>
        <v>11-8</v>
      </c>
      <c r="B4115" s="3" t="s">
        <v>25</v>
      </c>
      <c r="C4115" s="12" t="s">
        <v>4135</v>
      </c>
      <c r="D4115" s="13">
        <v>62767.0</v>
      </c>
      <c r="E4115" s="4">
        <v>45678.0</v>
      </c>
      <c r="F4115" s="4" t="str">
        <f>IF(D4115="","", IFNA(VLOOKUP(D4115, SATCAT_DECAY!A:B, 2, FALSE), ""))
</f>
        <v/>
      </c>
      <c r="G4115" s="3" t="str">
        <f t="shared" si="1"/>
        <v>ACTIVE</v>
      </c>
    </row>
    <row r="4116" ht="22.5" customHeight="1">
      <c r="A4116" s="11" t="str">
        <f t="array" ref="A4116">IFERROR(
  INDEX('Starlink Launches'!$A:$A, MATCH($E4116, 'Starlink Launches'!$B:$B, 0)),
  ""
)
</f>
        <v>11-8</v>
      </c>
      <c r="B4116" s="3" t="s">
        <v>25</v>
      </c>
      <c r="C4116" s="12" t="s">
        <v>4136</v>
      </c>
      <c r="D4116" s="13">
        <v>62768.0</v>
      </c>
      <c r="E4116" s="4">
        <v>45678.0</v>
      </c>
      <c r="F4116" s="4" t="str">
        <f>IF(D4116="","", IFNA(VLOOKUP(D4116, SATCAT_DECAY!A:B, 2, FALSE), ""))
</f>
        <v/>
      </c>
      <c r="G4116" s="3" t="str">
        <f t="shared" si="1"/>
        <v>ACTIVE</v>
      </c>
    </row>
    <row r="4117" ht="22.5" customHeight="1">
      <c r="A4117" s="11" t="str">
        <f t="array" ref="A4117">IFERROR(
  INDEX('Starlink Launches'!$A:$A, MATCH($E4117, 'Starlink Launches'!$B:$B, 0)),
  ""
)
</f>
        <v>11-8</v>
      </c>
      <c r="B4117" s="3" t="s">
        <v>25</v>
      </c>
      <c r="C4117" s="12" t="s">
        <v>4137</v>
      </c>
      <c r="D4117" s="13">
        <v>62769.0</v>
      </c>
      <c r="E4117" s="4">
        <v>45678.0</v>
      </c>
      <c r="F4117" s="4" t="str">
        <f>IF(D4117="","", IFNA(VLOOKUP(D4117, SATCAT_DECAY!A:B, 2, FALSE), ""))
</f>
        <v/>
      </c>
      <c r="G4117" s="3" t="str">
        <f t="shared" si="1"/>
        <v>ACTIVE</v>
      </c>
    </row>
    <row r="4118" ht="22.5" customHeight="1">
      <c r="A4118" s="11" t="str">
        <f t="array" ref="A4118">IFERROR(
  INDEX('Starlink Launches'!$A:$A, MATCH($E4118, 'Starlink Launches'!$B:$B, 0)),
  ""
)
</f>
        <v>11-8</v>
      </c>
      <c r="B4118" s="3" t="s">
        <v>25</v>
      </c>
      <c r="C4118" s="12" t="s">
        <v>4138</v>
      </c>
      <c r="D4118" s="13">
        <v>62770.0</v>
      </c>
      <c r="E4118" s="4">
        <v>45678.0</v>
      </c>
      <c r="F4118" s="4" t="str">
        <f>IF(D4118="","", IFNA(VLOOKUP(D4118, SATCAT_DECAY!A:B, 2, FALSE), ""))
</f>
        <v/>
      </c>
      <c r="G4118" s="3" t="str">
        <f t="shared" si="1"/>
        <v>ACTIVE</v>
      </c>
    </row>
    <row r="4119" ht="22.5" customHeight="1">
      <c r="A4119" s="11" t="str">
        <f t="array" ref="A4119">IFERROR(
  INDEX('Starlink Launches'!$A:$A, MATCH($E4119, 'Starlink Launches'!$B:$B, 0)),
  ""
)
</f>
        <v>11-8</v>
      </c>
      <c r="B4119" s="3" t="s">
        <v>25</v>
      </c>
      <c r="C4119" s="12" t="s">
        <v>4139</v>
      </c>
      <c r="D4119" s="13">
        <v>62771.0</v>
      </c>
      <c r="E4119" s="4">
        <v>45678.0</v>
      </c>
      <c r="F4119" s="4" t="str">
        <f>IF(D4119="","", IFNA(VLOOKUP(D4119, SATCAT_DECAY!A:B, 2, FALSE), ""))
</f>
        <v/>
      </c>
      <c r="G4119" s="3" t="str">
        <f t="shared" si="1"/>
        <v>ACTIVE</v>
      </c>
    </row>
    <row r="4120" ht="22.5" customHeight="1">
      <c r="A4120" s="11" t="str">
        <f t="array" ref="A4120">IFERROR(
  INDEX('Starlink Launches'!$A:$A, MATCH($E4120, 'Starlink Launches'!$B:$B, 0)),
  ""
)
</f>
        <v>11-8</v>
      </c>
      <c r="B4120" s="3" t="s">
        <v>25</v>
      </c>
      <c r="C4120" s="12" t="s">
        <v>4140</v>
      </c>
      <c r="D4120" s="13">
        <v>62772.0</v>
      </c>
      <c r="E4120" s="4">
        <v>45678.0</v>
      </c>
      <c r="F4120" s="4" t="str">
        <f>IF(D4120="","", IFNA(VLOOKUP(D4120, SATCAT_DECAY!A:B, 2, FALSE), ""))
</f>
        <v/>
      </c>
      <c r="G4120" s="3" t="str">
        <f t="shared" si="1"/>
        <v>ACTIVE</v>
      </c>
    </row>
    <row r="4121" ht="22.5" customHeight="1">
      <c r="A4121" s="11" t="str">
        <f t="array" ref="A4121">IFERROR(
  INDEX('Starlink Launches'!$A:$A, MATCH($E4121, 'Starlink Launches'!$B:$B, 0)),
  ""
)
</f>
        <v>11-8</v>
      </c>
      <c r="B4121" s="3" t="s">
        <v>25</v>
      </c>
      <c r="C4121" s="12" t="s">
        <v>4141</v>
      </c>
      <c r="D4121" s="13">
        <v>62773.0</v>
      </c>
      <c r="E4121" s="4">
        <v>45678.0</v>
      </c>
      <c r="F4121" s="4" t="str">
        <f>IF(D4121="","", IFNA(VLOOKUP(D4121, SATCAT_DECAY!A:B, 2, FALSE), ""))
</f>
        <v/>
      </c>
      <c r="G4121" s="3" t="str">
        <f t="shared" si="1"/>
        <v>ACTIVE</v>
      </c>
    </row>
    <row r="4122" ht="22.5" customHeight="1">
      <c r="A4122" s="11" t="str">
        <f t="array" ref="A4122">IFERROR(
  INDEX('Starlink Launches'!$A:$A, MATCH($E4122, 'Starlink Launches'!$B:$B, 0)),
  ""
)
</f>
        <v>11-8</v>
      </c>
      <c r="B4122" s="3" t="s">
        <v>25</v>
      </c>
      <c r="C4122" s="12" t="s">
        <v>4142</v>
      </c>
      <c r="D4122" s="13">
        <v>62774.0</v>
      </c>
      <c r="E4122" s="4">
        <v>45678.0</v>
      </c>
      <c r="F4122" s="4" t="str">
        <f>IF(D4122="","", IFNA(VLOOKUP(D4122, SATCAT_DECAY!A:B, 2, FALSE), ""))
</f>
        <v/>
      </c>
      <c r="G4122" s="3" t="str">
        <f t="shared" si="1"/>
        <v>ACTIVE</v>
      </c>
    </row>
    <row r="4123" ht="22.5" customHeight="1">
      <c r="A4123" s="11" t="str">
        <f t="array" ref="A4123">IFERROR(
  INDEX('Starlink Launches'!$A:$A, MATCH($E4123, 'Starlink Launches'!$B:$B, 0)),
  ""
)
</f>
        <v>11-8</v>
      </c>
      <c r="B4123" s="3" t="s">
        <v>25</v>
      </c>
      <c r="C4123" s="12" t="s">
        <v>4143</v>
      </c>
      <c r="D4123" s="13">
        <v>62775.0</v>
      </c>
      <c r="E4123" s="4">
        <v>45678.0</v>
      </c>
      <c r="F4123" s="4" t="str">
        <f>IF(D4123="","", IFNA(VLOOKUP(D4123, SATCAT_DECAY!A:B, 2, FALSE), ""))
</f>
        <v/>
      </c>
      <c r="G4123" s="3" t="str">
        <f t="shared" si="1"/>
        <v>ACTIVE</v>
      </c>
    </row>
    <row r="4124" ht="22.5" customHeight="1">
      <c r="A4124" s="11" t="str">
        <f t="array" ref="A4124">IFERROR(
  INDEX('Starlink Launches'!$A:$A, MATCH($E4124, 'Starlink Launches'!$B:$B, 0)),
  ""
)
</f>
        <v>11-8</v>
      </c>
      <c r="B4124" s="3" t="s">
        <v>25</v>
      </c>
      <c r="C4124" s="12" t="s">
        <v>4144</v>
      </c>
      <c r="D4124" s="13">
        <v>62776.0</v>
      </c>
      <c r="E4124" s="4">
        <v>45678.0</v>
      </c>
      <c r="F4124" s="4" t="str">
        <f>IF(D4124="","", IFNA(VLOOKUP(D4124, SATCAT_DECAY!A:B, 2, FALSE), ""))
</f>
        <v/>
      </c>
      <c r="G4124" s="3" t="str">
        <f t="shared" si="1"/>
        <v>ACTIVE</v>
      </c>
    </row>
    <row r="4125" ht="22.5" customHeight="1">
      <c r="A4125" s="11" t="str">
        <f t="array" ref="A4125">IFERROR(
  INDEX('Starlink Launches'!$A:$A, MATCH($E4125, 'Starlink Launches'!$B:$B, 0)),
  ""
)
</f>
        <v>11-8</v>
      </c>
      <c r="B4125" s="3" t="s">
        <v>25</v>
      </c>
      <c r="C4125" s="12" t="s">
        <v>4145</v>
      </c>
      <c r="D4125" s="13">
        <v>62777.0</v>
      </c>
      <c r="E4125" s="4">
        <v>45678.0</v>
      </c>
      <c r="F4125" s="4" t="str">
        <f>IF(D4125="","", IFNA(VLOOKUP(D4125, SATCAT_DECAY!A:B, 2, FALSE), ""))
</f>
        <v/>
      </c>
      <c r="G4125" s="3" t="str">
        <f t="shared" si="1"/>
        <v>ACTIVE</v>
      </c>
    </row>
    <row r="4126" ht="22.5" customHeight="1">
      <c r="A4126" s="11" t="str">
        <f t="array" ref="A4126">IFERROR(
  INDEX('Starlink Launches'!$A:$A, MATCH($E4126, 'Starlink Launches'!$B:$B, 0)),
  ""
)
</f>
        <v>11-8</v>
      </c>
      <c r="B4126" s="3" t="s">
        <v>25</v>
      </c>
      <c r="C4126" s="12" t="s">
        <v>4146</v>
      </c>
      <c r="D4126" s="13">
        <v>62778.0</v>
      </c>
      <c r="E4126" s="4">
        <v>45678.0</v>
      </c>
      <c r="F4126" s="4" t="str">
        <f>IF(D4126="","", IFNA(VLOOKUP(D4126, SATCAT_DECAY!A:B, 2, FALSE), ""))
</f>
        <v/>
      </c>
      <c r="G4126" s="3" t="str">
        <f t="shared" si="1"/>
        <v>ACTIVE</v>
      </c>
    </row>
    <row r="4127" ht="22.5" customHeight="1">
      <c r="A4127" s="11" t="str">
        <f t="array" ref="A4127">IFERROR(
  INDEX('Starlink Launches'!$A:$A, MATCH($E4127, 'Starlink Launches'!$B:$B, 0)),
  ""
)
</f>
        <v>11-8</v>
      </c>
      <c r="B4127" s="3" t="s">
        <v>25</v>
      </c>
      <c r="C4127" s="12" t="s">
        <v>4147</v>
      </c>
      <c r="D4127" s="13">
        <v>62779.0</v>
      </c>
      <c r="E4127" s="4">
        <v>45678.0</v>
      </c>
      <c r="F4127" s="4" t="str">
        <f>IF(D4127="","", IFNA(VLOOKUP(D4127, SATCAT_DECAY!A:B, 2, FALSE), ""))
</f>
        <v/>
      </c>
      <c r="G4127" s="3" t="str">
        <f t="shared" si="1"/>
        <v>ACTIVE</v>
      </c>
    </row>
    <row r="4128" ht="22.5" customHeight="1">
      <c r="A4128" s="11" t="str">
        <f t="array" ref="A4128">IFERROR(
  INDEX('Starlink Launches'!$A:$A, MATCH($E4128, 'Starlink Launches'!$B:$B, 0)),
  ""
)
</f>
        <v>11-8</v>
      </c>
      <c r="B4128" s="3" t="s">
        <v>25</v>
      </c>
      <c r="C4128" s="12" t="s">
        <v>4148</v>
      </c>
      <c r="D4128" s="13">
        <v>62780.0</v>
      </c>
      <c r="E4128" s="4">
        <v>45678.0</v>
      </c>
      <c r="F4128" s="4" t="str">
        <f>IF(D4128="","", IFNA(VLOOKUP(D4128, SATCAT_DECAY!A:B, 2, FALSE), ""))
</f>
        <v/>
      </c>
      <c r="G4128" s="3" t="str">
        <f t="shared" si="1"/>
        <v>ACTIVE</v>
      </c>
    </row>
    <row r="4129" ht="22.5" customHeight="1">
      <c r="A4129" s="11" t="str">
        <f t="array" ref="A4129">IFERROR(
  INDEX('Starlink Launches'!$A:$A, MATCH($E4129, 'Starlink Launches'!$B:$B, 0)),
  ""
)
</f>
        <v>11-8</v>
      </c>
      <c r="B4129" s="3" t="s">
        <v>25</v>
      </c>
      <c r="C4129" s="12" t="s">
        <v>4149</v>
      </c>
      <c r="D4129" s="13">
        <v>62781.0</v>
      </c>
      <c r="E4129" s="4">
        <v>45678.0</v>
      </c>
      <c r="F4129" s="4" t="str">
        <f>IF(D4129="","", IFNA(VLOOKUP(D4129, SATCAT_DECAY!A:B, 2, FALSE), ""))
</f>
        <v/>
      </c>
      <c r="G4129" s="3" t="str">
        <f t="shared" si="1"/>
        <v>ACTIVE</v>
      </c>
    </row>
    <row r="4130" ht="22.5" customHeight="1">
      <c r="A4130" s="11" t="str">
        <f t="array" ref="A4130">IFERROR(
  INDEX('Starlink Launches'!$A:$A, MATCH($E4130, 'Starlink Launches'!$B:$B, 0)),
  ""
)
</f>
        <v>11-8</v>
      </c>
      <c r="B4130" s="3" t="s">
        <v>25</v>
      </c>
      <c r="C4130" s="12" t="s">
        <v>4150</v>
      </c>
      <c r="D4130" s="13">
        <v>62782.0</v>
      </c>
      <c r="E4130" s="4">
        <v>45678.0</v>
      </c>
      <c r="F4130" s="4" t="str">
        <f>IF(D4130="","", IFNA(VLOOKUP(D4130, SATCAT_DECAY!A:B, 2, FALSE), ""))
</f>
        <v/>
      </c>
      <c r="G4130" s="3" t="str">
        <f t="shared" si="1"/>
        <v>ACTIVE</v>
      </c>
    </row>
    <row r="4131" ht="22.5" customHeight="1">
      <c r="A4131" s="11" t="str">
        <f t="array" ref="A4131">IFERROR(
  INDEX('Starlink Launches'!$A:$A, MATCH($E4131, 'Starlink Launches'!$B:$B, 0)),
  ""
)
</f>
        <v>11-8</v>
      </c>
      <c r="B4131" s="3" t="s">
        <v>25</v>
      </c>
      <c r="C4131" s="12" t="s">
        <v>4151</v>
      </c>
      <c r="D4131" s="13">
        <v>62783.0</v>
      </c>
      <c r="E4131" s="4">
        <v>45678.0</v>
      </c>
      <c r="F4131" s="4" t="str">
        <f>IF(D4131="","", IFNA(VLOOKUP(D4131, SATCAT_DECAY!A:B, 2, FALSE), ""))
</f>
        <v/>
      </c>
      <c r="G4131" s="3" t="str">
        <f t="shared" si="1"/>
        <v>ACTIVE</v>
      </c>
    </row>
    <row r="4132" ht="22.5" customHeight="1">
      <c r="A4132" s="11" t="str">
        <f t="array" ref="A4132">IFERROR(
  INDEX('Starlink Launches'!$A:$A, MATCH($E4132, 'Starlink Launches'!$B:$B, 0)),
  ""
)
</f>
        <v>11-8</v>
      </c>
      <c r="B4132" s="3" t="s">
        <v>25</v>
      </c>
      <c r="C4132" s="12" t="s">
        <v>4152</v>
      </c>
      <c r="D4132" s="13">
        <v>62784.0</v>
      </c>
      <c r="E4132" s="4">
        <v>45678.0</v>
      </c>
      <c r="F4132" s="4" t="str">
        <f>IF(D4132="","", IFNA(VLOOKUP(D4132, SATCAT_DECAY!A:B, 2, FALSE), ""))
</f>
        <v/>
      </c>
      <c r="G4132" s="3" t="str">
        <f t="shared" si="1"/>
        <v>ACTIVE</v>
      </c>
    </row>
    <row r="4133" ht="22.5" customHeight="1">
      <c r="A4133" s="11" t="str">
        <f t="array" ref="A4133">IFERROR(
  INDEX('Starlink Launches'!$A:$A, MATCH($E4133, 'Starlink Launches'!$B:$B, 0)),
  ""
)
</f>
        <v>11-6</v>
      </c>
      <c r="B4133" s="3" t="s">
        <v>25</v>
      </c>
      <c r="C4133" s="12" t="s">
        <v>4153</v>
      </c>
      <c r="D4133" s="13">
        <v>62806.0</v>
      </c>
      <c r="E4133" s="4">
        <v>45681.0</v>
      </c>
      <c r="F4133" s="4" t="str">
        <f>IF(D4133="","", IFNA(VLOOKUP(D4133, SATCAT_DECAY!A:B, 2, FALSE), ""))
</f>
        <v/>
      </c>
      <c r="G4133" s="3" t="str">
        <f t="shared" si="1"/>
        <v>ACTIVE</v>
      </c>
    </row>
    <row r="4134" ht="22.5" customHeight="1">
      <c r="A4134" s="11" t="str">
        <f t="array" ref="A4134">IFERROR(
  INDEX('Starlink Launches'!$A:$A, MATCH($E4134, 'Starlink Launches'!$B:$B, 0)),
  ""
)
</f>
        <v>11-6</v>
      </c>
      <c r="B4134" s="3" t="s">
        <v>25</v>
      </c>
      <c r="C4134" s="12" t="s">
        <v>4154</v>
      </c>
      <c r="D4134" s="13">
        <v>62807.0</v>
      </c>
      <c r="E4134" s="4">
        <v>45681.0</v>
      </c>
      <c r="F4134" s="4" t="str">
        <f>IF(D4134="","", IFNA(VLOOKUP(D4134, SATCAT_DECAY!A:B, 2, FALSE), ""))
</f>
        <v/>
      </c>
      <c r="G4134" s="3" t="str">
        <f t="shared" si="1"/>
        <v>ACTIVE</v>
      </c>
    </row>
    <row r="4135" ht="22.5" customHeight="1">
      <c r="A4135" s="11" t="str">
        <f t="array" ref="A4135">IFERROR(
  INDEX('Starlink Launches'!$A:$A, MATCH($E4135, 'Starlink Launches'!$B:$B, 0)),
  ""
)
</f>
        <v>11-6</v>
      </c>
      <c r="B4135" s="3" t="s">
        <v>25</v>
      </c>
      <c r="C4135" s="12" t="s">
        <v>4155</v>
      </c>
      <c r="D4135" s="13">
        <v>62808.0</v>
      </c>
      <c r="E4135" s="4">
        <v>45681.0</v>
      </c>
      <c r="F4135" s="4" t="str">
        <f>IF(D4135="","", IFNA(VLOOKUP(D4135, SATCAT_DECAY!A:B, 2, FALSE), ""))
</f>
        <v/>
      </c>
      <c r="G4135" s="3" t="str">
        <f t="shared" si="1"/>
        <v>ACTIVE</v>
      </c>
    </row>
    <row r="4136" ht="22.5" customHeight="1">
      <c r="A4136" s="11" t="str">
        <f t="array" ref="A4136">IFERROR(
  INDEX('Starlink Launches'!$A:$A, MATCH($E4136, 'Starlink Launches'!$B:$B, 0)),
  ""
)
</f>
        <v>11-6</v>
      </c>
      <c r="B4136" s="3" t="s">
        <v>25</v>
      </c>
      <c r="C4136" s="12" t="s">
        <v>4156</v>
      </c>
      <c r="D4136" s="13">
        <v>62809.0</v>
      </c>
      <c r="E4136" s="4">
        <v>45681.0</v>
      </c>
      <c r="F4136" s="4" t="str">
        <f>IF(D4136="","", IFNA(VLOOKUP(D4136, SATCAT_DECAY!A:B, 2, FALSE), ""))
</f>
        <v/>
      </c>
      <c r="G4136" s="3" t="str">
        <f t="shared" si="1"/>
        <v>ACTIVE</v>
      </c>
    </row>
    <row r="4137" ht="22.5" customHeight="1">
      <c r="A4137" s="11" t="str">
        <f t="array" ref="A4137">IFERROR(
  INDEX('Starlink Launches'!$A:$A, MATCH($E4137, 'Starlink Launches'!$B:$B, 0)),
  ""
)
</f>
        <v>11-6</v>
      </c>
      <c r="B4137" s="3" t="s">
        <v>25</v>
      </c>
      <c r="C4137" s="12" t="s">
        <v>4157</v>
      </c>
      <c r="D4137" s="13">
        <v>62810.0</v>
      </c>
      <c r="E4137" s="4">
        <v>45681.0</v>
      </c>
      <c r="F4137" s="4" t="str">
        <f>IF(D4137="","", IFNA(VLOOKUP(D4137, SATCAT_DECAY!A:B, 2, FALSE), ""))
</f>
        <v/>
      </c>
      <c r="G4137" s="3" t="str">
        <f t="shared" si="1"/>
        <v>ACTIVE</v>
      </c>
    </row>
    <row r="4138" ht="22.5" customHeight="1">
      <c r="A4138" s="11" t="str">
        <f t="array" ref="A4138">IFERROR(
  INDEX('Starlink Launches'!$A:$A, MATCH($E4138, 'Starlink Launches'!$B:$B, 0)),
  ""
)
</f>
        <v>11-6</v>
      </c>
      <c r="B4138" s="3" t="s">
        <v>25</v>
      </c>
      <c r="C4138" s="12" t="s">
        <v>4158</v>
      </c>
      <c r="D4138" s="13">
        <v>62811.0</v>
      </c>
      <c r="E4138" s="4">
        <v>45681.0</v>
      </c>
      <c r="F4138" s="4" t="str">
        <f>IF(D4138="","", IFNA(VLOOKUP(D4138, SATCAT_DECAY!A:B, 2, FALSE), ""))
</f>
        <v/>
      </c>
      <c r="G4138" s="3" t="str">
        <f t="shared" si="1"/>
        <v>ACTIVE</v>
      </c>
    </row>
    <row r="4139" ht="22.5" customHeight="1">
      <c r="A4139" s="11" t="str">
        <f t="array" ref="A4139">IFERROR(
  INDEX('Starlink Launches'!$A:$A, MATCH($E4139, 'Starlink Launches'!$B:$B, 0)),
  ""
)
</f>
        <v>11-6</v>
      </c>
      <c r="B4139" s="3" t="s">
        <v>25</v>
      </c>
      <c r="C4139" s="12" t="s">
        <v>4159</v>
      </c>
      <c r="D4139" s="13">
        <v>62812.0</v>
      </c>
      <c r="E4139" s="4">
        <v>45681.0</v>
      </c>
      <c r="F4139" s="4" t="str">
        <f>IF(D4139="","", IFNA(VLOOKUP(D4139, SATCAT_DECAY!A:B, 2, FALSE), ""))
</f>
        <v/>
      </c>
      <c r="G4139" s="3" t="str">
        <f t="shared" si="1"/>
        <v>ACTIVE</v>
      </c>
    </row>
    <row r="4140" ht="22.5" customHeight="1">
      <c r="A4140" s="11" t="str">
        <f t="array" ref="A4140">IFERROR(
  INDEX('Starlink Launches'!$A:$A, MATCH($E4140, 'Starlink Launches'!$B:$B, 0)),
  ""
)
</f>
        <v>11-6</v>
      </c>
      <c r="B4140" s="3" t="s">
        <v>25</v>
      </c>
      <c r="C4140" s="12" t="s">
        <v>4160</v>
      </c>
      <c r="D4140" s="13">
        <v>62813.0</v>
      </c>
      <c r="E4140" s="4">
        <v>45681.0</v>
      </c>
      <c r="F4140" s="4" t="str">
        <f>IF(D4140="","", IFNA(VLOOKUP(D4140, SATCAT_DECAY!A:B, 2, FALSE), ""))
</f>
        <v/>
      </c>
      <c r="G4140" s="3" t="str">
        <f t="shared" si="1"/>
        <v>ACTIVE</v>
      </c>
    </row>
    <row r="4141" ht="22.5" customHeight="1">
      <c r="A4141" s="11" t="str">
        <f t="array" ref="A4141">IFERROR(
  INDEX('Starlink Launches'!$A:$A, MATCH($E4141, 'Starlink Launches'!$B:$B, 0)),
  ""
)
</f>
        <v>11-6</v>
      </c>
      <c r="B4141" s="3" t="s">
        <v>25</v>
      </c>
      <c r="C4141" s="12" t="s">
        <v>4161</v>
      </c>
      <c r="D4141" s="13">
        <v>62814.0</v>
      </c>
      <c r="E4141" s="4">
        <v>45681.0</v>
      </c>
      <c r="F4141" s="4" t="str">
        <f>IF(D4141="","", IFNA(VLOOKUP(D4141, SATCAT_DECAY!A:B, 2, FALSE), ""))
</f>
        <v/>
      </c>
      <c r="G4141" s="3" t="str">
        <f t="shared" si="1"/>
        <v>ACTIVE</v>
      </c>
    </row>
    <row r="4142" ht="22.5" customHeight="1">
      <c r="A4142" s="11" t="str">
        <f t="array" ref="A4142">IFERROR(
  INDEX('Starlink Launches'!$A:$A, MATCH($E4142, 'Starlink Launches'!$B:$B, 0)),
  ""
)
</f>
        <v>11-6</v>
      </c>
      <c r="B4142" s="3" t="s">
        <v>25</v>
      </c>
      <c r="C4142" s="12" t="s">
        <v>4162</v>
      </c>
      <c r="D4142" s="13">
        <v>62815.0</v>
      </c>
      <c r="E4142" s="4">
        <v>45681.0</v>
      </c>
      <c r="F4142" s="4" t="str">
        <f>IF(D4142="","", IFNA(VLOOKUP(D4142, SATCAT_DECAY!A:B, 2, FALSE), ""))
</f>
        <v/>
      </c>
      <c r="G4142" s="3" t="str">
        <f t="shared" si="1"/>
        <v>ACTIVE</v>
      </c>
    </row>
    <row r="4143" ht="22.5" customHeight="1">
      <c r="A4143" s="11" t="str">
        <f t="array" ref="A4143">IFERROR(
  INDEX('Starlink Launches'!$A:$A, MATCH($E4143, 'Starlink Launches'!$B:$B, 0)),
  ""
)
</f>
        <v>11-6</v>
      </c>
      <c r="B4143" s="3" t="s">
        <v>25</v>
      </c>
      <c r="C4143" s="12" t="s">
        <v>4163</v>
      </c>
      <c r="D4143" s="13">
        <v>62816.0</v>
      </c>
      <c r="E4143" s="4">
        <v>45681.0</v>
      </c>
      <c r="F4143" s="4" t="str">
        <f>IF(D4143="","", IFNA(VLOOKUP(D4143, SATCAT_DECAY!A:B, 2, FALSE), ""))
</f>
        <v/>
      </c>
      <c r="G4143" s="3" t="str">
        <f t="shared" si="1"/>
        <v>ACTIVE</v>
      </c>
    </row>
    <row r="4144" ht="22.5" customHeight="1">
      <c r="A4144" s="11" t="str">
        <f t="array" ref="A4144">IFERROR(
  INDEX('Starlink Launches'!$A:$A, MATCH($E4144, 'Starlink Launches'!$B:$B, 0)),
  ""
)
</f>
        <v>11-6</v>
      </c>
      <c r="B4144" s="3" t="s">
        <v>25</v>
      </c>
      <c r="C4144" s="12" t="s">
        <v>4164</v>
      </c>
      <c r="D4144" s="13">
        <v>62817.0</v>
      </c>
      <c r="E4144" s="4">
        <v>45681.0</v>
      </c>
      <c r="F4144" s="4" t="str">
        <f>IF(D4144="","", IFNA(VLOOKUP(D4144, SATCAT_DECAY!A:B, 2, FALSE), ""))
</f>
        <v/>
      </c>
      <c r="G4144" s="3" t="str">
        <f t="shared" si="1"/>
        <v>ACTIVE</v>
      </c>
    </row>
    <row r="4145" ht="22.5" customHeight="1">
      <c r="A4145" s="11" t="str">
        <f t="array" ref="A4145">IFERROR(
  INDEX('Starlink Launches'!$A:$A, MATCH($E4145, 'Starlink Launches'!$B:$B, 0)),
  ""
)
</f>
        <v>11-6</v>
      </c>
      <c r="B4145" s="3" t="s">
        <v>25</v>
      </c>
      <c r="C4145" s="12" t="s">
        <v>4165</v>
      </c>
      <c r="D4145" s="13">
        <v>62818.0</v>
      </c>
      <c r="E4145" s="4">
        <v>45681.0</v>
      </c>
      <c r="F4145" s="4" t="str">
        <f>IF(D4145="","", IFNA(VLOOKUP(D4145, SATCAT_DECAY!A:B, 2, FALSE), ""))
</f>
        <v/>
      </c>
      <c r="G4145" s="3" t="str">
        <f t="shared" si="1"/>
        <v>ACTIVE</v>
      </c>
    </row>
    <row r="4146" ht="22.5" customHeight="1">
      <c r="A4146" s="11" t="str">
        <f t="array" ref="A4146">IFERROR(
  INDEX('Starlink Launches'!$A:$A, MATCH($E4146, 'Starlink Launches'!$B:$B, 0)),
  ""
)
</f>
        <v>11-6</v>
      </c>
      <c r="B4146" s="3" t="s">
        <v>25</v>
      </c>
      <c r="C4146" s="12" t="s">
        <v>4166</v>
      </c>
      <c r="D4146" s="13">
        <v>62819.0</v>
      </c>
      <c r="E4146" s="4">
        <v>45681.0</v>
      </c>
      <c r="F4146" s="4" t="str">
        <f>IF(D4146="","", IFNA(VLOOKUP(D4146, SATCAT_DECAY!A:B, 2, FALSE), ""))
</f>
        <v/>
      </c>
      <c r="G4146" s="3" t="str">
        <f t="shared" si="1"/>
        <v>ACTIVE</v>
      </c>
    </row>
    <row r="4147" ht="22.5" customHeight="1">
      <c r="A4147" s="11" t="str">
        <f t="array" ref="A4147">IFERROR(
  INDEX('Starlink Launches'!$A:$A, MATCH($E4147, 'Starlink Launches'!$B:$B, 0)),
  ""
)
</f>
        <v>11-6</v>
      </c>
      <c r="B4147" s="3" t="s">
        <v>25</v>
      </c>
      <c r="C4147" s="12" t="s">
        <v>4167</v>
      </c>
      <c r="D4147" s="13">
        <v>62820.0</v>
      </c>
      <c r="E4147" s="4">
        <v>45681.0</v>
      </c>
      <c r="F4147" s="4" t="str">
        <f>IF(D4147="","", IFNA(VLOOKUP(D4147, SATCAT_DECAY!A:B, 2, FALSE), ""))
</f>
        <v/>
      </c>
      <c r="G4147" s="3" t="str">
        <f t="shared" si="1"/>
        <v>ACTIVE</v>
      </c>
    </row>
    <row r="4148" ht="22.5" customHeight="1">
      <c r="A4148" s="11" t="str">
        <f t="array" ref="A4148">IFERROR(
  INDEX('Starlink Launches'!$A:$A, MATCH($E4148, 'Starlink Launches'!$B:$B, 0)),
  ""
)
</f>
        <v>11-6</v>
      </c>
      <c r="B4148" s="3" t="s">
        <v>25</v>
      </c>
      <c r="C4148" s="12" t="s">
        <v>4168</v>
      </c>
      <c r="D4148" s="13">
        <v>62821.0</v>
      </c>
      <c r="E4148" s="4">
        <v>45681.0</v>
      </c>
      <c r="F4148" s="4" t="str">
        <f>IF(D4148="","", IFNA(VLOOKUP(D4148, SATCAT_DECAY!A:B, 2, FALSE), ""))
</f>
        <v/>
      </c>
      <c r="G4148" s="3" t="str">
        <f t="shared" si="1"/>
        <v>ACTIVE</v>
      </c>
    </row>
    <row r="4149" ht="22.5" customHeight="1">
      <c r="A4149" s="11" t="str">
        <f t="array" ref="A4149">IFERROR(
  INDEX('Starlink Launches'!$A:$A, MATCH($E4149, 'Starlink Launches'!$B:$B, 0)),
  ""
)
</f>
        <v>11-6</v>
      </c>
      <c r="B4149" s="3" t="s">
        <v>25</v>
      </c>
      <c r="C4149" s="12" t="s">
        <v>4169</v>
      </c>
      <c r="D4149" s="13">
        <v>62822.0</v>
      </c>
      <c r="E4149" s="4">
        <v>45681.0</v>
      </c>
      <c r="F4149" s="4" t="str">
        <f>IF(D4149="","", IFNA(VLOOKUP(D4149, SATCAT_DECAY!A:B, 2, FALSE), ""))
</f>
        <v/>
      </c>
      <c r="G4149" s="3" t="str">
        <f t="shared" si="1"/>
        <v>ACTIVE</v>
      </c>
    </row>
    <row r="4150" ht="22.5" customHeight="1">
      <c r="A4150" s="11" t="str">
        <f t="array" ref="A4150">IFERROR(
  INDEX('Starlink Launches'!$A:$A, MATCH($E4150, 'Starlink Launches'!$B:$B, 0)),
  ""
)
</f>
        <v>11-6</v>
      </c>
      <c r="B4150" s="3" t="s">
        <v>25</v>
      </c>
      <c r="C4150" s="12" t="s">
        <v>4170</v>
      </c>
      <c r="D4150" s="13">
        <v>62823.0</v>
      </c>
      <c r="E4150" s="4">
        <v>45681.0</v>
      </c>
      <c r="F4150" s="4" t="str">
        <f>IF(D4150="","", IFNA(VLOOKUP(D4150, SATCAT_DECAY!A:B, 2, FALSE), ""))
</f>
        <v/>
      </c>
      <c r="G4150" s="3" t="str">
        <f t="shared" si="1"/>
        <v>ACTIVE</v>
      </c>
    </row>
    <row r="4151" ht="22.5" customHeight="1">
      <c r="A4151" s="11" t="str">
        <f t="array" ref="A4151">IFERROR(
  INDEX('Starlink Launches'!$A:$A, MATCH($E4151, 'Starlink Launches'!$B:$B, 0)),
  ""
)
</f>
        <v>11-6</v>
      </c>
      <c r="B4151" s="3" t="s">
        <v>25</v>
      </c>
      <c r="C4151" s="12" t="s">
        <v>4171</v>
      </c>
      <c r="D4151" s="13">
        <v>62824.0</v>
      </c>
      <c r="E4151" s="4">
        <v>45681.0</v>
      </c>
      <c r="F4151" s="4" t="str">
        <f>IF(D4151="","", IFNA(VLOOKUP(D4151, SATCAT_DECAY!A:B, 2, FALSE), ""))
</f>
        <v/>
      </c>
      <c r="G4151" s="3" t="str">
        <f t="shared" si="1"/>
        <v>ACTIVE</v>
      </c>
    </row>
    <row r="4152" ht="22.5" customHeight="1">
      <c r="A4152" s="11" t="str">
        <f t="array" ref="A4152">IFERROR(
  INDEX('Starlink Launches'!$A:$A, MATCH($E4152, 'Starlink Launches'!$B:$B, 0)),
  ""
)
</f>
        <v>11-6</v>
      </c>
      <c r="B4152" s="3" t="s">
        <v>25</v>
      </c>
      <c r="C4152" s="12" t="s">
        <v>4172</v>
      </c>
      <c r="D4152" s="13">
        <v>62825.0</v>
      </c>
      <c r="E4152" s="4">
        <v>45681.0</v>
      </c>
      <c r="F4152" s="4" t="str">
        <f>IF(D4152="","", IFNA(VLOOKUP(D4152, SATCAT_DECAY!A:B, 2, FALSE), ""))
</f>
        <v/>
      </c>
      <c r="G4152" s="3" t="str">
        <f t="shared" si="1"/>
        <v>ACTIVE</v>
      </c>
    </row>
    <row r="4153" ht="22.5" customHeight="1">
      <c r="A4153" s="11" t="str">
        <f t="array" ref="A4153">IFERROR(
  INDEX('Starlink Launches'!$A:$A, MATCH($E4153, 'Starlink Launches'!$B:$B, 0)),
  ""
)
</f>
        <v>11-6</v>
      </c>
      <c r="B4153" s="3" t="s">
        <v>25</v>
      </c>
      <c r="C4153" s="12" t="s">
        <v>4173</v>
      </c>
      <c r="D4153" s="13">
        <v>62826.0</v>
      </c>
      <c r="E4153" s="4">
        <v>45681.0</v>
      </c>
      <c r="F4153" s="4" t="str">
        <f>IF(D4153="","", IFNA(VLOOKUP(D4153, SATCAT_DECAY!A:B, 2, FALSE), ""))
</f>
        <v/>
      </c>
      <c r="G4153" s="3" t="str">
        <f t="shared" si="1"/>
        <v>ACTIVE</v>
      </c>
    </row>
    <row r="4154" ht="22.5" customHeight="1">
      <c r="A4154" s="11" t="str">
        <f t="array" ref="A4154">IFERROR(
  INDEX('Starlink Launches'!$A:$A, MATCH($E4154, 'Starlink Launches'!$B:$B, 0)),
  ""
)
</f>
        <v>11-6</v>
      </c>
      <c r="B4154" s="3" t="s">
        <v>25</v>
      </c>
      <c r="C4154" s="12" t="s">
        <v>4174</v>
      </c>
      <c r="D4154" s="13">
        <v>62828.0</v>
      </c>
      <c r="E4154" s="4">
        <v>45681.0</v>
      </c>
      <c r="F4154" s="4" t="str">
        <f>IF(D4154="","", IFNA(VLOOKUP(D4154, SATCAT_DECAY!A:B, 2, FALSE), ""))
</f>
        <v/>
      </c>
      <c r="G4154" s="3" t="str">
        <f t="shared" si="1"/>
        <v>ACTIVE</v>
      </c>
    </row>
    <row r="4155" ht="22.5" customHeight="1">
      <c r="A4155" s="11" t="str">
        <f t="array" ref="A4155">IFERROR(
  INDEX('Starlink Launches'!$A:$A, MATCH($E4155, 'Starlink Launches'!$B:$B, 0)),
  ""
)
</f>
        <v>11-4</v>
      </c>
      <c r="B4155" s="3" t="s">
        <v>25</v>
      </c>
      <c r="C4155" s="12" t="s">
        <v>4175</v>
      </c>
      <c r="D4155" s="13">
        <v>62854.0</v>
      </c>
      <c r="E4155" s="4">
        <v>45689.0</v>
      </c>
      <c r="F4155" s="4" t="str">
        <f>IF(D4155="","", IFNA(VLOOKUP(D4155, SATCAT_DECAY!A:B, 2, FALSE), ""))
</f>
        <v/>
      </c>
      <c r="G4155" s="3" t="str">
        <f t="shared" si="1"/>
        <v>ACTIVE</v>
      </c>
    </row>
    <row r="4156" ht="22.5" customHeight="1">
      <c r="A4156" s="11" t="str">
        <f t="array" ref="A4156">IFERROR(
  INDEX('Starlink Launches'!$A:$A, MATCH($E4156, 'Starlink Launches'!$B:$B, 0)),
  ""
)
</f>
        <v>11-4</v>
      </c>
      <c r="B4156" s="3" t="s">
        <v>25</v>
      </c>
      <c r="C4156" s="12" t="s">
        <v>4176</v>
      </c>
      <c r="D4156" s="13">
        <v>62855.0</v>
      </c>
      <c r="E4156" s="4">
        <v>45689.0</v>
      </c>
      <c r="F4156" s="4" t="str">
        <f>IF(D4156="","", IFNA(VLOOKUP(D4156, SATCAT_DECAY!A:B, 2, FALSE), ""))
</f>
        <v/>
      </c>
      <c r="G4156" s="3" t="str">
        <f t="shared" si="1"/>
        <v>ACTIVE</v>
      </c>
    </row>
    <row r="4157" ht="22.5" customHeight="1">
      <c r="A4157" s="11" t="str">
        <f t="array" ref="A4157">IFERROR(
  INDEX('Starlink Launches'!$A:$A, MATCH($E4157, 'Starlink Launches'!$B:$B, 0)),
  ""
)
</f>
        <v>11-4</v>
      </c>
      <c r="B4157" s="3" t="s">
        <v>25</v>
      </c>
      <c r="C4157" s="12" t="s">
        <v>4177</v>
      </c>
      <c r="D4157" s="13">
        <v>62856.0</v>
      </c>
      <c r="E4157" s="4">
        <v>45689.0</v>
      </c>
      <c r="F4157" s="4" t="str">
        <f>IF(D4157="","", IFNA(VLOOKUP(D4157, SATCAT_DECAY!A:B, 2, FALSE), ""))
</f>
        <v/>
      </c>
      <c r="G4157" s="3" t="str">
        <f t="shared" si="1"/>
        <v>ACTIVE</v>
      </c>
    </row>
    <row r="4158" ht="22.5" customHeight="1">
      <c r="A4158" s="11" t="str">
        <f t="array" ref="A4158">IFERROR(
  INDEX('Starlink Launches'!$A:$A, MATCH($E4158, 'Starlink Launches'!$B:$B, 0)),
  ""
)
</f>
        <v>11-4</v>
      </c>
      <c r="B4158" s="3" t="s">
        <v>25</v>
      </c>
      <c r="C4158" s="12" t="s">
        <v>4178</v>
      </c>
      <c r="D4158" s="13">
        <v>62857.0</v>
      </c>
      <c r="E4158" s="4">
        <v>45689.0</v>
      </c>
      <c r="F4158" s="4" t="str">
        <f>IF(D4158="","", IFNA(VLOOKUP(D4158, SATCAT_DECAY!A:B, 2, FALSE), ""))
</f>
        <v/>
      </c>
      <c r="G4158" s="3" t="str">
        <f t="shared" si="1"/>
        <v>ACTIVE</v>
      </c>
    </row>
    <row r="4159" ht="22.5" customHeight="1">
      <c r="A4159" s="11" t="str">
        <f t="array" ref="A4159">IFERROR(
  INDEX('Starlink Launches'!$A:$A, MATCH($E4159, 'Starlink Launches'!$B:$B, 0)),
  ""
)
</f>
        <v>11-4</v>
      </c>
      <c r="B4159" s="3" t="s">
        <v>25</v>
      </c>
      <c r="C4159" s="12" t="s">
        <v>4179</v>
      </c>
      <c r="D4159" s="13">
        <v>62858.0</v>
      </c>
      <c r="E4159" s="4">
        <v>45689.0</v>
      </c>
      <c r="F4159" s="4" t="str">
        <f>IF(D4159="","", IFNA(VLOOKUP(D4159, SATCAT_DECAY!A:B, 2, FALSE), ""))
</f>
        <v/>
      </c>
      <c r="G4159" s="3" t="str">
        <f t="shared" si="1"/>
        <v>ACTIVE</v>
      </c>
    </row>
    <row r="4160" ht="22.5" customHeight="1">
      <c r="A4160" s="11" t="str">
        <f t="array" ref="A4160">IFERROR(
  INDEX('Starlink Launches'!$A:$A, MATCH($E4160, 'Starlink Launches'!$B:$B, 0)),
  ""
)
</f>
        <v>11-4</v>
      </c>
      <c r="B4160" s="3" t="s">
        <v>25</v>
      </c>
      <c r="C4160" s="12" t="s">
        <v>4180</v>
      </c>
      <c r="D4160" s="13">
        <v>62859.0</v>
      </c>
      <c r="E4160" s="4">
        <v>45689.0</v>
      </c>
      <c r="F4160" s="4" t="str">
        <f>IF(D4160="","", IFNA(VLOOKUP(D4160, SATCAT_DECAY!A:B, 2, FALSE), ""))
</f>
        <v/>
      </c>
      <c r="G4160" s="3" t="str">
        <f t="shared" si="1"/>
        <v>ACTIVE</v>
      </c>
    </row>
    <row r="4161" ht="22.5" customHeight="1">
      <c r="A4161" s="11" t="str">
        <f t="array" ref="A4161">IFERROR(
  INDEX('Starlink Launches'!$A:$A, MATCH($E4161, 'Starlink Launches'!$B:$B, 0)),
  ""
)
</f>
        <v>11-4</v>
      </c>
      <c r="B4161" s="3" t="s">
        <v>25</v>
      </c>
      <c r="C4161" s="12" t="s">
        <v>4181</v>
      </c>
      <c r="D4161" s="13">
        <v>62860.0</v>
      </c>
      <c r="E4161" s="4">
        <v>45689.0</v>
      </c>
      <c r="F4161" s="4" t="str">
        <f>IF(D4161="","", IFNA(VLOOKUP(D4161, SATCAT_DECAY!A:B, 2, FALSE), ""))
</f>
        <v/>
      </c>
      <c r="G4161" s="3" t="str">
        <f t="shared" si="1"/>
        <v>ACTIVE</v>
      </c>
    </row>
    <row r="4162" ht="22.5" customHeight="1">
      <c r="A4162" s="11" t="str">
        <f t="array" ref="A4162">IFERROR(
  INDEX('Starlink Launches'!$A:$A, MATCH($E4162, 'Starlink Launches'!$B:$B, 0)),
  ""
)
</f>
        <v>11-4</v>
      </c>
      <c r="B4162" s="3" t="s">
        <v>25</v>
      </c>
      <c r="C4162" s="12" t="s">
        <v>4182</v>
      </c>
      <c r="D4162" s="13">
        <v>62861.0</v>
      </c>
      <c r="E4162" s="4">
        <v>45689.0</v>
      </c>
      <c r="F4162" s="4" t="str">
        <f>IF(D4162="","", IFNA(VLOOKUP(D4162, SATCAT_DECAY!A:B, 2, FALSE), ""))
</f>
        <v/>
      </c>
      <c r="G4162" s="3" t="str">
        <f t="shared" si="1"/>
        <v>ACTIVE</v>
      </c>
    </row>
    <row r="4163" ht="22.5" customHeight="1">
      <c r="A4163" s="11" t="str">
        <f t="array" ref="A4163">IFERROR(
  INDEX('Starlink Launches'!$A:$A, MATCH($E4163, 'Starlink Launches'!$B:$B, 0)),
  ""
)
</f>
        <v>11-4</v>
      </c>
      <c r="B4163" s="3" t="s">
        <v>25</v>
      </c>
      <c r="C4163" s="12" t="s">
        <v>4183</v>
      </c>
      <c r="D4163" s="13">
        <v>62862.0</v>
      </c>
      <c r="E4163" s="4">
        <v>45689.0</v>
      </c>
      <c r="F4163" s="4" t="str">
        <f>IF(D4163="","", IFNA(VLOOKUP(D4163, SATCAT_DECAY!A:B, 2, FALSE), ""))
</f>
        <v/>
      </c>
      <c r="G4163" s="3" t="str">
        <f t="shared" si="1"/>
        <v>ACTIVE</v>
      </c>
    </row>
    <row r="4164" ht="22.5" customHeight="1">
      <c r="A4164" s="11" t="str">
        <f t="array" ref="A4164">IFERROR(
  INDEX('Starlink Launches'!$A:$A, MATCH($E4164, 'Starlink Launches'!$B:$B, 0)),
  ""
)
</f>
        <v>11-4</v>
      </c>
      <c r="B4164" s="3" t="s">
        <v>25</v>
      </c>
      <c r="C4164" s="12" t="s">
        <v>4184</v>
      </c>
      <c r="D4164" s="13">
        <v>62863.0</v>
      </c>
      <c r="E4164" s="4">
        <v>45689.0</v>
      </c>
      <c r="F4164" s="4" t="str">
        <f>IF(D4164="","", IFNA(VLOOKUP(D4164, SATCAT_DECAY!A:B, 2, FALSE), ""))
</f>
        <v/>
      </c>
      <c r="G4164" s="3" t="str">
        <f t="shared" si="1"/>
        <v>ACTIVE</v>
      </c>
    </row>
    <row r="4165" ht="22.5" customHeight="1">
      <c r="A4165" s="11" t="str">
        <f t="array" ref="A4165">IFERROR(
  INDEX('Starlink Launches'!$A:$A, MATCH($E4165, 'Starlink Launches'!$B:$B, 0)),
  ""
)
</f>
        <v>11-4</v>
      </c>
      <c r="B4165" s="3" t="s">
        <v>25</v>
      </c>
      <c r="C4165" s="12" t="s">
        <v>4185</v>
      </c>
      <c r="D4165" s="13">
        <v>62864.0</v>
      </c>
      <c r="E4165" s="4">
        <v>45689.0</v>
      </c>
      <c r="F4165" s="4" t="str">
        <f>IF(D4165="","", IFNA(VLOOKUP(D4165, SATCAT_DECAY!A:B, 2, FALSE), ""))
</f>
        <v/>
      </c>
      <c r="G4165" s="3" t="str">
        <f t="shared" si="1"/>
        <v>ACTIVE</v>
      </c>
    </row>
    <row r="4166" ht="22.5" customHeight="1">
      <c r="A4166" s="11" t="str">
        <f t="array" ref="A4166">IFERROR(
  INDEX('Starlink Launches'!$A:$A, MATCH($E4166, 'Starlink Launches'!$B:$B, 0)),
  ""
)
</f>
        <v>11-4</v>
      </c>
      <c r="B4166" s="3" t="s">
        <v>25</v>
      </c>
      <c r="C4166" s="12" t="s">
        <v>4186</v>
      </c>
      <c r="D4166" s="13">
        <v>62865.0</v>
      </c>
      <c r="E4166" s="4">
        <v>45689.0</v>
      </c>
      <c r="F4166" s="4" t="str">
        <f>IF(D4166="","", IFNA(VLOOKUP(D4166, SATCAT_DECAY!A:B, 2, FALSE), ""))
</f>
        <v/>
      </c>
      <c r="G4166" s="3" t="str">
        <f t="shared" si="1"/>
        <v>ACTIVE</v>
      </c>
    </row>
    <row r="4167" ht="22.5" customHeight="1">
      <c r="A4167" s="11" t="str">
        <f t="array" ref="A4167">IFERROR(
  INDEX('Starlink Launches'!$A:$A, MATCH($E4167, 'Starlink Launches'!$B:$B, 0)),
  ""
)
</f>
        <v>11-4</v>
      </c>
      <c r="B4167" s="3" t="s">
        <v>25</v>
      </c>
      <c r="C4167" s="12" t="s">
        <v>4187</v>
      </c>
      <c r="D4167" s="13">
        <v>62866.0</v>
      </c>
      <c r="E4167" s="4">
        <v>45689.0</v>
      </c>
      <c r="F4167" s="4" t="str">
        <f>IF(D4167="","", IFNA(VLOOKUP(D4167, SATCAT_DECAY!A:B, 2, FALSE), ""))
</f>
        <v/>
      </c>
      <c r="G4167" s="3" t="str">
        <f t="shared" si="1"/>
        <v>ACTIVE</v>
      </c>
    </row>
    <row r="4168" ht="22.5" customHeight="1">
      <c r="A4168" s="11" t="str">
        <f t="array" ref="A4168">IFERROR(
  INDEX('Starlink Launches'!$A:$A, MATCH($E4168, 'Starlink Launches'!$B:$B, 0)),
  ""
)
</f>
        <v>11-4</v>
      </c>
      <c r="B4168" s="3" t="s">
        <v>25</v>
      </c>
      <c r="C4168" s="12" t="s">
        <v>4188</v>
      </c>
      <c r="D4168" s="13">
        <v>62867.0</v>
      </c>
      <c r="E4168" s="4">
        <v>45689.0</v>
      </c>
      <c r="F4168" s="4" t="str">
        <f>IF(D4168="","", IFNA(VLOOKUP(D4168, SATCAT_DECAY!A:B, 2, FALSE), ""))
</f>
        <v/>
      </c>
      <c r="G4168" s="3" t="str">
        <f t="shared" si="1"/>
        <v>ACTIVE</v>
      </c>
    </row>
    <row r="4169" ht="22.5" customHeight="1">
      <c r="A4169" s="11" t="str">
        <f t="array" ref="A4169">IFERROR(
  INDEX('Starlink Launches'!$A:$A, MATCH($E4169, 'Starlink Launches'!$B:$B, 0)),
  ""
)
</f>
        <v>11-4</v>
      </c>
      <c r="B4169" s="3" t="s">
        <v>25</v>
      </c>
      <c r="C4169" s="12" t="s">
        <v>4189</v>
      </c>
      <c r="D4169" s="13">
        <v>62868.0</v>
      </c>
      <c r="E4169" s="4">
        <v>45689.0</v>
      </c>
      <c r="F4169" s="4" t="str">
        <f>IF(D4169="","", IFNA(VLOOKUP(D4169, SATCAT_DECAY!A:B, 2, FALSE), ""))
</f>
        <v/>
      </c>
      <c r="G4169" s="3" t="str">
        <f t="shared" si="1"/>
        <v>ACTIVE</v>
      </c>
    </row>
    <row r="4170" ht="22.5" customHeight="1">
      <c r="A4170" s="11" t="str">
        <f t="array" ref="A4170">IFERROR(
  INDEX('Starlink Launches'!$A:$A, MATCH($E4170, 'Starlink Launches'!$B:$B, 0)),
  ""
)
</f>
        <v>11-4</v>
      </c>
      <c r="B4170" s="3" t="s">
        <v>25</v>
      </c>
      <c r="C4170" s="12" t="s">
        <v>4190</v>
      </c>
      <c r="D4170" s="13">
        <v>62869.0</v>
      </c>
      <c r="E4170" s="4">
        <v>45689.0</v>
      </c>
      <c r="F4170" s="4" t="str">
        <f>IF(D4170="","", IFNA(VLOOKUP(D4170, SATCAT_DECAY!A:B, 2, FALSE), ""))
</f>
        <v/>
      </c>
      <c r="G4170" s="3" t="str">
        <f t="shared" si="1"/>
        <v>ACTIVE</v>
      </c>
    </row>
    <row r="4171" ht="22.5" customHeight="1">
      <c r="A4171" s="11" t="str">
        <f t="array" ref="A4171">IFERROR(
  INDEX('Starlink Launches'!$A:$A, MATCH($E4171, 'Starlink Launches'!$B:$B, 0)),
  ""
)
</f>
        <v>11-4</v>
      </c>
      <c r="B4171" s="3" t="s">
        <v>25</v>
      </c>
      <c r="C4171" s="12" t="s">
        <v>4191</v>
      </c>
      <c r="D4171" s="13">
        <v>62870.0</v>
      </c>
      <c r="E4171" s="4">
        <v>45689.0</v>
      </c>
      <c r="F4171" s="4" t="str">
        <f>IF(D4171="","", IFNA(VLOOKUP(D4171, SATCAT_DECAY!A:B, 2, FALSE), ""))
</f>
        <v/>
      </c>
      <c r="G4171" s="3" t="str">
        <f t="shared" si="1"/>
        <v>ACTIVE</v>
      </c>
    </row>
    <row r="4172" ht="22.5" customHeight="1">
      <c r="A4172" s="11" t="str">
        <f t="array" ref="A4172">IFERROR(
  INDEX('Starlink Launches'!$A:$A, MATCH($E4172, 'Starlink Launches'!$B:$B, 0)),
  ""
)
</f>
        <v>11-4</v>
      </c>
      <c r="B4172" s="3" t="s">
        <v>25</v>
      </c>
      <c r="C4172" s="12" t="s">
        <v>4192</v>
      </c>
      <c r="D4172" s="13">
        <v>62871.0</v>
      </c>
      <c r="E4172" s="4">
        <v>45689.0</v>
      </c>
      <c r="F4172" s="4" t="str">
        <f>IF(D4172="","", IFNA(VLOOKUP(D4172, SATCAT_DECAY!A:B, 2, FALSE), ""))
</f>
        <v/>
      </c>
      <c r="G4172" s="3" t="str">
        <f t="shared" si="1"/>
        <v>ACTIVE</v>
      </c>
    </row>
    <row r="4173" ht="22.5" customHeight="1">
      <c r="A4173" s="11" t="str">
        <f t="array" ref="A4173">IFERROR(
  INDEX('Starlink Launches'!$A:$A, MATCH($E4173, 'Starlink Launches'!$B:$B, 0)),
  ""
)
</f>
        <v>11-4</v>
      </c>
      <c r="B4173" s="3" t="s">
        <v>25</v>
      </c>
      <c r="C4173" s="12" t="s">
        <v>4193</v>
      </c>
      <c r="D4173" s="13">
        <v>62872.0</v>
      </c>
      <c r="E4173" s="4">
        <v>45689.0</v>
      </c>
      <c r="F4173" s="4" t="str">
        <f>IF(D4173="","", IFNA(VLOOKUP(D4173, SATCAT_DECAY!A:B, 2, FALSE), ""))
</f>
        <v/>
      </c>
      <c r="G4173" s="3" t="str">
        <f t="shared" si="1"/>
        <v>ACTIVE</v>
      </c>
    </row>
    <row r="4174" ht="22.5" customHeight="1">
      <c r="A4174" s="11" t="str">
        <f t="array" ref="A4174">IFERROR(
  INDEX('Starlink Launches'!$A:$A, MATCH($E4174, 'Starlink Launches'!$B:$B, 0)),
  ""
)
</f>
        <v>11-4</v>
      </c>
      <c r="B4174" s="3" t="s">
        <v>25</v>
      </c>
      <c r="C4174" s="12" t="s">
        <v>4194</v>
      </c>
      <c r="D4174" s="13">
        <v>62873.0</v>
      </c>
      <c r="E4174" s="4">
        <v>45689.0</v>
      </c>
      <c r="F4174" s="4" t="str">
        <f>IF(D4174="","", IFNA(VLOOKUP(D4174, SATCAT_DECAY!A:B, 2, FALSE), ""))
</f>
        <v/>
      </c>
      <c r="G4174" s="3" t="str">
        <f t="shared" si="1"/>
        <v>ACTIVE</v>
      </c>
    </row>
    <row r="4175" ht="22.5" customHeight="1">
      <c r="A4175" s="11" t="str">
        <f t="array" ref="A4175">IFERROR(
  INDEX('Starlink Launches'!$A:$A, MATCH($E4175, 'Starlink Launches'!$B:$B, 0)),
  ""
)
</f>
        <v>11-4</v>
      </c>
      <c r="B4175" s="3" t="s">
        <v>25</v>
      </c>
      <c r="C4175" s="12" t="s">
        <v>4195</v>
      </c>
      <c r="D4175" s="13">
        <v>62874.0</v>
      </c>
      <c r="E4175" s="4">
        <v>45689.0</v>
      </c>
      <c r="F4175" s="4" t="str">
        <f>IF(D4175="","", IFNA(VLOOKUP(D4175, SATCAT_DECAY!A:B, 2, FALSE), ""))
</f>
        <v/>
      </c>
      <c r="G4175" s="3" t="str">
        <f t="shared" si="1"/>
        <v>ACTIVE</v>
      </c>
    </row>
    <row r="4176" ht="22.5" customHeight="1">
      <c r="A4176" s="11" t="str">
        <f t="array" ref="A4176">IFERROR(
  INDEX('Starlink Launches'!$A:$A, MATCH($E4176, 'Starlink Launches'!$B:$B, 0)),
  ""
)
</f>
        <v>11-4</v>
      </c>
      <c r="B4176" s="3" t="s">
        <v>25</v>
      </c>
      <c r="C4176" s="12" t="s">
        <v>4196</v>
      </c>
      <c r="D4176" s="13">
        <v>62875.0</v>
      </c>
      <c r="E4176" s="4">
        <v>45689.0</v>
      </c>
      <c r="F4176" s="4" t="str">
        <f>IF(D4176="","", IFNA(VLOOKUP(D4176, SATCAT_DECAY!A:B, 2, FALSE), ""))
</f>
        <v/>
      </c>
      <c r="G4176" s="3" t="str">
        <f t="shared" si="1"/>
        <v>ACTIVE</v>
      </c>
    </row>
    <row r="4177" ht="22.5" customHeight="1">
      <c r="A4177" s="11" t="str">
        <f t="array" ref="A4177">IFERROR(
  INDEX('Starlink Launches'!$A:$A, MATCH($E4177, 'Starlink Launches'!$B:$B, 0)),
  ""
)
</f>
        <v>11-10</v>
      </c>
      <c r="B4177" s="3" t="s">
        <v>25</v>
      </c>
      <c r="C4177" s="12" t="s">
        <v>4197</v>
      </c>
      <c r="D4177" s="13">
        <v>62948.0</v>
      </c>
      <c r="E4177" s="4">
        <v>45699.0</v>
      </c>
      <c r="F4177" s="4" t="str">
        <f>IF(D4177="","", IFNA(VLOOKUP(D4177, SATCAT_DECAY!A:B, 2, FALSE), ""))
</f>
        <v/>
      </c>
      <c r="G4177" s="3" t="str">
        <f t="shared" si="1"/>
        <v>ACTIVE</v>
      </c>
    </row>
    <row r="4178" ht="22.5" customHeight="1">
      <c r="A4178" s="11" t="str">
        <f t="array" ref="A4178">IFERROR(
  INDEX('Starlink Launches'!$A:$A, MATCH($E4178, 'Starlink Launches'!$B:$B, 0)),
  ""
)
</f>
        <v>11-10</v>
      </c>
      <c r="B4178" s="3" t="s">
        <v>25</v>
      </c>
      <c r="C4178" s="12" t="s">
        <v>4198</v>
      </c>
      <c r="D4178" s="13">
        <v>62949.0</v>
      </c>
      <c r="E4178" s="4">
        <v>45699.0</v>
      </c>
      <c r="F4178" s="4" t="str">
        <f>IF(D4178="","", IFNA(VLOOKUP(D4178, SATCAT_DECAY!A:B, 2, FALSE), ""))
</f>
        <v/>
      </c>
      <c r="G4178" s="3" t="str">
        <f t="shared" si="1"/>
        <v>ACTIVE</v>
      </c>
    </row>
    <row r="4179" ht="22.5" customHeight="1">
      <c r="A4179" s="11" t="str">
        <f t="array" ref="A4179">IFERROR(
  INDEX('Starlink Launches'!$A:$A, MATCH($E4179, 'Starlink Launches'!$B:$B, 0)),
  ""
)
</f>
        <v>11-10</v>
      </c>
      <c r="B4179" s="3" t="s">
        <v>25</v>
      </c>
      <c r="C4179" s="12" t="s">
        <v>4199</v>
      </c>
      <c r="D4179" s="13">
        <v>62950.0</v>
      </c>
      <c r="E4179" s="4">
        <v>45699.0</v>
      </c>
      <c r="F4179" s="4" t="str">
        <f>IF(D4179="","", IFNA(VLOOKUP(D4179, SATCAT_DECAY!A:B, 2, FALSE), ""))
</f>
        <v/>
      </c>
      <c r="G4179" s="3" t="str">
        <f t="shared" si="1"/>
        <v>ACTIVE</v>
      </c>
    </row>
    <row r="4180" ht="22.5" customHeight="1">
      <c r="A4180" s="11" t="str">
        <f t="array" ref="A4180">IFERROR(
  INDEX('Starlink Launches'!$A:$A, MATCH($E4180, 'Starlink Launches'!$B:$B, 0)),
  ""
)
</f>
        <v>11-10</v>
      </c>
      <c r="B4180" s="3" t="s">
        <v>25</v>
      </c>
      <c r="C4180" s="12" t="s">
        <v>4200</v>
      </c>
      <c r="D4180" s="13">
        <v>62951.0</v>
      </c>
      <c r="E4180" s="4">
        <v>45699.0</v>
      </c>
      <c r="F4180" s="4" t="str">
        <f>IF(D4180="","", IFNA(VLOOKUP(D4180, SATCAT_DECAY!A:B, 2, FALSE), ""))
</f>
        <v/>
      </c>
      <c r="G4180" s="3" t="str">
        <f t="shared" si="1"/>
        <v>ACTIVE</v>
      </c>
    </row>
    <row r="4181" ht="22.5" customHeight="1">
      <c r="A4181" s="11" t="str">
        <f t="array" ref="A4181">IFERROR(
  INDEX('Starlink Launches'!$A:$A, MATCH($E4181, 'Starlink Launches'!$B:$B, 0)),
  ""
)
</f>
        <v>11-10</v>
      </c>
      <c r="B4181" s="3" t="s">
        <v>25</v>
      </c>
      <c r="C4181" s="12" t="s">
        <v>4201</v>
      </c>
      <c r="D4181" s="13">
        <v>62952.0</v>
      </c>
      <c r="E4181" s="4">
        <v>45699.0</v>
      </c>
      <c r="F4181" s="4" t="str">
        <f>IF(D4181="","", IFNA(VLOOKUP(D4181, SATCAT_DECAY!A:B, 2, FALSE), ""))
</f>
        <v/>
      </c>
      <c r="G4181" s="3" t="str">
        <f t="shared" si="1"/>
        <v>ACTIVE</v>
      </c>
    </row>
    <row r="4182" ht="22.5" customHeight="1">
      <c r="A4182" s="11" t="str">
        <f t="array" ref="A4182">IFERROR(
  INDEX('Starlink Launches'!$A:$A, MATCH($E4182, 'Starlink Launches'!$B:$B, 0)),
  ""
)
</f>
        <v>11-10</v>
      </c>
      <c r="B4182" s="3" t="s">
        <v>25</v>
      </c>
      <c r="C4182" s="12" t="s">
        <v>4202</v>
      </c>
      <c r="D4182" s="13">
        <v>62953.0</v>
      </c>
      <c r="E4182" s="4">
        <v>45699.0</v>
      </c>
      <c r="F4182" s="4" t="str">
        <f>IF(D4182="","", IFNA(VLOOKUP(D4182, SATCAT_DECAY!A:B, 2, FALSE), ""))
</f>
        <v/>
      </c>
      <c r="G4182" s="3" t="str">
        <f t="shared" si="1"/>
        <v>ACTIVE</v>
      </c>
    </row>
    <row r="4183" ht="22.5" customHeight="1">
      <c r="A4183" s="11" t="str">
        <f t="array" ref="A4183">IFERROR(
  INDEX('Starlink Launches'!$A:$A, MATCH($E4183, 'Starlink Launches'!$B:$B, 0)),
  ""
)
</f>
        <v>11-10</v>
      </c>
      <c r="B4183" s="3" t="s">
        <v>25</v>
      </c>
      <c r="C4183" s="12" t="s">
        <v>4203</v>
      </c>
      <c r="D4183" s="13">
        <v>62954.0</v>
      </c>
      <c r="E4183" s="4">
        <v>45699.0</v>
      </c>
      <c r="F4183" s="4" t="str">
        <f>IF(D4183="","", IFNA(VLOOKUP(D4183, SATCAT_DECAY!A:B, 2, FALSE), ""))
</f>
        <v/>
      </c>
      <c r="G4183" s="3" t="str">
        <f t="shared" si="1"/>
        <v>ACTIVE</v>
      </c>
    </row>
    <row r="4184" ht="22.5" customHeight="1">
      <c r="A4184" s="11" t="str">
        <f t="array" ref="A4184">IFERROR(
  INDEX('Starlink Launches'!$A:$A, MATCH($E4184, 'Starlink Launches'!$B:$B, 0)),
  ""
)
</f>
        <v>11-10</v>
      </c>
      <c r="B4184" s="3" t="s">
        <v>25</v>
      </c>
      <c r="C4184" s="12" t="s">
        <v>4204</v>
      </c>
      <c r="D4184" s="13">
        <v>62955.0</v>
      </c>
      <c r="E4184" s="4">
        <v>45699.0</v>
      </c>
      <c r="F4184" s="4" t="str">
        <f>IF(D4184="","", IFNA(VLOOKUP(D4184, SATCAT_DECAY!A:B, 2, FALSE), ""))
</f>
        <v/>
      </c>
      <c r="G4184" s="3" t="str">
        <f t="shared" si="1"/>
        <v>ACTIVE</v>
      </c>
    </row>
    <row r="4185" ht="22.5" customHeight="1">
      <c r="A4185" s="11" t="str">
        <f t="array" ref="A4185">IFERROR(
  INDEX('Starlink Launches'!$A:$A, MATCH($E4185, 'Starlink Launches'!$B:$B, 0)),
  ""
)
</f>
        <v>11-10</v>
      </c>
      <c r="B4185" s="3" t="s">
        <v>25</v>
      </c>
      <c r="C4185" s="12" t="s">
        <v>4205</v>
      </c>
      <c r="D4185" s="13">
        <v>62956.0</v>
      </c>
      <c r="E4185" s="4">
        <v>45699.0</v>
      </c>
      <c r="F4185" s="4" t="str">
        <f>IF(D4185="","", IFNA(VLOOKUP(D4185, SATCAT_DECAY!A:B, 2, FALSE), ""))
</f>
        <v/>
      </c>
      <c r="G4185" s="3" t="str">
        <f t="shared" si="1"/>
        <v>ACTIVE</v>
      </c>
    </row>
    <row r="4186" ht="22.5" customHeight="1">
      <c r="A4186" s="11" t="str">
        <f t="array" ref="A4186">IFERROR(
  INDEX('Starlink Launches'!$A:$A, MATCH($E4186, 'Starlink Launches'!$B:$B, 0)),
  ""
)
</f>
        <v>11-10</v>
      </c>
      <c r="B4186" s="3" t="s">
        <v>25</v>
      </c>
      <c r="C4186" s="12" t="s">
        <v>4206</v>
      </c>
      <c r="D4186" s="13">
        <v>62957.0</v>
      </c>
      <c r="E4186" s="4">
        <v>45699.0</v>
      </c>
      <c r="F4186" s="4" t="str">
        <f>IF(D4186="","", IFNA(VLOOKUP(D4186, SATCAT_DECAY!A:B, 2, FALSE), ""))
</f>
        <v/>
      </c>
      <c r="G4186" s="3" t="str">
        <f t="shared" si="1"/>
        <v>ACTIVE</v>
      </c>
    </row>
    <row r="4187" ht="22.5" customHeight="1">
      <c r="A4187" s="11" t="str">
        <f t="array" ref="A4187">IFERROR(
  INDEX('Starlink Launches'!$A:$A, MATCH($E4187, 'Starlink Launches'!$B:$B, 0)),
  ""
)
</f>
        <v>11-10</v>
      </c>
      <c r="B4187" s="3" t="s">
        <v>25</v>
      </c>
      <c r="C4187" s="12" t="s">
        <v>4207</v>
      </c>
      <c r="D4187" s="13">
        <v>62958.0</v>
      </c>
      <c r="E4187" s="4">
        <v>45699.0</v>
      </c>
      <c r="F4187" s="4" t="str">
        <f>IF(D4187="","", IFNA(VLOOKUP(D4187, SATCAT_DECAY!A:B, 2, FALSE), ""))
</f>
        <v/>
      </c>
      <c r="G4187" s="3" t="str">
        <f t="shared" si="1"/>
        <v>ACTIVE</v>
      </c>
    </row>
    <row r="4188" ht="22.5" customHeight="1">
      <c r="A4188" s="11" t="str">
        <f t="array" ref="A4188">IFERROR(
  INDEX('Starlink Launches'!$A:$A, MATCH($E4188, 'Starlink Launches'!$B:$B, 0)),
  ""
)
</f>
        <v>11-10</v>
      </c>
      <c r="B4188" s="3" t="s">
        <v>25</v>
      </c>
      <c r="C4188" s="12" t="s">
        <v>4208</v>
      </c>
      <c r="D4188" s="13">
        <v>62959.0</v>
      </c>
      <c r="E4188" s="4">
        <v>45699.0</v>
      </c>
      <c r="F4188" s="4" t="str">
        <f>IF(D4188="","", IFNA(VLOOKUP(D4188, SATCAT_DECAY!A:B, 2, FALSE), ""))
</f>
        <v/>
      </c>
      <c r="G4188" s="3" t="str">
        <f t="shared" si="1"/>
        <v>ACTIVE</v>
      </c>
    </row>
    <row r="4189" ht="22.5" customHeight="1">
      <c r="A4189" s="11" t="str">
        <f t="array" ref="A4189">IFERROR(
  INDEX('Starlink Launches'!$A:$A, MATCH($E4189, 'Starlink Launches'!$B:$B, 0)),
  ""
)
</f>
        <v>11-10</v>
      </c>
      <c r="B4189" s="3" t="s">
        <v>25</v>
      </c>
      <c r="C4189" s="12" t="s">
        <v>4209</v>
      </c>
      <c r="D4189" s="13">
        <v>62960.0</v>
      </c>
      <c r="E4189" s="4">
        <v>45699.0</v>
      </c>
      <c r="F4189" s="4" t="str">
        <f>IF(D4189="","", IFNA(VLOOKUP(D4189, SATCAT_DECAY!A:B, 2, FALSE), ""))
</f>
        <v/>
      </c>
      <c r="G4189" s="3" t="str">
        <f t="shared" si="1"/>
        <v>ACTIVE</v>
      </c>
    </row>
    <row r="4190" ht="22.5" customHeight="1">
      <c r="A4190" s="11" t="str">
        <f t="array" ref="A4190">IFERROR(
  INDEX('Starlink Launches'!$A:$A, MATCH($E4190, 'Starlink Launches'!$B:$B, 0)),
  ""
)
</f>
        <v>11-10</v>
      </c>
      <c r="B4190" s="3" t="s">
        <v>25</v>
      </c>
      <c r="C4190" s="12" t="s">
        <v>4210</v>
      </c>
      <c r="D4190" s="13">
        <v>62961.0</v>
      </c>
      <c r="E4190" s="4">
        <v>45699.0</v>
      </c>
      <c r="F4190" s="4" t="str">
        <f>IF(D4190="","", IFNA(VLOOKUP(D4190, SATCAT_DECAY!A:B, 2, FALSE), ""))
</f>
        <v/>
      </c>
      <c r="G4190" s="3" t="str">
        <f t="shared" si="1"/>
        <v>ACTIVE</v>
      </c>
    </row>
    <row r="4191" ht="22.5" customHeight="1">
      <c r="A4191" s="11" t="str">
        <f t="array" ref="A4191">IFERROR(
  INDEX('Starlink Launches'!$A:$A, MATCH($E4191, 'Starlink Launches'!$B:$B, 0)),
  ""
)
</f>
        <v>11-10</v>
      </c>
      <c r="B4191" s="3" t="s">
        <v>25</v>
      </c>
      <c r="C4191" s="12" t="s">
        <v>4211</v>
      </c>
      <c r="D4191" s="13">
        <v>62962.0</v>
      </c>
      <c r="E4191" s="4">
        <v>45699.0</v>
      </c>
      <c r="F4191" s="4" t="str">
        <f>IF(D4191="","", IFNA(VLOOKUP(D4191, SATCAT_DECAY!A:B, 2, FALSE), ""))
</f>
        <v/>
      </c>
      <c r="G4191" s="3" t="str">
        <f t="shared" si="1"/>
        <v>ACTIVE</v>
      </c>
    </row>
    <row r="4192" ht="22.5" customHeight="1">
      <c r="A4192" s="11" t="str">
        <f t="array" ref="A4192">IFERROR(
  INDEX('Starlink Launches'!$A:$A, MATCH($E4192, 'Starlink Launches'!$B:$B, 0)),
  ""
)
</f>
        <v>11-10</v>
      </c>
      <c r="B4192" s="3" t="s">
        <v>25</v>
      </c>
      <c r="C4192" s="12" t="s">
        <v>4212</v>
      </c>
      <c r="D4192" s="13">
        <v>62963.0</v>
      </c>
      <c r="E4192" s="4">
        <v>45699.0</v>
      </c>
      <c r="F4192" s="4" t="str">
        <f>IF(D4192="","", IFNA(VLOOKUP(D4192, SATCAT_DECAY!A:B, 2, FALSE), ""))
</f>
        <v/>
      </c>
      <c r="G4192" s="3" t="str">
        <f t="shared" si="1"/>
        <v>ACTIVE</v>
      </c>
    </row>
    <row r="4193" ht="22.5" customHeight="1">
      <c r="A4193" s="11" t="str">
        <f t="array" ref="A4193">IFERROR(
  INDEX('Starlink Launches'!$A:$A, MATCH($E4193, 'Starlink Launches'!$B:$B, 0)),
  ""
)
</f>
        <v>11-10</v>
      </c>
      <c r="B4193" s="3" t="s">
        <v>25</v>
      </c>
      <c r="C4193" s="12" t="s">
        <v>4213</v>
      </c>
      <c r="D4193" s="13">
        <v>62964.0</v>
      </c>
      <c r="E4193" s="4">
        <v>45699.0</v>
      </c>
      <c r="F4193" s="4" t="str">
        <f>IF(D4193="","", IFNA(VLOOKUP(D4193, SATCAT_DECAY!A:B, 2, FALSE), ""))
</f>
        <v/>
      </c>
      <c r="G4193" s="3" t="str">
        <f t="shared" si="1"/>
        <v>ACTIVE</v>
      </c>
    </row>
    <row r="4194" ht="22.5" customHeight="1">
      <c r="A4194" s="11" t="str">
        <f t="array" ref="A4194">IFERROR(
  INDEX('Starlink Launches'!$A:$A, MATCH($E4194, 'Starlink Launches'!$B:$B, 0)),
  ""
)
</f>
        <v>11-10</v>
      </c>
      <c r="B4194" s="3" t="s">
        <v>25</v>
      </c>
      <c r="C4194" s="12" t="s">
        <v>4214</v>
      </c>
      <c r="D4194" s="13">
        <v>62965.0</v>
      </c>
      <c r="E4194" s="4">
        <v>45699.0</v>
      </c>
      <c r="F4194" s="4" t="str">
        <f>IF(D4194="","", IFNA(VLOOKUP(D4194, SATCAT_DECAY!A:B, 2, FALSE), ""))
</f>
        <v/>
      </c>
      <c r="G4194" s="3" t="str">
        <f t="shared" si="1"/>
        <v>ACTIVE</v>
      </c>
    </row>
    <row r="4195" ht="22.5" customHeight="1">
      <c r="A4195" s="11" t="str">
        <f t="array" ref="A4195">IFERROR(
  INDEX('Starlink Launches'!$A:$A, MATCH($E4195, 'Starlink Launches'!$B:$B, 0)),
  ""
)
</f>
        <v>11-10</v>
      </c>
      <c r="B4195" s="3" t="s">
        <v>25</v>
      </c>
      <c r="C4195" s="12" t="s">
        <v>4215</v>
      </c>
      <c r="D4195" s="13">
        <v>62966.0</v>
      </c>
      <c r="E4195" s="4">
        <v>45699.0</v>
      </c>
      <c r="F4195" s="4" t="str">
        <f>IF(D4195="","", IFNA(VLOOKUP(D4195, SATCAT_DECAY!A:B, 2, FALSE), ""))
</f>
        <v/>
      </c>
      <c r="G4195" s="3" t="str">
        <f t="shared" si="1"/>
        <v>ACTIVE</v>
      </c>
    </row>
    <row r="4196" ht="22.5" customHeight="1">
      <c r="A4196" s="11" t="str">
        <f t="array" ref="A4196">IFERROR(
  INDEX('Starlink Launches'!$A:$A, MATCH($E4196, 'Starlink Launches'!$B:$B, 0)),
  ""
)
</f>
        <v>11-10</v>
      </c>
      <c r="B4196" s="3" t="s">
        <v>25</v>
      </c>
      <c r="C4196" s="12" t="s">
        <v>4216</v>
      </c>
      <c r="D4196" s="13">
        <v>62967.0</v>
      </c>
      <c r="E4196" s="4">
        <v>45699.0</v>
      </c>
      <c r="F4196" s="4" t="str">
        <f>IF(D4196="","", IFNA(VLOOKUP(D4196, SATCAT_DECAY!A:B, 2, FALSE), ""))
</f>
        <v/>
      </c>
      <c r="G4196" s="3" t="str">
        <f t="shared" si="1"/>
        <v>ACTIVE</v>
      </c>
    </row>
    <row r="4197" ht="22.5" customHeight="1">
      <c r="A4197" s="11" t="str">
        <f t="array" ref="A4197">IFERROR(
  INDEX('Starlink Launches'!$A:$A, MATCH($E4197, 'Starlink Launches'!$B:$B, 0)),
  ""
)
</f>
        <v>11-10</v>
      </c>
      <c r="B4197" s="3" t="s">
        <v>25</v>
      </c>
      <c r="C4197" s="12" t="s">
        <v>4217</v>
      </c>
      <c r="D4197" s="13">
        <v>62968.0</v>
      </c>
      <c r="E4197" s="4">
        <v>45699.0</v>
      </c>
      <c r="F4197" s="4" t="str">
        <f>IF(D4197="","", IFNA(VLOOKUP(D4197, SATCAT_DECAY!A:B, 2, FALSE), ""))
</f>
        <v/>
      </c>
      <c r="G4197" s="3" t="str">
        <f t="shared" si="1"/>
        <v>ACTIVE</v>
      </c>
    </row>
    <row r="4198" ht="22.5" customHeight="1">
      <c r="A4198" s="11" t="str">
        <f t="array" ref="A4198">IFERROR(
  INDEX('Starlink Launches'!$A:$A, MATCH($E4198, 'Starlink Launches'!$B:$B, 0)),
  ""
)
</f>
        <v>11-10</v>
      </c>
      <c r="B4198" s="3" t="s">
        <v>25</v>
      </c>
      <c r="C4198" s="12" t="s">
        <v>4218</v>
      </c>
      <c r="D4198" s="13">
        <v>62969.0</v>
      </c>
      <c r="E4198" s="4">
        <v>45699.0</v>
      </c>
      <c r="F4198" s="4" t="str">
        <f>IF(D4198="","", IFNA(VLOOKUP(D4198, SATCAT_DECAY!A:B, 2, FALSE), ""))
</f>
        <v/>
      </c>
      <c r="G4198" s="3" t="str">
        <f t="shared" si="1"/>
        <v>ACTIVE</v>
      </c>
    </row>
    <row r="4199" ht="22.5" customHeight="1">
      <c r="A4199" s="11" t="str">
        <f t="array" ref="A4199">IFERROR(
  INDEX('Starlink Launches'!$A:$A, MATCH($E4199, 'Starlink Launches'!$B:$B, 0)),
  ""
)
</f>
        <v>11-10</v>
      </c>
      <c r="B4199" s="3" t="s">
        <v>25</v>
      </c>
      <c r="C4199" s="12" t="s">
        <v>4219</v>
      </c>
      <c r="D4199" s="13">
        <v>62970.0</v>
      </c>
      <c r="E4199" s="4">
        <v>45699.0</v>
      </c>
      <c r="F4199" s="4" t="str">
        <f>IF(D4199="","", IFNA(VLOOKUP(D4199, SATCAT_DECAY!A:B, 2, FALSE), ""))
</f>
        <v/>
      </c>
      <c r="G4199" s="3" t="str">
        <f t="shared" si="1"/>
        <v>ACTIVE</v>
      </c>
    </row>
    <row r="4200" ht="22.5" customHeight="1">
      <c r="A4200" s="11" t="str">
        <f t="array" ref="A4200">IFERROR(
  INDEX('Starlink Launches'!$A:$A, MATCH($E4200, 'Starlink Launches'!$B:$B, 0)),
  ""
)
</f>
        <v>11-7</v>
      </c>
      <c r="B4200" s="3" t="s">
        <v>25</v>
      </c>
      <c r="C4200" s="12" t="s">
        <v>4220</v>
      </c>
      <c r="D4200" s="13">
        <v>63363.0</v>
      </c>
      <c r="E4200" s="4">
        <v>45742.0</v>
      </c>
      <c r="F4200" s="4" t="str">
        <f>IF(D4200="","", IFNA(VLOOKUP(D4200, SATCAT_DECAY!A:B, 2, FALSE), ""))
</f>
        <v/>
      </c>
      <c r="G4200" s="3" t="str">
        <f t="shared" si="1"/>
        <v>ACTIVE</v>
      </c>
    </row>
    <row r="4201" ht="22.5" customHeight="1">
      <c r="A4201" s="11" t="str">
        <f t="array" ref="A4201">IFERROR(
  INDEX('Starlink Launches'!$A:$A, MATCH($E4201, 'Starlink Launches'!$B:$B, 0)),
  ""
)
</f>
        <v>11-7</v>
      </c>
      <c r="B4201" s="3" t="s">
        <v>25</v>
      </c>
      <c r="C4201" s="12" t="s">
        <v>4221</v>
      </c>
      <c r="D4201" s="13">
        <v>63364.0</v>
      </c>
      <c r="E4201" s="4">
        <v>45742.0</v>
      </c>
      <c r="F4201" s="4" t="str">
        <f>IF(D4201="","", IFNA(VLOOKUP(D4201, SATCAT_DECAY!A:B, 2, FALSE), ""))
</f>
        <v/>
      </c>
      <c r="G4201" s="3" t="str">
        <f t="shared" si="1"/>
        <v>ACTIVE</v>
      </c>
    </row>
    <row r="4202" ht="22.5" customHeight="1">
      <c r="A4202" s="11" t="str">
        <f t="array" ref="A4202">IFERROR(
  INDEX('Starlink Launches'!$A:$A, MATCH($E4202, 'Starlink Launches'!$B:$B, 0)),
  ""
)
</f>
        <v>11-7</v>
      </c>
      <c r="B4202" s="3" t="s">
        <v>25</v>
      </c>
      <c r="C4202" s="12" t="s">
        <v>4222</v>
      </c>
      <c r="D4202" s="13">
        <v>63365.0</v>
      </c>
      <c r="E4202" s="4">
        <v>45742.0</v>
      </c>
      <c r="F4202" s="4" t="str">
        <f>IF(D4202="","", IFNA(VLOOKUP(D4202, SATCAT_DECAY!A:B, 2, FALSE), ""))
</f>
        <v/>
      </c>
      <c r="G4202" s="3" t="str">
        <f t="shared" si="1"/>
        <v>ACTIVE</v>
      </c>
    </row>
    <row r="4203" ht="22.5" customHeight="1">
      <c r="A4203" s="11" t="str">
        <f t="array" ref="A4203">IFERROR(
  INDEX('Starlink Launches'!$A:$A, MATCH($E4203, 'Starlink Launches'!$B:$B, 0)),
  ""
)
</f>
        <v>11-7</v>
      </c>
      <c r="B4203" s="3" t="s">
        <v>25</v>
      </c>
      <c r="C4203" s="12" t="s">
        <v>4223</v>
      </c>
      <c r="D4203" s="13">
        <v>63366.0</v>
      </c>
      <c r="E4203" s="4">
        <v>45742.0</v>
      </c>
      <c r="F4203" s="4" t="str">
        <f>IF(D4203="","", IFNA(VLOOKUP(D4203, SATCAT_DECAY!A:B, 2, FALSE), ""))
</f>
        <v/>
      </c>
      <c r="G4203" s="3" t="str">
        <f t="shared" si="1"/>
        <v>ACTIVE</v>
      </c>
    </row>
    <row r="4204" ht="22.5" customHeight="1">
      <c r="A4204" s="11" t="str">
        <f t="array" ref="A4204">IFERROR(
  INDEX('Starlink Launches'!$A:$A, MATCH($E4204, 'Starlink Launches'!$B:$B, 0)),
  ""
)
</f>
        <v>11-7</v>
      </c>
      <c r="B4204" s="3" t="s">
        <v>25</v>
      </c>
      <c r="C4204" s="12" t="s">
        <v>4224</v>
      </c>
      <c r="D4204" s="13">
        <v>63367.0</v>
      </c>
      <c r="E4204" s="4">
        <v>45742.0</v>
      </c>
      <c r="F4204" s="4" t="str">
        <f>IF(D4204="","", IFNA(VLOOKUP(D4204, SATCAT_DECAY!A:B, 2, FALSE), ""))
</f>
        <v/>
      </c>
      <c r="G4204" s="3" t="str">
        <f t="shared" si="1"/>
        <v>ACTIVE</v>
      </c>
    </row>
    <row r="4205" ht="22.5" customHeight="1">
      <c r="A4205" s="11" t="str">
        <f t="array" ref="A4205">IFERROR(
  INDEX('Starlink Launches'!$A:$A, MATCH($E4205, 'Starlink Launches'!$B:$B, 0)),
  ""
)
</f>
        <v>11-7</v>
      </c>
      <c r="B4205" s="3" t="s">
        <v>25</v>
      </c>
      <c r="C4205" s="12" t="s">
        <v>4225</v>
      </c>
      <c r="D4205" s="13">
        <v>63368.0</v>
      </c>
      <c r="E4205" s="4">
        <v>45742.0</v>
      </c>
      <c r="F4205" s="4" t="str">
        <f>IF(D4205="","", IFNA(VLOOKUP(D4205, SATCAT_DECAY!A:B, 2, FALSE), ""))
</f>
        <v/>
      </c>
      <c r="G4205" s="3" t="str">
        <f t="shared" si="1"/>
        <v>ACTIVE</v>
      </c>
    </row>
    <row r="4206" ht="22.5" customHeight="1">
      <c r="A4206" s="11" t="str">
        <f t="array" ref="A4206">IFERROR(
  INDEX('Starlink Launches'!$A:$A, MATCH($E4206, 'Starlink Launches'!$B:$B, 0)),
  ""
)
</f>
        <v>11-7</v>
      </c>
      <c r="B4206" s="3" t="s">
        <v>25</v>
      </c>
      <c r="C4206" s="12" t="s">
        <v>4226</v>
      </c>
      <c r="D4206" s="13">
        <v>63369.0</v>
      </c>
      <c r="E4206" s="4">
        <v>45742.0</v>
      </c>
      <c r="F4206" s="4" t="str">
        <f>IF(D4206="","", IFNA(VLOOKUP(D4206, SATCAT_DECAY!A:B, 2, FALSE), ""))
</f>
        <v/>
      </c>
      <c r="G4206" s="3" t="str">
        <f t="shared" si="1"/>
        <v>ACTIVE</v>
      </c>
    </row>
    <row r="4207" ht="22.5" customHeight="1">
      <c r="A4207" s="11" t="str">
        <f t="array" ref="A4207">IFERROR(
  INDEX('Starlink Launches'!$A:$A, MATCH($E4207, 'Starlink Launches'!$B:$B, 0)),
  ""
)
</f>
        <v>11-7</v>
      </c>
      <c r="B4207" s="3" t="s">
        <v>25</v>
      </c>
      <c r="C4207" s="12" t="s">
        <v>4227</v>
      </c>
      <c r="D4207" s="13">
        <v>63370.0</v>
      </c>
      <c r="E4207" s="4">
        <v>45742.0</v>
      </c>
      <c r="F4207" s="4" t="str">
        <f>IF(D4207="","", IFNA(VLOOKUP(D4207, SATCAT_DECAY!A:B, 2, FALSE), ""))
</f>
        <v/>
      </c>
      <c r="G4207" s="3" t="str">
        <f t="shared" si="1"/>
        <v>ACTIVE</v>
      </c>
    </row>
    <row r="4208" ht="22.5" customHeight="1">
      <c r="A4208" s="11" t="str">
        <f t="array" ref="A4208">IFERROR(
  INDEX('Starlink Launches'!$A:$A, MATCH($E4208, 'Starlink Launches'!$B:$B, 0)),
  ""
)
</f>
        <v>11-7</v>
      </c>
      <c r="B4208" s="3" t="s">
        <v>25</v>
      </c>
      <c r="C4208" s="12" t="s">
        <v>4228</v>
      </c>
      <c r="D4208" s="13">
        <v>63371.0</v>
      </c>
      <c r="E4208" s="4">
        <v>45742.0</v>
      </c>
      <c r="F4208" s="4" t="str">
        <f>IF(D4208="","", IFNA(VLOOKUP(D4208, SATCAT_DECAY!A:B, 2, FALSE), ""))
</f>
        <v/>
      </c>
      <c r="G4208" s="3" t="str">
        <f t="shared" si="1"/>
        <v>ACTIVE</v>
      </c>
    </row>
    <row r="4209" ht="22.5" customHeight="1">
      <c r="A4209" s="11" t="str">
        <f t="array" ref="A4209">IFERROR(
  INDEX('Starlink Launches'!$A:$A, MATCH($E4209, 'Starlink Launches'!$B:$B, 0)),
  ""
)
</f>
        <v>11-7</v>
      </c>
      <c r="B4209" s="3" t="s">
        <v>25</v>
      </c>
      <c r="C4209" s="12" t="s">
        <v>4229</v>
      </c>
      <c r="D4209" s="13">
        <v>63372.0</v>
      </c>
      <c r="E4209" s="4">
        <v>45742.0</v>
      </c>
      <c r="F4209" s="4" t="str">
        <f>IF(D4209="","", IFNA(VLOOKUP(D4209, SATCAT_DECAY!A:B, 2, FALSE), ""))
</f>
        <v/>
      </c>
      <c r="G4209" s="3" t="str">
        <f t="shared" si="1"/>
        <v>ACTIVE</v>
      </c>
    </row>
    <row r="4210" ht="22.5" customHeight="1">
      <c r="A4210" s="11" t="str">
        <f t="array" ref="A4210">IFERROR(
  INDEX('Starlink Launches'!$A:$A, MATCH($E4210, 'Starlink Launches'!$B:$B, 0)),
  ""
)
</f>
        <v>11-7</v>
      </c>
      <c r="B4210" s="3" t="s">
        <v>25</v>
      </c>
      <c r="C4210" s="12" t="s">
        <v>4230</v>
      </c>
      <c r="D4210" s="13">
        <v>63373.0</v>
      </c>
      <c r="E4210" s="4">
        <v>45742.0</v>
      </c>
      <c r="F4210" s="4" t="str">
        <f>IF(D4210="","", IFNA(VLOOKUP(D4210, SATCAT_DECAY!A:B, 2, FALSE), ""))
</f>
        <v/>
      </c>
      <c r="G4210" s="3" t="str">
        <f t="shared" si="1"/>
        <v>ACTIVE</v>
      </c>
    </row>
    <row r="4211" ht="22.5" customHeight="1">
      <c r="A4211" s="11" t="str">
        <f t="array" ref="A4211">IFERROR(
  INDEX('Starlink Launches'!$A:$A, MATCH($E4211, 'Starlink Launches'!$B:$B, 0)),
  ""
)
</f>
        <v>11-7</v>
      </c>
      <c r="B4211" s="3" t="s">
        <v>25</v>
      </c>
      <c r="C4211" s="12" t="s">
        <v>4231</v>
      </c>
      <c r="D4211" s="13">
        <v>63374.0</v>
      </c>
      <c r="E4211" s="4">
        <v>45742.0</v>
      </c>
      <c r="F4211" s="4" t="str">
        <f>IF(D4211="","", IFNA(VLOOKUP(D4211, SATCAT_DECAY!A:B, 2, FALSE), ""))
</f>
        <v/>
      </c>
      <c r="G4211" s="3" t="str">
        <f t="shared" si="1"/>
        <v>ACTIVE</v>
      </c>
    </row>
    <row r="4212" ht="22.5" customHeight="1">
      <c r="A4212" s="11" t="str">
        <f t="array" ref="A4212">IFERROR(
  INDEX('Starlink Launches'!$A:$A, MATCH($E4212, 'Starlink Launches'!$B:$B, 0)),
  ""
)
</f>
        <v>11-7</v>
      </c>
      <c r="B4212" s="3" t="s">
        <v>25</v>
      </c>
      <c r="C4212" s="12" t="s">
        <v>4232</v>
      </c>
      <c r="D4212" s="13">
        <v>63375.0</v>
      </c>
      <c r="E4212" s="4">
        <v>45742.0</v>
      </c>
      <c r="F4212" s="4" t="str">
        <f>IF(D4212="","", IFNA(VLOOKUP(D4212, SATCAT_DECAY!A:B, 2, FALSE), ""))
</f>
        <v/>
      </c>
      <c r="G4212" s="3" t="str">
        <f t="shared" si="1"/>
        <v>ACTIVE</v>
      </c>
    </row>
    <row r="4213" ht="22.5" customHeight="1">
      <c r="A4213" s="11" t="str">
        <f t="array" ref="A4213">IFERROR(
  INDEX('Starlink Launches'!$A:$A, MATCH($E4213, 'Starlink Launches'!$B:$B, 0)),
  ""
)
</f>
        <v>11-7</v>
      </c>
      <c r="B4213" s="3" t="s">
        <v>25</v>
      </c>
      <c r="C4213" s="12" t="s">
        <v>4233</v>
      </c>
      <c r="D4213" s="13">
        <v>63376.0</v>
      </c>
      <c r="E4213" s="4">
        <v>45742.0</v>
      </c>
      <c r="F4213" s="4" t="str">
        <f>IF(D4213="","", IFNA(VLOOKUP(D4213, SATCAT_DECAY!A:B, 2, FALSE), ""))
</f>
        <v/>
      </c>
      <c r="G4213" s="3" t="str">
        <f t="shared" si="1"/>
        <v>ACTIVE</v>
      </c>
    </row>
    <row r="4214" ht="22.5" customHeight="1">
      <c r="A4214" s="11" t="str">
        <f t="array" ref="A4214">IFERROR(
  INDEX('Starlink Launches'!$A:$A, MATCH($E4214, 'Starlink Launches'!$B:$B, 0)),
  ""
)
</f>
        <v>11-7</v>
      </c>
      <c r="B4214" s="3" t="s">
        <v>25</v>
      </c>
      <c r="C4214" s="12" t="s">
        <v>4234</v>
      </c>
      <c r="D4214" s="13">
        <v>63377.0</v>
      </c>
      <c r="E4214" s="4">
        <v>45742.0</v>
      </c>
      <c r="F4214" s="4" t="str">
        <f>IF(D4214="","", IFNA(VLOOKUP(D4214, SATCAT_DECAY!A:B, 2, FALSE), ""))
</f>
        <v/>
      </c>
      <c r="G4214" s="3" t="str">
        <f t="shared" si="1"/>
        <v>ACTIVE</v>
      </c>
    </row>
    <row r="4215" ht="22.5" customHeight="1">
      <c r="A4215" s="11" t="str">
        <f t="array" ref="A4215">IFERROR(
  INDEX('Starlink Launches'!$A:$A, MATCH($E4215, 'Starlink Launches'!$B:$B, 0)),
  ""
)
</f>
        <v>11-7</v>
      </c>
      <c r="B4215" s="3" t="s">
        <v>25</v>
      </c>
      <c r="C4215" s="12" t="s">
        <v>4235</v>
      </c>
      <c r="D4215" s="13">
        <v>63378.0</v>
      </c>
      <c r="E4215" s="4">
        <v>45742.0</v>
      </c>
      <c r="F4215" s="4" t="str">
        <f>IF(D4215="","", IFNA(VLOOKUP(D4215, SATCAT_DECAY!A:B, 2, FALSE), ""))
</f>
        <v/>
      </c>
      <c r="G4215" s="3" t="str">
        <f t="shared" si="1"/>
        <v>ACTIVE</v>
      </c>
    </row>
    <row r="4216" ht="22.5" customHeight="1">
      <c r="A4216" s="11" t="str">
        <f t="array" ref="A4216">IFERROR(
  INDEX('Starlink Launches'!$A:$A, MATCH($E4216, 'Starlink Launches'!$B:$B, 0)),
  ""
)
</f>
        <v>11-7</v>
      </c>
      <c r="B4216" s="3" t="s">
        <v>25</v>
      </c>
      <c r="C4216" s="12" t="s">
        <v>4236</v>
      </c>
      <c r="D4216" s="13">
        <v>63379.0</v>
      </c>
      <c r="E4216" s="4">
        <v>45742.0</v>
      </c>
      <c r="F4216" s="4" t="str">
        <f>IF(D4216="","", IFNA(VLOOKUP(D4216, SATCAT_DECAY!A:B, 2, FALSE), ""))
</f>
        <v/>
      </c>
      <c r="G4216" s="3" t="str">
        <f t="shared" si="1"/>
        <v>ACTIVE</v>
      </c>
    </row>
    <row r="4217" ht="22.5" customHeight="1">
      <c r="A4217" s="11" t="str">
        <f t="array" ref="A4217">IFERROR(
  INDEX('Starlink Launches'!$A:$A, MATCH($E4217, 'Starlink Launches'!$B:$B, 0)),
  ""
)
</f>
        <v>11-7</v>
      </c>
      <c r="B4217" s="3" t="s">
        <v>25</v>
      </c>
      <c r="C4217" s="12" t="s">
        <v>4237</v>
      </c>
      <c r="D4217" s="13">
        <v>63380.0</v>
      </c>
      <c r="E4217" s="4">
        <v>45742.0</v>
      </c>
      <c r="F4217" s="4" t="str">
        <f>IF(D4217="","", IFNA(VLOOKUP(D4217, SATCAT_DECAY!A:B, 2, FALSE), ""))
</f>
        <v/>
      </c>
      <c r="G4217" s="3" t="str">
        <f t="shared" si="1"/>
        <v>ACTIVE</v>
      </c>
    </row>
    <row r="4218" ht="22.5" customHeight="1">
      <c r="A4218" s="11" t="str">
        <f t="array" ref="A4218">IFERROR(
  INDEX('Starlink Launches'!$A:$A, MATCH($E4218, 'Starlink Launches'!$B:$B, 0)),
  ""
)
</f>
        <v>11-7</v>
      </c>
      <c r="B4218" s="3" t="s">
        <v>25</v>
      </c>
      <c r="C4218" s="12" t="s">
        <v>4238</v>
      </c>
      <c r="D4218" s="13">
        <v>63381.0</v>
      </c>
      <c r="E4218" s="4">
        <v>45742.0</v>
      </c>
      <c r="F4218" s="4" t="str">
        <f>IF(D4218="","", IFNA(VLOOKUP(D4218, SATCAT_DECAY!A:B, 2, FALSE), ""))
</f>
        <v/>
      </c>
      <c r="G4218" s="3" t="str">
        <f t="shared" si="1"/>
        <v>ACTIVE</v>
      </c>
    </row>
    <row r="4219" ht="22.5" customHeight="1">
      <c r="A4219" s="11" t="str">
        <f t="array" ref="A4219">IFERROR(
  INDEX('Starlink Launches'!$A:$A, MATCH($E4219, 'Starlink Launches'!$B:$B, 0)),
  ""
)
</f>
        <v>11-7</v>
      </c>
      <c r="B4219" s="3" t="s">
        <v>25</v>
      </c>
      <c r="C4219" s="12" t="s">
        <v>4239</v>
      </c>
      <c r="D4219" s="13">
        <v>63382.0</v>
      </c>
      <c r="E4219" s="4">
        <v>45742.0</v>
      </c>
      <c r="F4219" s="4" t="str">
        <f>IF(D4219="","", IFNA(VLOOKUP(D4219, SATCAT_DECAY!A:B, 2, FALSE), ""))
</f>
        <v/>
      </c>
      <c r="G4219" s="3" t="str">
        <f t="shared" si="1"/>
        <v>ACTIVE</v>
      </c>
    </row>
    <row r="4220" ht="22.5" customHeight="1">
      <c r="A4220" s="11" t="str">
        <f t="array" ref="A4220">IFERROR(
  INDEX('Starlink Launches'!$A:$A, MATCH($E4220, 'Starlink Launches'!$B:$B, 0)),
  ""
)
</f>
        <v>11-7</v>
      </c>
      <c r="B4220" s="3" t="s">
        <v>25</v>
      </c>
      <c r="C4220" s="12" t="s">
        <v>4240</v>
      </c>
      <c r="D4220" s="13">
        <v>63383.0</v>
      </c>
      <c r="E4220" s="4">
        <v>45742.0</v>
      </c>
      <c r="F4220" s="4" t="str">
        <f>IF(D4220="","", IFNA(VLOOKUP(D4220, SATCAT_DECAY!A:B, 2, FALSE), ""))
</f>
        <v/>
      </c>
      <c r="G4220" s="3" t="str">
        <f t="shared" si="1"/>
        <v>ACTIVE</v>
      </c>
    </row>
    <row r="4221" ht="22.5" customHeight="1">
      <c r="A4221" s="11" t="str">
        <f t="array" ref="A4221">IFERROR(
  INDEX('Starlink Launches'!$A:$A, MATCH($E4221, 'Starlink Launches'!$B:$B, 0)),
  ""
)
</f>
        <v>11-7</v>
      </c>
      <c r="B4221" s="3" t="s">
        <v>25</v>
      </c>
      <c r="C4221" s="12" t="s">
        <v>4241</v>
      </c>
      <c r="D4221" s="13">
        <v>63384.0</v>
      </c>
      <c r="E4221" s="4">
        <v>45742.0</v>
      </c>
      <c r="F4221" s="4" t="str">
        <f>IF(D4221="","", IFNA(VLOOKUP(D4221, SATCAT_DECAY!A:B, 2, FALSE), ""))
</f>
        <v/>
      </c>
      <c r="G4221" s="3" t="str">
        <f t="shared" si="1"/>
        <v>ACTIVE</v>
      </c>
    </row>
    <row r="4222" ht="22.5" customHeight="1">
      <c r="A4222" s="11" t="str">
        <f t="array" ref="A4222">IFERROR(
  INDEX('Starlink Launches'!$A:$A, MATCH($E4222, 'Starlink Launches'!$B:$B, 0)),
  ""
)
</f>
        <v>11-7</v>
      </c>
      <c r="B4222" s="3" t="s">
        <v>25</v>
      </c>
      <c r="C4222" s="12" t="s">
        <v>4242</v>
      </c>
      <c r="D4222" s="13">
        <v>63385.0</v>
      </c>
      <c r="E4222" s="4">
        <v>45742.0</v>
      </c>
      <c r="F4222" s="4" t="str">
        <f>IF(D4222="","", IFNA(VLOOKUP(D4222, SATCAT_DECAY!A:B, 2, FALSE), ""))
</f>
        <v/>
      </c>
      <c r="G4222" s="3" t="str">
        <f t="shared" si="1"/>
        <v>ACTIVE</v>
      </c>
    </row>
    <row r="4223" ht="22.5" customHeight="1">
      <c r="A4223" s="11" t="str">
        <f t="array" ref="A4223">IFERROR(
  INDEX('Starlink Launches'!$A:$A, MATCH($E4223, 'Starlink Launches'!$B:$B, 0)),
  ""
)
</f>
        <v>11-7</v>
      </c>
      <c r="B4223" s="3" t="s">
        <v>25</v>
      </c>
      <c r="C4223" s="12" t="s">
        <v>4243</v>
      </c>
      <c r="D4223" s="13">
        <v>63386.0</v>
      </c>
      <c r="E4223" s="4">
        <v>45742.0</v>
      </c>
      <c r="F4223" s="4" t="str">
        <f>IF(D4223="","", IFNA(VLOOKUP(D4223, SATCAT_DECAY!A:B, 2, FALSE), ""))
</f>
        <v/>
      </c>
      <c r="G4223" s="3" t="str">
        <f t="shared" si="1"/>
        <v>ACTIVE</v>
      </c>
    </row>
    <row r="4224" ht="22.5" customHeight="1">
      <c r="A4224" s="11" t="str">
        <f t="array" ref="A4224">IFERROR(
  INDEX('Starlink Launches'!$A:$A, MATCH($E4224, 'Starlink Launches'!$B:$B, 0)),
  ""
)
</f>
        <v>11-7</v>
      </c>
      <c r="B4224" s="3" t="s">
        <v>25</v>
      </c>
      <c r="C4224" s="12" t="s">
        <v>4244</v>
      </c>
      <c r="D4224" s="13">
        <v>63387.0</v>
      </c>
      <c r="E4224" s="4">
        <v>45742.0</v>
      </c>
      <c r="F4224" s="4" t="str">
        <f>IF(D4224="","", IFNA(VLOOKUP(D4224, SATCAT_DECAY!A:B, 2, FALSE), ""))
</f>
        <v/>
      </c>
      <c r="G4224" s="3" t="str">
        <f t="shared" si="1"/>
        <v>ACTIVE</v>
      </c>
    </row>
    <row r="4225" ht="22.5" customHeight="1">
      <c r="A4225" s="11" t="str">
        <f t="array" ref="A4225">IFERROR(
  INDEX('Starlink Launches'!$A:$A, MATCH($E4225, 'Starlink Launches'!$B:$B, 0)),
  ""
)
</f>
        <v>11-7</v>
      </c>
      <c r="B4225" s="3" t="s">
        <v>25</v>
      </c>
      <c r="C4225" s="12" t="s">
        <v>4245</v>
      </c>
      <c r="D4225" s="13">
        <v>63388.0</v>
      </c>
      <c r="E4225" s="4">
        <v>45742.0</v>
      </c>
      <c r="F4225" s="4" t="str">
        <f>IF(D4225="","", IFNA(VLOOKUP(D4225, SATCAT_DECAY!A:B, 2, FALSE), ""))
</f>
        <v/>
      </c>
      <c r="G4225" s="3" t="str">
        <f t="shared" si="1"/>
        <v>ACTIVE</v>
      </c>
    </row>
    <row r="4226" ht="22.5" customHeight="1">
      <c r="A4226" s="11" t="str">
        <f t="array" ref="A4226">IFERROR(
  INDEX('Starlink Launches'!$A:$A, MATCH($E4226, 'Starlink Launches'!$B:$B, 0)),
  ""
)
</f>
        <v>11-7</v>
      </c>
      <c r="B4226" s="3" t="s">
        <v>25</v>
      </c>
      <c r="C4226" s="12" t="s">
        <v>4246</v>
      </c>
      <c r="D4226" s="13">
        <v>63389.0</v>
      </c>
      <c r="E4226" s="4">
        <v>45742.0</v>
      </c>
      <c r="F4226" s="4" t="str">
        <f>IF(D4226="","", IFNA(VLOOKUP(D4226, SATCAT_DECAY!A:B, 2, FALSE), ""))
</f>
        <v/>
      </c>
      <c r="G4226" s="3" t="str">
        <f t="shared" si="1"/>
        <v>ACTIVE</v>
      </c>
    </row>
    <row r="4227" ht="22.5" customHeight="1">
      <c r="A4227" s="11" t="str">
        <f t="array" ref="A4227">IFERROR(
  INDEX('Starlink Launches'!$A:$A, MATCH($E4227, 'Starlink Launches'!$B:$B, 0)),
  ""
)
</f>
        <v>11-13</v>
      </c>
      <c r="B4227" s="3" t="s">
        <v>25</v>
      </c>
      <c r="C4227" s="12" t="s">
        <v>4247</v>
      </c>
      <c r="D4227" s="13">
        <v>63433.0</v>
      </c>
      <c r="E4227" s="4">
        <v>45751.0</v>
      </c>
      <c r="F4227" s="4" t="str">
        <f>IF(D4227="","", IFNA(VLOOKUP(D4227, SATCAT_DECAY!A:B, 2, FALSE), ""))
</f>
        <v/>
      </c>
      <c r="G4227" s="3" t="str">
        <f t="shared" si="1"/>
        <v>ACTIVE</v>
      </c>
    </row>
    <row r="4228" ht="22.5" customHeight="1">
      <c r="A4228" s="11" t="str">
        <f t="array" ref="A4228">IFERROR(
  INDEX('Starlink Launches'!$A:$A, MATCH($E4228, 'Starlink Launches'!$B:$B, 0)),
  ""
)
</f>
        <v>11-13</v>
      </c>
      <c r="B4228" s="3" t="s">
        <v>25</v>
      </c>
      <c r="C4228" s="12" t="s">
        <v>4248</v>
      </c>
      <c r="D4228" s="13">
        <v>63434.0</v>
      </c>
      <c r="E4228" s="4">
        <v>45751.0</v>
      </c>
      <c r="F4228" s="4" t="str">
        <f>IF(D4228="","", IFNA(VLOOKUP(D4228, SATCAT_DECAY!A:B, 2, FALSE), ""))
</f>
        <v/>
      </c>
      <c r="G4228" s="3" t="str">
        <f t="shared" si="1"/>
        <v>ACTIVE</v>
      </c>
    </row>
    <row r="4229" ht="22.5" customHeight="1">
      <c r="A4229" s="11" t="str">
        <f t="array" ref="A4229">IFERROR(
  INDEX('Starlink Launches'!$A:$A, MATCH($E4229, 'Starlink Launches'!$B:$B, 0)),
  ""
)
</f>
        <v>11-13</v>
      </c>
      <c r="B4229" s="3" t="s">
        <v>25</v>
      </c>
      <c r="C4229" s="12" t="s">
        <v>4249</v>
      </c>
      <c r="D4229" s="13">
        <v>63435.0</v>
      </c>
      <c r="E4229" s="4">
        <v>45751.0</v>
      </c>
      <c r="F4229" s="4" t="str">
        <f>IF(D4229="","", IFNA(VLOOKUP(D4229, SATCAT_DECAY!A:B, 2, FALSE), ""))
</f>
        <v/>
      </c>
      <c r="G4229" s="3" t="str">
        <f t="shared" si="1"/>
        <v>ACTIVE</v>
      </c>
    </row>
    <row r="4230" ht="22.5" customHeight="1">
      <c r="A4230" s="11" t="str">
        <f t="array" ref="A4230">IFERROR(
  INDEX('Starlink Launches'!$A:$A, MATCH($E4230, 'Starlink Launches'!$B:$B, 0)),
  ""
)
</f>
        <v>11-13</v>
      </c>
      <c r="B4230" s="3" t="s">
        <v>25</v>
      </c>
      <c r="C4230" s="12" t="s">
        <v>4250</v>
      </c>
      <c r="D4230" s="13">
        <v>63436.0</v>
      </c>
      <c r="E4230" s="4">
        <v>45751.0</v>
      </c>
      <c r="F4230" s="4" t="str">
        <f>IF(D4230="","", IFNA(VLOOKUP(D4230, SATCAT_DECAY!A:B, 2, FALSE), ""))
</f>
        <v/>
      </c>
      <c r="G4230" s="3" t="str">
        <f t="shared" si="1"/>
        <v>ACTIVE</v>
      </c>
    </row>
    <row r="4231" ht="22.5" customHeight="1">
      <c r="A4231" s="11" t="str">
        <f t="array" ref="A4231">IFERROR(
  INDEX('Starlink Launches'!$A:$A, MATCH($E4231, 'Starlink Launches'!$B:$B, 0)),
  ""
)
</f>
        <v>11-13</v>
      </c>
      <c r="B4231" s="3" t="s">
        <v>25</v>
      </c>
      <c r="C4231" s="12" t="s">
        <v>4251</v>
      </c>
      <c r="D4231" s="13">
        <v>63437.0</v>
      </c>
      <c r="E4231" s="4">
        <v>45751.0</v>
      </c>
      <c r="F4231" s="4" t="str">
        <f>IF(D4231="","", IFNA(VLOOKUP(D4231, SATCAT_DECAY!A:B, 2, FALSE), ""))
</f>
        <v/>
      </c>
      <c r="G4231" s="3" t="str">
        <f t="shared" si="1"/>
        <v>ACTIVE</v>
      </c>
    </row>
    <row r="4232" ht="22.5" customHeight="1">
      <c r="A4232" s="11" t="str">
        <f t="array" ref="A4232">IFERROR(
  INDEX('Starlink Launches'!$A:$A, MATCH($E4232, 'Starlink Launches'!$B:$B, 0)),
  ""
)
</f>
        <v>11-13</v>
      </c>
      <c r="B4232" s="3" t="s">
        <v>25</v>
      </c>
      <c r="C4232" s="12" t="s">
        <v>4252</v>
      </c>
      <c r="D4232" s="13">
        <v>63438.0</v>
      </c>
      <c r="E4232" s="4">
        <v>45751.0</v>
      </c>
      <c r="F4232" s="4" t="str">
        <f>IF(D4232="","", IFNA(VLOOKUP(D4232, SATCAT_DECAY!A:B, 2, FALSE), ""))
</f>
        <v/>
      </c>
      <c r="G4232" s="3" t="str">
        <f t="shared" si="1"/>
        <v>ACTIVE</v>
      </c>
    </row>
    <row r="4233" ht="22.5" customHeight="1">
      <c r="A4233" s="11" t="str">
        <f t="array" ref="A4233">IFERROR(
  INDEX('Starlink Launches'!$A:$A, MATCH($E4233, 'Starlink Launches'!$B:$B, 0)),
  ""
)
</f>
        <v>11-13</v>
      </c>
      <c r="B4233" s="3" t="s">
        <v>25</v>
      </c>
      <c r="C4233" s="12" t="s">
        <v>4253</v>
      </c>
      <c r="D4233" s="13">
        <v>63439.0</v>
      </c>
      <c r="E4233" s="4">
        <v>45751.0</v>
      </c>
      <c r="F4233" s="4" t="str">
        <f>IF(D4233="","", IFNA(VLOOKUP(D4233, SATCAT_DECAY!A:B, 2, FALSE), ""))
</f>
        <v/>
      </c>
      <c r="G4233" s="3" t="str">
        <f t="shared" si="1"/>
        <v>ACTIVE</v>
      </c>
    </row>
    <row r="4234" ht="22.5" customHeight="1">
      <c r="A4234" s="11" t="str">
        <f t="array" ref="A4234">IFERROR(
  INDEX('Starlink Launches'!$A:$A, MATCH($E4234, 'Starlink Launches'!$B:$B, 0)),
  ""
)
</f>
        <v>11-13</v>
      </c>
      <c r="B4234" s="3" t="s">
        <v>25</v>
      </c>
      <c r="C4234" s="12" t="s">
        <v>4254</v>
      </c>
      <c r="D4234" s="13">
        <v>63440.0</v>
      </c>
      <c r="E4234" s="4">
        <v>45751.0</v>
      </c>
      <c r="F4234" s="4" t="str">
        <f>IF(D4234="","", IFNA(VLOOKUP(D4234, SATCAT_DECAY!A:B, 2, FALSE), ""))
</f>
        <v/>
      </c>
      <c r="G4234" s="3" t="str">
        <f t="shared" si="1"/>
        <v>ACTIVE</v>
      </c>
    </row>
    <row r="4235" ht="22.5" customHeight="1">
      <c r="A4235" s="11" t="str">
        <f t="array" ref="A4235">IFERROR(
  INDEX('Starlink Launches'!$A:$A, MATCH($E4235, 'Starlink Launches'!$B:$B, 0)),
  ""
)
</f>
        <v>11-13</v>
      </c>
      <c r="B4235" s="3" t="s">
        <v>25</v>
      </c>
      <c r="C4235" s="12" t="s">
        <v>4255</v>
      </c>
      <c r="D4235" s="13">
        <v>63441.0</v>
      </c>
      <c r="E4235" s="4">
        <v>45751.0</v>
      </c>
      <c r="F4235" s="4" t="str">
        <f>IF(D4235="","", IFNA(VLOOKUP(D4235, SATCAT_DECAY!A:B, 2, FALSE), ""))
</f>
        <v/>
      </c>
      <c r="G4235" s="3" t="str">
        <f t="shared" si="1"/>
        <v>ACTIVE</v>
      </c>
    </row>
    <row r="4236" ht="22.5" customHeight="1">
      <c r="A4236" s="11" t="str">
        <f t="array" ref="A4236">IFERROR(
  INDEX('Starlink Launches'!$A:$A, MATCH($E4236, 'Starlink Launches'!$B:$B, 0)),
  ""
)
</f>
        <v>11-13</v>
      </c>
      <c r="B4236" s="3" t="s">
        <v>25</v>
      </c>
      <c r="C4236" s="12" t="s">
        <v>4256</v>
      </c>
      <c r="D4236" s="13">
        <v>63442.0</v>
      </c>
      <c r="E4236" s="4">
        <v>45751.0</v>
      </c>
      <c r="F4236" s="4" t="str">
        <f>IF(D4236="","", IFNA(VLOOKUP(D4236, SATCAT_DECAY!A:B, 2, FALSE), ""))
</f>
        <v/>
      </c>
      <c r="G4236" s="3" t="str">
        <f t="shared" si="1"/>
        <v>ACTIVE</v>
      </c>
    </row>
    <row r="4237" ht="22.5" customHeight="1">
      <c r="A4237" s="11" t="str">
        <f t="array" ref="A4237">IFERROR(
  INDEX('Starlink Launches'!$A:$A, MATCH($E4237, 'Starlink Launches'!$B:$B, 0)),
  ""
)
</f>
        <v>11-13</v>
      </c>
      <c r="B4237" s="3" t="s">
        <v>25</v>
      </c>
      <c r="C4237" s="12" t="s">
        <v>4257</v>
      </c>
      <c r="D4237" s="13">
        <v>63443.0</v>
      </c>
      <c r="E4237" s="4">
        <v>45751.0</v>
      </c>
      <c r="F4237" s="4" t="str">
        <f>IF(D4237="","", IFNA(VLOOKUP(D4237, SATCAT_DECAY!A:B, 2, FALSE), ""))
</f>
        <v/>
      </c>
      <c r="G4237" s="3" t="str">
        <f t="shared" si="1"/>
        <v>ACTIVE</v>
      </c>
    </row>
    <row r="4238" ht="22.5" customHeight="1">
      <c r="A4238" s="11" t="str">
        <f t="array" ref="A4238">IFERROR(
  INDEX('Starlink Launches'!$A:$A, MATCH($E4238, 'Starlink Launches'!$B:$B, 0)),
  ""
)
</f>
        <v>11-13</v>
      </c>
      <c r="B4238" s="3" t="s">
        <v>25</v>
      </c>
      <c r="C4238" s="12" t="s">
        <v>4258</v>
      </c>
      <c r="D4238" s="13">
        <v>63444.0</v>
      </c>
      <c r="E4238" s="4">
        <v>45751.0</v>
      </c>
      <c r="F4238" s="4" t="str">
        <f>IF(D4238="","", IFNA(VLOOKUP(D4238, SATCAT_DECAY!A:B, 2, FALSE), ""))
</f>
        <v/>
      </c>
      <c r="G4238" s="3" t="str">
        <f t="shared" si="1"/>
        <v>ACTIVE</v>
      </c>
    </row>
    <row r="4239" ht="22.5" customHeight="1">
      <c r="A4239" s="11" t="str">
        <f t="array" ref="A4239">IFERROR(
  INDEX('Starlink Launches'!$A:$A, MATCH($E4239, 'Starlink Launches'!$B:$B, 0)),
  ""
)
</f>
        <v>11-13</v>
      </c>
      <c r="B4239" s="3" t="s">
        <v>25</v>
      </c>
      <c r="C4239" s="12" t="s">
        <v>4259</v>
      </c>
      <c r="D4239" s="13">
        <v>63445.0</v>
      </c>
      <c r="E4239" s="4">
        <v>45751.0</v>
      </c>
      <c r="F4239" s="4" t="str">
        <f>IF(D4239="","", IFNA(VLOOKUP(D4239, SATCAT_DECAY!A:B, 2, FALSE), ""))
</f>
        <v/>
      </c>
      <c r="G4239" s="3" t="str">
        <f t="shared" si="1"/>
        <v>ACTIVE</v>
      </c>
    </row>
    <row r="4240" ht="22.5" customHeight="1">
      <c r="A4240" s="11" t="str">
        <f t="array" ref="A4240">IFERROR(
  INDEX('Starlink Launches'!$A:$A, MATCH($E4240, 'Starlink Launches'!$B:$B, 0)),
  ""
)
</f>
        <v>11-13</v>
      </c>
      <c r="B4240" s="3" t="s">
        <v>25</v>
      </c>
      <c r="C4240" s="12" t="s">
        <v>4260</v>
      </c>
      <c r="D4240" s="13">
        <v>63446.0</v>
      </c>
      <c r="E4240" s="4">
        <v>45751.0</v>
      </c>
      <c r="F4240" s="4" t="str">
        <f>IF(D4240="","", IFNA(VLOOKUP(D4240, SATCAT_DECAY!A:B, 2, FALSE), ""))
</f>
        <v/>
      </c>
      <c r="G4240" s="3" t="str">
        <f t="shared" si="1"/>
        <v>ACTIVE</v>
      </c>
    </row>
    <row r="4241" ht="22.5" customHeight="1">
      <c r="A4241" s="11" t="str">
        <f t="array" ref="A4241">IFERROR(
  INDEX('Starlink Launches'!$A:$A, MATCH($E4241, 'Starlink Launches'!$B:$B, 0)),
  ""
)
</f>
        <v>11-13</v>
      </c>
      <c r="B4241" s="3" t="s">
        <v>25</v>
      </c>
      <c r="C4241" s="12" t="s">
        <v>4261</v>
      </c>
      <c r="D4241" s="13">
        <v>63447.0</v>
      </c>
      <c r="E4241" s="4">
        <v>45751.0</v>
      </c>
      <c r="F4241" s="4" t="str">
        <f>IF(D4241="","", IFNA(VLOOKUP(D4241, SATCAT_DECAY!A:B, 2, FALSE), ""))
</f>
        <v/>
      </c>
      <c r="G4241" s="3" t="str">
        <f t="shared" si="1"/>
        <v>ACTIVE</v>
      </c>
    </row>
    <row r="4242" ht="22.5" customHeight="1">
      <c r="A4242" s="11" t="str">
        <f t="array" ref="A4242">IFERROR(
  INDEX('Starlink Launches'!$A:$A, MATCH($E4242, 'Starlink Launches'!$B:$B, 0)),
  ""
)
</f>
        <v>11-13</v>
      </c>
      <c r="B4242" s="3" t="s">
        <v>25</v>
      </c>
      <c r="C4242" s="12" t="s">
        <v>4262</v>
      </c>
      <c r="D4242" s="13">
        <v>63448.0</v>
      </c>
      <c r="E4242" s="4">
        <v>45751.0</v>
      </c>
      <c r="F4242" s="4" t="str">
        <f>IF(D4242="","", IFNA(VLOOKUP(D4242, SATCAT_DECAY!A:B, 2, FALSE), ""))
</f>
        <v/>
      </c>
      <c r="G4242" s="3" t="str">
        <f t="shared" si="1"/>
        <v>ACTIVE</v>
      </c>
    </row>
    <row r="4243" ht="22.5" customHeight="1">
      <c r="A4243" s="11" t="str">
        <f t="array" ref="A4243">IFERROR(
  INDEX('Starlink Launches'!$A:$A, MATCH($E4243, 'Starlink Launches'!$B:$B, 0)),
  ""
)
</f>
        <v>11-13</v>
      </c>
      <c r="B4243" s="3" t="s">
        <v>25</v>
      </c>
      <c r="C4243" s="12" t="s">
        <v>4263</v>
      </c>
      <c r="D4243" s="13">
        <v>63449.0</v>
      </c>
      <c r="E4243" s="4">
        <v>45751.0</v>
      </c>
      <c r="F4243" s="4" t="str">
        <f>IF(D4243="","", IFNA(VLOOKUP(D4243, SATCAT_DECAY!A:B, 2, FALSE), ""))
</f>
        <v/>
      </c>
      <c r="G4243" s="3" t="str">
        <f t="shared" si="1"/>
        <v>ACTIVE</v>
      </c>
    </row>
    <row r="4244" ht="22.5" customHeight="1">
      <c r="A4244" s="11" t="str">
        <f t="array" ref="A4244">IFERROR(
  INDEX('Starlink Launches'!$A:$A, MATCH($E4244, 'Starlink Launches'!$B:$B, 0)),
  ""
)
</f>
        <v>11-13</v>
      </c>
      <c r="B4244" s="3" t="s">
        <v>25</v>
      </c>
      <c r="C4244" s="12" t="s">
        <v>4264</v>
      </c>
      <c r="D4244" s="13">
        <v>63450.0</v>
      </c>
      <c r="E4244" s="4">
        <v>45751.0</v>
      </c>
      <c r="F4244" s="4" t="str">
        <f>IF(D4244="","", IFNA(VLOOKUP(D4244, SATCAT_DECAY!A:B, 2, FALSE), ""))
</f>
        <v/>
      </c>
      <c r="G4244" s="3" t="str">
        <f t="shared" si="1"/>
        <v>ACTIVE</v>
      </c>
    </row>
    <row r="4245" ht="22.5" customHeight="1">
      <c r="A4245" s="11" t="str">
        <f t="array" ref="A4245">IFERROR(
  INDEX('Starlink Launches'!$A:$A, MATCH($E4245, 'Starlink Launches'!$B:$B, 0)),
  ""
)
</f>
        <v>11-13</v>
      </c>
      <c r="B4245" s="3" t="s">
        <v>25</v>
      </c>
      <c r="C4245" s="12" t="s">
        <v>4265</v>
      </c>
      <c r="D4245" s="13">
        <v>63451.0</v>
      </c>
      <c r="E4245" s="4">
        <v>45751.0</v>
      </c>
      <c r="F4245" s="4" t="str">
        <f>IF(D4245="","", IFNA(VLOOKUP(D4245, SATCAT_DECAY!A:B, 2, FALSE), ""))
</f>
        <v/>
      </c>
      <c r="G4245" s="3" t="str">
        <f t="shared" si="1"/>
        <v>ACTIVE</v>
      </c>
    </row>
    <row r="4246" ht="22.5" customHeight="1">
      <c r="A4246" s="11" t="str">
        <f t="array" ref="A4246">IFERROR(
  INDEX('Starlink Launches'!$A:$A, MATCH($E4246, 'Starlink Launches'!$B:$B, 0)),
  ""
)
</f>
        <v>11-13</v>
      </c>
      <c r="B4246" s="3" t="s">
        <v>25</v>
      </c>
      <c r="C4246" s="12" t="s">
        <v>4266</v>
      </c>
      <c r="D4246" s="13">
        <v>63452.0</v>
      </c>
      <c r="E4246" s="4">
        <v>45751.0</v>
      </c>
      <c r="F4246" s="4" t="str">
        <f>IF(D4246="","", IFNA(VLOOKUP(D4246, SATCAT_DECAY!A:B, 2, FALSE), ""))
</f>
        <v/>
      </c>
      <c r="G4246" s="3" t="str">
        <f t="shared" si="1"/>
        <v>ACTIVE</v>
      </c>
    </row>
    <row r="4247" ht="22.5" customHeight="1">
      <c r="A4247" s="11" t="str">
        <f t="array" ref="A4247">IFERROR(
  INDEX('Starlink Launches'!$A:$A, MATCH($E4247, 'Starlink Launches'!$B:$B, 0)),
  ""
)
</f>
        <v>11-13</v>
      </c>
      <c r="B4247" s="3" t="s">
        <v>25</v>
      </c>
      <c r="C4247" s="12" t="s">
        <v>4267</v>
      </c>
      <c r="D4247" s="13">
        <v>63453.0</v>
      </c>
      <c r="E4247" s="4">
        <v>45751.0</v>
      </c>
      <c r="F4247" s="4" t="str">
        <f>IF(D4247="","", IFNA(VLOOKUP(D4247, SATCAT_DECAY!A:B, 2, FALSE), ""))
</f>
        <v/>
      </c>
      <c r="G4247" s="3" t="str">
        <f t="shared" si="1"/>
        <v>ACTIVE</v>
      </c>
    </row>
    <row r="4248" ht="22.5" customHeight="1">
      <c r="A4248" s="11" t="str">
        <f t="array" ref="A4248">IFERROR(
  INDEX('Starlink Launches'!$A:$A, MATCH($E4248, 'Starlink Launches'!$B:$B, 0)),
  ""
)
</f>
        <v>11-13</v>
      </c>
      <c r="B4248" s="3" t="s">
        <v>25</v>
      </c>
      <c r="C4248" s="12" t="s">
        <v>4268</v>
      </c>
      <c r="D4248" s="13">
        <v>63454.0</v>
      </c>
      <c r="E4248" s="4">
        <v>45751.0</v>
      </c>
      <c r="F4248" s="4" t="str">
        <f>IF(D4248="","", IFNA(VLOOKUP(D4248, SATCAT_DECAY!A:B, 2, FALSE), ""))
</f>
        <v/>
      </c>
      <c r="G4248" s="3" t="str">
        <f t="shared" si="1"/>
        <v>ACTIVE</v>
      </c>
    </row>
    <row r="4249" ht="22.5" customHeight="1">
      <c r="A4249" s="11" t="str">
        <f t="array" ref="A4249">IFERROR(
  INDEX('Starlink Launches'!$A:$A, MATCH($E4249, 'Starlink Launches'!$B:$B, 0)),
  ""
)
</f>
        <v>11-13</v>
      </c>
      <c r="B4249" s="3" t="s">
        <v>25</v>
      </c>
      <c r="C4249" s="12" t="s">
        <v>4269</v>
      </c>
      <c r="D4249" s="13">
        <v>63455.0</v>
      </c>
      <c r="E4249" s="4">
        <v>45751.0</v>
      </c>
      <c r="F4249" s="4" t="str">
        <f>IF(D4249="","", IFNA(VLOOKUP(D4249, SATCAT_DECAY!A:B, 2, FALSE), ""))
</f>
        <v/>
      </c>
      <c r="G4249" s="3" t="str">
        <f t="shared" si="1"/>
        <v>ACTIVE</v>
      </c>
    </row>
    <row r="4250" ht="22.5" customHeight="1">
      <c r="A4250" s="11" t="str">
        <f t="array" ref="A4250">IFERROR(
  INDEX('Starlink Launches'!$A:$A, MATCH($E4250, 'Starlink Launches'!$B:$B, 0)),
  ""
)
</f>
        <v>11-13</v>
      </c>
      <c r="B4250" s="3" t="s">
        <v>25</v>
      </c>
      <c r="C4250" s="12" t="s">
        <v>4270</v>
      </c>
      <c r="D4250" s="13">
        <v>63456.0</v>
      </c>
      <c r="E4250" s="4">
        <v>45751.0</v>
      </c>
      <c r="F4250" s="4" t="str">
        <f>IF(D4250="","", IFNA(VLOOKUP(D4250, SATCAT_DECAY!A:B, 2, FALSE), ""))
</f>
        <v/>
      </c>
      <c r="G4250" s="3" t="str">
        <f t="shared" si="1"/>
        <v>ACTIVE</v>
      </c>
    </row>
    <row r="4251" ht="22.5" customHeight="1">
      <c r="A4251" s="11" t="str">
        <f t="array" ref="A4251">IFERROR(
  INDEX('Starlink Launches'!$A:$A, MATCH($E4251, 'Starlink Launches'!$B:$B, 0)),
  ""
)
</f>
        <v>11-13</v>
      </c>
      <c r="B4251" s="3" t="s">
        <v>25</v>
      </c>
      <c r="C4251" s="12" t="s">
        <v>4271</v>
      </c>
      <c r="D4251" s="13">
        <v>63457.0</v>
      </c>
      <c r="E4251" s="4">
        <v>45751.0</v>
      </c>
      <c r="F4251" s="4" t="str">
        <f>IF(D4251="","", IFNA(VLOOKUP(D4251, SATCAT_DECAY!A:B, 2, FALSE), ""))
</f>
        <v/>
      </c>
      <c r="G4251" s="3" t="str">
        <f t="shared" si="1"/>
        <v>ACTIVE</v>
      </c>
    </row>
    <row r="4252" ht="22.5" customHeight="1">
      <c r="A4252" s="11" t="str">
        <f t="array" ref="A4252">IFERROR(
  INDEX('Starlink Launches'!$A:$A, MATCH($E4252, 'Starlink Launches'!$B:$B, 0)),
  ""
)
</f>
        <v>11-13</v>
      </c>
      <c r="B4252" s="3" t="s">
        <v>25</v>
      </c>
      <c r="C4252" s="12" t="s">
        <v>4272</v>
      </c>
      <c r="D4252" s="13">
        <v>63458.0</v>
      </c>
      <c r="E4252" s="4">
        <v>45751.0</v>
      </c>
      <c r="F4252" s="4" t="str">
        <f>IF(D4252="","", IFNA(VLOOKUP(D4252, SATCAT_DECAY!A:B, 2, FALSE), ""))
</f>
        <v/>
      </c>
      <c r="G4252" s="3" t="str">
        <f t="shared" si="1"/>
        <v>ACTIVE</v>
      </c>
    </row>
    <row r="4253" ht="22.5" customHeight="1">
      <c r="A4253" s="11" t="str">
        <f t="array" ref="A4253">IFERROR(
  INDEX('Starlink Launches'!$A:$A, MATCH($E4253, 'Starlink Launches'!$B:$B, 0)),
  ""
)
</f>
        <v>11-13</v>
      </c>
      <c r="B4253" s="3" t="s">
        <v>25</v>
      </c>
      <c r="C4253" s="12" t="s">
        <v>4273</v>
      </c>
      <c r="D4253" s="13">
        <v>63459.0</v>
      </c>
      <c r="E4253" s="4">
        <v>45751.0</v>
      </c>
      <c r="F4253" s="4" t="str">
        <f>IF(D4253="","", IFNA(VLOOKUP(D4253, SATCAT_DECAY!A:B, 2, FALSE), ""))
</f>
        <v/>
      </c>
      <c r="G4253" s="3" t="str">
        <f t="shared" si="1"/>
        <v>ACTIVE</v>
      </c>
    </row>
    <row r="4254" ht="22.5" customHeight="1">
      <c r="A4254" s="11" t="str">
        <f t="array" ref="A4254">IFERROR(
  INDEX('Starlink Launches'!$A:$A, MATCH($E4254, 'Starlink Launches'!$B:$B, 0)),
  ""
)
</f>
        <v>11-11</v>
      </c>
      <c r="B4254" s="3" t="s">
        <v>25</v>
      </c>
      <c r="C4254" s="12" t="s">
        <v>4274</v>
      </c>
      <c r="D4254" s="13">
        <v>63493.0</v>
      </c>
      <c r="E4254" s="4">
        <v>45754.0</v>
      </c>
      <c r="F4254" s="4" t="str">
        <f>IF(D4254="","", IFNA(VLOOKUP(D4254, SATCAT_DECAY!A:B, 2, FALSE), ""))
</f>
        <v/>
      </c>
      <c r="G4254" s="3" t="str">
        <f t="shared" si="1"/>
        <v>ACTIVE</v>
      </c>
    </row>
    <row r="4255" ht="22.5" customHeight="1">
      <c r="A4255" s="11" t="str">
        <f t="array" ref="A4255">IFERROR(
  INDEX('Starlink Launches'!$A:$A, MATCH($E4255, 'Starlink Launches'!$B:$B, 0)),
  ""
)
</f>
        <v>11-11</v>
      </c>
      <c r="B4255" s="3" t="s">
        <v>25</v>
      </c>
      <c r="C4255" s="12" t="s">
        <v>4275</v>
      </c>
      <c r="D4255" s="13">
        <v>63494.0</v>
      </c>
      <c r="E4255" s="4">
        <v>45754.0</v>
      </c>
      <c r="F4255" s="4" t="str">
        <f>IF(D4255="","", IFNA(VLOOKUP(D4255, SATCAT_DECAY!A:B, 2, FALSE), ""))
</f>
        <v/>
      </c>
      <c r="G4255" s="3" t="str">
        <f t="shared" si="1"/>
        <v>ACTIVE</v>
      </c>
    </row>
    <row r="4256" ht="22.5" customHeight="1">
      <c r="A4256" s="11" t="str">
        <f t="array" ref="A4256">IFERROR(
  INDEX('Starlink Launches'!$A:$A, MATCH($E4256, 'Starlink Launches'!$B:$B, 0)),
  ""
)
</f>
        <v>11-11</v>
      </c>
      <c r="B4256" s="3" t="s">
        <v>25</v>
      </c>
      <c r="C4256" s="12" t="s">
        <v>4276</v>
      </c>
      <c r="D4256" s="13">
        <v>63495.0</v>
      </c>
      <c r="E4256" s="4">
        <v>45754.0</v>
      </c>
      <c r="F4256" s="4" t="str">
        <f>IF(D4256="","", IFNA(VLOOKUP(D4256, SATCAT_DECAY!A:B, 2, FALSE), ""))
</f>
        <v/>
      </c>
      <c r="G4256" s="3" t="str">
        <f t="shared" si="1"/>
        <v>ACTIVE</v>
      </c>
    </row>
    <row r="4257" ht="22.5" customHeight="1">
      <c r="A4257" s="11" t="str">
        <f t="array" ref="A4257">IFERROR(
  INDEX('Starlink Launches'!$A:$A, MATCH($E4257, 'Starlink Launches'!$B:$B, 0)),
  ""
)
</f>
        <v>11-11</v>
      </c>
      <c r="B4257" s="3" t="s">
        <v>25</v>
      </c>
      <c r="C4257" s="12" t="s">
        <v>4277</v>
      </c>
      <c r="D4257" s="13">
        <v>63496.0</v>
      </c>
      <c r="E4257" s="4">
        <v>45754.0</v>
      </c>
      <c r="F4257" s="4" t="str">
        <f>IF(D4257="","", IFNA(VLOOKUP(D4257, SATCAT_DECAY!A:B, 2, FALSE), ""))
</f>
        <v/>
      </c>
      <c r="G4257" s="3" t="str">
        <f t="shared" si="1"/>
        <v>ACTIVE</v>
      </c>
    </row>
    <row r="4258" ht="22.5" customHeight="1">
      <c r="A4258" s="11" t="str">
        <f t="array" ref="A4258">IFERROR(
  INDEX('Starlink Launches'!$A:$A, MATCH($E4258, 'Starlink Launches'!$B:$B, 0)),
  ""
)
</f>
        <v>11-11</v>
      </c>
      <c r="B4258" s="3" t="s">
        <v>25</v>
      </c>
      <c r="C4258" s="12" t="s">
        <v>4278</v>
      </c>
      <c r="D4258" s="13">
        <v>63497.0</v>
      </c>
      <c r="E4258" s="4">
        <v>45754.0</v>
      </c>
      <c r="F4258" s="4" t="str">
        <f>IF(D4258="","", IFNA(VLOOKUP(D4258, SATCAT_DECAY!A:B, 2, FALSE), ""))
</f>
        <v/>
      </c>
      <c r="G4258" s="3" t="str">
        <f t="shared" si="1"/>
        <v>ACTIVE</v>
      </c>
    </row>
    <row r="4259" ht="22.5" customHeight="1">
      <c r="A4259" s="11" t="str">
        <f t="array" ref="A4259">IFERROR(
  INDEX('Starlink Launches'!$A:$A, MATCH($E4259, 'Starlink Launches'!$B:$B, 0)),
  ""
)
</f>
        <v>11-11</v>
      </c>
      <c r="B4259" s="3" t="s">
        <v>25</v>
      </c>
      <c r="C4259" s="12" t="s">
        <v>4279</v>
      </c>
      <c r="D4259" s="13">
        <v>63498.0</v>
      </c>
      <c r="E4259" s="4">
        <v>45754.0</v>
      </c>
      <c r="F4259" s="4" t="str">
        <f>IF(D4259="","", IFNA(VLOOKUP(D4259, SATCAT_DECAY!A:B, 2, FALSE), ""))
</f>
        <v/>
      </c>
      <c r="G4259" s="3" t="str">
        <f t="shared" si="1"/>
        <v>ACTIVE</v>
      </c>
    </row>
    <row r="4260" ht="22.5" customHeight="1">
      <c r="A4260" s="11" t="str">
        <f t="array" ref="A4260">IFERROR(
  INDEX('Starlink Launches'!$A:$A, MATCH($E4260, 'Starlink Launches'!$B:$B, 0)),
  ""
)
</f>
        <v>11-11</v>
      </c>
      <c r="B4260" s="3" t="s">
        <v>25</v>
      </c>
      <c r="C4260" s="12" t="s">
        <v>4280</v>
      </c>
      <c r="D4260" s="13">
        <v>63499.0</v>
      </c>
      <c r="E4260" s="4">
        <v>45754.0</v>
      </c>
      <c r="F4260" s="4" t="str">
        <f>IF(D4260="","", IFNA(VLOOKUP(D4260, SATCAT_DECAY!A:B, 2, FALSE), ""))
</f>
        <v/>
      </c>
      <c r="G4260" s="3" t="str">
        <f t="shared" si="1"/>
        <v>ACTIVE</v>
      </c>
    </row>
    <row r="4261" ht="22.5" customHeight="1">
      <c r="A4261" s="11" t="str">
        <f t="array" ref="A4261">IFERROR(
  INDEX('Starlink Launches'!$A:$A, MATCH($E4261, 'Starlink Launches'!$B:$B, 0)),
  ""
)
</f>
        <v>11-11</v>
      </c>
      <c r="B4261" s="3" t="s">
        <v>25</v>
      </c>
      <c r="C4261" s="12" t="s">
        <v>4281</v>
      </c>
      <c r="D4261" s="13">
        <v>63500.0</v>
      </c>
      <c r="E4261" s="4">
        <v>45754.0</v>
      </c>
      <c r="F4261" s="4" t="str">
        <f>IF(D4261="","", IFNA(VLOOKUP(D4261, SATCAT_DECAY!A:B, 2, FALSE), ""))
</f>
        <v/>
      </c>
      <c r="G4261" s="3" t="str">
        <f t="shared" si="1"/>
        <v>ACTIVE</v>
      </c>
    </row>
    <row r="4262" ht="22.5" customHeight="1">
      <c r="A4262" s="11" t="str">
        <f t="array" ref="A4262">IFERROR(
  INDEX('Starlink Launches'!$A:$A, MATCH($E4262, 'Starlink Launches'!$B:$B, 0)),
  ""
)
</f>
        <v>11-11</v>
      </c>
      <c r="B4262" s="3" t="s">
        <v>25</v>
      </c>
      <c r="C4262" s="12" t="s">
        <v>4282</v>
      </c>
      <c r="D4262" s="13">
        <v>63501.0</v>
      </c>
      <c r="E4262" s="4">
        <v>45754.0</v>
      </c>
      <c r="F4262" s="4" t="str">
        <f>IF(D4262="","", IFNA(VLOOKUP(D4262, SATCAT_DECAY!A:B, 2, FALSE), ""))
</f>
        <v/>
      </c>
      <c r="G4262" s="3" t="str">
        <f t="shared" si="1"/>
        <v>ACTIVE</v>
      </c>
    </row>
    <row r="4263" ht="22.5" customHeight="1">
      <c r="A4263" s="11" t="str">
        <f t="array" ref="A4263">IFERROR(
  INDEX('Starlink Launches'!$A:$A, MATCH($E4263, 'Starlink Launches'!$B:$B, 0)),
  ""
)
</f>
        <v>11-11</v>
      </c>
      <c r="B4263" s="3" t="s">
        <v>25</v>
      </c>
      <c r="C4263" s="12" t="s">
        <v>4283</v>
      </c>
      <c r="D4263" s="13">
        <v>63502.0</v>
      </c>
      <c r="E4263" s="4">
        <v>45754.0</v>
      </c>
      <c r="F4263" s="4" t="str">
        <f>IF(D4263="","", IFNA(VLOOKUP(D4263, SATCAT_DECAY!A:B, 2, FALSE), ""))
</f>
        <v/>
      </c>
      <c r="G4263" s="3" t="str">
        <f t="shared" si="1"/>
        <v>ACTIVE</v>
      </c>
    </row>
    <row r="4264" ht="22.5" customHeight="1">
      <c r="A4264" s="11" t="str">
        <f t="array" ref="A4264">IFERROR(
  INDEX('Starlink Launches'!$A:$A, MATCH($E4264, 'Starlink Launches'!$B:$B, 0)),
  ""
)
</f>
        <v>11-11</v>
      </c>
      <c r="B4264" s="3" t="s">
        <v>25</v>
      </c>
      <c r="C4264" s="12" t="s">
        <v>4284</v>
      </c>
      <c r="D4264" s="13">
        <v>63503.0</v>
      </c>
      <c r="E4264" s="4">
        <v>45754.0</v>
      </c>
      <c r="F4264" s="4" t="str">
        <f>IF(D4264="","", IFNA(VLOOKUP(D4264, SATCAT_DECAY!A:B, 2, FALSE), ""))
</f>
        <v/>
      </c>
      <c r="G4264" s="3" t="str">
        <f t="shared" si="1"/>
        <v>ACTIVE</v>
      </c>
    </row>
    <row r="4265" ht="22.5" customHeight="1">
      <c r="A4265" s="11" t="str">
        <f t="array" ref="A4265">IFERROR(
  INDEX('Starlink Launches'!$A:$A, MATCH($E4265, 'Starlink Launches'!$B:$B, 0)),
  ""
)
</f>
        <v>11-11</v>
      </c>
      <c r="B4265" s="3" t="s">
        <v>25</v>
      </c>
      <c r="C4265" s="12" t="s">
        <v>4285</v>
      </c>
      <c r="D4265" s="13">
        <v>63504.0</v>
      </c>
      <c r="E4265" s="4">
        <v>45754.0</v>
      </c>
      <c r="F4265" s="4" t="str">
        <f>IF(D4265="","", IFNA(VLOOKUP(D4265, SATCAT_DECAY!A:B, 2, FALSE), ""))
</f>
        <v/>
      </c>
      <c r="G4265" s="3" t="str">
        <f t="shared" si="1"/>
        <v>ACTIVE</v>
      </c>
    </row>
    <row r="4266" ht="22.5" customHeight="1">
      <c r="A4266" s="11" t="str">
        <f t="array" ref="A4266">IFERROR(
  INDEX('Starlink Launches'!$A:$A, MATCH($E4266, 'Starlink Launches'!$B:$B, 0)),
  ""
)
</f>
        <v>11-11</v>
      </c>
      <c r="B4266" s="3" t="s">
        <v>25</v>
      </c>
      <c r="C4266" s="12" t="s">
        <v>4286</v>
      </c>
      <c r="D4266" s="13">
        <v>63505.0</v>
      </c>
      <c r="E4266" s="4">
        <v>45754.0</v>
      </c>
      <c r="F4266" s="4" t="str">
        <f>IF(D4266="","", IFNA(VLOOKUP(D4266, SATCAT_DECAY!A:B, 2, FALSE), ""))
</f>
        <v/>
      </c>
      <c r="G4266" s="3" t="str">
        <f t="shared" si="1"/>
        <v>ACTIVE</v>
      </c>
    </row>
    <row r="4267" ht="22.5" customHeight="1">
      <c r="A4267" s="11" t="str">
        <f t="array" ref="A4267">IFERROR(
  INDEX('Starlink Launches'!$A:$A, MATCH($E4267, 'Starlink Launches'!$B:$B, 0)),
  ""
)
</f>
        <v>11-11</v>
      </c>
      <c r="B4267" s="3" t="s">
        <v>25</v>
      </c>
      <c r="C4267" s="12" t="s">
        <v>4287</v>
      </c>
      <c r="D4267" s="13">
        <v>63506.0</v>
      </c>
      <c r="E4267" s="4">
        <v>45754.0</v>
      </c>
      <c r="F4267" s="4" t="str">
        <f>IF(D4267="","", IFNA(VLOOKUP(D4267, SATCAT_DECAY!A:B, 2, FALSE), ""))
</f>
        <v/>
      </c>
      <c r="G4267" s="3" t="str">
        <f t="shared" si="1"/>
        <v>ACTIVE</v>
      </c>
    </row>
    <row r="4268" ht="22.5" customHeight="1">
      <c r="A4268" s="11" t="str">
        <f t="array" ref="A4268">IFERROR(
  INDEX('Starlink Launches'!$A:$A, MATCH($E4268, 'Starlink Launches'!$B:$B, 0)),
  ""
)
</f>
        <v>11-11</v>
      </c>
      <c r="B4268" s="3" t="s">
        <v>25</v>
      </c>
      <c r="C4268" s="12" t="s">
        <v>4288</v>
      </c>
      <c r="D4268" s="13">
        <v>63507.0</v>
      </c>
      <c r="E4268" s="4">
        <v>45754.0</v>
      </c>
      <c r="F4268" s="4" t="str">
        <f>IF(D4268="","", IFNA(VLOOKUP(D4268, SATCAT_DECAY!A:B, 2, FALSE), ""))
</f>
        <v/>
      </c>
      <c r="G4268" s="3" t="str">
        <f t="shared" si="1"/>
        <v>ACTIVE</v>
      </c>
    </row>
    <row r="4269" ht="22.5" customHeight="1">
      <c r="A4269" s="11" t="str">
        <f t="array" ref="A4269">IFERROR(
  INDEX('Starlink Launches'!$A:$A, MATCH($E4269, 'Starlink Launches'!$B:$B, 0)),
  ""
)
</f>
        <v>11-11</v>
      </c>
      <c r="B4269" s="3" t="s">
        <v>25</v>
      </c>
      <c r="C4269" s="12" t="s">
        <v>4289</v>
      </c>
      <c r="D4269" s="13">
        <v>63508.0</v>
      </c>
      <c r="E4269" s="4">
        <v>45754.0</v>
      </c>
      <c r="F4269" s="4" t="str">
        <f>IF(D4269="","", IFNA(VLOOKUP(D4269, SATCAT_DECAY!A:B, 2, FALSE), ""))
</f>
        <v/>
      </c>
      <c r="G4269" s="3" t="str">
        <f t="shared" si="1"/>
        <v>ACTIVE</v>
      </c>
    </row>
    <row r="4270" ht="22.5" customHeight="1">
      <c r="A4270" s="11" t="str">
        <f t="array" ref="A4270">IFERROR(
  INDEX('Starlink Launches'!$A:$A, MATCH($E4270, 'Starlink Launches'!$B:$B, 0)),
  ""
)
</f>
        <v>11-11</v>
      </c>
      <c r="B4270" s="3" t="s">
        <v>25</v>
      </c>
      <c r="C4270" s="12" t="s">
        <v>4290</v>
      </c>
      <c r="D4270" s="13">
        <v>63509.0</v>
      </c>
      <c r="E4270" s="4">
        <v>45754.0</v>
      </c>
      <c r="F4270" s="4" t="str">
        <f>IF(D4270="","", IFNA(VLOOKUP(D4270, SATCAT_DECAY!A:B, 2, FALSE), ""))
</f>
        <v/>
      </c>
      <c r="G4270" s="3" t="str">
        <f t="shared" si="1"/>
        <v>ACTIVE</v>
      </c>
    </row>
    <row r="4271" ht="22.5" customHeight="1">
      <c r="A4271" s="11" t="str">
        <f t="array" ref="A4271">IFERROR(
  INDEX('Starlink Launches'!$A:$A, MATCH($E4271, 'Starlink Launches'!$B:$B, 0)),
  ""
)
</f>
        <v>11-11</v>
      </c>
      <c r="B4271" s="3" t="s">
        <v>25</v>
      </c>
      <c r="C4271" s="12" t="s">
        <v>4291</v>
      </c>
      <c r="D4271" s="13">
        <v>63510.0</v>
      </c>
      <c r="E4271" s="4">
        <v>45754.0</v>
      </c>
      <c r="F4271" s="4" t="str">
        <f>IF(D4271="","", IFNA(VLOOKUP(D4271, SATCAT_DECAY!A:B, 2, FALSE), ""))
</f>
        <v/>
      </c>
      <c r="G4271" s="3" t="str">
        <f t="shared" si="1"/>
        <v>ACTIVE</v>
      </c>
    </row>
    <row r="4272" ht="22.5" customHeight="1">
      <c r="A4272" s="11" t="str">
        <f t="array" ref="A4272">IFERROR(
  INDEX('Starlink Launches'!$A:$A, MATCH($E4272, 'Starlink Launches'!$B:$B, 0)),
  ""
)
</f>
        <v>11-11</v>
      </c>
      <c r="B4272" s="3" t="s">
        <v>25</v>
      </c>
      <c r="C4272" s="12" t="s">
        <v>4292</v>
      </c>
      <c r="D4272" s="13">
        <v>63511.0</v>
      </c>
      <c r="E4272" s="4">
        <v>45754.0</v>
      </c>
      <c r="F4272" s="4" t="str">
        <f>IF(D4272="","", IFNA(VLOOKUP(D4272, SATCAT_DECAY!A:B, 2, FALSE), ""))
</f>
        <v/>
      </c>
      <c r="G4272" s="3" t="str">
        <f t="shared" si="1"/>
        <v>ACTIVE</v>
      </c>
    </row>
    <row r="4273" ht="22.5" customHeight="1">
      <c r="A4273" s="11" t="str">
        <f t="array" ref="A4273">IFERROR(
  INDEX('Starlink Launches'!$A:$A, MATCH($E4273, 'Starlink Launches'!$B:$B, 0)),
  ""
)
</f>
        <v>11-11</v>
      </c>
      <c r="B4273" s="3" t="s">
        <v>25</v>
      </c>
      <c r="C4273" s="12" t="s">
        <v>4293</v>
      </c>
      <c r="D4273" s="13">
        <v>63512.0</v>
      </c>
      <c r="E4273" s="4">
        <v>45754.0</v>
      </c>
      <c r="F4273" s="4" t="str">
        <f>IF(D4273="","", IFNA(VLOOKUP(D4273, SATCAT_DECAY!A:B, 2, FALSE), ""))
</f>
        <v/>
      </c>
      <c r="G4273" s="3" t="str">
        <f t="shared" si="1"/>
        <v>ACTIVE</v>
      </c>
    </row>
    <row r="4274" ht="22.5" customHeight="1">
      <c r="A4274" s="11" t="str">
        <f t="array" ref="A4274">IFERROR(
  INDEX('Starlink Launches'!$A:$A, MATCH($E4274, 'Starlink Launches'!$B:$B, 0)),
  ""
)
</f>
        <v>11-11</v>
      </c>
      <c r="B4274" s="3" t="s">
        <v>25</v>
      </c>
      <c r="C4274" s="12" t="s">
        <v>4294</v>
      </c>
      <c r="D4274" s="13">
        <v>63513.0</v>
      </c>
      <c r="E4274" s="4">
        <v>45754.0</v>
      </c>
      <c r="F4274" s="4" t="str">
        <f>IF(D4274="","", IFNA(VLOOKUP(D4274, SATCAT_DECAY!A:B, 2, FALSE), ""))
</f>
        <v/>
      </c>
      <c r="G4274" s="3" t="str">
        <f t="shared" si="1"/>
        <v>ACTIVE</v>
      </c>
    </row>
    <row r="4275" ht="22.5" customHeight="1">
      <c r="A4275" s="11" t="str">
        <f t="array" ref="A4275">IFERROR(
  INDEX('Starlink Launches'!$A:$A, MATCH($E4275, 'Starlink Launches'!$B:$B, 0)),
  ""
)
</f>
        <v>11-11</v>
      </c>
      <c r="B4275" s="3" t="s">
        <v>25</v>
      </c>
      <c r="C4275" s="12" t="s">
        <v>4295</v>
      </c>
      <c r="D4275" s="13">
        <v>63514.0</v>
      </c>
      <c r="E4275" s="4">
        <v>45754.0</v>
      </c>
      <c r="F4275" s="4" t="str">
        <f>IF(D4275="","", IFNA(VLOOKUP(D4275, SATCAT_DECAY!A:B, 2, FALSE), ""))
</f>
        <v/>
      </c>
      <c r="G4275" s="3" t="str">
        <f t="shared" si="1"/>
        <v>ACTIVE</v>
      </c>
    </row>
    <row r="4276" ht="22.5" customHeight="1">
      <c r="A4276" s="11" t="str">
        <f t="array" ref="A4276">IFERROR(
  INDEX('Starlink Launches'!$A:$A, MATCH($E4276, 'Starlink Launches'!$B:$B, 0)),
  ""
)
</f>
        <v>11-11</v>
      </c>
      <c r="B4276" s="3" t="s">
        <v>25</v>
      </c>
      <c r="C4276" s="12" t="s">
        <v>4296</v>
      </c>
      <c r="D4276" s="13">
        <v>63515.0</v>
      </c>
      <c r="E4276" s="4">
        <v>45754.0</v>
      </c>
      <c r="F4276" s="4" t="str">
        <f>IF(D4276="","", IFNA(VLOOKUP(D4276, SATCAT_DECAY!A:B, 2, FALSE), ""))
</f>
        <v/>
      </c>
      <c r="G4276" s="3" t="str">
        <f t="shared" si="1"/>
        <v>ACTIVE</v>
      </c>
    </row>
    <row r="4277" ht="22.5" customHeight="1">
      <c r="A4277" s="11" t="str">
        <f t="array" ref="A4277">IFERROR(
  INDEX('Starlink Launches'!$A:$A, MATCH($E4277, 'Starlink Launches'!$B:$B, 0)),
  ""
)
</f>
        <v>11-11</v>
      </c>
      <c r="B4277" s="3" t="s">
        <v>25</v>
      </c>
      <c r="C4277" s="12" t="s">
        <v>4297</v>
      </c>
      <c r="D4277" s="13">
        <v>63516.0</v>
      </c>
      <c r="E4277" s="4">
        <v>45754.0</v>
      </c>
      <c r="F4277" s="4" t="str">
        <f>IF(D4277="","", IFNA(VLOOKUP(D4277, SATCAT_DECAY!A:B, 2, FALSE), ""))
</f>
        <v/>
      </c>
      <c r="G4277" s="3" t="str">
        <f t="shared" si="1"/>
        <v>ACTIVE</v>
      </c>
    </row>
    <row r="4278" ht="22.5" customHeight="1">
      <c r="A4278" s="11" t="str">
        <f t="array" ref="A4278">IFERROR(
  INDEX('Starlink Launches'!$A:$A, MATCH($E4278, 'Starlink Launches'!$B:$B, 0)),
  ""
)
</f>
        <v>11-11</v>
      </c>
      <c r="B4278" s="3" t="s">
        <v>25</v>
      </c>
      <c r="C4278" s="12" t="s">
        <v>4298</v>
      </c>
      <c r="D4278" s="13">
        <v>63517.0</v>
      </c>
      <c r="E4278" s="4">
        <v>45754.0</v>
      </c>
      <c r="F4278" s="4" t="str">
        <f>IF(D4278="","", IFNA(VLOOKUP(D4278, SATCAT_DECAY!A:B, 2, FALSE), ""))
</f>
        <v/>
      </c>
      <c r="G4278" s="3" t="str">
        <f t="shared" si="1"/>
        <v>ACTIVE</v>
      </c>
    </row>
    <row r="4279" ht="22.5" customHeight="1">
      <c r="A4279" s="11" t="str">
        <f t="array" ref="A4279">IFERROR(
  INDEX('Starlink Launches'!$A:$A, MATCH($E4279, 'Starlink Launches'!$B:$B, 0)),
  ""
)
</f>
        <v>11-11</v>
      </c>
      <c r="B4279" s="3" t="s">
        <v>25</v>
      </c>
      <c r="C4279" s="12" t="s">
        <v>4299</v>
      </c>
      <c r="D4279" s="13">
        <v>63518.0</v>
      </c>
      <c r="E4279" s="4">
        <v>45754.0</v>
      </c>
      <c r="F4279" s="4" t="str">
        <f>IF(D4279="","", IFNA(VLOOKUP(D4279, SATCAT_DECAY!A:B, 2, FALSE), ""))
</f>
        <v/>
      </c>
      <c r="G4279" s="3" t="str">
        <f t="shared" si="1"/>
        <v>ACTIVE</v>
      </c>
    </row>
    <row r="4280" ht="22.5" customHeight="1">
      <c r="A4280" s="11" t="str">
        <f t="array" ref="A4280">IFERROR(
  INDEX('Starlink Launches'!$A:$A, MATCH($E4280, 'Starlink Launches'!$B:$B, 0)),
  ""
)
</f>
        <v>11-11</v>
      </c>
      <c r="B4280" s="3" t="s">
        <v>25</v>
      </c>
      <c r="C4280" s="12" t="s">
        <v>4300</v>
      </c>
      <c r="D4280" s="13">
        <v>63519.0</v>
      </c>
      <c r="E4280" s="4">
        <v>45754.0</v>
      </c>
      <c r="F4280" s="4" t="str">
        <f>IF(D4280="","", IFNA(VLOOKUP(D4280, SATCAT_DECAY!A:B, 2, FALSE), ""))
</f>
        <v/>
      </c>
      <c r="G4280" s="3" t="str">
        <f t="shared" si="1"/>
        <v>ACTIVE</v>
      </c>
    </row>
    <row r="4281" ht="22.5" customHeight="1">
      <c r="A4281" s="11" t="str">
        <f t="array" ref="A4281">IFERROR(
  INDEX('Starlink Launches'!$A:$A, MATCH($E4281, 'Starlink Launches'!$B:$B, 0)),
  ""
)
</f>
        <v>11-9</v>
      </c>
      <c r="B4281" s="3" t="s">
        <v>25</v>
      </c>
      <c r="C4281" s="12" t="s">
        <v>4301</v>
      </c>
      <c r="D4281" s="13">
        <v>63664.0</v>
      </c>
      <c r="E4281" s="4">
        <v>45775.0</v>
      </c>
      <c r="F4281" s="4" t="str">
        <f>IF(D4281="","", IFNA(VLOOKUP(D4281, SATCAT_DECAY!A:B, 2, FALSE), ""))
</f>
        <v/>
      </c>
      <c r="G4281" s="3" t="str">
        <f t="shared" si="1"/>
        <v>ACTIVE</v>
      </c>
    </row>
    <row r="4282" ht="22.5" customHeight="1">
      <c r="A4282" s="11" t="str">
        <f t="array" ref="A4282">IFERROR(
  INDEX('Starlink Launches'!$A:$A, MATCH($E4282, 'Starlink Launches'!$B:$B, 0)),
  ""
)
</f>
        <v>11-9</v>
      </c>
      <c r="B4282" s="3" t="s">
        <v>25</v>
      </c>
      <c r="C4282" s="12" t="s">
        <v>4302</v>
      </c>
      <c r="D4282" s="13">
        <v>63665.0</v>
      </c>
      <c r="E4282" s="4">
        <v>45775.0</v>
      </c>
      <c r="F4282" s="4" t="str">
        <f>IF(D4282="","", IFNA(VLOOKUP(D4282, SATCAT_DECAY!A:B, 2, FALSE), ""))
</f>
        <v/>
      </c>
      <c r="G4282" s="3" t="str">
        <f t="shared" si="1"/>
        <v>ACTIVE</v>
      </c>
    </row>
    <row r="4283" ht="22.5" customHeight="1">
      <c r="A4283" s="11" t="str">
        <f t="array" ref="A4283">IFERROR(
  INDEX('Starlink Launches'!$A:$A, MATCH($E4283, 'Starlink Launches'!$B:$B, 0)),
  ""
)
</f>
        <v>11-9</v>
      </c>
      <c r="B4283" s="3" t="s">
        <v>25</v>
      </c>
      <c r="C4283" s="12" t="s">
        <v>4303</v>
      </c>
      <c r="D4283" s="13">
        <v>63666.0</v>
      </c>
      <c r="E4283" s="4">
        <v>45775.0</v>
      </c>
      <c r="F4283" s="4" t="str">
        <f>IF(D4283="","", IFNA(VLOOKUP(D4283, SATCAT_DECAY!A:B, 2, FALSE), ""))
</f>
        <v/>
      </c>
      <c r="G4283" s="3" t="str">
        <f t="shared" si="1"/>
        <v>ACTIVE</v>
      </c>
    </row>
    <row r="4284" ht="22.5" customHeight="1">
      <c r="A4284" s="11" t="str">
        <f t="array" ref="A4284">IFERROR(
  INDEX('Starlink Launches'!$A:$A, MATCH($E4284, 'Starlink Launches'!$B:$B, 0)),
  ""
)
</f>
        <v>11-9</v>
      </c>
      <c r="B4284" s="3" t="s">
        <v>25</v>
      </c>
      <c r="C4284" s="12" t="s">
        <v>4304</v>
      </c>
      <c r="D4284" s="13">
        <v>63667.0</v>
      </c>
      <c r="E4284" s="4">
        <v>45775.0</v>
      </c>
      <c r="F4284" s="4" t="str">
        <f>IF(D4284="","", IFNA(VLOOKUP(D4284, SATCAT_DECAY!A:B, 2, FALSE), ""))
</f>
        <v/>
      </c>
      <c r="G4284" s="3" t="str">
        <f t="shared" si="1"/>
        <v>ACTIVE</v>
      </c>
    </row>
    <row r="4285" ht="22.5" customHeight="1">
      <c r="A4285" s="11" t="str">
        <f t="array" ref="A4285">IFERROR(
  INDEX('Starlink Launches'!$A:$A, MATCH($E4285, 'Starlink Launches'!$B:$B, 0)),
  ""
)
</f>
        <v>11-9</v>
      </c>
      <c r="B4285" s="3" t="s">
        <v>25</v>
      </c>
      <c r="C4285" s="12" t="s">
        <v>4305</v>
      </c>
      <c r="D4285" s="13">
        <v>63668.0</v>
      </c>
      <c r="E4285" s="4">
        <v>45775.0</v>
      </c>
      <c r="F4285" s="4" t="str">
        <f>IF(D4285="","", IFNA(VLOOKUP(D4285, SATCAT_DECAY!A:B, 2, FALSE), ""))
</f>
        <v/>
      </c>
      <c r="G4285" s="3" t="str">
        <f t="shared" si="1"/>
        <v>ACTIVE</v>
      </c>
    </row>
    <row r="4286" ht="22.5" customHeight="1">
      <c r="A4286" s="11" t="str">
        <f t="array" ref="A4286">IFERROR(
  INDEX('Starlink Launches'!$A:$A, MATCH($E4286, 'Starlink Launches'!$B:$B, 0)),
  ""
)
</f>
        <v>11-9</v>
      </c>
      <c r="B4286" s="3" t="s">
        <v>25</v>
      </c>
      <c r="C4286" s="12" t="s">
        <v>4306</v>
      </c>
      <c r="D4286" s="13">
        <v>63669.0</v>
      </c>
      <c r="E4286" s="4">
        <v>45775.0</v>
      </c>
      <c r="F4286" s="4" t="str">
        <f>IF(D4286="","", IFNA(VLOOKUP(D4286, SATCAT_DECAY!A:B, 2, FALSE), ""))
</f>
        <v/>
      </c>
      <c r="G4286" s="3" t="str">
        <f t="shared" si="1"/>
        <v>ACTIVE</v>
      </c>
    </row>
    <row r="4287" ht="22.5" customHeight="1">
      <c r="A4287" s="11" t="str">
        <f t="array" ref="A4287">IFERROR(
  INDEX('Starlink Launches'!$A:$A, MATCH($E4287, 'Starlink Launches'!$B:$B, 0)),
  ""
)
</f>
        <v>11-9</v>
      </c>
      <c r="B4287" s="3" t="s">
        <v>25</v>
      </c>
      <c r="C4287" s="12" t="s">
        <v>4307</v>
      </c>
      <c r="D4287" s="13">
        <v>63670.0</v>
      </c>
      <c r="E4287" s="4">
        <v>45775.0</v>
      </c>
      <c r="F4287" s="4" t="str">
        <f>IF(D4287="","", IFNA(VLOOKUP(D4287, SATCAT_DECAY!A:B, 2, FALSE), ""))
</f>
        <v/>
      </c>
      <c r="G4287" s="3" t="str">
        <f t="shared" si="1"/>
        <v>ACTIVE</v>
      </c>
    </row>
    <row r="4288" ht="22.5" customHeight="1">
      <c r="A4288" s="11" t="str">
        <f t="array" ref="A4288">IFERROR(
  INDEX('Starlink Launches'!$A:$A, MATCH($E4288, 'Starlink Launches'!$B:$B, 0)),
  ""
)
</f>
        <v>11-9</v>
      </c>
      <c r="B4288" s="3" t="s">
        <v>25</v>
      </c>
      <c r="C4288" s="12" t="s">
        <v>4308</v>
      </c>
      <c r="D4288" s="13">
        <v>63671.0</v>
      </c>
      <c r="E4288" s="4">
        <v>45775.0</v>
      </c>
      <c r="F4288" s="4" t="str">
        <f>IF(D4288="","", IFNA(VLOOKUP(D4288, SATCAT_DECAY!A:B, 2, FALSE), ""))
</f>
        <v/>
      </c>
      <c r="G4288" s="3" t="str">
        <f t="shared" si="1"/>
        <v>ACTIVE</v>
      </c>
    </row>
    <row r="4289" ht="22.5" customHeight="1">
      <c r="A4289" s="11" t="str">
        <f t="array" ref="A4289">IFERROR(
  INDEX('Starlink Launches'!$A:$A, MATCH($E4289, 'Starlink Launches'!$B:$B, 0)),
  ""
)
</f>
        <v>11-9</v>
      </c>
      <c r="B4289" s="3" t="s">
        <v>25</v>
      </c>
      <c r="C4289" s="12" t="s">
        <v>4309</v>
      </c>
      <c r="D4289" s="13">
        <v>63672.0</v>
      </c>
      <c r="E4289" s="4">
        <v>45775.0</v>
      </c>
      <c r="F4289" s="4" t="str">
        <f>IF(D4289="","", IFNA(VLOOKUP(D4289, SATCAT_DECAY!A:B, 2, FALSE), ""))
</f>
        <v/>
      </c>
      <c r="G4289" s="3" t="str">
        <f t="shared" si="1"/>
        <v>ACTIVE</v>
      </c>
    </row>
    <row r="4290" ht="22.5" customHeight="1">
      <c r="A4290" s="11" t="str">
        <f t="array" ref="A4290">IFERROR(
  INDEX('Starlink Launches'!$A:$A, MATCH($E4290, 'Starlink Launches'!$B:$B, 0)),
  ""
)
</f>
        <v>11-9</v>
      </c>
      <c r="B4290" s="3" t="s">
        <v>25</v>
      </c>
      <c r="C4290" s="12" t="s">
        <v>4310</v>
      </c>
      <c r="D4290" s="13">
        <v>63673.0</v>
      </c>
      <c r="E4290" s="4">
        <v>45775.0</v>
      </c>
      <c r="F4290" s="4" t="str">
        <f>IF(D4290="","", IFNA(VLOOKUP(D4290, SATCAT_DECAY!A:B, 2, FALSE), ""))
</f>
        <v/>
      </c>
      <c r="G4290" s="3" t="str">
        <f t="shared" si="1"/>
        <v>ACTIVE</v>
      </c>
    </row>
    <row r="4291" ht="22.5" customHeight="1">
      <c r="A4291" s="11" t="str">
        <f t="array" ref="A4291">IFERROR(
  INDEX('Starlink Launches'!$A:$A, MATCH($E4291, 'Starlink Launches'!$B:$B, 0)),
  ""
)
</f>
        <v>11-9</v>
      </c>
      <c r="B4291" s="3" t="s">
        <v>25</v>
      </c>
      <c r="C4291" s="12" t="s">
        <v>4311</v>
      </c>
      <c r="D4291" s="13">
        <v>63674.0</v>
      </c>
      <c r="E4291" s="4">
        <v>45775.0</v>
      </c>
      <c r="F4291" s="4" t="str">
        <f>IF(D4291="","", IFNA(VLOOKUP(D4291, SATCAT_DECAY!A:B, 2, FALSE), ""))
</f>
        <v/>
      </c>
      <c r="G4291" s="3" t="str">
        <f t="shared" si="1"/>
        <v>ACTIVE</v>
      </c>
    </row>
    <row r="4292" ht="22.5" customHeight="1">
      <c r="A4292" s="11" t="str">
        <f t="array" ref="A4292">IFERROR(
  INDEX('Starlink Launches'!$A:$A, MATCH($E4292, 'Starlink Launches'!$B:$B, 0)),
  ""
)
</f>
        <v>11-9</v>
      </c>
      <c r="B4292" s="3" t="s">
        <v>25</v>
      </c>
      <c r="C4292" s="12" t="s">
        <v>4312</v>
      </c>
      <c r="D4292" s="13">
        <v>63675.0</v>
      </c>
      <c r="E4292" s="4">
        <v>45775.0</v>
      </c>
      <c r="F4292" s="4" t="str">
        <f>IF(D4292="","", IFNA(VLOOKUP(D4292, SATCAT_DECAY!A:B, 2, FALSE), ""))
</f>
        <v/>
      </c>
      <c r="G4292" s="3" t="str">
        <f t="shared" si="1"/>
        <v>ACTIVE</v>
      </c>
    </row>
    <row r="4293" ht="22.5" customHeight="1">
      <c r="A4293" s="11" t="str">
        <f t="array" ref="A4293">IFERROR(
  INDEX('Starlink Launches'!$A:$A, MATCH($E4293, 'Starlink Launches'!$B:$B, 0)),
  ""
)
</f>
        <v>11-9</v>
      </c>
      <c r="B4293" s="3" t="s">
        <v>25</v>
      </c>
      <c r="C4293" s="12" t="s">
        <v>4313</v>
      </c>
      <c r="D4293" s="13">
        <v>63676.0</v>
      </c>
      <c r="E4293" s="4">
        <v>45775.0</v>
      </c>
      <c r="F4293" s="4" t="str">
        <f>IF(D4293="","", IFNA(VLOOKUP(D4293, SATCAT_DECAY!A:B, 2, FALSE), ""))
</f>
        <v/>
      </c>
      <c r="G4293" s="3" t="str">
        <f t="shared" si="1"/>
        <v>ACTIVE</v>
      </c>
    </row>
    <row r="4294" ht="22.5" customHeight="1">
      <c r="A4294" s="11" t="str">
        <f t="array" ref="A4294">IFERROR(
  INDEX('Starlink Launches'!$A:$A, MATCH($E4294, 'Starlink Launches'!$B:$B, 0)),
  ""
)
</f>
        <v>11-9</v>
      </c>
      <c r="B4294" s="3" t="s">
        <v>25</v>
      </c>
      <c r="C4294" s="12" t="s">
        <v>4314</v>
      </c>
      <c r="D4294" s="13">
        <v>63677.0</v>
      </c>
      <c r="E4294" s="4">
        <v>45775.0</v>
      </c>
      <c r="F4294" s="4" t="str">
        <f>IF(D4294="","", IFNA(VLOOKUP(D4294, SATCAT_DECAY!A:B, 2, FALSE), ""))
</f>
        <v/>
      </c>
      <c r="G4294" s="3" t="str">
        <f t="shared" si="1"/>
        <v>ACTIVE</v>
      </c>
    </row>
    <row r="4295" ht="22.5" customHeight="1">
      <c r="A4295" s="11" t="str">
        <f t="array" ref="A4295">IFERROR(
  INDEX('Starlink Launches'!$A:$A, MATCH($E4295, 'Starlink Launches'!$B:$B, 0)),
  ""
)
</f>
        <v>11-9</v>
      </c>
      <c r="B4295" s="3" t="s">
        <v>25</v>
      </c>
      <c r="C4295" s="12" t="s">
        <v>4315</v>
      </c>
      <c r="D4295" s="13">
        <v>63678.0</v>
      </c>
      <c r="E4295" s="4">
        <v>45775.0</v>
      </c>
      <c r="F4295" s="4" t="str">
        <f>IF(D4295="","", IFNA(VLOOKUP(D4295, SATCAT_DECAY!A:B, 2, FALSE), ""))
</f>
        <v/>
      </c>
      <c r="G4295" s="3" t="str">
        <f t="shared" si="1"/>
        <v>ACTIVE</v>
      </c>
    </row>
    <row r="4296" ht="22.5" customHeight="1">
      <c r="A4296" s="11" t="str">
        <f t="array" ref="A4296">IFERROR(
  INDEX('Starlink Launches'!$A:$A, MATCH($E4296, 'Starlink Launches'!$B:$B, 0)),
  ""
)
</f>
        <v>11-9</v>
      </c>
      <c r="B4296" s="3" t="s">
        <v>25</v>
      </c>
      <c r="C4296" s="12" t="s">
        <v>4316</v>
      </c>
      <c r="D4296" s="13">
        <v>63679.0</v>
      </c>
      <c r="E4296" s="4">
        <v>45775.0</v>
      </c>
      <c r="F4296" s="4" t="str">
        <f>IF(D4296="","", IFNA(VLOOKUP(D4296, SATCAT_DECAY!A:B, 2, FALSE), ""))
</f>
        <v/>
      </c>
      <c r="G4296" s="3" t="str">
        <f t="shared" si="1"/>
        <v>ACTIVE</v>
      </c>
    </row>
    <row r="4297" ht="22.5" customHeight="1">
      <c r="A4297" s="11" t="str">
        <f t="array" ref="A4297">IFERROR(
  INDEX('Starlink Launches'!$A:$A, MATCH($E4297, 'Starlink Launches'!$B:$B, 0)),
  ""
)
</f>
        <v>11-9</v>
      </c>
      <c r="B4297" s="3" t="s">
        <v>25</v>
      </c>
      <c r="C4297" s="12" t="s">
        <v>4317</v>
      </c>
      <c r="D4297" s="13">
        <v>63680.0</v>
      </c>
      <c r="E4297" s="4">
        <v>45775.0</v>
      </c>
      <c r="F4297" s="4" t="str">
        <f>IF(D4297="","", IFNA(VLOOKUP(D4297, SATCAT_DECAY!A:B, 2, FALSE), ""))
</f>
        <v/>
      </c>
      <c r="G4297" s="3" t="str">
        <f t="shared" si="1"/>
        <v>ACTIVE</v>
      </c>
    </row>
    <row r="4298" ht="22.5" customHeight="1">
      <c r="A4298" s="11" t="str">
        <f t="array" ref="A4298">IFERROR(
  INDEX('Starlink Launches'!$A:$A, MATCH($E4298, 'Starlink Launches'!$B:$B, 0)),
  ""
)
</f>
        <v>11-9</v>
      </c>
      <c r="B4298" s="3" t="s">
        <v>25</v>
      </c>
      <c r="C4298" s="12" t="s">
        <v>4318</v>
      </c>
      <c r="D4298" s="13">
        <v>63681.0</v>
      </c>
      <c r="E4298" s="4">
        <v>45775.0</v>
      </c>
      <c r="F4298" s="4" t="str">
        <f>IF(D4298="","", IFNA(VLOOKUP(D4298, SATCAT_DECAY!A:B, 2, FALSE), ""))
</f>
        <v/>
      </c>
      <c r="G4298" s="3" t="str">
        <f t="shared" si="1"/>
        <v>ACTIVE</v>
      </c>
    </row>
    <row r="4299" ht="22.5" customHeight="1">
      <c r="A4299" s="11" t="str">
        <f t="array" ref="A4299">IFERROR(
  INDEX('Starlink Launches'!$A:$A, MATCH($E4299, 'Starlink Launches'!$B:$B, 0)),
  ""
)
</f>
        <v>11-9</v>
      </c>
      <c r="B4299" s="3" t="s">
        <v>25</v>
      </c>
      <c r="C4299" s="12" t="s">
        <v>4319</v>
      </c>
      <c r="D4299" s="13">
        <v>63682.0</v>
      </c>
      <c r="E4299" s="4">
        <v>45775.0</v>
      </c>
      <c r="F4299" s="4" t="str">
        <f>IF(D4299="","", IFNA(VLOOKUP(D4299, SATCAT_DECAY!A:B, 2, FALSE), ""))
</f>
        <v/>
      </c>
      <c r="G4299" s="3" t="str">
        <f t="shared" si="1"/>
        <v>ACTIVE</v>
      </c>
    </row>
    <row r="4300" ht="22.5" customHeight="1">
      <c r="A4300" s="11" t="str">
        <f t="array" ref="A4300">IFERROR(
  INDEX('Starlink Launches'!$A:$A, MATCH($E4300, 'Starlink Launches'!$B:$B, 0)),
  ""
)
</f>
        <v>11-9</v>
      </c>
      <c r="B4300" s="3" t="s">
        <v>25</v>
      </c>
      <c r="C4300" s="12" t="s">
        <v>4320</v>
      </c>
      <c r="D4300" s="13">
        <v>63683.0</v>
      </c>
      <c r="E4300" s="4">
        <v>45775.0</v>
      </c>
      <c r="F4300" s="4" t="str">
        <f>IF(D4300="","", IFNA(VLOOKUP(D4300, SATCAT_DECAY!A:B, 2, FALSE), ""))
</f>
        <v/>
      </c>
      <c r="G4300" s="3" t="str">
        <f t="shared" si="1"/>
        <v>ACTIVE</v>
      </c>
    </row>
    <row r="4301" ht="22.5" customHeight="1">
      <c r="A4301" s="11" t="str">
        <f t="array" ref="A4301">IFERROR(
  INDEX('Starlink Launches'!$A:$A, MATCH($E4301, 'Starlink Launches'!$B:$B, 0)),
  ""
)
</f>
        <v>11-9</v>
      </c>
      <c r="B4301" s="3" t="s">
        <v>25</v>
      </c>
      <c r="C4301" s="12" t="s">
        <v>4321</v>
      </c>
      <c r="D4301" s="13">
        <v>63684.0</v>
      </c>
      <c r="E4301" s="4">
        <v>45775.0</v>
      </c>
      <c r="F4301" s="4" t="str">
        <f>IF(D4301="","", IFNA(VLOOKUP(D4301, SATCAT_DECAY!A:B, 2, FALSE), ""))
</f>
        <v/>
      </c>
      <c r="G4301" s="3" t="str">
        <f t="shared" si="1"/>
        <v>ACTIVE</v>
      </c>
    </row>
    <row r="4302" ht="22.5" customHeight="1">
      <c r="A4302" s="11" t="str">
        <f t="array" ref="A4302">IFERROR(
  INDEX('Starlink Launches'!$A:$A, MATCH($E4302, 'Starlink Launches'!$B:$B, 0)),
  ""
)
</f>
        <v>11-9</v>
      </c>
      <c r="B4302" s="3" t="s">
        <v>25</v>
      </c>
      <c r="C4302" s="12" t="s">
        <v>4322</v>
      </c>
      <c r="D4302" s="13">
        <v>63685.0</v>
      </c>
      <c r="E4302" s="4">
        <v>45775.0</v>
      </c>
      <c r="F4302" s="4" t="str">
        <f>IF(D4302="","", IFNA(VLOOKUP(D4302, SATCAT_DECAY!A:B, 2, FALSE), ""))
</f>
        <v/>
      </c>
      <c r="G4302" s="3" t="str">
        <f t="shared" si="1"/>
        <v>ACTIVE</v>
      </c>
    </row>
    <row r="4303" ht="22.5" customHeight="1">
      <c r="A4303" s="11" t="str">
        <f t="array" ref="A4303">IFERROR(
  INDEX('Starlink Launches'!$A:$A, MATCH($E4303, 'Starlink Launches'!$B:$B, 0)),
  ""
)
</f>
        <v>11-9</v>
      </c>
      <c r="B4303" s="3" t="s">
        <v>25</v>
      </c>
      <c r="C4303" s="12" t="s">
        <v>4323</v>
      </c>
      <c r="D4303" s="13">
        <v>63686.0</v>
      </c>
      <c r="E4303" s="4">
        <v>45775.0</v>
      </c>
      <c r="F4303" s="4" t="str">
        <f>IF(D4303="","", IFNA(VLOOKUP(D4303, SATCAT_DECAY!A:B, 2, FALSE), ""))
</f>
        <v/>
      </c>
      <c r="G4303" s="3" t="str">
        <f t="shared" si="1"/>
        <v>ACTIVE</v>
      </c>
    </row>
    <row r="4304" ht="22.5" customHeight="1">
      <c r="A4304" s="11" t="str">
        <f t="array" ref="A4304">IFERROR(
  INDEX('Starlink Launches'!$A:$A, MATCH($E4304, 'Starlink Launches'!$B:$B, 0)),
  ""
)
</f>
        <v>11-9</v>
      </c>
      <c r="B4304" s="3" t="s">
        <v>25</v>
      </c>
      <c r="C4304" s="12" t="s">
        <v>4324</v>
      </c>
      <c r="D4304" s="13">
        <v>63697.0</v>
      </c>
      <c r="E4304" s="4">
        <v>45775.0</v>
      </c>
      <c r="F4304" s="4" t="str">
        <f>IF(D4304="","", IFNA(VLOOKUP(D4304, SATCAT_DECAY!A:B, 2, FALSE), ""))
</f>
        <v/>
      </c>
      <c r="G4304" s="3" t="str">
        <f t="shared" si="1"/>
        <v>ACTIVE</v>
      </c>
    </row>
    <row r="4305" ht="22.5" customHeight="1">
      <c r="A4305" s="11" t="str">
        <f t="array" ref="A4305">IFERROR(
  INDEX('Starlink Launches'!$A:$A, MATCH($E4305, 'Starlink Launches'!$B:$B, 0)),
  ""
)
</f>
        <v>11-9</v>
      </c>
      <c r="B4305" s="3" t="s">
        <v>25</v>
      </c>
      <c r="C4305" s="12" t="s">
        <v>4325</v>
      </c>
      <c r="D4305" s="13">
        <v>63698.0</v>
      </c>
      <c r="E4305" s="4">
        <v>45775.0</v>
      </c>
      <c r="F4305" s="4" t="str">
        <f>IF(D4305="","", IFNA(VLOOKUP(D4305, SATCAT_DECAY!A:B, 2, FALSE), ""))
</f>
        <v/>
      </c>
      <c r="G4305" s="3" t="str">
        <f t="shared" si="1"/>
        <v>ACTIVE</v>
      </c>
    </row>
    <row r="4306" ht="22.5" customHeight="1">
      <c r="A4306" s="11" t="str">
        <f t="array" ref="A4306">IFERROR(
  INDEX('Starlink Launches'!$A:$A, MATCH($E4306, 'Starlink Launches'!$B:$B, 0)),
  ""
)
</f>
        <v>11-9</v>
      </c>
      <c r="B4306" s="3" t="s">
        <v>25</v>
      </c>
      <c r="C4306" s="12" t="s">
        <v>4326</v>
      </c>
      <c r="D4306" s="13">
        <v>63699.0</v>
      </c>
      <c r="E4306" s="4">
        <v>45775.0</v>
      </c>
      <c r="F4306" s="4" t="str">
        <f>IF(D4306="","", IFNA(VLOOKUP(D4306, SATCAT_DECAY!A:B, 2, FALSE), ""))
</f>
        <v/>
      </c>
      <c r="G4306" s="3" t="str">
        <f t="shared" si="1"/>
        <v>ACTIVE</v>
      </c>
    </row>
    <row r="4307" ht="22.5" customHeight="1">
      <c r="A4307" s="11" t="str">
        <f t="array" ref="A4307">IFERROR(
  INDEX('Starlink Launches'!$A:$A, MATCH($E4307, 'Starlink Launches'!$B:$B, 0)),
  ""
)
</f>
        <v>11-9</v>
      </c>
      <c r="B4307" s="3" t="s">
        <v>25</v>
      </c>
      <c r="C4307" s="12" t="s">
        <v>4327</v>
      </c>
      <c r="D4307" s="13">
        <v>63700.0</v>
      </c>
      <c r="E4307" s="4">
        <v>45775.0</v>
      </c>
      <c r="F4307" s="4" t="str">
        <f>IF(D4307="","", IFNA(VLOOKUP(D4307, SATCAT_DECAY!A:B, 2, FALSE), ""))
</f>
        <v/>
      </c>
      <c r="G4307" s="3" t="str">
        <f t="shared" si="1"/>
        <v>ACTIVE</v>
      </c>
    </row>
    <row r="4308" ht="22.5" customHeight="1">
      <c r="A4308" s="11" t="str">
        <f t="array" ref="A4308">IFERROR(
  INDEX('Starlink Launches'!$A:$A, MATCH($E4308, 'Starlink Launches'!$B:$B, 0)),
  ""
)
</f>
        <v>11-9</v>
      </c>
      <c r="B4308" s="3" t="s">
        <v>25</v>
      </c>
      <c r="C4308" s="12" t="s">
        <v>4328</v>
      </c>
      <c r="D4308" s="13">
        <v>63701.0</v>
      </c>
      <c r="E4308" s="4">
        <v>45775.0</v>
      </c>
      <c r="F4308" s="4" t="str">
        <f>IF(D4308="","", IFNA(VLOOKUP(D4308, SATCAT_DECAY!A:B, 2, FALSE), ""))
</f>
        <v/>
      </c>
      <c r="G4308" s="3" t="str">
        <f t="shared" si="1"/>
        <v>ACTIVE</v>
      </c>
    </row>
    <row r="4309" ht="22.5" customHeight="1">
      <c r="A4309" s="11" t="str">
        <f t="array" ref="A4309">IFERROR(
  INDEX('Starlink Launches'!$A:$A, MATCH($E4309, 'Starlink Launches'!$B:$B, 0)),
  ""
)
</f>
        <v>11-9</v>
      </c>
      <c r="B4309" s="3" t="s">
        <v>25</v>
      </c>
      <c r="C4309" s="12" t="s">
        <v>4329</v>
      </c>
      <c r="D4309" s="13">
        <v>63702.0</v>
      </c>
      <c r="E4309" s="4">
        <v>45775.0</v>
      </c>
      <c r="F4309" s="4" t="str">
        <f>IF(D4309="","", IFNA(VLOOKUP(D4309, SATCAT_DECAY!A:B, 2, FALSE), ""))
</f>
        <v/>
      </c>
      <c r="G4309" s="3" t="str">
        <f t="shared" si="1"/>
        <v>ACTIVE</v>
      </c>
    </row>
    <row r="4310" ht="22.5" customHeight="1">
      <c r="A4310" s="11" t="str">
        <f t="array" ref="A4310">IFERROR(
  INDEX('Starlink Launches'!$A:$A, MATCH($E4310, 'Starlink Launches'!$B:$B, 0)),
  ""
)
</f>
        <v>11-9</v>
      </c>
      <c r="B4310" s="3" t="s">
        <v>25</v>
      </c>
      <c r="C4310" s="12" t="s">
        <v>4330</v>
      </c>
      <c r="D4310" s="13">
        <v>63703.0</v>
      </c>
      <c r="E4310" s="4">
        <v>45775.0</v>
      </c>
      <c r="F4310" s="4" t="str">
        <f>IF(D4310="","", IFNA(VLOOKUP(D4310, SATCAT_DECAY!A:B, 2, FALSE), ""))
</f>
        <v/>
      </c>
      <c r="G4310" s="3" t="str">
        <f t="shared" si="1"/>
        <v>ACTIVE</v>
      </c>
    </row>
    <row r="4311" ht="22.5" customHeight="1">
      <c r="A4311" s="11" t="str">
        <f t="array" ref="A4311">IFERROR(
  INDEX('Starlink Launches'!$A:$A, MATCH($E4311, 'Starlink Launches'!$B:$B, 0)),
  ""
)
</f>
        <v>11-9</v>
      </c>
      <c r="B4311" s="3" t="s">
        <v>25</v>
      </c>
      <c r="C4311" s="12" t="s">
        <v>4331</v>
      </c>
      <c r="D4311" s="13">
        <v>63704.0</v>
      </c>
      <c r="E4311" s="4">
        <v>45775.0</v>
      </c>
      <c r="F4311" s="4" t="str">
        <f>IF(D4311="","", IFNA(VLOOKUP(D4311, SATCAT_DECAY!A:B, 2, FALSE), ""))
</f>
        <v/>
      </c>
      <c r="G4311" s="3" t="str">
        <f t="shared" si="1"/>
        <v>ACTIVE</v>
      </c>
    </row>
    <row r="4312" ht="22.5" customHeight="1">
      <c r="A4312" s="11" t="str">
        <f t="array" ref="A4312">IFERROR(
  INDEX('Starlink Launches'!$A:$A, MATCH($E4312, 'Starlink Launches'!$B:$B, 0)),
  ""
)
</f>
        <v>11-9</v>
      </c>
      <c r="B4312" s="3" t="s">
        <v>25</v>
      </c>
      <c r="C4312" s="12" t="s">
        <v>4332</v>
      </c>
      <c r="D4312" s="13">
        <v>63705.0</v>
      </c>
      <c r="E4312" s="4">
        <v>45775.0</v>
      </c>
      <c r="F4312" s="4" t="str">
        <f>IF(D4312="","", IFNA(VLOOKUP(D4312, SATCAT_DECAY!A:B, 2, FALSE), ""))
</f>
        <v/>
      </c>
      <c r="G4312" s="3" t="str">
        <f t="shared" si="1"/>
        <v>ACTIVE</v>
      </c>
    </row>
    <row r="4313" ht="22.5" customHeight="1">
      <c r="A4313" s="11" t="str">
        <f t="array" ref="A4313">IFERROR(
  INDEX('Starlink Launches'!$A:$A, MATCH($E4313, 'Starlink Launches'!$B:$B, 0)),
  ""
)
</f>
        <v>11-9</v>
      </c>
      <c r="B4313" s="3" t="s">
        <v>25</v>
      </c>
      <c r="C4313" s="12" t="s">
        <v>4333</v>
      </c>
      <c r="D4313" s="13">
        <v>63706.0</v>
      </c>
      <c r="E4313" s="4">
        <v>45775.0</v>
      </c>
      <c r="F4313" s="4" t="str">
        <f>IF(D4313="","", IFNA(VLOOKUP(D4313, SATCAT_DECAY!A:B, 2, FALSE), ""))
</f>
        <v/>
      </c>
      <c r="G4313" s="3" t="str">
        <f t="shared" si="1"/>
        <v>ACTIVE</v>
      </c>
    </row>
    <row r="4314" ht="22.5" customHeight="1">
      <c r="A4314" s="11" t="str">
        <f t="array" ref="A4314">IFERROR(
  INDEX('Starlink Launches'!$A:$A, MATCH($E4314, 'Starlink Launches'!$B:$B, 0)),
  ""
)
</f>
        <v>11-9</v>
      </c>
      <c r="B4314" s="3" t="s">
        <v>25</v>
      </c>
      <c r="C4314" s="12" t="s">
        <v>4334</v>
      </c>
      <c r="D4314" s="13">
        <v>63707.0</v>
      </c>
      <c r="E4314" s="4">
        <v>45775.0</v>
      </c>
      <c r="F4314" s="4" t="str">
        <f>IF(D4314="","", IFNA(VLOOKUP(D4314, SATCAT_DECAY!A:B, 2, FALSE), ""))
</f>
        <v/>
      </c>
      <c r="G4314" s="3" t="str">
        <f t="shared" si="1"/>
        <v>ACTIVE</v>
      </c>
    </row>
    <row r="4315" ht="22.5" customHeight="1">
      <c r="A4315" s="11" t="str">
        <f t="array" ref="A4315">IFERROR(
  INDEX('Starlink Launches'!$A:$A, MATCH($E4315, 'Starlink Launches'!$B:$B, 0)),
  ""
)
</f>
        <v>11-9</v>
      </c>
      <c r="B4315" s="3" t="s">
        <v>25</v>
      </c>
      <c r="C4315" s="12" t="s">
        <v>4335</v>
      </c>
      <c r="D4315" s="13">
        <v>63708.0</v>
      </c>
      <c r="E4315" s="4">
        <v>45775.0</v>
      </c>
      <c r="F4315" s="4" t="str">
        <f>IF(D4315="","", IFNA(VLOOKUP(D4315, SATCAT_DECAY!A:B, 2, FALSE), ""))
</f>
        <v/>
      </c>
      <c r="G4315" s="3" t="str">
        <f t="shared" si="1"/>
        <v>ACTIVE</v>
      </c>
    </row>
    <row r="4316" ht="22.5" customHeight="1">
      <c r="A4316" s="11" t="str">
        <f t="array" ref="A4316">IFERROR(
  INDEX('Starlink Launches'!$A:$A, MATCH($E4316, 'Starlink Launches'!$B:$B, 0)),
  ""
)
</f>
        <v>11-9</v>
      </c>
      <c r="B4316" s="3" t="s">
        <v>25</v>
      </c>
      <c r="C4316" s="12" t="s">
        <v>4336</v>
      </c>
      <c r="D4316" s="13">
        <v>63709.0</v>
      </c>
      <c r="E4316" s="4">
        <v>45775.0</v>
      </c>
      <c r="F4316" s="4" t="str">
        <f>IF(D4316="","", IFNA(VLOOKUP(D4316, SATCAT_DECAY!A:B, 2, FALSE), ""))
</f>
        <v/>
      </c>
      <c r="G4316" s="3" t="str">
        <f t="shared" si="1"/>
        <v>ACTIVE</v>
      </c>
    </row>
    <row r="4317" ht="22.5" customHeight="1">
      <c r="A4317" s="11" t="str">
        <f t="array" ref="A4317">IFERROR(
  INDEX('Starlink Launches'!$A:$A, MATCH($E4317, 'Starlink Launches'!$B:$B, 0)),
  ""
)
</f>
        <v>11-9</v>
      </c>
      <c r="B4317" s="3" t="s">
        <v>25</v>
      </c>
      <c r="C4317" s="12" t="s">
        <v>4337</v>
      </c>
      <c r="D4317" s="13">
        <v>63710.0</v>
      </c>
      <c r="E4317" s="4">
        <v>45775.0</v>
      </c>
      <c r="F4317" s="4" t="str">
        <f>IF(D4317="","", IFNA(VLOOKUP(D4317, SATCAT_DECAY!A:B, 2, FALSE), ""))
</f>
        <v/>
      </c>
      <c r="G4317" s="3" t="str">
        <f t="shared" si="1"/>
        <v>ACTIVE</v>
      </c>
    </row>
    <row r="4318" ht="22.5" customHeight="1">
      <c r="A4318" s="11" t="str">
        <f t="array" ref="A4318">IFERROR(
  INDEX('Starlink Launches'!$A:$A, MATCH($E4318, 'Starlink Launches'!$B:$B, 0)),
  ""
)
</f>
        <v>11-9</v>
      </c>
      <c r="B4318" s="3" t="s">
        <v>25</v>
      </c>
      <c r="C4318" s="12" t="s">
        <v>4338</v>
      </c>
      <c r="D4318" s="13">
        <v>63711.0</v>
      </c>
      <c r="E4318" s="4">
        <v>45775.0</v>
      </c>
      <c r="F4318" s="4" t="str">
        <f>IF(D4318="","", IFNA(VLOOKUP(D4318, SATCAT_DECAY!A:B, 2, FALSE), ""))
</f>
        <v/>
      </c>
      <c r="G4318" s="3" t="str">
        <f t="shared" si="1"/>
        <v>ACTIVE</v>
      </c>
    </row>
    <row r="4319" ht="22.5" customHeight="1">
      <c r="A4319" s="11" t="str">
        <f t="array" ref="A4319">IFERROR(
  INDEX('Starlink Launches'!$A:$A, MATCH($E4319, 'Starlink Launches'!$B:$B, 0)),
  ""
)
</f>
        <v>11-9</v>
      </c>
      <c r="B4319" s="3" t="s">
        <v>25</v>
      </c>
      <c r="C4319" s="12" t="s">
        <v>4339</v>
      </c>
      <c r="D4319" s="13">
        <v>63712.0</v>
      </c>
      <c r="E4319" s="4">
        <v>45775.0</v>
      </c>
      <c r="F4319" s="4" t="str">
        <f>IF(D4319="","", IFNA(VLOOKUP(D4319, SATCAT_DECAY!A:B, 2, FALSE), ""))
</f>
        <v/>
      </c>
      <c r="G4319" s="3" t="str">
        <f t="shared" si="1"/>
        <v>ACTIVE</v>
      </c>
    </row>
    <row r="4320" ht="22.5" customHeight="1">
      <c r="A4320" s="11" t="str">
        <f t="array" ref="A4320">IFERROR(
  INDEX('Starlink Launches'!$A:$A, MATCH($E4320, 'Starlink Launches'!$B:$B, 0)),
  ""
)
</f>
        <v>11-9</v>
      </c>
      <c r="B4320" s="3" t="s">
        <v>25</v>
      </c>
      <c r="C4320" s="12" t="s">
        <v>4340</v>
      </c>
      <c r="D4320" s="13">
        <v>63713.0</v>
      </c>
      <c r="E4320" s="4">
        <v>45775.0</v>
      </c>
      <c r="F4320" s="4" t="str">
        <f>IF(D4320="","", IFNA(VLOOKUP(D4320, SATCAT_DECAY!A:B, 2, FALSE), ""))
</f>
        <v/>
      </c>
      <c r="G4320" s="3" t="str">
        <f t="shared" si="1"/>
        <v>ACTIVE</v>
      </c>
    </row>
    <row r="4321" ht="22.5" customHeight="1">
      <c r="A4321" s="11" t="str">
        <f t="array" ref="A4321">IFERROR(
  INDEX('Starlink Launches'!$A:$A, MATCH($E4321, 'Starlink Launches'!$B:$B, 0)),
  ""
)
</f>
        <v>11-9</v>
      </c>
      <c r="B4321" s="3" t="s">
        <v>25</v>
      </c>
      <c r="C4321" s="12" t="s">
        <v>4341</v>
      </c>
      <c r="D4321" s="13">
        <v>63714.0</v>
      </c>
      <c r="E4321" s="4">
        <v>45775.0</v>
      </c>
      <c r="F4321" s="4" t="str">
        <f>IF(D4321="","", IFNA(VLOOKUP(D4321, SATCAT_DECAY!A:B, 2, FALSE), ""))
</f>
        <v/>
      </c>
      <c r="G4321" s="3" t="str">
        <f t="shared" si="1"/>
        <v>ACTIVE</v>
      </c>
    </row>
    <row r="4322" ht="22.5" customHeight="1">
      <c r="A4322" s="11" t="str">
        <f t="array" ref="A4322">IFERROR(
  INDEX('Starlink Launches'!$A:$A, MATCH($E4322, 'Starlink Launches'!$B:$B, 0)),
  ""
)
</f>
        <v>11-9</v>
      </c>
      <c r="B4322" s="3" t="s">
        <v>25</v>
      </c>
      <c r="C4322" s="12" t="s">
        <v>4342</v>
      </c>
      <c r="D4322" s="13">
        <v>63715.0</v>
      </c>
      <c r="E4322" s="4">
        <v>45775.0</v>
      </c>
      <c r="F4322" s="4" t="str">
        <f>IF(D4322="","", IFNA(VLOOKUP(D4322, SATCAT_DECAY!A:B, 2, FALSE), ""))
</f>
        <v/>
      </c>
      <c r="G4322" s="3" t="str">
        <f t="shared" si="1"/>
        <v>ACTIVE</v>
      </c>
    </row>
    <row r="4323" ht="22.5" customHeight="1">
      <c r="A4323" s="11" t="str">
        <f t="array" ref="A4323">IFERROR(
  INDEX('Starlink Launches'!$A:$A, MATCH($E4323, 'Starlink Launches'!$B:$B, 0)),
  ""
)
</f>
        <v>11-9</v>
      </c>
      <c r="B4323" s="3" t="s">
        <v>25</v>
      </c>
      <c r="C4323" s="12" t="s">
        <v>4343</v>
      </c>
      <c r="D4323" s="13">
        <v>63716.0</v>
      </c>
      <c r="E4323" s="4">
        <v>45775.0</v>
      </c>
      <c r="F4323" s="4" t="str">
        <f>IF(D4323="","", IFNA(VLOOKUP(D4323, SATCAT_DECAY!A:B, 2, FALSE), ""))
</f>
        <v/>
      </c>
      <c r="G4323" s="3" t="str">
        <f t="shared" si="1"/>
        <v>ACTIVE</v>
      </c>
    </row>
    <row r="4324" ht="22.5" customHeight="1">
      <c r="A4324" s="11" t="str">
        <f t="array" ref="A4324">IFERROR(
  INDEX('Starlink Launches'!$A:$A, MATCH($E4324, 'Starlink Launches'!$B:$B, 0)),
  ""
)
</f>
        <v>11-9</v>
      </c>
      <c r="B4324" s="3" t="s">
        <v>25</v>
      </c>
      <c r="C4324" s="12" t="s">
        <v>4344</v>
      </c>
      <c r="D4324" s="13">
        <v>63717.0</v>
      </c>
      <c r="E4324" s="4">
        <v>45775.0</v>
      </c>
      <c r="F4324" s="4" t="str">
        <f>IF(D4324="","", IFNA(VLOOKUP(D4324, SATCAT_DECAY!A:B, 2, FALSE), ""))
</f>
        <v/>
      </c>
      <c r="G4324" s="3" t="str">
        <f t="shared" si="1"/>
        <v>ACTIVE</v>
      </c>
    </row>
    <row r="4325" ht="22.5" customHeight="1">
      <c r="A4325" s="11" t="str">
        <f t="array" ref="A4325">IFERROR(
  INDEX('Starlink Launches'!$A:$A, MATCH($E4325, 'Starlink Launches'!$B:$B, 0)),
  ""
)
</f>
        <v>11-9</v>
      </c>
      <c r="B4325" s="3" t="s">
        <v>25</v>
      </c>
      <c r="C4325" s="12" t="s">
        <v>4345</v>
      </c>
      <c r="D4325" s="13">
        <v>63718.0</v>
      </c>
      <c r="E4325" s="4">
        <v>45775.0</v>
      </c>
      <c r="F4325" s="4" t="str">
        <f>IF(D4325="","", IFNA(VLOOKUP(D4325, SATCAT_DECAY!A:B, 2, FALSE), ""))
</f>
        <v/>
      </c>
      <c r="G4325" s="3" t="str">
        <f t="shared" si="1"/>
        <v>ACTIVE</v>
      </c>
    </row>
    <row r="4326" ht="22.5" customHeight="1">
      <c r="A4326" s="11" t="str">
        <f t="array" ref="A4326">IFERROR(
  INDEX('Starlink Launches'!$A:$A, MATCH($E4326, 'Starlink Launches'!$B:$B, 0)),
  ""
)
</f>
        <v>11-9</v>
      </c>
      <c r="B4326" s="3" t="s">
        <v>25</v>
      </c>
      <c r="C4326" s="12" t="s">
        <v>4346</v>
      </c>
      <c r="D4326" s="13">
        <v>63719.0</v>
      </c>
      <c r="E4326" s="4">
        <v>45775.0</v>
      </c>
      <c r="F4326" s="4" t="str">
        <f>IF(D4326="","", IFNA(VLOOKUP(D4326, SATCAT_DECAY!A:B, 2, FALSE), ""))
</f>
        <v/>
      </c>
      <c r="G4326" s="3" t="str">
        <f t="shared" si="1"/>
        <v>ACTIVE</v>
      </c>
    </row>
    <row r="4327" ht="22.5" customHeight="1">
      <c r="A4327" s="11" t="str">
        <f t="array" ref="A4327">IFERROR(
  INDEX('Starlink Launches'!$A:$A, MATCH($E4327, 'Starlink Launches'!$B:$B, 0)),
  ""
)
</f>
        <v>11-9</v>
      </c>
      <c r="B4327" s="3" t="s">
        <v>25</v>
      </c>
      <c r="C4327" s="12" t="s">
        <v>4347</v>
      </c>
      <c r="D4327" s="13">
        <v>63720.0</v>
      </c>
      <c r="E4327" s="4">
        <v>45775.0</v>
      </c>
      <c r="F4327" s="4" t="str">
        <f>IF(D4327="","", IFNA(VLOOKUP(D4327, SATCAT_DECAY!A:B, 2, FALSE), ""))
</f>
        <v/>
      </c>
      <c r="G4327" s="3" t="str">
        <f t="shared" si="1"/>
        <v>ACTIVE</v>
      </c>
    </row>
    <row r="4328" ht="22.5" customHeight="1">
      <c r="A4328" s="11" t="str">
        <f t="array" ref="A4328">IFERROR(
  INDEX('Starlink Launches'!$A:$A, MATCH($E4328, 'Starlink Launches'!$B:$B, 0)),
  ""
)
</f>
        <v>11-9</v>
      </c>
      <c r="B4328" s="3" t="s">
        <v>25</v>
      </c>
      <c r="C4328" s="12" t="s">
        <v>4348</v>
      </c>
      <c r="D4328" s="13">
        <v>63721.0</v>
      </c>
      <c r="E4328" s="4">
        <v>45775.0</v>
      </c>
      <c r="F4328" s="4" t="str">
        <f>IF(D4328="","", IFNA(VLOOKUP(D4328, SATCAT_DECAY!A:B, 2, FALSE), ""))
</f>
        <v/>
      </c>
      <c r="G4328" s="3" t="str">
        <f t="shared" si="1"/>
        <v>ACTIVE</v>
      </c>
    </row>
    <row r="4329" ht="22.5" customHeight="1">
      <c r="A4329" s="11" t="str">
        <f t="array" ref="A4329">IFERROR(
  INDEX('Starlink Launches'!$A:$A, MATCH($E4329, 'Starlink Launches'!$B:$B, 0)),
  ""
)
</f>
        <v>11-9</v>
      </c>
      <c r="B4329" s="3" t="s">
        <v>25</v>
      </c>
      <c r="C4329" s="12" t="s">
        <v>4349</v>
      </c>
      <c r="D4329" s="13">
        <v>63722.0</v>
      </c>
      <c r="E4329" s="4">
        <v>45775.0</v>
      </c>
      <c r="F4329" s="4" t="str">
        <f>IF(D4329="","", IFNA(VLOOKUP(D4329, SATCAT_DECAY!A:B, 2, FALSE), ""))
</f>
        <v/>
      </c>
      <c r="G4329" s="3" t="str">
        <f t="shared" si="1"/>
        <v>ACTIVE</v>
      </c>
    </row>
    <row r="4330" ht="22.5" customHeight="1">
      <c r="A4330" s="11" t="str">
        <f t="array" ref="A4330">IFERROR(
  INDEX('Starlink Launches'!$A:$A, MATCH($E4330, 'Starlink Launches'!$B:$B, 0)),
  ""
)
</f>
        <v>11-9</v>
      </c>
      <c r="B4330" s="3" t="s">
        <v>25</v>
      </c>
      <c r="C4330" s="12" t="s">
        <v>4350</v>
      </c>
      <c r="D4330" s="13">
        <v>63723.0</v>
      </c>
      <c r="E4330" s="4">
        <v>45775.0</v>
      </c>
      <c r="F4330" s="4" t="str">
        <f>IF(D4330="","", IFNA(VLOOKUP(D4330, SATCAT_DECAY!A:B, 2, FALSE), ""))
</f>
        <v/>
      </c>
      <c r="G4330" s="3" t="str">
        <f t="shared" si="1"/>
        <v>ACTIVE</v>
      </c>
    </row>
    <row r="4331" ht="22.5" customHeight="1">
      <c r="A4331" s="11" t="str">
        <f t="array" ref="A4331">IFERROR(
  INDEX('Starlink Launches'!$A:$A, MATCH($E4331, 'Starlink Launches'!$B:$B, 0)),
  ""
)
</f>
        <v>11-16</v>
      </c>
      <c r="B4331" s="3" t="s">
        <v>25</v>
      </c>
      <c r="C4331" s="12" t="s">
        <v>4351</v>
      </c>
      <c r="D4331" s="13">
        <v>64096.0</v>
      </c>
      <c r="E4331" s="4">
        <v>45800.0</v>
      </c>
      <c r="F4331" s="4" t="str">
        <f>IF(D4331="","", IFNA(VLOOKUP(D4331, SATCAT_DECAY!A:B, 2, FALSE), ""))
</f>
        <v/>
      </c>
      <c r="G4331" s="3" t="str">
        <f t="shared" si="1"/>
        <v>ACTIVE</v>
      </c>
    </row>
    <row r="4332" ht="22.5" customHeight="1">
      <c r="A4332" s="11" t="str">
        <f t="array" ref="A4332">IFERROR(
  INDEX('Starlink Launches'!$A:$A, MATCH($E4332, 'Starlink Launches'!$B:$B, 0)),
  ""
)
</f>
        <v>11-16</v>
      </c>
      <c r="B4332" s="3" t="s">
        <v>25</v>
      </c>
      <c r="C4332" s="12" t="s">
        <v>4352</v>
      </c>
      <c r="D4332" s="13">
        <v>64097.0</v>
      </c>
      <c r="E4332" s="4">
        <v>45800.0</v>
      </c>
      <c r="F4332" s="4" t="str">
        <f>IF(D4332="","", IFNA(VLOOKUP(D4332, SATCAT_DECAY!A:B, 2, FALSE), ""))
</f>
        <v/>
      </c>
      <c r="G4332" s="3" t="str">
        <f t="shared" si="1"/>
        <v>ACTIVE</v>
      </c>
    </row>
    <row r="4333" ht="22.5" customHeight="1">
      <c r="A4333" s="11" t="str">
        <f t="array" ref="A4333">IFERROR(
  INDEX('Starlink Launches'!$A:$A, MATCH($E4333, 'Starlink Launches'!$B:$B, 0)),
  ""
)
</f>
        <v>11-16</v>
      </c>
      <c r="B4333" s="3" t="s">
        <v>25</v>
      </c>
      <c r="C4333" s="12" t="s">
        <v>4353</v>
      </c>
      <c r="D4333" s="13">
        <v>64098.0</v>
      </c>
      <c r="E4333" s="4">
        <v>45800.0</v>
      </c>
      <c r="F4333" s="4" t="str">
        <f>IF(D4333="","", IFNA(VLOOKUP(D4333, SATCAT_DECAY!A:B, 2, FALSE), ""))
</f>
        <v/>
      </c>
      <c r="G4333" s="3" t="str">
        <f t="shared" si="1"/>
        <v>ACTIVE</v>
      </c>
    </row>
    <row r="4334" ht="22.5" customHeight="1">
      <c r="A4334" s="11" t="str">
        <f t="array" ref="A4334">IFERROR(
  INDEX('Starlink Launches'!$A:$A, MATCH($E4334, 'Starlink Launches'!$B:$B, 0)),
  ""
)
</f>
        <v>11-16</v>
      </c>
      <c r="B4334" s="3" t="s">
        <v>25</v>
      </c>
      <c r="C4334" s="12" t="s">
        <v>4354</v>
      </c>
      <c r="D4334" s="13">
        <v>64099.0</v>
      </c>
      <c r="E4334" s="4">
        <v>45800.0</v>
      </c>
      <c r="F4334" s="4" t="str">
        <f>IF(D4334="","", IFNA(VLOOKUP(D4334, SATCAT_DECAY!A:B, 2, FALSE), ""))
</f>
        <v/>
      </c>
      <c r="G4334" s="3" t="str">
        <f t="shared" si="1"/>
        <v>ACTIVE</v>
      </c>
    </row>
    <row r="4335" ht="22.5" customHeight="1">
      <c r="A4335" s="11" t="str">
        <f t="array" ref="A4335">IFERROR(
  INDEX('Starlink Launches'!$A:$A, MATCH($E4335, 'Starlink Launches'!$B:$B, 0)),
  ""
)
</f>
        <v>11-16</v>
      </c>
      <c r="B4335" s="3" t="s">
        <v>25</v>
      </c>
      <c r="C4335" s="12" t="s">
        <v>4355</v>
      </c>
      <c r="D4335" s="13">
        <v>64100.0</v>
      </c>
      <c r="E4335" s="4">
        <v>45800.0</v>
      </c>
      <c r="F4335" s="4" t="str">
        <f>IF(D4335="","", IFNA(VLOOKUP(D4335, SATCAT_DECAY!A:B, 2, FALSE), ""))
</f>
        <v/>
      </c>
      <c r="G4335" s="3" t="str">
        <f t="shared" si="1"/>
        <v>ACTIVE</v>
      </c>
    </row>
    <row r="4336" ht="22.5" customHeight="1">
      <c r="A4336" s="11" t="str">
        <f t="array" ref="A4336">IFERROR(
  INDEX('Starlink Launches'!$A:$A, MATCH($E4336, 'Starlink Launches'!$B:$B, 0)),
  ""
)
</f>
        <v>11-16</v>
      </c>
      <c r="B4336" s="3" t="s">
        <v>25</v>
      </c>
      <c r="C4336" s="12" t="s">
        <v>4356</v>
      </c>
      <c r="D4336" s="13">
        <v>64101.0</v>
      </c>
      <c r="E4336" s="4">
        <v>45800.0</v>
      </c>
      <c r="F4336" s="4" t="str">
        <f>IF(D4336="","", IFNA(VLOOKUP(D4336, SATCAT_DECAY!A:B, 2, FALSE), ""))
</f>
        <v/>
      </c>
      <c r="G4336" s="3" t="str">
        <f t="shared" si="1"/>
        <v>ACTIVE</v>
      </c>
    </row>
    <row r="4337" ht="22.5" customHeight="1">
      <c r="A4337" s="11" t="str">
        <f t="array" ref="A4337">IFERROR(
  INDEX('Starlink Launches'!$A:$A, MATCH($E4337, 'Starlink Launches'!$B:$B, 0)),
  ""
)
</f>
        <v>11-16</v>
      </c>
      <c r="B4337" s="3" t="s">
        <v>25</v>
      </c>
      <c r="C4337" s="12" t="s">
        <v>4357</v>
      </c>
      <c r="D4337" s="13">
        <v>64102.0</v>
      </c>
      <c r="E4337" s="4">
        <v>45800.0</v>
      </c>
      <c r="F4337" s="4" t="str">
        <f>IF(D4337="","", IFNA(VLOOKUP(D4337, SATCAT_DECAY!A:B, 2, FALSE), ""))
</f>
        <v/>
      </c>
      <c r="G4337" s="3" t="str">
        <f t="shared" si="1"/>
        <v>ACTIVE</v>
      </c>
    </row>
    <row r="4338" ht="22.5" customHeight="1">
      <c r="A4338" s="11" t="str">
        <f t="array" ref="A4338">IFERROR(
  INDEX('Starlink Launches'!$A:$A, MATCH($E4338, 'Starlink Launches'!$B:$B, 0)),
  ""
)
</f>
        <v>11-16</v>
      </c>
      <c r="B4338" s="3" t="s">
        <v>25</v>
      </c>
      <c r="C4338" s="12" t="s">
        <v>4358</v>
      </c>
      <c r="D4338" s="13">
        <v>64103.0</v>
      </c>
      <c r="E4338" s="4">
        <v>45800.0</v>
      </c>
      <c r="F4338" s="4" t="str">
        <f>IF(D4338="","", IFNA(VLOOKUP(D4338, SATCAT_DECAY!A:B, 2, FALSE), ""))
</f>
        <v/>
      </c>
      <c r="G4338" s="3" t="str">
        <f t="shared" si="1"/>
        <v>ACTIVE</v>
      </c>
    </row>
    <row r="4339" ht="22.5" customHeight="1">
      <c r="A4339" s="11" t="str">
        <f t="array" ref="A4339">IFERROR(
  INDEX('Starlink Launches'!$A:$A, MATCH($E4339, 'Starlink Launches'!$B:$B, 0)),
  ""
)
</f>
        <v>11-16</v>
      </c>
      <c r="B4339" s="3" t="s">
        <v>25</v>
      </c>
      <c r="C4339" s="12" t="s">
        <v>4359</v>
      </c>
      <c r="D4339" s="13">
        <v>64104.0</v>
      </c>
      <c r="E4339" s="4">
        <v>45800.0</v>
      </c>
      <c r="F4339" s="4" t="str">
        <f>IF(D4339="","", IFNA(VLOOKUP(D4339, SATCAT_DECAY!A:B, 2, FALSE), ""))
</f>
        <v/>
      </c>
      <c r="G4339" s="3" t="str">
        <f t="shared" si="1"/>
        <v>ACTIVE</v>
      </c>
    </row>
    <row r="4340" ht="22.5" customHeight="1">
      <c r="A4340" s="11" t="str">
        <f t="array" ref="A4340">IFERROR(
  INDEX('Starlink Launches'!$A:$A, MATCH($E4340, 'Starlink Launches'!$B:$B, 0)),
  ""
)
</f>
        <v>11-16</v>
      </c>
      <c r="B4340" s="3" t="s">
        <v>25</v>
      </c>
      <c r="C4340" s="12" t="s">
        <v>4360</v>
      </c>
      <c r="D4340" s="13">
        <v>64105.0</v>
      </c>
      <c r="E4340" s="4">
        <v>45800.0</v>
      </c>
      <c r="F4340" s="4" t="str">
        <f>IF(D4340="","", IFNA(VLOOKUP(D4340, SATCAT_DECAY!A:B, 2, FALSE), ""))
</f>
        <v/>
      </c>
      <c r="G4340" s="3" t="str">
        <f t="shared" si="1"/>
        <v>ACTIVE</v>
      </c>
    </row>
    <row r="4341" ht="22.5" customHeight="1">
      <c r="A4341" s="11" t="str">
        <f t="array" ref="A4341">IFERROR(
  INDEX('Starlink Launches'!$A:$A, MATCH($E4341, 'Starlink Launches'!$B:$B, 0)),
  ""
)
</f>
        <v>11-16</v>
      </c>
      <c r="B4341" s="3" t="s">
        <v>25</v>
      </c>
      <c r="C4341" s="12" t="s">
        <v>4361</v>
      </c>
      <c r="D4341" s="13">
        <v>64106.0</v>
      </c>
      <c r="E4341" s="4">
        <v>45800.0</v>
      </c>
      <c r="F4341" s="4" t="str">
        <f>IF(D4341="","", IFNA(VLOOKUP(D4341, SATCAT_DECAY!A:B, 2, FALSE), ""))
</f>
        <v/>
      </c>
      <c r="G4341" s="3" t="str">
        <f t="shared" si="1"/>
        <v>ACTIVE</v>
      </c>
    </row>
    <row r="4342" ht="22.5" customHeight="1">
      <c r="A4342" s="11" t="str">
        <f t="array" ref="A4342">IFERROR(
  INDEX('Starlink Launches'!$A:$A, MATCH($E4342, 'Starlink Launches'!$B:$B, 0)),
  ""
)
</f>
        <v>11-16</v>
      </c>
      <c r="B4342" s="3" t="s">
        <v>25</v>
      </c>
      <c r="C4342" s="12" t="s">
        <v>4362</v>
      </c>
      <c r="D4342" s="13">
        <v>64107.0</v>
      </c>
      <c r="E4342" s="4">
        <v>45800.0</v>
      </c>
      <c r="F4342" s="4" t="str">
        <f>IF(D4342="","", IFNA(VLOOKUP(D4342, SATCAT_DECAY!A:B, 2, FALSE), ""))
</f>
        <v/>
      </c>
      <c r="G4342" s="3" t="str">
        <f t="shared" si="1"/>
        <v>ACTIVE</v>
      </c>
    </row>
    <row r="4343" ht="22.5" customHeight="1">
      <c r="A4343" s="11" t="str">
        <f t="array" ref="A4343">IFERROR(
  INDEX('Starlink Launches'!$A:$A, MATCH($E4343, 'Starlink Launches'!$B:$B, 0)),
  ""
)
</f>
        <v>11-16</v>
      </c>
      <c r="B4343" s="3" t="s">
        <v>25</v>
      </c>
      <c r="C4343" s="12" t="s">
        <v>4363</v>
      </c>
      <c r="D4343" s="13">
        <v>64108.0</v>
      </c>
      <c r="E4343" s="4">
        <v>45800.0</v>
      </c>
      <c r="F4343" s="4" t="str">
        <f>IF(D4343="","", IFNA(VLOOKUP(D4343, SATCAT_DECAY!A:B, 2, FALSE), ""))
</f>
        <v/>
      </c>
      <c r="G4343" s="3" t="str">
        <f t="shared" si="1"/>
        <v>ACTIVE</v>
      </c>
    </row>
    <row r="4344" ht="22.5" customHeight="1">
      <c r="A4344" s="11" t="str">
        <f t="array" ref="A4344">IFERROR(
  INDEX('Starlink Launches'!$A:$A, MATCH($E4344, 'Starlink Launches'!$B:$B, 0)),
  ""
)
</f>
        <v>11-16</v>
      </c>
      <c r="B4344" s="3" t="s">
        <v>25</v>
      </c>
      <c r="C4344" s="12" t="s">
        <v>4364</v>
      </c>
      <c r="D4344" s="13">
        <v>64109.0</v>
      </c>
      <c r="E4344" s="4">
        <v>45800.0</v>
      </c>
      <c r="F4344" s="4" t="str">
        <f>IF(D4344="","", IFNA(VLOOKUP(D4344, SATCAT_DECAY!A:B, 2, FALSE), ""))
</f>
        <v/>
      </c>
      <c r="G4344" s="3" t="str">
        <f t="shared" si="1"/>
        <v>ACTIVE</v>
      </c>
    </row>
    <row r="4345" ht="22.5" customHeight="1">
      <c r="A4345" s="11" t="str">
        <f t="array" ref="A4345">IFERROR(
  INDEX('Starlink Launches'!$A:$A, MATCH($E4345, 'Starlink Launches'!$B:$B, 0)),
  ""
)
</f>
        <v>11-16</v>
      </c>
      <c r="B4345" s="3" t="s">
        <v>25</v>
      </c>
      <c r="C4345" s="12" t="s">
        <v>4365</v>
      </c>
      <c r="D4345" s="13">
        <v>64110.0</v>
      </c>
      <c r="E4345" s="4">
        <v>45800.0</v>
      </c>
      <c r="F4345" s="4" t="str">
        <f>IF(D4345="","", IFNA(VLOOKUP(D4345, SATCAT_DECAY!A:B, 2, FALSE), ""))
</f>
        <v/>
      </c>
      <c r="G4345" s="3" t="str">
        <f t="shared" si="1"/>
        <v>ACTIVE</v>
      </c>
    </row>
    <row r="4346" ht="22.5" customHeight="1">
      <c r="A4346" s="11" t="str">
        <f t="array" ref="A4346">IFERROR(
  INDEX('Starlink Launches'!$A:$A, MATCH($E4346, 'Starlink Launches'!$B:$B, 0)),
  ""
)
</f>
        <v>11-16</v>
      </c>
      <c r="B4346" s="3" t="s">
        <v>25</v>
      </c>
      <c r="C4346" s="12" t="s">
        <v>4366</v>
      </c>
      <c r="D4346" s="13">
        <v>64111.0</v>
      </c>
      <c r="E4346" s="4">
        <v>45800.0</v>
      </c>
      <c r="F4346" s="4" t="str">
        <f>IF(D4346="","", IFNA(VLOOKUP(D4346, SATCAT_DECAY!A:B, 2, FALSE), ""))
</f>
        <v/>
      </c>
      <c r="G4346" s="3" t="str">
        <f t="shared" si="1"/>
        <v>ACTIVE</v>
      </c>
    </row>
    <row r="4347" ht="22.5" customHeight="1">
      <c r="A4347" s="11" t="str">
        <f t="array" ref="A4347">IFERROR(
  INDEX('Starlink Launches'!$A:$A, MATCH($E4347, 'Starlink Launches'!$B:$B, 0)),
  ""
)
</f>
        <v>11-16</v>
      </c>
      <c r="B4347" s="3" t="s">
        <v>25</v>
      </c>
      <c r="C4347" s="12" t="s">
        <v>4367</v>
      </c>
      <c r="D4347" s="13">
        <v>64112.0</v>
      </c>
      <c r="E4347" s="4">
        <v>45800.0</v>
      </c>
      <c r="F4347" s="4" t="str">
        <f>IF(D4347="","", IFNA(VLOOKUP(D4347, SATCAT_DECAY!A:B, 2, FALSE), ""))
</f>
        <v/>
      </c>
      <c r="G4347" s="3" t="str">
        <f t="shared" si="1"/>
        <v>ACTIVE</v>
      </c>
    </row>
    <row r="4348" ht="22.5" customHeight="1">
      <c r="A4348" s="11" t="str">
        <f t="array" ref="A4348">IFERROR(
  INDEX('Starlink Launches'!$A:$A, MATCH($E4348, 'Starlink Launches'!$B:$B, 0)),
  ""
)
</f>
        <v>11-16</v>
      </c>
      <c r="B4348" s="3" t="s">
        <v>25</v>
      </c>
      <c r="C4348" s="12" t="s">
        <v>4368</v>
      </c>
      <c r="D4348" s="13">
        <v>64113.0</v>
      </c>
      <c r="E4348" s="4">
        <v>45800.0</v>
      </c>
      <c r="F4348" s="4" t="str">
        <f>IF(D4348="","", IFNA(VLOOKUP(D4348, SATCAT_DECAY!A:B, 2, FALSE), ""))
</f>
        <v/>
      </c>
      <c r="G4348" s="3" t="str">
        <f t="shared" si="1"/>
        <v>ACTIVE</v>
      </c>
    </row>
    <row r="4349" ht="22.5" customHeight="1">
      <c r="A4349" s="11" t="str">
        <f t="array" ref="A4349">IFERROR(
  INDEX('Starlink Launches'!$A:$A, MATCH($E4349, 'Starlink Launches'!$B:$B, 0)),
  ""
)
</f>
        <v>11-16</v>
      </c>
      <c r="B4349" s="3" t="s">
        <v>25</v>
      </c>
      <c r="C4349" s="12" t="s">
        <v>4369</v>
      </c>
      <c r="D4349" s="13">
        <v>64114.0</v>
      </c>
      <c r="E4349" s="4">
        <v>45800.0</v>
      </c>
      <c r="F4349" s="4" t="str">
        <f>IF(D4349="","", IFNA(VLOOKUP(D4349, SATCAT_DECAY!A:B, 2, FALSE), ""))
</f>
        <v/>
      </c>
      <c r="G4349" s="3" t="str">
        <f t="shared" si="1"/>
        <v>ACTIVE</v>
      </c>
    </row>
    <row r="4350" ht="22.5" customHeight="1">
      <c r="A4350" s="11" t="str">
        <f t="array" ref="A4350">IFERROR(
  INDEX('Starlink Launches'!$A:$A, MATCH($E4350, 'Starlink Launches'!$B:$B, 0)),
  ""
)
</f>
        <v>11-16</v>
      </c>
      <c r="B4350" s="3" t="s">
        <v>25</v>
      </c>
      <c r="C4350" s="12" t="s">
        <v>4370</v>
      </c>
      <c r="D4350" s="13">
        <v>64115.0</v>
      </c>
      <c r="E4350" s="4">
        <v>45800.0</v>
      </c>
      <c r="F4350" s="4" t="str">
        <f>IF(D4350="","", IFNA(VLOOKUP(D4350, SATCAT_DECAY!A:B, 2, FALSE), ""))
</f>
        <v/>
      </c>
      <c r="G4350" s="3" t="str">
        <f t="shared" si="1"/>
        <v>ACTIVE</v>
      </c>
    </row>
    <row r="4351" ht="22.5" customHeight="1">
      <c r="A4351" s="11" t="str">
        <f t="array" ref="A4351">IFERROR(
  INDEX('Starlink Launches'!$A:$A, MATCH($E4351, 'Starlink Launches'!$B:$B, 0)),
  ""
)
</f>
        <v>11-16</v>
      </c>
      <c r="B4351" s="3" t="s">
        <v>25</v>
      </c>
      <c r="C4351" s="12" t="s">
        <v>4371</v>
      </c>
      <c r="D4351" s="13">
        <v>64116.0</v>
      </c>
      <c r="E4351" s="4">
        <v>45800.0</v>
      </c>
      <c r="F4351" s="4" t="str">
        <f>IF(D4351="","", IFNA(VLOOKUP(D4351, SATCAT_DECAY!A:B, 2, FALSE), ""))
</f>
        <v/>
      </c>
      <c r="G4351" s="3" t="str">
        <f t="shared" si="1"/>
        <v>ACTIVE</v>
      </c>
    </row>
    <row r="4352" ht="22.5" customHeight="1">
      <c r="A4352" s="11" t="str">
        <f t="array" ref="A4352">IFERROR(
  INDEX('Starlink Launches'!$A:$A, MATCH($E4352, 'Starlink Launches'!$B:$B, 0)),
  ""
)
</f>
        <v>11-16</v>
      </c>
      <c r="B4352" s="3" t="s">
        <v>25</v>
      </c>
      <c r="C4352" s="12" t="s">
        <v>4372</v>
      </c>
      <c r="D4352" s="13">
        <v>64117.0</v>
      </c>
      <c r="E4352" s="4">
        <v>45800.0</v>
      </c>
      <c r="F4352" s="4" t="str">
        <f>IF(D4352="","", IFNA(VLOOKUP(D4352, SATCAT_DECAY!A:B, 2, FALSE), ""))
</f>
        <v/>
      </c>
      <c r="G4352" s="3" t="str">
        <f t="shared" si="1"/>
        <v>ACTIVE</v>
      </c>
    </row>
    <row r="4353" ht="22.5" customHeight="1">
      <c r="A4353" s="11" t="str">
        <f t="array" ref="A4353">IFERROR(
  INDEX('Starlink Launches'!$A:$A, MATCH($E4353, 'Starlink Launches'!$B:$B, 0)),
  ""
)
</f>
        <v>11-16</v>
      </c>
      <c r="B4353" s="3" t="s">
        <v>25</v>
      </c>
      <c r="C4353" s="12" t="s">
        <v>4373</v>
      </c>
      <c r="D4353" s="13">
        <v>64118.0</v>
      </c>
      <c r="E4353" s="4">
        <v>45800.0</v>
      </c>
      <c r="F4353" s="4" t="str">
        <f>IF(D4353="","", IFNA(VLOOKUP(D4353, SATCAT_DECAY!A:B, 2, FALSE), ""))
</f>
        <v/>
      </c>
      <c r="G4353" s="3" t="str">
        <f t="shared" si="1"/>
        <v>ACTIVE</v>
      </c>
    </row>
    <row r="4354" ht="22.5" customHeight="1">
      <c r="A4354" s="11" t="str">
        <f t="array" ref="A4354">IFERROR(
  INDEX('Starlink Launches'!$A:$A, MATCH($E4354, 'Starlink Launches'!$B:$B, 0)),
  ""
)
</f>
        <v>11-16</v>
      </c>
      <c r="B4354" s="3" t="s">
        <v>25</v>
      </c>
      <c r="C4354" s="12" t="s">
        <v>4374</v>
      </c>
      <c r="D4354" s="13">
        <v>64119.0</v>
      </c>
      <c r="E4354" s="4">
        <v>45800.0</v>
      </c>
      <c r="F4354" s="4" t="str">
        <f>IF(D4354="","", IFNA(VLOOKUP(D4354, SATCAT_DECAY!A:B, 2, FALSE), ""))
</f>
        <v/>
      </c>
      <c r="G4354" s="3" t="str">
        <f t="shared" si="1"/>
        <v>ACTIVE</v>
      </c>
    </row>
    <row r="4355" ht="22.5" customHeight="1">
      <c r="A4355" s="11" t="str">
        <f t="array" ref="A4355">IFERROR(
  INDEX('Starlink Launches'!$A:$A, MATCH($E4355, 'Starlink Launches'!$B:$B, 0)),
  ""
)
</f>
        <v>11-16</v>
      </c>
      <c r="B4355" s="3" t="s">
        <v>25</v>
      </c>
      <c r="C4355" s="12" t="s">
        <v>4375</v>
      </c>
      <c r="D4355" s="13">
        <v>64120.0</v>
      </c>
      <c r="E4355" s="4">
        <v>45800.0</v>
      </c>
      <c r="F4355" s="4" t="str">
        <f>IF(D4355="","", IFNA(VLOOKUP(D4355, SATCAT_DECAY!A:B, 2, FALSE), ""))
</f>
        <v/>
      </c>
      <c r="G4355" s="3" t="str">
        <f t="shared" si="1"/>
        <v>ACTIVE</v>
      </c>
    </row>
    <row r="4356" ht="22.5" customHeight="1">
      <c r="A4356" s="11" t="str">
        <f t="array" ref="A4356">IFERROR(
  INDEX('Starlink Launches'!$A:$A, MATCH($E4356, 'Starlink Launches'!$B:$B, 0)),
  ""
)
</f>
        <v>11-16</v>
      </c>
      <c r="B4356" s="3" t="s">
        <v>25</v>
      </c>
      <c r="C4356" s="12" t="s">
        <v>4376</v>
      </c>
      <c r="D4356" s="13">
        <v>64121.0</v>
      </c>
      <c r="E4356" s="4">
        <v>45800.0</v>
      </c>
      <c r="F4356" s="4" t="str">
        <f>IF(D4356="","", IFNA(VLOOKUP(D4356, SATCAT_DECAY!A:B, 2, FALSE), ""))
</f>
        <v/>
      </c>
      <c r="G4356" s="3" t="str">
        <f t="shared" si="1"/>
        <v>ACTIVE</v>
      </c>
    </row>
    <row r="4357" ht="22.5" customHeight="1">
      <c r="A4357" s="11" t="str">
        <f t="array" ref="A4357">IFERROR(
  INDEX('Starlink Launches'!$A:$A, MATCH($E4357, 'Starlink Launches'!$B:$B, 0)),
  ""
)
</f>
        <v>11-16</v>
      </c>
      <c r="B4357" s="3" t="s">
        <v>25</v>
      </c>
      <c r="C4357" s="12" t="s">
        <v>4377</v>
      </c>
      <c r="D4357" s="13">
        <v>64122.0</v>
      </c>
      <c r="E4357" s="4">
        <v>45800.0</v>
      </c>
      <c r="F4357" s="4" t="str">
        <f>IF(D4357="","", IFNA(VLOOKUP(D4357, SATCAT_DECAY!A:B, 2, FALSE), ""))
</f>
        <v/>
      </c>
      <c r="G4357" s="3" t="str">
        <f t="shared" si="1"/>
        <v>ACTIVE</v>
      </c>
    </row>
    <row r="4358" ht="22.5" customHeight="1">
      <c r="A4358" s="11" t="str">
        <f t="array" ref="A4358">IFERROR(
  INDEX('Starlink Launches'!$A:$A, MATCH($E4358, 'Starlink Launches'!$B:$B, 0)),
  ""
)
</f>
        <v>11-18</v>
      </c>
      <c r="B4358" s="3" t="s">
        <v>25</v>
      </c>
      <c r="C4358" s="12" t="s">
        <v>4378</v>
      </c>
      <c r="D4358" s="13">
        <v>64203.0</v>
      </c>
      <c r="E4358" s="4">
        <v>45808.0</v>
      </c>
      <c r="F4358" s="4" t="str">
        <f>IF(D4358="","", IFNA(VLOOKUP(D4358, SATCAT_DECAY!A:B, 2, FALSE), ""))
</f>
        <v/>
      </c>
      <c r="G4358" s="3" t="str">
        <f t="shared" si="1"/>
        <v>ACTIVE</v>
      </c>
    </row>
    <row r="4359" ht="22.5" customHeight="1">
      <c r="A4359" s="11" t="str">
        <f t="array" ref="A4359">IFERROR(
  INDEX('Starlink Launches'!$A:$A, MATCH($E4359, 'Starlink Launches'!$B:$B, 0)),
  ""
)
</f>
        <v>11-18</v>
      </c>
      <c r="B4359" s="3" t="s">
        <v>25</v>
      </c>
      <c r="C4359" s="12" t="s">
        <v>4379</v>
      </c>
      <c r="D4359" s="13">
        <v>64204.0</v>
      </c>
      <c r="E4359" s="4">
        <v>45808.0</v>
      </c>
      <c r="F4359" s="4" t="str">
        <f>IF(D4359="","", IFNA(VLOOKUP(D4359, SATCAT_DECAY!A:B, 2, FALSE), ""))
</f>
        <v/>
      </c>
      <c r="G4359" s="3" t="str">
        <f t="shared" si="1"/>
        <v>ACTIVE</v>
      </c>
    </row>
    <row r="4360" ht="22.5" customHeight="1">
      <c r="A4360" s="11" t="str">
        <f t="array" ref="A4360">IFERROR(
  INDEX('Starlink Launches'!$A:$A, MATCH($E4360, 'Starlink Launches'!$B:$B, 0)),
  ""
)
</f>
        <v>11-18</v>
      </c>
      <c r="B4360" s="3" t="s">
        <v>25</v>
      </c>
      <c r="C4360" s="12" t="s">
        <v>4380</v>
      </c>
      <c r="D4360" s="13">
        <v>64205.0</v>
      </c>
      <c r="E4360" s="4">
        <v>45808.0</v>
      </c>
      <c r="F4360" s="4" t="str">
        <f>IF(D4360="","", IFNA(VLOOKUP(D4360, SATCAT_DECAY!A:B, 2, FALSE), ""))
</f>
        <v/>
      </c>
      <c r="G4360" s="3" t="str">
        <f t="shared" si="1"/>
        <v>ACTIVE</v>
      </c>
    </row>
    <row r="4361" ht="22.5" customHeight="1">
      <c r="A4361" s="11" t="str">
        <f t="array" ref="A4361">IFERROR(
  INDEX('Starlink Launches'!$A:$A, MATCH($E4361, 'Starlink Launches'!$B:$B, 0)),
  ""
)
</f>
        <v>11-18</v>
      </c>
      <c r="B4361" s="3" t="s">
        <v>25</v>
      </c>
      <c r="C4361" s="12" t="s">
        <v>4381</v>
      </c>
      <c r="D4361" s="13">
        <v>64206.0</v>
      </c>
      <c r="E4361" s="4">
        <v>45808.0</v>
      </c>
      <c r="F4361" s="4" t="str">
        <f>IF(D4361="","", IFNA(VLOOKUP(D4361, SATCAT_DECAY!A:B, 2, FALSE), ""))
</f>
        <v/>
      </c>
      <c r="G4361" s="3" t="str">
        <f t="shared" si="1"/>
        <v>ACTIVE</v>
      </c>
    </row>
    <row r="4362" ht="22.5" customHeight="1">
      <c r="A4362" s="11" t="str">
        <f t="array" ref="A4362">IFERROR(
  INDEX('Starlink Launches'!$A:$A, MATCH($E4362, 'Starlink Launches'!$B:$B, 0)),
  ""
)
</f>
        <v>11-18</v>
      </c>
      <c r="B4362" s="3" t="s">
        <v>25</v>
      </c>
      <c r="C4362" s="12" t="s">
        <v>4382</v>
      </c>
      <c r="D4362" s="13">
        <v>64207.0</v>
      </c>
      <c r="E4362" s="4">
        <v>45808.0</v>
      </c>
      <c r="F4362" s="4" t="str">
        <f>IF(D4362="","", IFNA(VLOOKUP(D4362, SATCAT_DECAY!A:B, 2, FALSE), ""))
</f>
        <v/>
      </c>
      <c r="G4362" s="3" t="str">
        <f t="shared" si="1"/>
        <v>ACTIVE</v>
      </c>
    </row>
    <row r="4363" ht="22.5" customHeight="1">
      <c r="A4363" s="11" t="str">
        <f t="array" ref="A4363">IFERROR(
  INDEX('Starlink Launches'!$A:$A, MATCH($E4363, 'Starlink Launches'!$B:$B, 0)),
  ""
)
</f>
        <v>11-18</v>
      </c>
      <c r="B4363" s="3" t="s">
        <v>25</v>
      </c>
      <c r="C4363" s="12" t="s">
        <v>4383</v>
      </c>
      <c r="D4363" s="13">
        <v>64208.0</v>
      </c>
      <c r="E4363" s="4">
        <v>45808.0</v>
      </c>
      <c r="F4363" s="4" t="str">
        <f>IF(D4363="","", IFNA(VLOOKUP(D4363, SATCAT_DECAY!A:B, 2, FALSE), ""))
</f>
        <v/>
      </c>
      <c r="G4363" s="3" t="str">
        <f t="shared" si="1"/>
        <v>ACTIVE</v>
      </c>
    </row>
    <row r="4364" ht="22.5" customHeight="1">
      <c r="A4364" s="11" t="str">
        <f t="array" ref="A4364">IFERROR(
  INDEX('Starlink Launches'!$A:$A, MATCH($E4364, 'Starlink Launches'!$B:$B, 0)),
  ""
)
</f>
        <v>11-18</v>
      </c>
      <c r="B4364" s="3" t="s">
        <v>25</v>
      </c>
      <c r="C4364" s="12" t="s">
        <v>4384</v>
      </c>
      <c r="D4364" s="13">
        <v>64209.0</v>
      </c>
      <c r="E4364" s="4">
        <v>45808.0</v>
      </c>
      <c r="F4364" s="4" t="str">
        <f>IF(D4364="","", IFNA(VLOOKUP(D4364, SATCAT_DECAY!A:B, 2, FALSE), ""))
</f>
        <v/>
      </c>
      <c r="G4364" s="3" t="str">
        <f t="shared" si="1"/>
        <v>ACTIVE</v>
      </c>
    </row>
    <row r="4365" ht="22.5" customHeight="1">
      <c r="A4365" s="11" t="str">
        <f t="array" ref="A4365">IFERROR(
  INDEX('Starlink Launches'!$A:$A, MATCH($E4365, 'Starlink Launches'!$B:$B, 0)),
  ""
)
</f>
        <v>11-18</v>
      </c>
      <c r="B4365" s="3" t="s">
        <v>25</v>
      </c>
      <c r="C4365" s="12" t="s">
        <v>4385</v>
      </c>
      <c r="D4365" s="13">
        <v>64210.0</v>
      </c>
      <c r="E4365" s="4">
        <v>45808.0</v>
      </c>
      <c r="F4365" s="4" t="str">
        <f>IF(D4365="","", IFNA(VLOOKUP(D4365, SATCAT_DECAY!A:B, 2, FALSE), ""))
</f>
        <v/>
      </c>
      <c r="G4365" s="3" t="str">
        <f t="shared" si="1"/>
        <v>ACTIVE</v>
      </c>
    </row>
    <row r="4366" ht="22.5" customHeight="1">
      <c r="A4366" s="11" t="str">
        <f t="array" ref="A4366">IFERROR(
  INDEX('Starlink Launches'!$A:$A, MATCH($E4366, 'Starlink Launches'!$B:$B, 0)),
  ""
)
</f>
        <v>11-18</v>
      </c>
      <c r="B4366" s="3" t="s">
        <v>25</v>
      </c>
      <c r="C4366" s="12" t="s">
        <v>4386</v>
      </c>
      <c r="D4366" s="13">
        <v>64211.0</v>
      </c>
      <c r="E4366" s="4">
        <v>45808.0</v>
      </c>
      <c r="F4366" s="4" t="str">
        <f>IF(D4366="","", IFNA(VLOOKUP(D4366, SATCAT_DECAY!A:B, 2, FALSE), ""))
</f>
        <v/>
      </c>
      <c r="G4366" s="3" t="str">
        <f t="shared" si="1"/>
        <v>ACTIVE</v>
      </c>
    </row>
    <row r="4367" ht="22.5" customHeight="1">
      <c r="A4367" s="11" t="str">
        <f t="array" ref="A4367">IFERROR(
  INDEX('Starlink Launches'!$A:$A, MATCH($E4367, 'Starlink Launches'!$B:$B, 0)),
  ""
)
</f>
        <v>11-18</v>
      </c>
      <c r="B4367" s="3" t="s">
        <v>25</v>
      </c>
      <c r="C4367" s="12" t="s">
        <v>4387</v>
      </c>
      <c r="D4367" s="13">
        <v>64212.0</v>
      </c>
      <c r="E4367" s="4">
        <v>45808.0</v>
      </c>
      <c r="F4367" s="4" t="str">
        <f>IF(D4367="","", IFNA(VLOOKUP(D4367, SATCAT_DECAY!A:B, 2, FALSE), ""))
</f>
        <v/>
      </c>
      <c r="G4367" s="3" t="str">
        <f t="shared" si="1"/>
        <v>ACTIVE</v>
      </c>
    </row>
    <row r="4368" ht="22.5" customHeight="1">
      <c r="A4368" s="11" t="str">
        <f t="array" ref="A4368">IFERROR(
  INDEX('Starlink Launches'!$A:$A, MATCH($E4368, 'Starlink Launches'!$B:$B, 0)),
  ""
)
</f>
        <v>11-18</v>
      </c>
      <c r="B4368" s="3" t="s">
        <v>25</v>
      </c>
      <c r="C4368" s="12" t="s">
        <v>4388</v>
      </c>
      <c r="D4368" s="13">
        <v>64213.0</v>
      </c>
      <c r="E4368" s="4">
        <v>45808.0</v>
      </c>
      <c r="F4368" s="4" t="str">
        <f>IF(D4368="","", IFNA(VLOOKUP(D4368, SATCAT_DECAY!A:B, 2, FALSE), ""))
</f>
        <v/>
      </c>
      <c r="G4368" s="3" t="str">
        <f t="shared" si="1"/>
        <v>ACTIVE</v>
      </c>
    </row>
    <row r="4369" ht="22.5" customHeight="1">
      <c r="A4369" s="11" t="str">
        <f t="array" ref="A4369">IFERROR(
  INDEX('Starlink Launches'!$A:$A, MATCH($E4369, 'Starlink Launches'!$B:$B, 0)),
  ""
)
</f>
        <v>11-18</v>
      </c>
      <c r="B4369" s="3" t="s">
        <v>25</v>
      </c>
      <c r="C4369" s="12" t="s">
        <v>4389</v>
      </c>
      <c r="D4369" s="13">
        <v>64214.0</v>
      </c>
      <c r="E4369" s="4">
        <v>45808.0</v>
      </c>
      <c r="F4369" s="4" t="str">
        <f>IF(D4369="","", IFNA(VLOOKUP(D4369, SATCAT_DECAY!A:B, 2, FALSE), ""))
</f>
        <v/>
      </c>
      <c r="G4369" s="3" t="str">
        <f t="shared" si="1"/>
        <v>ACTIVE</v>
      </c>
    </row>
    <row r="4370" ht="22.5" customHeight="1">
      <c r="A4370" s="11" t="str">
        <f t="array" ref="A4370">IFERROR(
  INDEX('Starlink Launches'!$A:$A, MATCH($E4370, 'Starlink Launches'!$B:$B, 0)),
  ""
)
</f>
        <v>11-18</v>
      </c>
      <c r="B4370" s="3" t="s">
        <v>25</v>
      </c>
      <c r="C4370" s="12" t="s">
        <v>4390</v>
      </c>
      <c r="D4370" s="13">
        <v>64215.0</v>
      </c>
      <c r="E4370" s="4">
        <v>45808.0</v>
      </c>
      <c r="F4370" s="4" t="str">
        <f>IF(D4370="","", IFNA(VLOOKUP(D4370, SATCAT_DECAY!A:B, 2, FALSE), ""))
</f>
        <v/>
      </c>
      <c r="G4370" s="3" t="str">
        <f t="shared" si="1"/>
        <v>ACTIVE</v>
      </c>
    </row>
    <row r="4371" ht="22.5" customHeight="1">
      <c r="A4371" s="11" t="str">
        <f t="array" ref="A4371">IFERROR(
  INDEX('Starlink Launches'!$A:$A, MATCH($E4371, 'Starlink Launches'!$B:$B, 0)),
  ""
)
</f>
        <v>11-18</v>
      </c>
      <c r="B4371" s="3" t="s">
        <v>25</v>
      </c>
      <c r="C4371" s="12" t="s">
        <v>4391</v>
      </c>
      <c r="D4371" s="13">
        <v>64216.0</v>
      </c>
      <c r="E4371" s="4">
        <v>45808.0</v>
      </c>
      <c r="F4371" s="4" t="str">
        <f>IF(D4371="","", IFNA(VLOOKUP(D4371, SATCAT_DECAY!A:B, 2, FALSE), ""))
</f>
        <v/>
      </c>
      <c r="G4371" s="3" t="str">
        <f t="shared" si="1"/>
        <v>ACTIVE</v>
      </c>
    </row>
    <row r="4372" ht="22.5" customHeight="1">
      <c r="A4372" s="11" t="str">
        <f t="array" ref="A4372">IFERROR(
  INDEX('Starlink Launches'!$A:$A, MATCH($E4372, 'Starlink Launches'!$B:$B, 0)),
  ""
)
</f>
        <v>11-18</v>
      </c>
      <c r="B4372" s="3" t="s">
        <v>25</v>
      </c>
      <c r="C4372" s="12" t="s">
        <v>4392</v>
      </c>
      <c r="D4372" s="13">
        <v>64217.0</v>
      </c>
      <c r="E4372" s="4">
        <v>45808.0</v>
      </c>
      <c r="F4372" s="4" t="str">
        <f>IF(D4372="","", IFNA(VLOOKUP(D4372, SATCAT_DECAY!A:B, 2, FALSE), ""))
</f>
        <v/>
      </c>
      <c r="G4372" s="3" t="str">
        <f t="shared" si="1"/>
        <v>ACTIVE</v>
      </c>
    </row>
    <row r="4373" ht="22.5" customHeight="1">
      <c r="A4373" s="11" t="str">
        <f t="array" ref="A4373">IFERROR(
  INDEX('Starlink Launches'!$A:$A, MATCH($E4373, 'Starlink Launches'!$B:$B, 0)),
  ""
)
</f>
        <v>11-18</v>
      </c>
      <c r="B4373" s="3" t="s">
        <v>25</v>
      </c>
      <c r="C4373" s="12" t="s">
        <v>4393</v>
      </c>
      <c r="D4373" s="13">
        <v>64218.0</v>
      </c>
      <c r="E4373" s="4">
        <v>45808.0</v>
      </c>
      <c r="F4373" s="4" t="str">
        <f>IF(D4373="","", IFNA(VLOOKUP(D4373, SATCAT_DECAY!A:B, 2, FALSE), ""))
</f>
        <v/>
      </c>
      <c r="G4373" s="3" t="str">
        <f t="shared" si="1"/>
        <v>ACTIVE</v>
      </c>
    </row>
    <row r="4374" ht="22.5" customHeight="1">
      <c r="A4374" s="11" t="str">
        <f t="array" ref="A4374">IFERROR(
  INDEX('Starlink Launches'!$A:$A, MATCH($E4374, 'Starlink Launches'!$B:$B, 0)),
  ""
)
</f>
        <v>11-18</v>
      </c>
      <c r="B4374" s="3" t="s">
        <v>25</v>
      </c>
      <c r="C4374" s="12" t="s">
        <v>4394</v>
      </c>
      <c r="D4374" s="13">
        <v>64219.0</v>
      </c>
      <c r="E4374" s="4">
        <v>45808.0</v>
      </c>
      <c r="F4374" s="4" t="str">
        <f>IF(D4374="","", IFNA(VLOOKUP(D4374, SATCAT_DECAY!A:B, 2, FALSE), ""))
</f>
        <v/>
      </c>
      <c r="G4374" s="3" t="str">
        <f t="shared" si="1"/>
        <v>ACTIVE</v>
      </c>
    </row>
    <row r="4375" ht="22.5" customHeight="1">
      <c r="A4375" s="11" t="str">
        <f t="array" ref="A4375">IFERROR(
  INDEX('Starlink Launches'!$A:$A, MATCH($E4375, 'Starlink Launches'!$B:$B, 0)),
  ""
)
</f>
        <v>11-18</v>
      </c>
      <c r="B4375" s="3" t="s">
        <v>25</v>
      </c>
      <c r="C4375" s="12" t="s">
        <v>4395</v>
      </c>
      <c r="D4375" s="13">
        <v>64220.0</v>
      </c>
      <c r="E4375" s="4">
        <v>45808.0</v>
      </c>
      <c r="F4375" s="4" t="str">
        <f>IF(D4375="","", IFNA(VLOOKUP(D4375, SATCAT_DECAY!A:B, 2, FALSE), ""))
</f>
        <v/>
      </c>
      <c r="G4375" s="3" t="str">
        <f t="shared" si="1"/>
        <v>ACTIVE</v>
      </c>
    </row>
    <row r="4376" ht="22.5" customHeight="1">
      <c r="A4376" s="11" t="str">
        <f t="array" ref="A4376">IFERROR(
  INDEX('Starlink Launches'!$A:$A, MATCH($E4376, 'Starlink Launches'!$B:$B, 0)),
  ""
)
</f>
        <v>11-18</v>
      </c>
      <c r="B4376" s="3" t="s">
        <v>25</v>
      </c>
      <c r="C4376" s="12" t="s">
        <v>4396</v>
      </c>
      <c r="D4376" s="13">
        <v>64221.0</v>
      </c>
      <c r="E4376" s="4">
        <v>45808.0</v>
      </c>
      <c r="F4376" s="4" t="str">
        <f>IF(D4376="","", IFNA(VLOOKUP(D4376, SATCAT_DECAY!A:B, 2, FALSE), ""))
</f>
        <v/>
      </c>
      <c r="G4376" s="3" t="str">
        <f t="shared" si="1"/>
        <v>ACTIVE</v>
      </c>
    </row>
    <row r="4377" ht="22.5" customHeight="1">
      <c r="A4377" s="11" t="str">
        <f t="array" ref="A4377">IFERROR(
  INDEX('Starlink Launches'!$A:$A, MATCH($E4377, 'Starlink Launches'!$B:$B, 0)),
  ""
)
</f>
        <v>11-18</v>
      </c>
      <c r="B4377" s="3" t="s">
        <v>25</v>
      </c>
      <c r="C4377" s="12" t="s">
        <v>4397</v>
      </c>
      <c r="D4377" s="13">
        <v>64222.0</v>
      </c>
      <c r="E4377" s="4">
        <v>45808.0</v>
      </c>
      <c r="F4377" s="4" t="str">
        <f>IF(D4377="","", IFNA(VLOOKUP(D4377, SATCAT_DECAY!A:B, 2, FALSE), ""))
</f>
        <v/>
      </c>
      <c r="G4377" s="3" t="str">
        <f t="shared" si="1"/>
        <v>ACTIVE</v>
      </c>
    </row>
    <row r="4378" ht="22.5" customHeight="1">
      <c r="A4378" s="11" t="str">
        <f t="array" ref="A4378">IFERROR(
  INDEX('Starlink Launches'!$A:$A, MATCH($E4378, 'Starlink Launches'!$B:$B, 0)),
  ""
)
</f>
        <v>11-18</v>
      </c>
      <c r="B4378" s="3" t="s">
        <v>25</v>
      </c>
      <c r="C4378" s="12" t="s">
        <v>4398</v>
      </c>
      <c r="D4378" s="13">
        <v>64223.0</v>
      </c>
      <c r="E4378" s="4">
        <v>45808.0</v>
      </c>
      <c r="F4378" s="4" t="str">
        <f>IF(D4378="","", IFNA(VLOOKUP(D4378, SATCAT_DECAY!A:B, 2, FALSE), ""))
</f>
        <v/>
      </c>
      <c r="G4378" s="3" t="str">
        <f t="shared" si="1"/>
        <v>ACTIVE</v>
      </c>
    </row>
    <row r="4379" ht="22.5" customHeight="1">
      <c r="A4379" s="11" t="str">
        <f t="array" ref="A4379">IFERROR(
  INDEX('Starlink Launches'!$A:$A, MATCH($E4379, 'Starlink Launches'!$B:$B, 0)),
  ""
)
</f>
        <v>11-18</v>
      </c>
      <c r="B4379" s="3" t="s">
        <v>25</v>
      </c>
      <c r="C4379" s="12" t="s">
        <v>4399</v>
      </c>
      <c r="D4379" s="13">
        <v>64224.0</v>
      </c>
      <c r="E4379" s="4">
        <v>45808.0</v>
      </c>
      <c r="F4379" s="4" t="str">
        <f>IF(D4379="","", IFNA(VLOOKUP(D4379, SATCAT_DECAY!A:B, 2, FALSE), ""))
</f>
        <v/>
      </c>
      <c r="G4379" s="3" t="str">
        <f t="shared" si="1"/>
        <v>ACTIVE</v>
      </c>
    </row>
    <row r="4380" ht="22.5" customHeight="1">
      <c r="A4380" s="11" t="str">
        <f t="array" ref="A4380">IFERROR(
  INDEX('Starlink Launches'!$A:$A, MATCH($E4380, 'Starlink Launches'!$B:$B, 0)),
  ""
)
</f>
        <v>11-18</v>
      </c>
      <c r="B4380" s="3" t="s">
        <v>25</v>
      </c>
      <c r="C4380" s="12" t="s">
        <v>4400</v>
      </c>
      <c r="D4380" s="13">
        <v>64225.0</v>
      </c>
      <c r="E4380" s="4">
        <v>45808.0</v>
      </c>
      <c r="F4380" s="4" t="str">
        <f>IF(D4380="","", IFNA(VLOOKUP(D4380, SATCAT_DECAY!A:B, 2, FALSE), ""))
</f>
        <v/>
      </c>
      <c r="G4380" s="3" t="str">
        <f t="shared" si="1"/>
        <v>ACTIVE</v>
      </c>
    </row>
    <row r="4381" ht="22.5" customHeight="1">
      <c r="A4381" s="11" t="str">
        <f t="array" ref="A4381">IFERROR(
  INDEX('Starlink Launches'!$A:$A, MATCH($E4381, 'Starlink Launches'!$B:$B, 0)),
  ""
)
</f>
        <v>11-18</v>
      </c>
      <c r="B4381" s="3" t="s">
        <v>25</v>
      </c>
      <c r="C4381" s="12" t="s">
        <v>4401</v>
      </c>
      <c r="D4381" s="13">
        <v>64226.0</v>
      </c>
      <c r="E4381" s="4">
        <v>45808.0</v>
      </c>
      <c r="F4381" s="4" t="str">
        <f>IF(D4381="","", IFNA(VLOOKUP(D4381, SATCAT_DECAY!A:B, 2, FALSE), ""))
</f>
        <v/>
      </c>
      <c r="G4381" s="3" t="str">
        <f t="shared" si="1"/>
        <v>ACTIVE</v>
      </c>
    </row>
    <row r="4382" ht="22.5" customHeight="1">
      <c r="A4382" s="11" t="str">
        <f t="array" ref="A4382">IFERROR(
  INDEX('Starlink Launches'!$A:$A, MATCH($E4382, 'Starlink Launches'!$B:$B, 0)),
  ""
)
</f>
        <v>11-18</v>
      </c>
      <c r="B4382" s="3" t="s">
        <v>25</v>
      </c>
      <c r="C4382" s="12" t="s">
        <v>4402</v>
      </c>
      <c r="D4382" s="13">
        <v>64227.0</v>
      </c>
      <c r="E4382" s="4">
        <v>45808.0</v>
      </c>
      <c r="F4382" s="4" t="str">
        <f>IF(D4382="","", IFNA(VLOOKUP(D4382, SATCAT_DECAY!A:B, 2, FALSE), ""))
</f>
        <v/>
      </c>
      <c r="G4382" s="3" t="str">
        <f t="shared" si="1"/>
        <v>ACTIVE</v>
      </c>
    </row>
    <row r="4383" ht="22.5" customHeight="1">
      <c r="A4383" s="11" t="str">
        <f t="array" ref="A4383">IFERROR(
  INDEX('Starlink Launches'!$A:$A, MATCH($E4383, 'Starlink Launches'!$B:$B, 0)),
  ""
)
</f>
        <v>11-18</v>
      </c>
      <c r="B4383" s="3" t="s">
        <v>25</v>
      </c>
      <c r="C4383" s="12" t="s">
        <v>4403</v>
      </c>
      <c r="D4383" s="13">
        <v>64228.0</v>
      </c>
      <c r="E4383" s="4">
        <v>45808.0</v>
      </c>
      <c r="F4383" s="4" t="str">
        <f>IF(D4383="","", IFNA(VLOOKUP(D4383, SATCAT_DECAY!A:B, 2, FALSE), ""))
</f>
        <v/>
      </c>
      <c r="G4383" s="3" t="str">
        <f t="shared" si="1"/>
        <v>ACTIVE</v>
      </c>
    </row>
    <row r="4384" ht="22.5" customHeight="1">
      <c r="A4384" s="11" t="str">
        <f t="array" ref="A4384">IFERROR(
  INDEX('Starlink Launches'!$A:$A, MATCH($E4384, 'Starlink Launches'!$B:$B, 0)),
  ""
)
</f>
        <v>11-18</v>
      </c>
      <c r="B4384" s="3" t="s">
        <v>25</v>
      </c>
      <c r="C4384" s="12" t="s">
        <v>4404</v>
      </c>
      <c r="D4384" s="13">
        <v>64229.0</v>
      </c>
      <c r="E4384" s="4">
        <v>45808.0</v>
      </c>
      <c r="F4384" s="4" t="str">
        <f>IF(D4384="","", IFNA(VLOOKUP(D4384, SATCAT_DECAY!A:B, 2, FALSE), ""))
</f>
        <v/>
      </c>
      <c r="G4384" s="3" t="str">
        <f t="shared" si="1"/>
        <v>ACTIVE</v>
      </c>
    </row>
    <row r="4385" ht="22.5" customHeight="1">
      <c r="A4385" s="11" t="str">
        <f t="array" ref="A4385">IFERROR(
  INDEX('Starlink Launches'!$A:$A, MATCH($E4385, 'Starlink Launches'!$B:$B, 0)),
  ""
)
</f>
        <v>11-22</v>
      </c>
      <c r="B4385" s="3" t="s">
        <v>25</v>
      </c>
      <c r="C4385" s="12" t="s">
        <v>4405</v>
      </c>
      <c r="D4385" s="13">
        <v>64256.0</v>
      </c>
      <c r="E4385" s="4">
        <v>45812.0</v>
      </c>
      <c r="F4385" s="4" t="str">
        <f>IF(D4385="","", IFNA(VLOOKUP(D4385, SATCAT_DECAY!A:B, 2, FALSE), ""))
</f>
        <v/>
      </c>
      <c r="G4385" s="3" t="str">
        <f t="shared" si="1"/>
        <v>ACTIVE</v>
      </c>
    </row>
    <row r="4386" ht="22.5" customHeight="1">
      <c r="A4386" s="11" t="str">
        <f t="array" ref="A4386">IFERROR(
  INDEX('Starlink Launches'!$A:$A, MATCH($E4386, 'Starlink Launches'!$B:$B, 0)),
  ""
)
</f>
        <v>11-22</v>
      </c>
      <c r="B4386" s="3" t="s">
        <v>25</v>
      </c>
      <c r="C4386" s="12" t="s">
        <v>4406</v>
      </c>
      <c r="D4386" s="13">
        <v>64257.0</v>
      </c>
      <c r="E4386" s="4">
        <v>45812.0</v>
      </c>
      <c r="F4386" s="4" t="str">
        <f>IF(D4386="","", IFNA(VLOOKUP(D4386, SATCAT_DECAY!A:B, 2, FALSE), ""))
</f>
        <v/>
      </c>
      <c r="G4386" s="3" t="str">
        <f t="shared" si="1"/>
        <v>ACTIVE</v>
      </c>
    </row>
    <row r="4387" ht="22.5" customHeight="1">
      <c r="A4387" s="11" t="str">
        <f t="array" ref="A4387">IFERROR(
  INDEX('Starlink Launches'!$A:$A, MATCH($E4387, 'Starlink Launches'!$B:$B, 0)),
  ""
)
</f>
        <v>11-22</v>
      </c>
      <c r="B4387" s="3" t="s">
        <v>25</v>
      </c>
      <c r="C4387" s="12" t="s">
        <v>4407</v>
      </c>
      <c r="D4387" s="13">
        <v>64258.0</v>
      </c>
      <c r="E4387" s="4">
        <v>45812.0</v>
      </c>
      <c r="F4387" s="4" t="str">
        <f>IF(D4387="","", IFNA(VLOOKUP(D4387, SATCAT_DECAY!A:B, 2, FALSE), ""))
</f>
        <v/>
      </c>
      <c r="G4387" s="3" t="str">
        <f t="shared" si="1"/>
        <v>ACTIVE</v>
      </c>
    </row>
    <row r="4388" ht="22.5" customHeight="1">
      <c r="A4388" s="11" t="str">
        <f t="array" ref="A4388">IFERROR(
  INDEX('Starlink Launches'!$A:$A, MATCH($E4388, 'Starlink Launches'!$B:$B, 0)),
  ""
)
</f>
        <v>11-22</v>
      </c>
      <c r="B4388" s="3" t="s">
        <v>25</v>
      </c>
      <c r="C4388" s="12" t="s">
        <v>4408</v>
      </c>
      <c r="D4388" s="13">
        <v>64259.0</v>
      </c>
      <c r="E4388" s="4">
        <v>45812.0</v>
      </c>
      <c r="F4388" s="4" t="str">
        <f>IF(D4388="","", IFNA(VLOOKUP(D4388, SATCAT_DECAY!A:B, 2, FALSE), ""))
</f>
        <v/>
      </c>
      <c r="G4388" s="3" t="str">
        <f t="shared" si="1"/>
        <v>ACTIVE</v>
      </c>
    </row>
    <row r="4389" ht="22.5" customHeight="1">
      <c r="A4389" s="11" t="str">
        <f t="array" ref="A4389">IFERROR(
  INDEX('Starlink Launches'!$A:$A, MATCH($E4389, 'Starlink Launches'!$B:$B, 0)),
  ""
)
</f>
        <v>11-22</v>
      </c>
      <c r="B4389" s="3" t="s">
        <v>25</v>
      </c>
      <c r="C4389" s="12" t="s">
        <v>4409</v>
      </c>
      <c r="D4389" s="13">
        <v>64260.0</v>
      </c>
      <c r="E4389" s="4">
        <v>45812.0</v>
      </c>
      <c r="F4389" s="4" t="str">
        <f>IF(D4389="","", IFNA(VLOOKUP(D4389, SATCAT_DECAY!A:B, 2, FALSE), ""))
</f>
        <v/>
      </c>
      <c r="G4389" s="3" t="str">
        <f t="shared" si="1"/>
        <v>ACTIVE</v>
      </c>
    </row>
    <row r="4390" ht="22.5" customHeight="1">
      <c r="A4390" s="11" t="str">
        <f t="array" ref="A4390">IFERROR(
  INDEX('Starlink Launches'!$A:$A, MATCH($E4390, 'Starlink Launches'!$B:$B, 0)),
  ""
)
</f>
        <v>11-22</v>
      </c>
      <c r="B4390" s="3" t="s">
        <v>25</v>
      </c>
      <c r="C4390" s="12" t="s">
        <v>4410</v>
      </c>
      <c r="D4390" s="13">
        <v>64261.0</v>
      </c>
      <c r="E4390" s="4">
        <v>45812.0</v>
      </c>
      <c r="F4390" s="4" t="str">
        <f>IF(D4390="","", IFNA(VLOOKUP(D4390, SATCAT_DECAY!A:B, 2, FALSE), ""))
</f>
        <v/>
      </c>
      <c r="G4390" s="3" t="str">
        <f t="shared" si="1"/>
        <v>ACTIVE</v>
      </c>
    </row>
    <row r="4391" ht="22.5" customHeight="1">
      <c r="A4391" s="11" t="str">
        <f t="array" ref="A4391">IFERROR(
  INDEX('Starlink Launches'!$A:$A, MATCH($E4391, 'Starlink Launches'!$B:$B, 0)),
  ""
)
</f>
        <v>11-22</v>
      </c>
      <c r="B4391" s="3" t="s">
        <v>25</v>
      </c>
      <c r="C4391" s="12" t="s">
        <v>4411</v>
      </c>
      <c r="D4391" s="13">
        <v>64262.0</v>
      </c>
      <c r="E4391" s="4">
        <v>45812.0</v>
      </c>
      <c r="F4391" s="4" t="str">
        <f>IF(D4391="","", IFNA(VLOOKUP(D4391, SATCAT_DECAY!A:B, 2, FALSE), ""))
</f>
        <v/>
      </c>
      <c r="G4391" s="3" t="str">
        <f t="shared" si="1"/>
        <v>ACTIVE</v>
      </c>
    </row>
    <row r="4392" ht="22.5" customHeight="1">
      <c r="A4392" s="11" t="str">
        <f t="array" ref="A4392">IFERROR(
  INDEX('Starlink Launches'!$A:$A, MATCH($E4392, 'Starlink Launches'!$B:$B, 0)),
  ""
)
</f>
        <v>11-22</v>
      </c>
      <c r="B4392" s="3" t="s">
        <v>25</v>
      </c>
      <c r="C4392" s="12" t="s">
        <v>4412</v>
      </c>
      <c r="D4392" s="13">
        <v>64263.0</v>
      </c>
      <c r="E4392" s="4">
        <v>45812.0</v>
      </c>
      <c r="F4392" s="4" t="str">
        <f>IF(D4392="","", IFNA(VLOOKUP(D4392, SATCAT_DECAY!A:B, 2, FALSE), ""))
</f>
        <v/>
      </c>
      <c r="G4392" s="3" t="str">
        <f t="shared" si="1"/>
        <v>ACTIVE</v>
      </c>
    </row>
    <row r="4393" ht="22.5" customHeight="1">
      <c r="A4393" s="11" t="str">
        <f t="array" ref="A4393">IFERROR(
  INDEX('Starlink Launches'!$A:$A, MATCH($E4393, 'Starlink Launches'!$B:$B, 0)),
  ""
)
</f>
        <v>11-22</v>
      </c>
      <c r="B4393" s="3" t="s">
        <v>25</v>
      </c>
      <c r="C4393" s="12" t="s">
        <v>4413</v>
      </c>
      <c r="D4393" s="13">
        <v>64264.0</v>
      </c>
      <c r="E4393" s="4">
        <v>45812.0</v>
      </c>
      <c r="F4393" s="4" t="str">
        <f>IF(D4393="","", IFNA(VLOOKUP(D4393, SATCAT_DECAY!A:B, 2, FALSE), ""))
</f>
        <v/>
      </c>
      <c r="G4393" s="3" t="str">
        <f t="shared" si="1"/>
        <v>ACTIVE</v>
      </c>
    </row>
    <row r="4394" ht="22.5" customHeight="1">
      <c r="A4394" s="11" t="str">
        <f t="array" ref="A4394">IFERROR(
  INDEX('Starlink Launches'!$A:$A, MATCH($E4394, 'Starlink Launches'!$B:$B, 0)),
  ""
)
</f>
        <v>11-22</v>
      </c>
      <c r="B4394" s="3" t="s">
        <v>25</v>
      </c>
      <c r="C4394" s="12" t="s">
        <v>4414</v>
      </c>
      <c r="D4394" s="13">
        <v>64265.0</v>
      </c>
      <c r="E4394" s="4">
        <v>45812.0</v>
      </c>
      <c r="F4394" s="4" t="str">
        <f>IF(D4394="","", IFNA(VLOOKUP(D4394, SATCAT_DECAY!A:B, 2, FALSE), ""))
</f>
        <v/>
      </c>
      <c r="G4394" s="3" t="str">
        <f t="shared" si="1"/>
        <v>ACTIVE</v>
      </c>
    </row>
    <row r="4395" ht="22.5" customHeight="1">
      <c r="A4395" s="11" t="str">
        <f t="array" ref="A4395">IFERROR(
  INDEX('Starlink Launches'!$A:$A, MATCH($E4395, 'Starlink Launches'!$B:$B, 0)),
  ""
)
</f>
        <v>11-22</v>
      </c>
      <c r="B4395" s="3" t="s">
        <v>25</v>
      </c>
      <c r="C4395" s="12" t="s">
        <v>4415</v>
      </c>
      <c r="D4395" s="13">
        <v>64266.0</v>
      </c>
      <c r="E4395" s="4">
        <v>45812.0</v>
      </c>
      <c r="F4395" s="4" t="str">
        <f>IF(D4395="","", IFNA(VLOOKUP(D4395, SATCAT_DECAY!A:B, 2, FALSE), ""))
</f>
        <v/>
      </c>
      <c r="G4395" s="3" t="str">
        <f t="shared" si="1"/>
        <v>ACTIVE</v>
      </c>
    </row>
    <row r="4396" ht="22.5" customHeight="1">
      <c r="A4396" s="11" t="str">
        <f t="array" ref="A4396">IFERROR(
  INDEX('Starlink Launches'!$A:$A, MATCH($E4396, 'Starlink Launches'!$B:$B, 0)),
  ""
)
</f>
        <v>11-22</v>
      </c>
      <c r="B4396" s="3" t="s">
        <v>25</v>
      </c>
      <c r="C4396" s="12" t="s">
        <v>4416</v>
      </c>
      <c r="D4396" s="13">
        <v>64267.0</v>
      </c>
      <c r="E4396" s="4">
        <v>45812.0</v>
      </c>
      <c r="F4396" s="4" t="str">
        <f>IF(D4396="","", IFNA(VLOOKUP(D4396, SATCAT_DECAY!A:B, 2, FALSE), ""))
</f>
        <v/>
      </c>
      <c r="G4396" s="3" t="str">
        <f t="shared" si="1"/>
        <v>ACTIVE</v>
      </c>
    </row>
    <row r="4397" ht="22.5" customHeight="1">
      <c r="A4397" s="11" t="str">
        <f t="array" ref="A4397">IFERROR(
  INDEX('Starlink Launches'!$A:$A, MATCH($E4397, 'Starlink Launches'!$B:$B, 0)),
  ""
)
</f>
        <v>11-22</v>
      </c>
      <c r="B4397" s="3" t="s">
        <v>25</v>
      </c>
      <c r="C4397" s="12" t="s">
        <v>4417</v>
      </c>
      <c r="D4397" s="13">
        <v>64268.0</v>
      </c>
      <c r="E4397" s="4">
        <v>45812.0</v>
      </c>
      <c r="F4397" s="4" t="str">
        <f>IF(D4397="","", IFNA(VLOOKUP(D4397, SATCAT_DECAY!A:B, 2, FALSE), ""))
</f>
        <v/>
      </c>
      <c r="G4397" s="3" t="str">
        <f t="shared" si="1"/>
        <v>ACTIVE</v>
      </c>
    </row>
    <row r="4398" ht="22.5" customHeight="1">
      <c r="A4398" s="11" t="str">
        <f t="array" ref="A4398">IFERROR(
  INDEX('Starlink Launches'!$A:$A, MATCH($E4398, 'Starlink Launches'!$B:$B, 0)),
  ""
)
</f>
        <v>11-22</v>
      </c>
      <c r="B4398" s="3" t="s">
        <v>25</v>
      </c>
      <c r="C4398" s="12" t="s">
        <v>4418</v>
      </c>
      <c r="D4398" s="13">
        <v>64269.0</v>
      </c>
      <c r="E4398" s="4">
        <v>45812.0</v>
      </c>
      <c r="F4398" s="4" t="str">
        <f>IF(D4398="","", IFNA(VLOOKUP(D4398, SATCAT_DECAY!A:B, 2, FALSE), ""))
</f>
        <v/>
      </c>
      <c r="G4398" s="3" t="str">
        <f t="shared" si="1"/>
        <v>ACTIVE</v>
      </c>
    </row>
    <row r="4399" ht="22.5" customHeight="1">
      <c r="A4399" s="11" t="str">
        <f t="array" ref="A4399">IFERROR(
  INDEX('Starlink Launches'!$A:$A, MATCH($E4399, 'Starlink Launches'!$B:$B, 0)),
  ""
)
</f>
        <v>11-22</v>
      </c>
      <c r="B4399" s="3" t="s">
        <v>25</v>
      </c>
      <c r="C4399" s="12" t="s">
        <v>4419</v>
      </c>
      <c r="D4399" s="13">
        <v>64270.0</v>
      </c>
      <c r="E4399" s="4">
        <v>45812.0</v>
      </c>
      <c r="F4399" s="4" t="str">
        <f>IF(D4399="","", IFNA(VLOOKUP(D4399, SATCAT_DECAY!A:B, 2, FALSE), ""))
</f>
        <v/>
      </c>
      <c r="G4399" s="3" t="str">
        <f t="shared" si="1"/>
        <v>ACTIVE</v>
      </c>
    </row>
    <row r="4400" ht="22.5" customHeight="1">
      <c r="A4400" s="11" t="str">
        <f t="array" ref="A4400">IFERROR(
  INDEX('Starlink Launches'!$A:$A, MATCH($E4400, 'Starlink Launches'!$B:$B, 0)),
  ""
)
</f>
        <v>11-22</v>
      </c>
      <c r="B4400" s="3" t="s">
        <v>25</v>
      </c>
      <c r="C4400" s="12" t="s">
        <v>4420</v>
      </c>
      <c r="D4400" s="13">
        <v>64271.0</v>
      </c>
      <c r="E4400" s="4">
        <v>45812.0</v>
      </c>
      <c r="F4400" s="4" t="str">
        <f>IF(D4400="","", IFNA(VLOOKUP(D4400, SATCAT_DECAY!A:B, 2, FALSE), ""))
</f>
        <v/>
      </c>
      <c r="G4400" s="3" t="str">
        <f t="shared" si="1"/>
        <v>ACTIVE</v>
      </c>
    </row>
    <row r="4401" ht="22.5" customHeight="1">
      <c r="A4401" s="11" t="str">
        <f t="array" ref="A4401">IFERROR(
  INDEX('Starlink Launches'!$A:$A, MATCH($E4401, 'Starlink Launches'!$B:$B, 0)),
  ""
)
</f>
        <v>11-22</v>
      </c>
      <c r="B4401" s="3" t="s">
        <v>25</v>
      </c>
      <c r="C4401" s="12" t="s">
        <v>4421</v>
      </c>
      <c r="D4401" s="13">
        <v>64272.0</v>
      </c>
      <c r="E4401" s="4">
        <v>45812.0</v>
      </c>
      <c r="F4401" s="4" t="str">
        <f>IF(D4401="","", IFNA(VLOOKUP(D4401, SATCAT_DECAY!A:B, 2, FALSE), ""))
</f>
        <v/>
      </c>
      <c r="G4401" s="3" t="str">
        <f t="shared" si="1"/>
        <v>ACTIVE</v>
      </c>
    </row>
    <row r="4402" ht="22.5" customHeight="1">
      <c r="A4402" s="11" t="str">
        <f t="array" ref="A4402">IFERROR(
  INDEX('Starlink Launches'!$A:$A, MATCH($E4402, 'Starlink Launches'!$B:$B, 0)),
  ""
)
</f>
        <v>11-22</v>
      </c>
      <c r="B4402" s="3" t="s">
        <v>25</v>
      </c>
      <c r="C4402" s="12" t="s">
        <v>4422</v>
      </c>
      <c r="D4402" s="13">
        <v>64273.0</v>
      </c>
      <c r="E4402" s="4">
        <v>45812.0</v>
      </c>
      <c r="F4402" s="4" t="str">
        <f>IF(D4402="","", IFNA(VLOOKUP(D4402, SATCAT_DECAY!A:B, 2, FALSE), ""))
</f>
        <v/>
      </c>
      <c r="G4402" s="3" t="str">
        <f t="shared" si="1"/>
        <v>ACTIVE</v>
      </c>
    </row>
    <row r="4403" ht="22.5" customHeight="1">
      <c r="A4403" s="11" t="str">
        <f t="array" ref="A4403">IFERROR(
  INDEX('Starlink Launches'!$A:$A, MATCH($E4403, 'Starlink Launches'!$B:$B, 0)),
  ""
)
</f>
        <v>11-22</v>
      </c>
      <c r="B4403" s="3" t="s">
        <v>25</v>
      </c>
      <c r="C4403" s="12" t="s">
        <v>4423</v>
      </c>
      <c r="D4403" s="13">
        <v>64274.0</v>
      </c>
      <c r="E4403" s="4">
        <v>45812.0</v>
      </c>
      <c r="F4403" s="4" t="str">
        <f>IF(D4403="","", IFNA(VLOOKUP(D4403, SATCAT_DECAY!A:B, 2, FALSE), ""))
</f>
        <v/>
      </c>
      <c r="G4403" s="3" t="str">
        <f t="shared" si="1"/>
        <v>ACTIVE</v>
      </c>
    </row>
    <row r="4404" ht="22.5" customHeight="1">
      <c r="A4404" s="11" t="str">
        <f t="array" ref="A4404">IFERROR(
  INDEX('Starlink Launches'!$A:$A, MATCH($E4404, 'Starlink Launches'!$B:$B, 0)),
  ""
)
</f>
        <v>11-22</v>
      </c>
      <c r="B4404" s="3" t="s">
        <v>25</v>
      </c>
      <c r="C4404" s="12" t="s">
        <v>4424</v>
      </c>
      <c r="D4404" s="13">
        <v>64275.0</v>
      </c>
      <c r="E4404" s="4">
        <v>45812.0</v>
      </c>
      <c r="F4404" s="4" t="str">
        <f>IF(D4404="","", IFNA(VLOOKUP(D4404, SATCAT_DECAY!A:B, 2, FALSE), ""))
</f>
        <v/>
      </c>
      <c r="G4404" s="3" t="str">
        <f t="shared" si="1"/>
        <v>ACTIVE</v>
      </c>
    </row>
    <row r="4405" ht="22.5" customHeight="1">
      <c r="A4405" s="11" t="str">
        <f t="array" ref="A4405">IFERROR(
  INDEX('Starlink Launches'!$A:$A, MATCH($E4405, 'Starlink Launches'!$B:$B, 0)),
  ""
)
</f>
        <v>11-22</v>
      </c>
      <c r="B4405" s="3" t="s">
        <v>25</v>
      </c>
      <c r="C4405" s="12" t="s">
        <v>4425</v>
      </c>
      <c r="D4405" s="13">
        <v>64276.0</v>
      </c>
      <c r="E4405" s="4">
        <v>45812.0</v>
      </c>
      <c r="F4405" s="4" t="str">
        <f>IF(D4405="","", IFNA(VLOOKUP(D4405, SATCAT_DECAY!A:B, 2, FALSE), ""))
</f>
        <v/>
      </c>
      <c r="G4405" s="3" t="str">
        <f t="shared" si="1"/>
        <v>ACTIVE</v>
      </c>
    </row>
    <row r="4406" ht="22.5" customHeight="1">
      <c r="A4406" s="11" t="str">
        <f t="array" ref="A4406">IFERROR(
  INDEX('Starlink Launches'!$A:$A, MATCH($E4406, 'Starlink Launches'!$B:$B, 0)),
  ""
)
</f>
        <v>11-22</v>
      </c>
      <c r="B4406" s="3" t="s">
        <v>25</v>
      </c>
      <c r="C4406" s="12" t="s">
        <v>4426</v>
      </c>
      <c r="D4406" s="13">
        <v>64277.0</v>
      </c>
      <c r="E4406" s="4">
        <v>45812.0</v>
      </c>
      <c r="F4406" s="4" t="str">
        <f>IF(D4406="","", IFNA(VLOOKUP(D4406, SATCAT_DECAY!A:B, 2, FALSE), ""))
</f>
        <v/>
      </c>
      <c r="G4406" s="3" t="str">
        <f t="shared" si="1"/>
        <v>ACTIVE</v>
      </c>
    </row>
    <row r="4407" ht="22.5" customHeight="1">
      <c r="A4407" s="11" t="str">
        <f t="array" ref="A4407">IFERROR(
  INDEX('Starlink Launches'!$A:$A, MATCH($E4407, 'Starlink Launches'!$B:$B, 0)),
  ""
)
</f>
        <v>11-22</v>
      </c>
      <c r="B4407" s="3" t="s">
        <v>25</v>
      </c>
      <c r="C4407" s="12" t="s">
        <v>4427</v>
      </c>
      <c r="D4407" s="13">
        <v>64278.0</v>
      </c>
      <c r="E4407" s="4">
        <v>45812.0</v>
      </c>
      <c r="F4407" s="4" t="str">
        <f>IF(D4407="","", IFNA(VLOOKUP(D4407, SATCAT_DECAY!A:B, 2, FALSE), ""))
</f>
        <v/>
      </c>
      <c r="G4407" s="3" t="str">
        <f t="shared" si="1"/>
        <v>ACTIVE</v>
      </c>
    </row>
    <row r="4408" ht="22.5" customHeight="1">
      <c r="A4408" s="11" t="str">
        <f t="array" ref="A4408">IFERROR(
  INDEX('Starlink Launches'!$A:$A, MATCH($E4408, 'Starlink Launches'!$B:$B, 0)),
  ""
)
</f>
        <v>11-22</v>
      </c>
      <c r="B4408" s="3" t="s">
        <v>25</v>
      </c>
      <c r="C4408" s="12" t="s">
        <v>4428</v>
      </c>
      <c r="D4408" s="13">
        <v>64279.0</v>
      </c>
      <c r="E4408" s="4">
        <v>45812.0</v>
      </c>
      <c r="F4408" s="4" t="str">
        <f>IF(D4408="","", IFNA(VLOOKUP(D4408, SATCAT_DECAY!A:B, 2, FALSE), ""))
</f>
        <v/>
      </c>
      <c r="G4408" s="3" t="str">
        <f t="shared" si="1"/>
        <v>ACTIVE</v>
      </c>
    </row>
    <row r="4409" ht="22.5" customHeight="1">
      <c r="A4409" s="11" t="str">
        <f t="array" ref="A4409">IFERROR(
  INDEX('Starlink Launches'!$A:$A, MATCH($E4409, 'Starlink Launches'!$B:$B, 0)),
  ""
)
</f>
        <v>11-22</v>
      </c>
      <c r="B4409" s="3" t="s">
        <v>25</v>
      </c>
      <c r="C4409" s="12" t="s">
        <v>4429</v>
      </c>
      <c r="D4409" s="13">
        <v>64280.0</v>
      </c>
      <c r="E4409" s="4">
        <v>45812.0</v>
      </c>
      <c r="F4409" s="4" t="str">
        <f>IF(D4409="","", IFNA(VLOOKUP(D4409, SATCAT_DECAY!A:B, 2, FALSE), ""))
</f>
        <v/>
      </c>
      <c r="G4409" s="3" t="str">
        <f t="shared" si="1"/>
        <v>ACTIVE</v>
      </c>
    </row>
    <row r="4410" ht="22.5" customHeight="1">
      <c r="A4410" s="11" t="str">
        <f t="array" ref="A4410">IFERROR(
  INDEX('Starlink Launches'!$A:$A, MATCH($E4410, 'Starlink Launches'!$B:$B, 0)),
  ""
)
</f>
        <v>11-22</v>
      </c>
      <c r="B4410" s="3" t="s">
        <v>25</v>
      </c>
      <c r="C4410" s="12" t="s">
        <v>4430</v>
      </c>
      <c r="D4410" s="13">
        <v>64281.0</v>
      </c>
      <c r="E4410" s="4">
        <v>45812.0</v>
      </c>
      <c r="F4410" s="4" t="str">
        <f>IF(D4410="","", IFNA(VLOOKUP(D4410, SATCAT_DECAY!A:B, 2, FALSE), ""))
</f>
        <v/>
      </c>
      <c r="G4410" s="3" t="str">
        <f t="shared" si="1"/>
        <v>ACTIVE</v>
      </c>
    </row>
    <row r="4411" ht="22.5" customHeight="1">
      <c r="A4411" s="11" t="str">
        <f t="array" ref="A4411">IFERROR(
  INDEX('Starlink Launches'!$A:$A, MATCH($E4411, 'Starlink Launches'!$B:$B, 0)),
  ""
)
</f>
        <v>11-22</v>
      </c>
      <c r="B4411" s="3" t="s">
        <v>25</v>
      </c>
      <c r="C4411" s="12" t="s">
        <v>4431</v>
      </c>
      <c r="D4411" s="13">
        <v>64282.0</v>
      </c>
      <c r="E4411" s="4">
        <v>45812.0</v>
      </c>
      <c r="F4411" s="4" t="str">
        <f>IF(D4411="","", IFNA(VLOOKUP(D4411, SATCAT_DECAY!A:B, 2, FALSE), ""))
</f>
        <v/>
      </c>
      <c r="G4411" s="3" t="str">
        <f t="shared" si="1"/>
        <v>ACTIVE</v>
      </c>
    </row>
    <row r="4412" ht="22.5" customHeight="1">
      <c r="A4412" s="11" t="str">
        <f t="array" ref="A4412">IFERROR(
  INDEX('Starlink Launches'!$A:$A, MATCH($E4412, 'Starlink Launches'!$B:$B, 0)),
  ""
)
</f>
        <v>11-20</v>
      </c>
      <c r="B4412" s="3" t="s">
        <v>25</v>
      </c>
      <c r="C4412" s="12" t="s">
        <v>4432</v>
      </c>
      <c r="D4412" s="13">
        <v>65823.0</v>
      </c>
      <c r="E4412" s="4">
        <v>45929.0</v>
      </c>
      <c r="F4412" s="4" t="str">
        <f>IF(D4412="","", IFNA(VLOOKUP(D4412, SATCAT_DECAY!A:B, 2, FALSE), ""))
</f>
        <v/>
      </c>
      <c r="G4412" s="3" t="str">
        <f t="shared" si="1"/>
        <v>ACTIVE</v>
      </c>
    </row>
    <row r="4413" ht="22.5" customHeight="1">
      <c r="A4413" s="11" t="str">
        <f t="array" ref="A4413">IFERROR(
  INDEX('Starlink Launches'!$A:$A, MATCH($E4413, 'Starlink Launches'!$B:$B, 0)),
  ""
)
</f>
        <v>11-20</v>
      </c>
      <c r="B4413" s="3" t="s">
        <v>25</v>
      </c>
      <c r="C4413" s="12" t="s">
        <v>4433</v>
      </c>
      <c r="D4413" s="13">
        <v>65824.0</v>
      </c>
      <c r="E4413" s="4">
        <v>45929.0</v>
      </c>
      <c r="F4413" s="4" t="str">
        <f>IF(D4413="","", IFNA(VLOOKUP(D4413, SATCAT_DECAY!A:B, 2, FALSE), ""))
</f>
        <v/>
      </c>
      <c r="G4413" s="3" t="str">
        <f t="shared" si="1"/>
        <v>ACTIVE</v>
      </c>
    </row>
    <row r="4414" ht="22.5" customHeight="1">
      <c r="A4414" s="11" t="str">
        <f t="array" ref="A4414">IFERROR(
  INDEX('Starlink Launches'!$A:$A, MATCH($E4414, 'Starlink Launches'!$B:$B, 0)),
  ""
)
</f>
        <v>11-20</v>
      </c>
      <c r="B4414" s="3" t="s">
        <v>25</v>
      </c>
      <c r="C4414" s="12" t="s">
        <v>4434</v>
      </c>
      <c r="D4414" s="13">
        <v>65825.0</v>
      </c>
      <c r="E4414" s="4">
        <v>45929.0</v>
      </c>
      <c r="F4414" s="4" t="str">
        <f>IF(D4414="","", IFNA(VLOOKUP(D4414, SATCAT_DECAY!A:B, 2, FALSE), ""))
</f>
        <v/>
      </c>
      <c r="G4414" s="3" t="str">
        <f t="shared" si="1"/>
        <v>ACTIVE</v>
      </c>
    </row>
    <row r="4415" ht="22.5" customHeight="1">
      <c r="A4415" s="11" t="str">
        <f t="array" ref="A4415">IFERROR(
  INDEX('Starlink Launches'!$A:$A, MATCH($E4415, 'Starlink Launches'!$B:$B, 0)),
  ""
)
</f>
        <v>11-20</v>
      </c>
      <c r="B4415" s="3" t="s">
        <v>25</v>
      </c>
      <c r="C4415" s="12" t="s">
        <v>4435</v>
      </c>
      <c r="D4415" s="13">
        <v>65826.0</v>
      </c>
      <c r="E4415" s="4">
        <v>45929.0</v>
      </c>
      <c r="F4415" s="4" t="str">
        <f>IF(D4415="","", IFNA(VLOOKUP(D4415, SATCAT_DECAY!A:B, 2, FALSE), ""))
</f>
        <v/>
      </c>
      <c r="G4415" s="3" t="str">
        <f t="shared" si="1"/>
        <v>ACTIVE</v>
      </c>
    </row>
    <row r="4416" ht="22.5" customHeight="1">
      <c r="A4416" s="11" t="str">
        <f t="array" ref="A4416">IFERROR(
  INDEX('Starlink Launches'!$A:$A, MATCH($E4416, 'Starlink Launches'!$B:$B, 0)),
  ""
)
</f>
        <v>11-20</v>
      </c>
      <c r="B4416" s="3" t="s">
        <v>25</v>
      </c>
      <c r="C4416" s="12" t="s">
        <v>4436</v>
      </c>
      <c r="D4416" s="13">
        <v>65827.0</v>
      </c>
      <c r="E4416" s="4">
        <v>45929.0</v>
      </c>
      <c r="F4416" s="4" t="str">
        <f>IF(D4416="","", IFNA(VLOOKUP(D4416, SATCAT_DECAY!A:B, 2, FALSE), ""))
</f>
        <v/>
      </c>
      <c r="G4416" s="3" t="str">
        <f t="shared" si="1"/>
        <v>ACTIVE</v>
      </c>
    </row>
    <row r="4417" ht="22.5" customHeight="1">
      <c r="A4417" s="11" t="str">
        <f t="array" ref="A4417">IFERROR(
  INDEX('Starlink Launches'!$A:$A, MATCH($E4417, 'Starlink Launches'!$B:$B, 0)),
  ""
)
</f>
        <v>11-20</v>
      </c>
      <c r="B4417" s="3" t="s">
        <v>25</v>
      </c>
      <c r="C4417" s="12" t="s">
        <v>4437</v>
      </c>
      <c r="D4417" s="13">
        <v>65828.0</v>
      </c>
      <c r="E4417" s="4">
        <v>45929.0</v>
      </c>
      <c r="F4417" s="4" t="str">
        <f>IF(D4417="","", IFNA(VLOOKUP(D4417, SATCAT_DECAY!A:B, 2, FALSE), ""))
</f>
        <v/>
      </c>
      <c r="G4417" s="3" t="str">
        <f t="shared" si="1"/>
        <v>ACTIVE</v>
      </c>
    </row>
    <row r="4418" ht="22.5" customHeight="1">
      <c r="A4418" s="11" t="str">
        <f t="array" ref="A4418">IFERROR(
  INDEX('Starlink Launches'!$A:$A, MATCH($E4418, 'Starlink Launches'!$B:$B, 0)),
  ""
)
</f>
        <v>11-20</v>
      </c>
      <c r="B4418" s="3" t="s">
        <v>25</v>
      </c>
      <c r="C4418" s="12" t="s">
        <v>4438</v>
      </c>
      <c r="D4418" s="13">
        <v>65829.0</v>
      </c>
      <c r="E4418" s="4">
        <v>45929.0</v>
      </c>
      <c r="F4418" s="4" t="str">
        <f>IF(D4418="","", IFNA(VLOOKUP(D4418, SATCAT_DECAY!A:B, 2, FALSE), ""))
</f>
        <v/>
      </c>
      <c r="G4418" s="3" t="str">
        <f t="shared" si="1"/>
        <v>ACTIVE</v>
      </c>
    </row>
    <row r="4419" ht="22.5" customHeight="1">
      <c r="A4419" s="11" t="str">
        <f t="array" ref="A4419">IFERROR(
  INDEX('Starlink Launches'!$A:$A, MATCH($E4419, 'Starlink Launches'!$B:$B, 0)),
  ""
)
</f>
        <v>11-20</v>
      </c>
      <c r="B4419" s="3" t="s">
        <v>25</v>
      </c>
      <c r="C4419" s="12" t="s">
        <v>4439</v>
      </c>
      <c r="D4419" s="13">
        <v>65830.0</v>
      </c>
      <c r="E4419" s="4">
        <v>45929.0</v>
      </c>
      <c r="F4419" s="4" t="str">
        <f>IF(D4419="","", IFNA(VLOOKUP(D4419, SATCAT_DECAY!A:B, 2, FALSE), ""))
</f>
        <v/>
      </c>
      <c r="G4419" s="3" t="str">
        <f t="shared" si="1"/>
        <v>ACTIVE</v>
      </c>
    </row>
    <row r="4420" ht="22.5" customHeight="1">
      <c r="A4420" s="11" t="str">
        <f t="array" ref="A4420">IFERROR(
  INDEX('Starlink Launches'!$A:$A, MATCH($E4420, 'Starlink Launches'!$B:$B, 0)),
  ""
)
</f>
        <v>11-20</v>
      </c>
      <c r="B4420" s="3" t="s">
        <v>25</v>
      </c>
      <c r="C4420" s="12" t="s">
        <v>4440</v>
      </c>
      <c r="D4420" s="13">
        <v>65831.0</v>
      </c>
      <c r="E4420" s="4">
        <v>45929.0</v>
      </c>
      <c r="F4420" s="4" t="str">
        <f>IF(D4420="","", IFNA(VLOOKUP(D4420, SATCAT_DECAY!A:B, 2, FALSE), ""))
</f>
        <v/>
      </c>
      <c r="G4420" s="3" t="str">
        <f t="shared" si="1"/>
        <v>ACTIVE</v>
      </c>
    </row>
    <row r="4421" ht="22.5" customHeight="1">
      <c r="A4421" s="11" t="str">
        <f t="array" ref="A4421">IFERROR(
  INDEX('Starlink Launches'!$A:$A, MATCH($E4421, 'Starlink Launches'!$B:$B, 0)),
  ""
)
</f>
        <v>11-20</v>
      </c>
      <c r="B4421" s="3" t="s">
        <v>25</v>
      </c>
      <c r="C4421" s="12" t="s">
        <v>4441</v>
      </c>
      <c r="D4421" s="13">
        <v>65832.0</v>
      </c>
      <c r="E4421" s="4">
        <v>45929.0</v>
      </c>
      <c r="F4421" s="4" t="str">
        <f>IF(D4421="","", IFNA(VLOOKUP(D4421, SATCAT_DECAY!A:B, 2, FALSE), ""))
</f>
        <v/>
      </c>
      <c r="G4421" s="3" t="str">
        <f t="shared" si="1"/>
        <v>ACTIVE</v>
      </c>
    </row>
    <row r="4422" ht="22.5" customHeight="1">
      <c r="A4422" s="11" t="str">
        <f t="array" ref="A4422">IFERROR(
  INDEX('Starlink Launches'!$A:$A, MATCH($E4422, 'Starlink Launches'!$B:$B, 0)),
  ""
)
</f>
        <v>11-20</v>
      </c>
      <c r="B4422" s="3" t="s">
        <v>25</v>
      </c>
      <c r="C4422" s="12" t="s">
        <v>4442</v>
      </c>
      <c r="D4422" s="13">
        <v>65833.0</v>
      </c>
      <c r="E4422" s="4">
        <v>45929.0</v>
      </c>
      <c r="F4422" s="4" t="str">
        <f>IF(D4422="","", IFNA(VLOOKUP(D4422, SATCAT_DECAY!A:B, 2, FALSE), ""))
</f>
        <v/>
      </c>
      <c r="G4422" s="3" t="str">
        <f t="shared" si="1"/>
        <v>ACTIVE</v>
      </c>
    </row>
    <row r="4423" ht="22.5" customHeight="1">
      <c r="A4423" s="11" t="str">
        <f t="array" ref="A4423">IFERROR(
  INDEX('Starlink Launches'!$A:$A, MATCH($E4423, 'Starlink Launches'!$B:$B, 0)),
  ""
)
</f>
        <v>11-20</v>
      </c>
      <c r="B4423" s="3" t="s">
        <v>25</v>
      </c>
      <c r="C4423" s="12" t="s">
        <v>4443</v>
      </c>
      <c r="D4423" s="13">
        <v>65834.0</v>
      </c>
      <c r="E4423" s="4">
        <v>45929.0</v>
      </c>
      <c r="F4423" s="4" t="str">
        <f>IF(D4423="","", IFNA(VLOOKUP(D4423, SATCAT_DECAY!A:B, 2, FALSE), ""))
</f>
        <v/>
      </c>
      <c r="G4423" s="3" t="str">
        <f t="shared" si="1"/>
        <v>ACTIVE</v>
      </c>
    </row>
    <row r="4424" ht="22.5" customHeight="1">
      <c r="A4424" s="11" t="str">
        <f t="array" ref="A4424">IFERROR(
  INDEX('Starlink Launches'!$A:$A, MATCH($E4424, 'Starlink Launches'!$B:$B, 0)),
  ""
)
</f>
        <v>11-20</v>
      </c>
      <c r="B4424" s="3" t="s">
        <v>25</v>
      </c>
      <c r="C4424" s="12" t="s">
        <v>4444</v>
      </c>
      <c r="D4424" s="13">
        <v>65835.0</v>
      </c>
      <c r="E4424" s="4">
        <v>45929.0</v>
      </c>
      <c r="F4424" s="4" t="str">
        <f>IF(D4424="","", IFNA(VLOOKUP(D4424, SATCAT_DECAY!A:B, 2, FALSE), ""))
</f>
        <v/>
      </c>
      <c r="G4424" s="3" t="str">
        <f t="shared" si="1"/>
        <v>ACTIVE</v>
      </c>
    </row>
    <row r="4425" ht="22.5" customHeight="1">
      <c r="A4425" s="11" t="str">
        <f t="array" ref="A4425">IFERROR(
  INDEX('Starlink Launches'!$A:$A, MATCH($E4425, 'Starlink Launches'!$B:$B, 0)),
  ""
)
</f>
        <v>11-20</v>
      </c>
      <c r="B4425" s="3" t="s">
        <v>25</v>
      </c>
      <c r="C4425" s="12" t="s">
        <v>4445</v>
      </c>
      <c r="D4425" s="13">
        <v>65836.0</v>
      </c>
      <c r="E4425" s="4">
        <v>45929.0</v>
      </c>
      <c r="F4425" s="4" t="str">
        <f>IF(D4425="","", IFNA(VLOOKUP(D4425, SATCAT_DECAY!A:B, 2, FALSE), ""))
</f>
        <v/>
      </c>
      <c r="G4425" s="3" t="str">
        <f t="shared" si="1"/>
        <v>ACTIVE</v>
      </c>
    </row>
    <row r="4426" ht="22.5" customHeight="1">
      <c r="A4426" s="11" t="str">
        <f t="array" ref="A4426">IFERROR(
  INDEX('Starlink Launches'!$A:$A, MATCH($E4426, 'Starlink Launches'!$B:$B, 0)),
  ""
)
</f>
        <v>11-20</v>
      </c>
      <c r="B4426" s="3" t="s">
        <v>25</v>
      </c>
      <c r="C4426" s="12" t="s">
        <v>4446</v>
      </c>
      <c r="D4426" s="13">
        <v>65837.0</v>
      </c>
      <c r="E4426" s="4">
        <v>45929.0</v>
      </c>
      <c r="F4426" s="4" t="str">
        <f>IF(D4426="","", IFNA(VLOOKUP(D4426, SATCAT_DECAY!A:B, 2, FALSE), ""))
</f>
        <v/>
      </c>
      <c r="G4426" s="3" t="str">
        <f t="shared" si="1"/>
        <v>ACTIVE</v>
      </c>
    </row>
    <row r="4427" ht="22.5" customHeight="1">
      <c r="A4427" s="11" t="str">
        <f t="array" ref="A4427">IFERROR(
  INDEX('Starlink Launches'!$A:$A, MATCH($E4427, 'Starlink Launches'!$B:$B, 0)),
  ""
)
</f>
        <v>11-20</v>
      </c>
      <c r="B4427" s="3" t="s">
        <v>25</v>
      </c>
      <c r="C4427" s="12" t="s">
        <v>4447</v>
      </c>
      <c r="D4427" s="13">
        <v>65838.0</v>
      </c>
      <c r="E4427" s="4">
        <v>45929.0</v>
      </c>
      <c r="F4427" s="4" t="str">
        <f>IF(D4427="","", IFNA(VLOOKUP(D4427, SATCAT_DECAY!A:B, 2, FALSE), ""))
</f>
        <v/>
      </c>
      <c r="G4427" s="3" t="str">
        <f t="shared" si="1"/>
        <v>ACTIVE</v>
      </c>
    </row>
    <row r="4428" ht="22.5" customHeight="1">
      <c r="A4428" s="11" t="str">
        <f t="array" ref="A4428">IFERROR(
  INDEX('Starlink Launches'!$A:$A, MATCH($E4428, 'Starlink Launches'!$B:$B, 0)),
  ""
)
</f>
        <v>11-20</v>
      </c>
      <c r="B4428" s="3" t="s">
        <v>25</v>
      </c>
      <c r="C4428" s="12" t="s">
        <v>4448</v>
      </c>
      <c r="D4428" s="13">
        <v>65839.0</v>
      </c>
      <c r="E4428" s="4">
        <v>45929.0</v>
      </c>
      <c r="F4428" s="4" t="str">
        <f>IF(D4428="","", IFNA(VLOOKUP(D4428, SATCAT_DECAY!A:B, 2, FALSE), ""))
</f>
        <v/>
      </c>
      <c r="G4428" s="3" t="str">
        <f t="shared" si="1"/>
        <v>ACTIVE</v>
      </c>
    </row>
    <row r="4429" ht="22.5" customHeight="1">
      <c r="A4429" s="11" t="str">
        <f t="array" ref="A4429">IFERROR(
  INDEX('Starlink Launches'!$A:$A, MATCH($E4429, 'Starlink Launches'!$B:$B, 0)),
  ""
)
</f>
        <v>11-20</v>
      </c>
      <c r="B4429" s="3" t="s">
        <v>25</v>
      </c>
      <c r="C4429" s="12" t="s">
        <v>4449</v>
      </c>
      <c r="D4429" s="13">
        <v>65840.0</v>
      </c>
      <c r="E4429" s="4">
        <v>45929.0</v>
      </c>
      <c r="F4429" s="4" t="str">
        <f>IF(D4429="","", IFNA(VLOOKUP(D4429, SATCAT_DECAY!A:B, 2, FALSE), ""))
</f>
        <v/>
      </c>
      <c r="G4429" s="3" t="str">
        <f t="shared" si="1"/>
        <v>ACTIVE</v>
      </c>
    </row>
    <row r="4430" ht="22.5" customHeight="1">
      <c r="A4430" s="11" t="str">
        <f t="array" ref="A4430">IFERROR(
  INDEX('Starlink Launches'!$A:$A, MATCH($E4430, 'Starlink Launches'!$B:$B, 0)),
  ""
)
</f>
        <v>11-20</v>
      </c>
      <c r="B4430" s="3" t="s">
        <v>25</v>
      </c>
      <c r="C4430" s="12" t="s">
        <v>4450</v>
      </c>
      <c r="D4430" s="13">
        <v>65842.0</v>
      </c>
      <c r="E4430" s="4">
        <v>45929.0</v>
      </c>
      <c r="F4430" s="4" t="str">
        <f>IF(D4430="","", IFNA(VLOOKUP(D4430, SATCAT_DECAY!A:B, 2, FALSE), ""))
</f>
        <v/>
      </c>
      <c r="G4430" s="3" t="str">
        <f t="shared" si="1"/>
        <v>ACTIVE</v>
      </c>
    </row>
    <row r="4431" ht="22.5" customHeight="1">
      <c r="A4431" s="11" t="str">
        <f t="array" ref="A4431">IFERROR(
  INDEX('Starlink Launches'!$A:$A, MATCH($E4431, 'Starlink Launches'!$B:$B, 0)),
  ""
)
</f>
        <v>11-20</v>
      </c>
      <c r="B4431" s="3" t="s">
        <v>25</v>
      </c>
      <c r="C4431" s="12" t="s">
        <v>4451</v>
      </c>
      <c r="D4431" s="13">
        <v>65843.0</v>
      </c>
      <c r="E4431" s="4">
        <v>45929.0</v>
      </c>
      <c r="F4431" s="4" t="str">
        <f>IF(D4431="","", IFNA(VLOOKUP(D4431, SATCAT_DECAY!A:B, 2, FALSE), ""))
</f>
        <v/>
      </c>
      <c r="G4431" s="3" t="str">
        <f t="shared" si="1"/>
        <v>ACTIVE</v>
      </c>
    </row>
    <row r="4432" ht="22.5" customHeight="1">
      <c r="A4432" s="11" t="str">
        <f t="array" ref="A4432">IFERROR(
  INDEX('Starlink Launches'!$A:$A, MATCH($E4432, 'Starlink Launches'!$B:$B, 0)),
  ""
)
</f>
        <v>11-20</v>
      </c>
      <c r="B4432" s="3" t="s">
        <v>25</v>
      </c>
      <c r="C4432" s="12" t="s">
        <v>4452</v>
      </c>
      <c r="D4432" s="13">
        <v>65844.0</v>
      </c>
      <c r="E4432" s="4">
        <v>45929.0</v>
      </c>
      <c r="F4432" s="4" t="str">
        <f>IF(D4432="","", IFNA(VLOOKUP(D4432, SATCAT_DECAY!A:B, 2, FALSE), ""))
</f>
        <v/>
      </c>
      <c r="G4432" s="3" t="str">
        <f t="shared" si="1"/>
        <v>ACTIVE</v>
      </c>
    </row>
    <row r="4433" ht="22.5" customHeight="1">
      <c r="A4433" s="11" t="str">
        <f t="array" ref="A4433">IFERROR(
  INDEX('Starlink Launches'!$A:$A, MATCH($E4433, 'Starlink Launches'!$B:$B, 0)),
  ""
)
</f>
        <v>11-20</v>
      </c>
      <c r="B4433" s="3" t="s">
        <v>25</v>
      </c>
      <c r="C4433" s="12" t="s">
        <v>4453</v>
      </c>
      <c r="D4433" s="13">
        <v>65845.0</v>
      </c>
      <c r="E4433" s="4">
        <v>45929.0</v>
      </c>
      <c r="F4433" s="4" t="str">
        <f>IF(D4433="","", IFNA(VLOOKUP(D4433, SATCAT_DECAY!A:B, 2, FALSE), ""))
</f>
        <v/>
      </c>
      <c r="G4433" s="3" t="str">
        <f t="shared" si="1"/>
        <v>ACTIVE</v>
      </c>
    </row>
    <row r="4434" ht="22.5" customHeight="1">
      <c r="A4434" s="11" t="str">
        <f t="array" ref="A4434">IFERROR(
  INDEX('Starlink Launches'!$A:$A, MATCH($E4434, 'Starlink Launches'!$B:$B, 0)),
  ""
)
</f>
        <v>11-20</v>
      </c>
      <c r="B4434" s="3" t="s">
        <v>25</v>
      </c>
      <c r="C4434" s="12" t="s">
        <v>4454</v>
      </c>
      <c r="D4434" s="13">
        <v>65846.0</v>
      </c>
      <c r="E4434" s="4">
        <v>45929.0</v>
      </c>
      <c r="F4434" s="4" t="str">
        <f>IF(D4434="","", IFNA(VLOOKUP(D4434, SATCAT_DECAY!A:B, 2, FALSE), ""))
</f>
        <v/>
      </c>
      <c r="G4434" s="3" t="str">
        <f t="shared" si="1"/>
        <v>ACTIVE</v>
      </c>
    </row>
    <row r="4435" ht="22.5" customHeight="1">
      <c r="A4435" s="11" t="str">
        <f t="array" ref="A4435">IFERROR(
  INDEX('Starlink Launches'!$A:$A, MATCH($E4435, 'Starlink Launches'!$B:$B, 0)),
  ""
)
</f>
        <v>11-20</v>
      </c>
      <c r="B4435" s="3" t="s">
        <v>25</v>
      </c>
      <c r="C4435" s="12" t="s">
        <v>4455</v>
      </c>
      <c r="D4435" s="13">
        <v>65847.0</v>
      </c>
      <c r="E4435" s="4">
        <v>45929.0</v>
      </c>
      <c r="F4435" s="4" t="str">
        <f>IF(D4435="","", IFNA(VLOOKUP(D4435, SATCAT_DECAY!A:B, 2, FALSE), ""))
</f>
        <v/>
      </c>
      <c r="G4435" s="3" t="str">
        <f t="shared" si="1"/>
        <v>ACTIVE</v>
      </c>
    </row>
    <row r="4436" ht="22.5" customHeight="1">
      <c r="A4436" s="11" t="str">
        <f t="array" ref="A4436">IFERROR(
  INDEX('Starlink Launches'!$A:$A, MATCH($E4436, 'Starlink Launches'!$B:$B, 0)),
  ""
)
</f>
        <v>11-20</v>
      </c>
      <c r="B4436" s="3" t="s">
        <v>25</v>
      </c>
      <c r="C4436" s="12" t="s">
        <v>4456</v>
      </c>
      <c r="D4436" s="13">
        <v>65848.0</v>
      </c>
      <c r="E4436" s="4">
        <v>45929.0</v>
      </c>
      <c r="F4436" s="4" t="str">
        <f>IF(D4436="","", IFNA(VLOOKUP(D4436, SATCAT_DECAY!A:B, 2, FALSE), ""))
</f>
        <v/>
      </c>
      <c r="G4436" s="3" t="str">
        <f t="shared" si="1"/>
        <v>ACTIVE</v>
      </c>
    </row>
    <row r="4437" ht="22.5" customHeight="1">
      <c r="A4437" s="11" t="str">
        <f t="array" ref="A4437">IFERROR(
  INDEX('Starlink Launches'!$A:$A, MATCH($E4437, 'Starlink Launches'!$B:$B, 0)),
  ""
)
</f>
        <v>11-20</v>
      </c>
      <c r="B4437" s="3" t="s">
        <v>25</v>
      </c>
      <c r="C4437" s="12" t="s">
        <v>4457</v>
      </c>
      <c r="D4437" s="13">
        <v>65849.0</v>
      </c>
      <c r="E4437" s="4">
        <v>45929.0</v>
      </c>
      <c r="F4437" s="4" t="str">
        <f>IF(D4437="","", IFNA(VLOOKUP(D4437, SATCAT_DECAY!A:B, 2, FALSE), ""))
</f>
        <v/>
      </c>
      <c r="G4437" s="3" t="str">
        <f t="shared" si="1"/>
        <v>ACTIVE</v>
      </c>
    </row>
    <row r="4438" ht="22.5" customHeight="1">
      <c r="A4438" s="11" t="str">
        <f t="array" ref="A4438">IFERROR(
  INDEX('Starlink Launches'!$A:$A, MATCH($E4438, 'Starlink Launches'!$B:$B, 0)),
  ""
)
</f>
        <v>11-20</v>
      </c>
      <c r="B4438" s="3" t="s">
        <v>25</v>
      </c>
      <c r="C4438" s="12" t="s">
        <v>4458</v>
      </c>
      <c r="D4438" s="13">
        <v>65850.0</v>
      </c>
      <c r="E4438" s="4">
        <v>45929.0</v>
      </c>
      <c r="F4438" s="4" t="str">
        <f>IF(D4438="","", IFNA(VLOOKUP(D4438, SATCAT_DECAY!A:B, 2, FALSE), ""))
</f>
        <v/>
      </c>
      <c r="G4438" s="3" t="str">
        <f t="shared" si="1"/>
        <v>ACTIVE</v>
      </c>
    </row>
    <row r="4439" ht="22.5" customHeight="1">
      <c r="A4439" s="11" t="str">
        <f t="array" ref="A4439">IFERROR(
  INDEX('Starlink Launches'!$A:$A, MATCH($E4439, 'Starlink Launches'!$B:$B, 0)),
  ""
)
</f>
        <v>11-39</v>
      </c>
      <c r="B4439" s="3" t="s">
        <v>25</v>
      </c>
      <c r="C4439" s="12" t="s">
        <v>4459</v>
      </c>
      <c r="D4439" s="13">
        <v>65854.0</v>
      </c>
      <c r="E4439" s="4">
        <v>45933.0</v>
      </c>
      <c r="F4439" s="4" t="str">
        <f>IF(D4439="","", IFNA(VLOOKUP(D4439, SATCAT_DECAY!A:B, 2, FALSE), ""))
</f>
        <v/>
      </c>
      <c r="G4439" s="3" t="str">
        <f t="shared" si="1"/>
        <v>ACTIVE</v>
      </c>
    </row>
    <row r="4440" ht="22.5" customHeight="1">
      <c r="A4440" s="11" t="str">
        <f t="array" ref="A4440">IFERROR(
  INDEX('Starlink Launches'!$A:$A, MATCH($E4440, 'Starlink Launches'!$B:$B, 0)),
  ""
)
</f>
        <v>11-39</v>
      </c>
      <c r="B4440" s="3" t="s">
        <v>25</v>
      </c>
      <c r="C4440" s="12" t="s">
        <v>4460</v>
      </c>
      <c r="D4440" s="13">
        <v>65855.0</v>
      </c>
      <c r="E4440" s="4">
        <v>45933.0</v>
      </c>
      <c r="F4440" s="4" t="str">
        <f>IF(D4440="","", IFNA(VLOOKUP(D4440, SATCAT_DECAY!A:B, 2, FALSE), ""))
</f>
        <v/>
      </c>
      <c r="G4440" s="3" t="str">
        <f t="shared" si="1"/>
        <v>ACTIVE</v>
      </c>
    </row>
    <row r="4441" ht="22.5" customHeight="1">
      <c r="A4441" s="11" t="str">
        <f t="array" ref="A4441">IFERROR(
  INDEX('Starlink Launches'!$A:$A, MATCH($E4441, 'Starlink Launches'!$B:$B, 0)),
  ""
)
</f>
        <v>11-39</v>
      </c>
      <c r="B4441" s="3" t="s">
        <v>25</v>
      </c>
      <c r="C4441" s="12" t="s">
        <v>4461</v>
      </c>
      <c r="D4441" s="13">
        <v>65856.0</v>
      </c>
      <c r="E4441" s="4">
        <v>45933.0</v>
      </c>
      <c r="F4441" s="4" t="str">
        <f>IF(D4441="","", IFNA(VLOOKUP(D4441, SATCAT_DECAY!A:B, 2, FALSE), ""))
</f>
        <v/>
      </c>
      <c r="G4441" s="3" t="str">
        <f t="shared" si="1"/>
        <v>ACTIVE</v>
      </c>
    </row>
    <row r="4442" ht="22.5" customHeight="1">
      <c r="A4442" s="11" t="str">
        <f t="array" ref="A4442">IFERROR(
  INDEX('Starlink Launches'!$A:$A, MATCH($E4442, 'Starlink Launches'!$B:$B, 0)),
  ""
)
</f>
        <v>11-39</v>
      </c>
      <c r="B4442" s="3" t="s">
        <v>25</v>
      </c>
      <c r="C4442" s="12" t="s">
        <v>4462</v>
      </c>
      <c r="D4442" s="13">
        <v>65857.0</v>
      </c>
      <c r="E4442" s="4">
        <v>45933.0</v>
      </c>
      <c r="F4442" s="4" t="str">
        <f>IF(D4442="","", IFNA(VLOOKUP(D4442, SATCAT_DECAY!A:B, 2, FALSE), ""))
</f>
        <v/>
      </c>
      <c r="G4442" s="3" t="str">
        <f t="shared" si="1"/>
        <v>ACTIVE</v>
      </c>
    </row>
    <row r="4443" ht="22.5" customHeight="1">
      <c r="A4443" s="11" t="str">
        <f t="array" ref="A4443">IFERROR(
  INDEX('Starlink Launches'!$A:$A, MATCH($E4443, 'Starlink Launches'!$B:$B, 0)),
  ""
)
</f>
        <v>11-39</v>
      </c>
      <c r="B4443" s="3" t="s">
        <v>25</v>
      </c>
      <c r="C4443" s="12" t="s">
        <v>4463</v>
      </c>
      <c r="D4443" s="13">
        <v>65858.0</v>
      </c>
      <c r="E4443" s="4">
        <v>45933.0</v>
      </c>
      <c r="F4443" s="4" t="str">
        <f>IF(D4443="","", IFNA(VLOOKUP(D4443, SATCAT_DECAY!A:B, 2, FALSE), ""))
</f>
        <v/>
      </c>
      <c r="G4443" s="3" t="str">
        <f t="shared" si="1"/>
        <v>ACTIVE</v>
      </c>
    </row>
    <row r="4444" ht="22.5" customHeight="1">
      <c r="A4444" s="11" t="str">
        <f t="array" ref="A4444">IFERROR(
  INDEX('Starlink Launches'!$A:$A, MATCH($E4444, 'Starlink Launches'!$B:$B, 0)),
  ""
)
</f>
        <v>11-39</v>
      </c>
      <c r="B4444" s="3" t="s">
        <v>25</v>
      </c>
      <c r="C4444" s="12" t="s">
        <v>4464</v>
      </c>
      <c r="D4444" s="13">
        <v>65859.0</v>
      </c>
      <c r="E4444" s="4">
        <v>45933.0</v>
      </c>
      <c r="F4444" s="4" t="str">
        <f>IF(D4444="","", IFNA(VLOOKUP(D4444, SATCAT_DECAY!A:B, 2, FALSE), ""))
</f>
        <v/>
      </c>
      <c r="G4444" s="3" t="str">
        <f t="shared" si="1"/>
        <v>ACTIVE</v>
      </c>
    </row>
    <row r="4445" ht="22.5" customHeight="1">
      <c r="A4445" s="11" t="str">
        <f t="array" ref="A4445">IFERROR(
  INDEX('Starlink Launches'!$A:$A, MATCH($E4445, 'Starlink Launches'!$B:$B, 0)),
  ""
)
</f>
        <v>11-39</v>
      </c>
      <c r="B4445" s="3" t="s">
        <v>25</v>
      </c>
      <c r="C4445" s="12" t="s">
        <v>4465</v>
      </c>
      <c r="D4445" s="13">
        <v>65860.0</v>
      </c>
      <c r="E4445" s="4">
        <v>45933.0</v>
      </c>
      <c r="F4445" s="4" t="str">
        <f>IF(D4445="","", IFNA(VLOOKUP(D4445, SATCAT_DECAY!A:B, 2, FALSE), ""))
</f>
        <v/>
      </c>
      <c r="G4445" s="3" t="str">
        <f t="shared" si="1"/>
        <v>ACTIVE</v>
      </c>
    </row>
    <row r="4446" ht="22.5" customHeight="1">
      <c r="A4446" s="11" t="str">
        <f t="array" ref="A4446">IFERROR(
  INDEX('Starlink Launches'!$A:$A, MATCH($E4446, 'Starlink Launches'!$B:$B, 0)),
  ""
)
</f>
        <v>11-39</v>
      </c>
      <c r="B4446" s="3" t="s">
        <v>25</v>
      </c>
      <c r="C4446" s="12" t="s">
        <v>4466</v>
      </c>
      <c r="D4446" s="13">
        <v>65861.0</v>
      </c>
      <c r="E4446" s="4">
        <v>45933.0</v>
      </c>
      <c r="F4446" s="4" t="str">
        <f>IF(D4446="","", IFNA(VLOOKUP(D4446, SATCAT_DECAY!A:B, 2, FALSE), ""))
</f>
        <v/>
      </c>
      <c r="G4446" s="3" t="str">
        <f t="shared" si="1"/>
        <v>ACTIVE</v>
      </c>
    </row>
    <row r="4447" ht="22.5" customHeight="1">
      <c r="A4447" s="11" t="str">
        <f t="array" ref="A4447">IFERROR(
  INDEX('Starlink Launches'!$A:$A, MATCH($E4447, 'Starlink Launches'!$B:$B, 0)),
  ""
)
</f>
        <v>11-39</v>
      </c>
      <c r="B4447" s="3" t="s">
        <v>25</v>
      </c>
      <c r="C4447" s="12" t="s">
        <v>4467</v>
      </c>
      <c r="D4447" s="13">
        <v>65862.0</v>
      </c>
      <c r="E4447" s="4">
        <v>45933.0</v>
      </c>
      <c r="F4447" s="4" t="str">
        <f>IF(D4447="","", IFNA(VLOOKUP(D4447, SATCAT_DECAY!A:B, 2, FALSE), ""))
</f>
        <v/>
      </c>
      <c r="G4447" s="3" t="str">
        <f t="shared" si="1"/>
        <v>ACTIVE</v>
      </c>
    </row>
    <row r="4448" ht="22.5" customHeight="1">
      <c r="A4448" s="11" t="str">
        <f t="array" ref="A4448">IFERROR(
  INDEX('Starlink Launches'!$A:$A, MATCH($E4448, 'Starlink Launches'!$B:$B, 0)),
  ""
)
</f>
        <v>11-39</v>
      </c>
      <c r="B4448" s="3" t="s">
        <v>25</v>
      </c>
      <c r="C4448" s="12" t="s">
        <v>4468</v>
      </c>
      <c r="D4448" s="13">
        <v>65863.0</v>
      </c>
      <c r="E4448" s="4">
        <v>45933.0</v>
      </c>
      <c r="F4448" s="4" t="str">
        <f>IF(D4448="","", IFNA(VLOOKUP(D4448, SATCAT_DECAY!A:B, 2, FALSE), ""))
</f>
        <v/>
      </c>
      <c r="G4448" s="3" t="str">
        <f t="shared" si="1"/>
        <v>ACTIVE</v>
      </c>
    </row>
    <row r="4449" ht="22.5" customHeight="1">
      <c r="A4449" s="11" t="str">
        <f t="array" ref="A4449">IFERROR(
  INDEX('Starlink Launches'!$A:$A, MATCH($E4449, 'Starlink Launches'!$B:$B, 0)),
  ""
)
</f>
        <v>11-39</v>
      </c>
      <c r="B4449" s="3" t="s">
        <v>25</v>
      </c>
      <c r="C4449" s="12" t="s">
        <v>4469</v>
      </c>
      <c r="D4449" s="13">
        <v>65864.0</v>
      </c>
      <c r="E4449" s="4">
        <v>45933.0</v>
      </c>
      <c r="F4449" s="4" t="str">
        <f>IF(D4449="","", IFNA(VLOOKUP(D4449, SATCAT_DECAY!A:B, 2, FALSE), ""))
</f>
        <v/>
      </c>
      <c r="G4449" s="3" t="str">
        <f t="shared" si="1"/>
        <v>ACTIVE</v>
      </c>
    </row>
    <row r="4450" ht="22.5" customHeight="1">
      <c r="A4450" s="11" t="str">
        <f t="array" ref="A4450">IFERROR(
  INDEX('Starlink Launches'!$A:$A, MATCH($E4450, 'Starlink Launches'!$B:$B, 0)),
  ""
)
</f>
        <v>11-39</v>
      </c>
      <c r="B4450" s="3" t="s">
        <v>25</v>
      </c>
      <c r="C4450" s="12" t="s">
        <v>4470</v>
      </c>
      <c r="D4450" s="13">
        <v>65865.0</v>
      </c>
      <c r="E4450" s="4">
        <v>45933.0</v>
      </c>
      <c r="F4450" s="4" t="str">
        <f>IF(D4450="","", IFNA(VLOOKUP(D4450, SATCAT_DECAY!A:B, 2, FALSE), ""))
</f>
        <v/>
      </c>
      <c r="G4450" s="3" t="str">
        <f t="shared" si="1"/>
        <v>ACTIVE</v>
      </c>
    </row>
    <row r="4451" ht="22.5" customHeight="1">
      <c r="A4451" s="11" t="str">
        <f t="array" ref="A4451">IFERROR(
  INDEX('Starlink Launches'!$A:$A, MATCH($E4451, 'Starlink Launches'!$B:$B, 0)),
  ""
)
</f>
        <v>11-39</v>
      </c>
      <c r="B4451" s="3" t="s">
        <v>25</v>
      </c>
      <c r="C4451" s="12" t="s">
        <v>4471</v>
      </c>
      <c r="D4451" s="13">
        <v>65866.0</v>
      </c>
      <c r="E4451" s="4">
        <v>45933.0</v>
      </c>
      <c r="F4451" s="4" t="str">
        <f>IF(D4451="","", IFNA(VLOOKUP(D4451, SATCAT_DECAY!A:B, 2, FALSE), ""))
</f>
        <v/>
      </c>
      <c r="G4451" s="3" t="str">
        <f t="shared" si="1"/>
        <v>ACTIVE</v>
      </c>
    </row>
    <row r="4452" ht="22.5" customHeight="1">
      <c r="A4452" s="11" t="str">
        <f t="array" ref="A4452">IFERROR(
  INDEX('Starlink Launches'!$A:$A, MATCH($E4452, 'Starlink Launches'!$B:$B, 0)),
  ""
)
</f>
        <v>11-39</v>
      </c>
      <c r="B4452" s="3" t="s">
        <v>25</v>
      </c>
      <c r="C4452" s="12" t="s">
        <v>4472</v>
      </c>
      <c r="D4452" s="13">
        <v>65867.0</v>
      </c>
      <c r="E4452" s="4">
        <v>45933.0</v>
      </c>
      <c r="F4452" s="4" t="str">
        <f>IF(D4452="","", IFNA(VLOOKUP(D4452, SATCAT_DECAY!A:B, 2, FALSE), ""))
</f>
        <v/>
      </c>
      <c r="G4452" s="3" t="str">
        <f t="shared" si="1"/>
        <v>ACTIVE</v>
      </c>
    </row>
    <row r="4453" ht="22.5" customHeight="1">
      <c r="A4453" s="11" t="str">
        <f t="array" ref="A4453">IFERROR(
  INDEX('Starlink Launches'!$A:$A, MATCH($E4453, 'Starlink Launches'!$B:$B, 0)),
  ""
)
</f>
        <v>11-39</v>
      </c>
      <c r="B4453" s="3" t="s">
        <v>25</v>
      </c>
      <c r="C4453" s="12" t="s">
        <v>4473</v>
      </c>
      <c r="D4453" s="13">
        <v>65868.0</v>
      </c>
      <c r="E4453" s="4">
        <v>45933.0</v>
      </c>
      <c r="F4453" s="4" t="str">
        <f>IF(D4453="","", IFNA(VLOOKUP(D4453, SATCAT_DECAY!A:B, 2, FALSE), ""))
</f>
        <v/>
      </c>
      <c r="G4453" s="3" t="str">
        <f t="shared" si="1"/>
        <v>ACTIVE</v>
      </c>
    </row>
    <row r="4454" ht="22.5" customHeight="1">
      <c r="A4454" s="11" t="str">
        <f t="array" ref="A4454">IFERROR(
  INDEX('Starlink Launches'!$A:$A, MATCH($E4454, 'Starlink Launches'!$B:$B, 0)),
  ""
)
</f>
        <v>11-39</v>
      </c>
      <c r="B4454" s="3" t="s">
        <v>25</v>
      </c>
      <c r="C4454" s="12" t="s">
        <v>4474</v>
      </c>
      <c r="D4454" s="13">
        <v>65869.0</v>
      </c>
      <c r="E4454" s="4">
        <v>45933.0</v>
      </c>
      <c r="F4454" s="4" t="str">
        <f>IF(D4454="","", IFNA(VLOOKUP(D4454, SATCAT_DECAY!A:B, 2, FALSE), ""))
</f>
        <v/>
      </c>
      <c r="G4454" s="3" t="str">
        <f t="shared" si="1"/>
        <v>ACTIVE</v>
      </c>
    </row>
    <row r="4455" ht="22.5" customHeight="1">
      <c r="A4455" s="11" t="str">
        <f t="array" ref="A4455">IFERROR(
  INDEX('Starlink Launches'!$A:$A, MATCH($E4455, 'Starlink Launches'!$B:$B, 0)),
  ""
)
</f>
        <v>11-39</v>
      </c>
      <c r="B4455" s="3" t="s">
        <v>25</v>
      </c>
      <c r="C4455" s="12" t="s">
        <v>4475</v>
      </c>
      <c r="D4455" s="13">
        <v>65870.0</v>
      </c>
      <c r="E4455" s="4">
        <v>45933.0</v>
      </c>
      <c r="F4455" s="4" t="str">
        <f>IF(D4455="","", IFNA(VLOOKUP(D4455, SATCAT_DECAY!A:B, 2, FALSE), ""))
</f>
        <v/>
      </c>
      <c r="G4455" s="3" t="str">
        <f t="shared" si="1"/>
        <v>ACTIVE</v>
      </c>
    </row>
    <row r="4456" ht="22.5" customHeight="1">
      <c r="A4456" s="11" t="str">
        <f t="array" ref="A4456">IFERROR(
  INDEX('Starlink Launches'!$A:$A, MATCH($E4456, 'Starlink Launches'!$B:$B, 0)),
  ""
)
</f>
        <v>11-39</v>
      </c>
      <c r="B4456" s="3" t="s">
        <v>25</v>
      </c>
      <c r="C4456" s="12" t="s">
        <v>4476</v>
      </c>
      <c r="D4456" s="13">
        <v>65871.0</v>
      </c>
      <c r="E4456" s="4">
        <v>45933.0</v>
      </c>
      <c r="F4456" s="4" t="str">
        <f>IF(D4456="","", IFNA(VLOOKUP(D4456, SATCAT_DECAY!A:B, 2, FALSE), ""))
</f>
        <v/>
      </c>
      <c r="G4456" s="3" t="str">
        <f t="shared" si="1"/>
        <v>ACTIVE</v>
      </c>
    </row>
    <row r="4457" ht="22.5" customHeight="1">
      <c r="A4457" s="11" t="str">
        <f t="array" ref="A4457">IFERROR(
  INDEX('Starlink Launches'!$A:$A, MATCH($E4457, 'Starlink Launches'!$B:$B, 0)),
  ""
)
</f>
        <v>11-39</v>
      </c>
      <c r="B4457" s="3" t="s">
        <v>25</v>
      </c>
      <c r="C4457" s="12" t="s">
        <v>4477</v>
      </c>
      <c r="D4457" s="13">
        <v>65872.0</v>
      </c>
      <c r="E4457" s="4">
        <v>45933.0</v>
      </c>
      <c r="F4457" s="4" t="str">
        <f>IF(D4457="","", IFNA(VLOOKUP(D4457, SATCAT_DECAY!A:B, 2, FALSE), ""))
</f>
        <v/>
      </c>
      <c r="G4457" s="3" t="str">
        <f t="shared" si="1"/>
        <v>ACTIVE</v>
      </c>
    </row>
    <row r="4458" ht="22.5" customHeight="1">
      <c r="A4458" s="11" t="str">
        <f t="array" ref="A4458">IFERROR(
  INDEX('Starlink Launches'!$A:$A, MATCH($E4458, 'Starlink Launches'!$B:$B, 0)),
  ""
)
</f>
        <v>11-39</v>
      </c>
      <c r="B4458" s="3" t="s">
        <v>25</v>
      </c>
      <c r="C4458" s="12" t="s">
        <v>4478</v>
      </c>
      <c r="D4458" s="13">
        <v>65873.0</v>
      </c>
      <c r="E4458" s="4">
        <v>45933.0</v>
      </c>
      <c r="F4458" s="4" t="str">
        <f>IF(D4458="","", IFNA(VLOOKUP(D4458, SATCAT_DECAY!A:B, 2, FALSE), ""))
</f>
        <v/>
      </c>
      <c r="G4458" s="3" t="str">
        <f t="shared" si="1"/>
        <v>ACTIVE</v>
      </c>
    </row>
    <row r="4459" ht="22.5" customHeight="1">
      <c r="A4459" s="11" t="str">
        <f t="array" ref="A4459">IFERROR(
  INDEX('Starlink Launches'!$A:$A, MATCH($E4459, 'Starlink Launches'!$B:$B, 0)),
  ""
)
</f>
        <v>11-39</v>
      </c>
      <c r="B4459" s="3" t="s">
        <v>25</v>
      </c>
      <c r="C4459" s="12" t="s">
        <v>4479</v>
      </c>
      <c r="D4459" s="13">
        <v>65874.0</v>
      </c>
      <c r="E4459" s="4">
        <v>45933.0</v>
      </c>
      <c r="F4459" s="4" t="str">
        <f>IF(D4459="","", IFNA(VLOOKUP(D4459, SATCAT_DECAY!A:B, 2, FALSE), ""))
</f>
        <v/>
      </c>
      <c r="G4459" s="3" t="str">
        <f t="shared" si="1"/>
        <v>ACTIVE</v>
      </c>
    </row>
    <row r="4460" ht="22.5" customHeight="1">
      <c r="A4460" s="11" t="str">
        <f t="array" ref="A4460">IFERROR(
  INDEX('Starlink Launches'!$A:$A, MATCH($E4460, 'Starlink Launches'!$B:$B, 0)),
  ""
)
</f>
        <v>11-39</v>
      </c>
      <c r="B4460" s="3" t="s">
        <v>25</v>
      </c>
      <c r="C4460" s="12" t="s">
        <v>4480</v>
      </c>
      <c r="D4460" s="13">
        <v>65875.0</v>
      </c>
      <c r="E4460" s="4">
        <v>45933.0</v>
      </c>
      <c r="F4460" s="4" t="str">
        <f>IF(D4460="","", IFNA(VLOOKUP(D4460, SATCAT_DECAY!A:B, 2, FALSE), ""))
</f>
        <v/>
      </c>
      <c r="G4460" s="3" t="str">
        <f t="shared" si="1"/>
        <v>ACTIVE</v>
      </c>
    </row>
    <row r="4461" ht="22.5" customHeight="1">
      <c r="A4461" s="11" t="str">
        <f t="array" ref="A4461">IFERROR(
  INDEX('Starlink Launches'!$A:$A, MATCH($E4461, 'Starlink Launches'!$B:$B, 0)),
  ""
)
</f>
        <v>11-39</v>
      </c>
      <c r="B4461" s="3" t="s">
        <v>25</v>
      </c>
      <c r="C4461" s="12" t="s">
        <v>4481</v>
      </c>
      <c r="D4461" s="13">
        <v>65876.0</v>
      </c>
      <c r="E4461" s="4">
        <v>45933.0</v>
      </c>
      <c r="F4461" s="4" t="str">
        <f>IF(D4461="","", IFNA(VLOOKUP(D4461, SATCAT_DECAY!A:B, 2, FALSE), ""))
</f>
        <v/>
      </c>
      <c r="G4461" s="3" t="str">
        <f t="shared" si="1"/>
        <v>ACTIVE</v>
      </c>
    </row>
    <row r="4462" ht="22.5" customHeight="1">
      <c r="A4462" s="11" t="str">
        <f t="array" ref="A4462">IFERROR(
  INDEX('Starlink Launches'!$A:$A, MATCH($E4462, 'Starlink Launches'!$B:$B, 0)),
  ""
)
</f>
        <v>11-39</v>
      </c>
      <c r="B4462" s="3" t="s">
        <v>25</v>
      </c>
      <c r="C4462" s="12" t="s">
        <v>4482</v>
      </c>
      <c r="D4462" s="13">
        <v>65877.0</v>
      </c>
      <c r="E4462" s="4">
        <v>45933.0</v>
      </c>
      <c r="F4462" s="4" t="str">
        <f>IF(D4462="","", IFNA(VLOOKUP(D4462, SATCAT_DECAY!A:B, 2, FALSE), ""))
</f>
        <v/>
      </c>
      <c r="G4462" s="3" t="str">
        <f t="shared" si="1"/>
        <v>ACTIVE</v>
      </c>
    </row>
    <row r="4463" ht="22.5" customHeight="1">
      <c r="A4463" s="11" t="str">
        <f t="array" ref="A4463">IFERROR(
  INDEX('Starlink Launches'!$A:$A, MATCH($E4463, 'Starlink Launches'!$B:$B, 0)),
  ""
)
</f>
        <v>11-39</v>
      </c>
      <c r="B4463" s="3" t="s">
        <v>25</v>
      </c>
      <c r="C4463" s="12" t="s">
        <v>4483</v>
      </c>
      <c r="D4463" s="13">
        <v>65878.0</v>
      </c>
      <c r="E4463" s="4">
        <v>45933.0</v>
      </c>
      <c r="F4463" s="4" t="str">
        <f>IF(D4463="","", IFNA(VLOOKUP(D4463, SATCAT_DECAY!A:B, 2, FALSE), ""))
</f>
        <v/>
      </c>
      <c r="G4463" s="3" t="str">
        <f t="shared" si="1"/>
        <v>ACTIVE</v>
      </c>
    </row>
    <row r="4464" ht="22.5" customHeight="1">
      <c r="A4464" s="11" t="str">
        <f t="array" ref="A4464">IFERROR(
  INDEX('Starlink Launches'!$A:$A, MATCH($E4464, 'Starlink Launches'!$B:$B, 0)),
  ""
)
</f>
        <v>11-39</v>
      </c>
      <c r="B4464" s="3" t="s">
        <v>25</v>
      </c>
      <c r="C4464" s="12" t="s">
        <v>4484</v>
      </c>
      <c r="D4464" s="13">
        <v>65879.0</v>
      </c>
      <c r="E4464" s="4">
        <v>45933.0</v>
      </c>
      <c r="F4464" s="4" t="str">
        <f>IF(D4464="","", IFNA(VLOOKUP(D4464, SATCAT_DECAY!A:B, 2, FALSE), ""))
</f>
        <v/>
      </c>
      <c r="G4464" s="3" t="str">
        <f t="shared" si="1"/>
        <v>ACTIVE</v>
      </c>
    </row>
    <row r="4465" ht="22.5" customHeight="1">
      <c r="A4465" s="11" t="str">
        <f t="array" ref="A4465">IFERROR(
  INDEX('Starlink Launches'!$A:$A, MATCH($E4465, 'Starlink Launches'!$B:$B, 0)),
  ""
)
</f>
        <v>11-39</v>
      </c>
      <c r="B4465" s="3" t="s">
        <v>25</v>
      </c>
      <c r="C4465" s="12" t="s">
        <v>4485</v>
      </c>
      <c r="D4465" s="13">
        <v>65880.0</v>
      </c>
      <c r="E4465" s="4">
        <v>45933.0</v>
      </c>
      <c r="F4465" s="4" t="str">
        <f>IF(D4465="","", IFNA(VLOOKUP(D4465, SATCAT_DECAY!A:B, 2, FALSE), ""))
</f>
        <v/>
      </c>
      <c r="G4465" s="3" t="str">
        <f t="shared" si="1"/>
        <v>ACTIVE</v>
      </c>
    </row>
    <row r="4466" ht="22.5" customHeight="1">
      <c r="A4466" s="11" t="str">
        <f t="array" ref="A4466">IFERROR(
  INDEX('Starlink Launches'!$A:$A, MATCH($E4466, 'Starlink Launches'!$B:$B, 0)),
  ""
)
</f>
        <v>11-39</v>
      </c>
      <c r="B4466" s="3" t="s">
        <v>25</v>
      </c>
      <c r="C4466" s="12" t="s">
        <v>4486</v>
      </c>
      <c r="D4466" s="13">
        <v>65881.0</v>
      </c>
      <c r="E4466" s="4">
        <v>45933.0</v>
      </c>
      <c r="F4466" s="4" t="str">
        <f>IF(D4466="","", IFNA(VLOOKUP(D4466, SATCAT_DECAY!A:B, 2, FALSE), ""))
</f>
        <v/>
      </c>
      <c r="G4466" s="3" t="str">
        <f t="shared" si="1"/>
        <v>ACTIVE</v>
      </c>
    </row>
    <row r="4467" ht="22.5" customHeight="1">
      <c r="A4467" s="11" t="str">
        <f t="array" ref="A4467">IFERROR(
  INDEX('Starlink Launches'!$A:$A, MATCH($E4467, 'Starlink Launches'!$B:$B, 0)),
  ""
)
</f>
        <v>11-17</v>
      </c>
      <c r="B4467" s="3" t="s">
        <v>25</v>
      </c>
      <c r="C4467" s="12" t="s">
        <v>4487</v>
      </c>
      <c r="D4467" s="13">
        <v>65910.0</v>
      </c>
      <c r="E4467" s="4">
        <v>45938.0</v>
      </c>
      <c r="F4467" s="4" t="str">
        <f>IF(D4467="","", IFNA(VLOOKUP(D4467, SATCAT_DECAY!A:B, 2, FALSE), ""))
</f>
        <v/>
      </c>
      <c r="G4467" s="3" t="str">
        <f t="shared" si="1"/>
        <v>ACTIVE</v>
      </c>
    </row>
    <row r="4468" ht="22.5" customHeight="1">
      <c r="A4468" s="11" t="str">
        <f t="array" ref="A4468">IFERROR(
  INDEX('Starlink Launches'!$A:$A, MATCH($E4468, 'Starlink Launches'!$B:$B, 0)),
  ""
)
</f>
        <v>11-17</v>
      </c>
      <c r="B4468" s="3" t="s">
        <v>25</v>
      </c>
      <c r="C4468" s="12" t="s">
        <v>4488</v>
      </c>
      <c r="D4468" s="13">
        <v>65911.0</v>
      </c>
      <c r="E4468" s="4">
        <v>45938.0</v>
      </c>
      <c r="F4468" s="4" t="str">
        <f>IF(D4468="","", IFNA(VLOOKUP(D4468, SATCAT_DECAY!A:B, 2, FALSE), ""))
</f>
        <v/>
      </c>
      <c r="G4468" s="3" t="str">
        <f t="shared" si="1"/>
        <v>ACTIVE</v>
      </c>
    </row>
    <row r="4469" ht="22.5" customHeight="1">
      <c r="A4469" s="11" t="str">
        <f t="array" ref="A4469">IFERROR(
  INDEX('Starlink Launches'!$A:$A, MATCH($E4469, 'Starlink Launches'!$B:$B, 0)),
  ""
)
</f>
        <v>11-17</v>
      </c>
      <c r="B4469" s="3" t="s">
        <v>25</v>
      </c>
      <c r="C4469" s="12" t="s">
        <v>4489</v>
      </c>
      <c r="D4469" s="13">
        <v>65912.0</v>
      </c>
      <c r="E4469" s="4">
        <v>45938.0</v>
      </c>
      <c r="F4469" s="4" t="str">
        <f>IF(D4469="","", IFNA(VLOOKUP(D4469, SATCAT_DECAY!A:B, 2, FALSE), ""))
</f>
        <v/>
      </c>
      <c r="G4469" s="3" t="str">
        <f t="shared" si="1"/>
        <v>ACTIVE</v>
      </c>
    </row>
    <row r="4470" ht="22.5" customHeight="1">
      <c r="A4470" s="11" t="str">
        <f t="array" ref="A4470">IFERROR(
  INDEX('Starlink Launches'!$A:$A, MATCH($E4470, 'Starlink Launches'!$B:$B, 0)),
  ""
)
</f>
        <v>11-17</v>
      </c>
      <c r="B4470" s="3" t="s">
        <v>25</v>
      </c>
      <c r="C4470" s="12" t="s">
        <v>4490</v>
      </c>
      <c r="D4470" s="13">
        <v>65913.0</v>
      </c>
      <c r="E4470" s="4">
        <v>45938.0</v>
      </c>
      <c r="F4470" s="4" t="str">
        <f>IF(D4470="","", IFNA(VLOOKUP(D4470, SATCAT_DECAY!A:B, 2, FALSE), ""))
</f>
        <v/>
      </c>
      <c r="G4470" s="3" t="str">
        <f t="shared" si="1"/>
        <v>ACTIVE</v>
      </c>
    </row>
    <row r="4471" ht="22.5" customHeight="1">
      <c r="A4471" s="11" t="str">
        <f t="array" ref="A4471">IFERROR(
  INDEX('Starlink Launches'!$A:$A, MATCH($E4471, 'Starlink Launches'!$B:$B, 0)),
  ""
)
</f>
        <v>11-17</v>
      </c>
      <c r="B4471" s="3" t="s">
        <v>25</v>
      </c>
      <c r="C4471" s="12" t="s">
        <v>4491</v>
      </c>
      <c r="D4471" s="13">
        <v>65914.0</v>
      </c>
      <c r="E4471" s="4">
        <v>45938.0</v>
      </c>
      <c r="F4471" s="4" t="str">
        <f>IF(D4471="","", IFNA(VLOOKUP(D4471, SATCAT_DECAY!A:B, 2, FALSE), ""))
</f>
        <v/>
      </c>
      <c r="G4471" s="3" t="str">
        <f t="shared" si="1"/>
        <v>ACTIVE</v>
      </c>
    </row>
    <row r="4472" ht="22.5" customHeight="1">
      <c r="A4472" s="11" t="str">
        <f t="array" ref="A4472">IFERROR(
  INDEX('Starlink Launches'!$A:$A, MATCH($E4472, 'Starlink Launches'!$B:$B, 0)),
  ""
)
</f>
        <v>11-17</v>
      </c>
      <c r="B4472" s="3" t="s">
        <v>25</v>
      </c>
      <c r="C4472" s="12" t="s">
        <v>4492</v>
      </c>
      <c r="D4472" s="13">
        <v>65915.0</v>
      </c>
      <c r="E4472" s="4">
        <v>45938.0</v>
      </c>
      <c r="F4472" s="4" t="str">
        <f>IF(D4472="","", IFNA(VLOOKUP(D4472, SATCAT_DECAY!A:B, 2, FALSE), ""))
</f>
        <v/>
      </c>
      <c r="G4472" s="3" t="str">
        <f t="shared" si="1"/>
        <v>ACTIVE</v>
      </c>
    </row>
    <row r="4473" ht="22.5" customHeight="1">
      <c r="A4473" s="11" t="str">
        <f t="array" ref="A4473">IFERROR(
  INDEX('Starlink Launches'!$A:$A, MATCH($E4473, 'Starlink Launches'!$B:$B, 0)),
  ""
)
</f>
        <v>11-17</v>
      </c>
      <c r="B4473" s="3" t="s">
        <v>25</v>
      </c>
      <c r="C4473" s="12" t="s">
        <v>4493</v>
      </c>
      <c r="D4473" s="13">
        <v>65916.0</v>
      </c>
      <c r="E4473" s="4">
        <v>45938.0</v>
      </c>
      <c r="F4473" s="4" t="str">
        <f>IF(D4473="","", IFNA(VLOOKUP(D4473, SATCAT_DECAY!A:B, 2, FALSE), ""))
</f>
        <v/>
      </c>
      <c r="G4473" s="3" t="str">
        <f t="shared" si="1"/>
        <v>ACTIVE</v>
      </c>
    </row>
    <row r="4474" ht="22.5" customHeight="1">
      <c r="A4474" s="11" t="str">
        <f t="array" ref="A4474">IFERROR(
  INDEX('Starlink Launches'!$A:$A, MATCH($E4474, 'Starlink Launches'!$B:$B, 0)),
  ""
)
</f>
        <v>11-17</v>
      </c>
      <c r="B4474" s="3" t="s">
        <v>25</v>
      </c>
      <c r="C4474" s="12" t="s">
        <v>4494</v>
      </c>
      <c r="D4474" s="13">
        <v>65917.0</v>
      </c>
      <c r="E4474" s="4">
        <v>45938.0</v>
      </c>
      <c r="F4474" s="4" t="str">
        <f>IF(D4474="","", IFNA(VLOOKUP(D4474, SATCAT_DECAY!A:B, 2, FALSE), ""))
</f>
        <v/>
      </c>
      <c r="G4474" s="3" t="str">
        <f t="shared" si="1"/>
        <v>ACTIVE</v>
      </c>
    </row>
    <row r="4475" ht="22.5" customHeight="1">
      <c r="A4475" s="11" t="str">
        <f t="array" ref="A4475">IFERROR(
  INDEX('Starlink Launches'!$A:$A, MATCH($E4475, 'Starlink Launches'!$B:$B, 0)),
  ""
)
</f>
        <v>11-17</v>
      </c>
      <c r="B4475" s="3" t="s">
        <v>25</v>
      </c>
      <c r="C4475" s="12" t="s">
        <v>4495</v>
      </c>
      <c r="D4475" s="13">
        <v>65918.0</v>
      </c>
      <c r="E4475" s="4">
        <v>45938.0</v>
      </c>
      <c r="F4475" s="4" t="str">
        <f>IF(D4475="","", IFNA(VLOOKUP(D4475, SATCAT_DECAY!A:B, 2, FALSE), ""))
</f>
        <v/>
      </c>
      <c r="G4475" s="3" t="str">
        <f t="shared" si="1"/>
        <v>ACTIVE</v>
      </c>
    </row>
    <row r="4476" ht="22.5" customHeight="1">
      <c r="A4476" s="11" t="str">
        <f t="array" ref="A4476">IFERROR(
  INDEX('Starlink Launches'!$A:$A, MATCH($E4476, 'Starlink Launches'!$B:$B, 0)),
  ""
)
</f>
        <v>11-17</v>
      </c>
      <c r="B4476" s="3" t="s">
        <v>25</v>
      </c>
      <c r="C4476" s="12" t="s">
        <v>4496</v>
      </c>
      <c r="D4476" s="13">
        <v>65919.0</v>
      </c>
      <c r="E4476" s="4">
        <v>45938.0</v>
      </c>
      <c r="F4476" s="4" t="str">
        <f>IF(D4476="","", IFNA(VLOOKUP(D4476, SATCAT_DECAY!A:B, 2, FALSE), ""))
</f>
        <v/>
      </c>
      <c r="G4476" s="3" t="str">
        <f t="shared" si="1"/>
        <v>ACTIVE</v>
      </c>
    </row>
    <row r="4477" ht="22.5" customHeight="1">
      <c r="A4477" s="11" t="str">
        <f t="array" ref="A4477">IFERROR(
  INDEX('Starlink Launches'!$A:$A, MATCH($E4477, 'Starlink Launches'!$B:$B, 0)),
  ""
)
</f>
        <v>11-17</v>
      </c>
      <c r="B4477" s="3" t="s">
        <v>25</v>
      </c>
      <c r="C4477" s="12" t="s">
        <v>4497</v>
      </c>
      <c r="D4477" s="13">
        <v>65920.0</v>
      </c>
      <c r="E4477" s="4">
        <v>45938.0</v>
      </c>
      <c r="F4477" s="4" t="str">
        <f>IF(D4477="","", IFNA(VLOOKUP(D4477, SATCAT_DECAY!A:B, 2, FALSE), ""))
</f>
        <v/>
      </c>
      <c r="G4477" s="3" t="str">
        <f t="shared" si="1"/>
        <v>ACTIVE</v>
      </c>
    </row>
    <row r="4478" ht="22.5" customHeight="1">
      <c r="A4478" s="11" t="str">
        <f t="array" ref="A4478">IFERROR(
  INDEX('Starlink Launches'!$A:$A, MATCH($E4478, 'Starlink Launches'!$B:$B, 0)),
  ""
)
</f>
        <v>11-17</v>
      </c>
      <c r="B4478" s="3" t="s">
        <v>25</v>
      </c>
      <c r="C4478" s="12" t="s">
        <v>4498</v>
      </c>
      <c r="D4478" s="13">
        <v>65921.0</v>
      </c>
      <c r="E4478" s="4">
        <v>45938.0</v>
      </c>
      <c r="F4478" s="4" t="str">
        <f>IF(D4478="","", IFNA(VLOOKUP(D4478, SATCAT_DECAY!A:B, 2, FALSE), ""))
</f>
        <v/>
      </c>
      <c r="G4478" s="3" t="str">
        <f t="shared" si="1"/>
        <v>ACTIVE</v>
      </c>
    </row>
    <row r="4479" ht="22.5" customHeight="1">
      <c r="A4479" s="11" t="str">
        <f t="array" ref="A4479">IFERROR(
  INDEX('Starlink Launches'!$A:$A, MATCH($E4479, 'Starlink Launches'!$B:$B, 0)),
  ""
)
</f>
        <v>11-17</v>
      </c>
      <c r="B4479" s="3" t="s">
        <v>25</v>
      </c>
      <c r="C4479" s="12" t="s">
        <v>4499</v>
      </c>
      <c r="D4479" s="13">
        <v>65922.0</v>
      </c>
      <c r="E4479" s="4">
        <v>45938.0</v>
      </c>
      <c r="F4479" s="4" t="str">
        <f>IF(D4479="","", IFNA(VLOOKUP(D4479, SATCAT_DECAY!A:B, 2, FALSE), ""))
</f>
        <v/>
      </c>
      <c r="G4479" s="3" t="str">
        <f t="shared" si="1"/>
        <v>ACTIVE</v>
      </c>
    </row>
    <row r="4480" ht="22.5" customHeight="1">
      <c r="A4480" s="11" t="str">
        <f t="array" ref="A4480">IFERROR(
  INDEX('Starlink Launches'!$A:$A, MATCH($E4480, 'Starlink Launches'!$B:$B, 0)),
  ""
)
</f>
        <v>11-17</v>
      </c>
      <c r="B4480" s="3" t="s">
        <v>25</v>
      </c>
      <c r="C4480" s="12" t="s">
        <v>4500</v>
      </c>
      <c r="D4480" s="13">
        <v>65923.0</v>
      </c>
      <c r="E4480" s="4">
        <v>45938.0</v>
      </c>
      <c r="F4480" s="4" t="str">
        <f>IF(D4480="","", IFNA(VLOOKUP(D4480, SATCAT_DECAY!A:B, 2, FALSE), ""))
</f>
        <v/>
      </c>
      <c r="G4480" s="3" t="str">
        <f t="shared" si="1"/>
        <v>ACTIVE</v>
      </c>
    </row>
    <row r="4481" ht="22.5" customHeight="1">
      <c r="A4481" s="11" t="str">
        <f t="array" ref="A4481">IFERROR(
  INDEX('Starlink Launches'!$A:$A, MATCH($E4481, 'Starlink Launches'!$B:$B, 0)),
  ""
)
</f>
        <v>11-17</v>
      </c>
      <c r="B4481" s="3" t="s">
        <v>25</v>
      </c>
      <c r="C4481" s="12" t="s">
        <v>4501</v>
      </c>
      <c r="D4481" s="13">
        <v>65924.0</v>
      </c>
      <c r="E4481" s="4">
        <v>45938.0</v>
      </c>
      <c r="F4481" s="4" t="str">
        <f>IF(D4481="","", IFNA(VLOOKUP(D4481, SATCAT_DECAY!A:B, 2, FALSE), ""))
</f>
        <v/>
      </c>
      <c r="G4481" s="3" t="str">
        <f t="shared" si="1"/>
        <v>ACTIVE</v>
      </c>
    </row>
    <row r="4482" ht="22.5" customHeight="1">
      <c r="A4482" s="11" t="str">
        <f t="array" ref="A4482">IFERROR(
  INDEX('Starlink Launches'!$A:$A, MATCH($E4482, 'Starlink Launches'!$B:$B, 0)),
  ""
)
</f>
        <v>11-17</v>
      </c>
      <c r="B4482" s="3" t="s">
        <v>25</v>
      </c>
      <c r="C4482" s="12" t="s">
        <v>4502</v>
      </c>
      <c r="D4482" s="13">
        <v>65925.0</v>
      </c>
      <c r="E4482" s="4">
        <v>45938.0</v>
      </c>
      <c r="F4482" s="4" t="str">
        <f>IF(D4482="","", IFNA(VLOOKUP(D4482, SATCAT_DECAY!A:B, 2, FALSE), ""))
</f>
        <v/>
      </c>
      <c r="G4482" s="3" t="str">
        <f t="shared" si="1"/>
        <v>ACTIVE</v>
      </c>
    </row>
    <row r="4483" ht="22.5" customHeight="1">
      <c r="A4483" s="11" t="str">
        <f t="array" ref="A4483">IFERROR(
  INDEX('Starlink Launches'!$A:$A, MATCH($E4483, 'Starlink Launches'!$B:$B, 0)),
  ""
)
</f>
        <v>11-17</v>
      </c>
      <c r="B4483" s="3" t="s">
        <v>25</v>
      </c>
      <c r="C4483" s="12" t="s">
        <v>4503</v>
      </c>
      <c r="D4483" s="13">
        <v>65926.0</v>
      </c>
      <c r="E4483" s="4">
        <v>45938.0</v>
      </c>
      <c r="F4483" s="4" t="str">
        <f>IF(D4483="","", IFNA(VLOOKUP(D4483, SATCAT_DECAY!A:B, 2, FALSE), ""))
</f>
        <v/>
      </c>
      <c r="G4483" s="3" t="str">
        <f t="shared" si="1"/>
        <v>ACTIVE</v>
      </c>
    </row>
    <row r="4484" ht="22.5" customHeight="1">
      <c r="A4484" s="11" t="str">
        <f t="array" ref="A4484">IFERROR(
  INDEX('Starlink Launches'!$A:$A, MATCH($E4484, 'Starlink Launches'!$B:$B, 0)),
  ""
)
</f>
        <v>11-17</v>
      </c>
      <c r="B4484" s="3" t="s">
        <v>25</v>
      </c>
      <c r="C4484" s="12" t="s">
        <v>4504</v>
      </c>
      <c r="D4484" s="13">
        <v>65927.0</v>
      </c>
      <c r="E4484" s="4">
        <v>45938.0</v>
      </c>
      <c r="F4484" s="4" t="str">
        <f>IF(D4484="","", IFNA(VLOOKUP(D4484, SATCAT_DECAY!A:B, 2, FALSE), ""))
</f>
        <v/>
      </c>
      <c r="G4484" s="3" t="str">
        <f t="shared" si="1"/>
        <v>ACTIVE</v>
      </c>
    </row>
    <row r="4485" ht="22.5" customHeight="1">
      <c r="A4485" s="11" t="str">
        <f t="array" ref="A4485">IFERROR(
  INDEX('Starlink Launches'!$A:$A, MATCH($E4485, 'Starlink Launches'!$B:$B, 0)),
  ""
)
</f>
        <v>11-17</v>
      </c>
      <c r="B4485" s="3" t="s">
        <v>25</v>
      </c>
      <c r="C4485" s="12" t="s">
        <v>4505</v>
      </c>
      <c r="D4485" s="13">
        <v>65928.0</v>
      </c>
      <c r="E4485" s="4">
        <v>45938.0</v>
      </c>
      <c r="F4485" s="4" t="str">
        <f>IF(D4485="","", IFNA(VLOOKUP(D4485, SATCAT_DECAY!A:B, 2, FALSE), ""))
</f>
        <v/>
      </c>
      <c r="G4485" s="3" t="str">
        <f t="shared" si="1"/>
        <v>ACTIVE</v>
      </c>
    </row>
    <row r="4486" ht="22.5" customHeight="1">
      <c r="A4486" s="11" t="str">
        <f t="array" ref="A4486">IFERROR(
  INDEX('Starlink Launches'!$A:$A, MATCH($E4486, 'Starlink Launches'!$B:$B, 0)),
  ""
)
</f>
        <v>11-17</v>
      </c>
      <c r="B4486" s="3" t="s">
        <v>25</v>
      </c>
      <c r="C4486" s="12" t="s">
        <v>4506</v>
      </c>
      <c r="D4486" s="13">
        <v>65929.0</v>
      </c>
      <c r="E4486" s="4">
        <v>45938.0</v>
      </c>
      <c r="F4486" s="4" t="str">
        <f>IF(D4486="","", IFNA(VLOOKUP(D4486, SATCAT_DECAY!A:B, 2, FALSE), ""))
</f>
        <v/>
      </c>
      <c r="G4486" s="3" t="str">
        <f t="shared" si="1"/>
        <v>ACTIVE</v>
      </c>
    </row>
    <row r="4487" ht="22.5" customHeight="1">
      <c r="A4487" s="11" t="str">
        <f t="array" ref="A4487">IFERROR(
  INDEX('Starlink Launches'!$A:$A, MATCH($E4487, 'Starlink Launches'!$B:$B, 0)),
  ""
)
</f>
        <v>11-17</v>
      </c>
      <c r="B4487" s="3" t="s">
        <v>25</v>
      </c>
      <c r="C4487" s="12" t="s">
        <v>4507</v>
      </c>
      <c r="D4487" s="13">
        <v>65930.0</v>
      </c>
      <c r="E4487" s="4">
        <v>45938.0</v>
      </c>
      <c r="F4487" s="4" t="str">
        <f>IF(D4487="","", IFNA(VLOOKUP(D4487, SATCAT_DECAY!A:B, 2, FALSE), ""))
</f>
        <v/>
      </c>
      <c r="G4487" s="3" t="str">
        <f t="shared" si="1"/>
        <v>ACTIVE</v>
      </c>
    </row>
    <row r="4488" ht="22.5" customHeight="1">
      <c r="A4488" s="11" t="str">
        <f t="array" ref="A4488">IFERROR(
  INDEX('Starlink Launches'!$A:$A, MATCH($E4488, 'Starlink Launches'!$B:$B, 0)),
  ""
)
</f>
        <v>11-17</v>
      </c>
      <c r="B4488" s="3" t="s">
        <v>25</v>
      </c>
      <c r="C4488" s="12" t="s">
        <v>4508</v>
      </c>
      <c r="D4488" s="13">
        <v>65931.0</v>
      </c>
      <c r="E4488" s="4">
        <v>45938.0</v>
      </c>
      <c r="F4488" s="4" t="str">
        <f>IF(D4488="","", IFNA(VLOOKUP(D4488, SATCAT_DECAY!A:B, 2, FALSE), ""))
</f>
        <v/>
      </c>
      <c r="G4488" s="3" t="str">
        <f t="shared" si="1"/>
        <v>ACTIVE</v>
      </c>
    </row>
    <row r="4489" ht="22.5" customHeight="1">
      <c r="A4489" s="11" t="str">
        <f t="array" ref="A4489">IFERROR(
  INDEX('Starlink Launches'!$A:$A, MATCH($E4489, 'Starlink Launches'!$B:$B, 0)),
  ""
)
</f>
        <v>11-17</v>
      </c>
      <c r="B4489" s="3" t="s">
        <v>25</v>
      </c>
      <c r="C4489" s="12" t="s">
        <v>4509</v>
      </c>
      <c r="D4489" s="13">
        <v>65932.0</v>
      </c>
      <c r="E4489" s="4">
        <v>45938.0</v>
      </c>
      <c r="F4489" s="4" t="str">
        <f>IF(D4489="","", IFNA(VLOOKUP(D4489, SATCAT_DECAY!A:B, 2, FALSE), ""))
</f>
        <v/>
      </c>
      <c r="G4489" s="3" t="str">
        <f t="shared" si="1"/>
        <v>ACTIVE</v>
      </c>
    </row>
    <row r="4490" ht="22.5" customHeight="1">
      <c r="A4490" s="11" t="str">
        <f t="array" ref="A4490">IFERROR(
  INDEX('Starlink Launches'!$A:$A, MATCH($E4490, 'Starlink Launches'!$B:$B, 0)),
  ""
)
</f>
        <v>11-17</v>
      </c>
      <c r="B4490" s="3" t="s">
        <v>25</v>
      </c>
      <c r="C4490" s="12" t="s">
        <v>4510</v>
      </c>
      <c r="D4490" s="13">
        <v>65933.0</v>
      </c>
      <c r="E4490" s="4">
        <v>45938.0</v>
      </c>
      <c r="F4490" s="4" t="str">
        <f>IF(D4490="","", IFNA(VLOOKUP(D4490, SATCAT_DECAY!A:B, 2, FALSE), ""))
</f>
        <v/>
      </c>
      <c r="G4490" s="3" t="str">
        <f t="shared" si="1"/>
        <v>ACTIVE</v>
      </c>
    </row>
    <row r="4491" ht="22.5" customHeight="1">
      <c r="A4491" s="11" t="str">
        <f t="array" ref="A4491">IFERROR(
  INDEX('Starlink Launches'!$A:$A, MATCH($E4491, 'Starlink Launches'!$B:$B, 0)),
  ""
)
</f>
        <v>11-17</v>
      </c>
      <c r="B4491" s="3" t="s">
        <v>25</v>
      </c>
      <c r="C4491" s="12" t="s">
        <v>4511</v>
      </c>
      <c r="D4491" s="13">
        <v>65934.0</v>
      </c>
      <c r="E4491" s="4">
        <v>45938.0</v>
      </c>
      <c r="F4491" s="4" t="str">
        <f>IF(D4491="","", IFNA(VLOOKUP(D4491, SATCAT_DECAY!A:B, 2, FALSE), ""))
</f>
        <v/>
      </c>
      <c r="G4491" s="3" t="str">
        <f t="shared" si="1"/>
        <v>ACTIVE</v>
      </c>
    </row>
    <row r="4492" ht="22.5" customHeight="1">
      <c r="A4492" s="11" t="str">
        <f t="array" ref="A4492">IFERROR(
  INDEX('Starlink Launches'!$A:$A, MATCH($E4492, 'Starlink Launches'!$B:$B, 0)),
  ""
)
</f>
        <v>11-17</v>
      </c>
      <c r="B4492" s="3" t="s">
        <v>25</v>
      </c>
      <c r="C4492" s="12" t="s">
        <v>4512</v>
      </c>
      <c r="D4492" s="13">
        <v>65935.0</v>
      </c>
      <c r="E4492" s="4">
        <v>45938.0</v>
      </c>
      <c r="F4492" s="4" t="str">
        <f>IF(D4492="","", IFNA(VLOOKUP(D4492, SATCAT_DECAY!A:B, 2, FALSE), ""))
</f>
        <v/>
      </c>
      <c r="G4492" s="3" t="str">
        <f t="shared" si="1"/>
        <v>ACTIVE</v>
      </c>
    </row>
    <row r="4493" ht="22.5" customHeight="1">
      <c r="A4493" s="11" t="str">
        <f t="array" ref="A4493">IFERROR(
  INDEX('Starlink Launches'!$A:$A, MATCH($E4493, 'Starlink Launches'!$B:$B, 0)),
  ""
)
</f>
        <v>11-17</v>
      </c>
      <c r="B4493" s="3" t="s">
        <v>25</v>
      </c>
      <c r="C4493" s="12" t="s">
        <v>4513</v>
      </c>
      <c r="D4493" s="13">
        <v>65936.0</v>
      </c>
      <c r="E4493" s="4">
        <v>45938.0</v>
      </c>
      <c r="F4493" s="4" t="str">
        <f>IF(D4493="","", IFNA(VLOOKUP(D4493, SATCAT_DECAY!A:B, 2, FALSE), ""))
</f>
        <v/>
      </c>
      <c r="G4493" s="3" t="str">
        <f t="shared" si="1"/>
        <v>ACTIVE</v>
      </c>
    </row>
    <row r="4494" ht="22.5" customHeight="1">
      <c r="A4494" s="11" t="str">
        <f t="array" ref="A4494">IFERROR(
  INDEX('Starlink Launches'!$A:$A, MATCH($E4494, 'Starlink Launches'!$B:$B, 0)),
  ""
)
</f>
        <v>11-17</v>
      </c>
      <c r="B4494" s="3" t="s">
        <v>25</v>
      </c>
      <c r="C4494" s="12" t="s">
        <v>4514</v>
      </c>
      <c r="D4494" s="13">
        <v>65937.0</v>
      </c>
      <c r="E4494" s="4">
        <v>45938.0</v>
      </c>
      <c r="F4494" s="4" t="str">
        <f>IF(D4494="","", IFNA(VLOOKUP(D4494, SATCAT_DECAY!A:B, 2, FALSE), ""))
</f>
        <v/>
      </c>
      <c r="G4494" s="3" t="str">
        <f t="shared" si="1"/>
        <v>ACTIVE</v>
      </c>
    </row>
    <row r="4495" ht="22.5" customHeight="1">
      <c r="A4495" s="20" t="s">
        <v>4515</v>
      </c>
      <c r="B4495" s="3" t="s">
        <v>25</v>
      </c>
      <c r="C4495" s="12" t="s">
        <v>4516</v>
      </c>
      <c r="D4495" s="13">
        <v>66058.0</v>
      </c>
      <c r="E4495" s="4">
        <v>45949.0</v>
      </c>
      <c r="F4495" s="4" t="str">
        <f>IF(D4495="","", IFNA(VLOOKUP(D4495, SATCAT_DECAY!A:B, 2, FALSE), ""))
</f>
        <v/>
      </c>
      <c r="G4495" s="3" t="str">
        <f t="shared" si="1"/>
        <v>ACTIVE</v>
      </c>
    </row>
    <row r="4496" ht="22.5" customHeight="1">
      <c r="A4496" s="20" t="s">
        <v>4515</v>
      </c>
      <c r="B4496" s="3" t="s">
        <v>25</v>
      </c>
      <c r="C4496" s="12" t="s">
        <v>4517</v>
      </c>
      <c r="D4496" s="13">
        <v>66059.0</v>
      </c>
      <c r="E4496" s="4">
        <v>45949.0</v>
      </c>
      <c r="F4496" s="4" t="str">
        <f>IF(D4496="","", IFNA(VLOOKUP(D4496, SATCAT_DECAY!A:B, 2, FALSE), ""))
</f>
        <v/>
      </c>
      <c r="G4496" s="3" t="str">
        <f t="shared" si="1"/>
        <v>ACTIVE</v>
      </c>
    </row>
    <row r="4497" ht="22.5" customHeight="1">
      <c r="A4497" s="20" t="s">
        <v>4515</v>
      </c>
      <c r="B4497" s="3" t="s">
        <v>25</v>
      </c>
      <c r="C4497" s="12" t="s">
        <v>4518</v>
      </c>
      <c r="D4497" s="13">
        <v>66060.0</v>
      </c>
      <c r="E4497" s="4">
        <v>45949.0</v>
      </c>
      <c r="F4497" s="4" t="str">
        <f>IF(D4497="","", IFNA(VLOOKUP(D4497, SATCAT_DECAY!A:B, 2, FALSE), ""))
</f>
        <v/>
      </c>
      <c r="G4497" s="3" t="str">
        <f t="shared" si="1"/>
        <v>ACTIVE</v>
      </c>
    </row>
    <row r="4498" ht="22.5" customHeight="1">
      <c r="A4498" s="20" t="s">
        <v>4515</v>
      </c>
      <c r="B4498" s="3" t="s">
        <v>25</v>
      </c>
      <c r="C4498" s="12" t="s">
        <v>4519</v>
      </c>
      <c r="D4498" s="13">
        <v>66061.0</v>
      </c>
      <c r="E4498" s="4">
        <v>45949.0</v>
      </c>
      <c r="F4498" s="4" t="str">
        <f>IF(D4498="","", IFNA(VLOOKUP(D4498, SATCAT_DECAY!A:B, 2, FALSE), ""))
</f>
        <v/>
      </c>
      <c r="G4498" s="3" t="str">
        <f t="shared" si="1"/>
        <v>ACTIVE</v>
      </c>
    </row>
    <row r="4499" ht="22.5" customHeight="1">
      <c r="A4499" s="20" t="s">
        <v>4515</v>
      </c>
      <c r="B4499" s="3" t="s">
        <v>25</v>
      </c>
      <c r="C4499" s="12" t="s">
        <v>4520</v>
      </c>
      <c r="D4499" s="13">
        <v>66062.0</v>
      </c>
      <c r="E4499" s="4">
        <v>45949.0</v>
      </c>
      <c r="F4499" s="4" t="str">
        <f>IF(D4499="","", IFNA(VLOOKUP(D4499, SATCAT_DECAY!A:B, 2, FALSE), ""))
</f>
        <v/>
      </c>
      <c r="G4499" s="3" t="str">
        <f t="shared" si="1"/>
        <v>ACTIVE</v>
      </c>
    </row>
    <row r="4500" ht="22.5" customHeight="1">
      <c r="A4500" s="20" t="s">
        <v>4515</v>
      </c>
      <c r="B4500" s="3" t="s">
        <v>25</v>
      </c>
      <c r="C4500" s="12" t="s">
        <v>4521</v>
      </c>
      <c r="D4500" s="13">
        <v>66063.0</v>
      </c>
      <c r="E4500" s="4">
        <v>45949.0</v>
      </c>
      <c r="F4500" s="4" t="str">
        <f>IF(D4500="","", IFNA(VLOOKUP(D4500, SATCAT_DECAY!A:B, 2, FALSE), ""))
</f>
        <v/>
      </c>
      <c r="G4500" s="3" t="str">
        <f t="shared" si="1"/>
        <v>ACTIVE</v>
      </c>
    </row>
    <row r="4501" ht="22.5" customHeight="1">
      <c r="A4501" s="20" t="s">
        <v>4515</v>
      </c>
      <c r="B4501" s="3" t="s">
        <v>25</v>
      </c>
      <c r="C4501" s="12" t="s">
        <v>4522</v>
      </c>
      <c r="D4501" s="13">
        <v>66064.0</v>
      </c>
      <c r="E4501" s="4">
        <v>45949.0</v>
      </c>
      <c r="F4501" s="4" t="str">
        <f>IF(D4501="","", IFNA(VLOOKUP(D4501, SATCAT_DECAY!A:B, 2, FALSE), ""))
</f>
        <v/>
      </c>
      <c r="G4501" s="3" t="str">
        <f t="shared" si="1"/>
        <v>ACTIVE</v>
      </c>
    </row>
    <row r="4502" ht="22.5" customHeight="1">
      <c r="A4502" s="20" t="s">
        <v>4515</v>
      </c>
      <c r="B4502" s="3" t="s">
        <v>25</v>
      </c>
      <c r="C4502" s="12" t="s">
        <v>4523</v>
      </c>
      <c r="D4502" s="13">
        <v>66065.0</v>
      </c>
      <c r="E4502" s="4">
        <v>45949.0</v>
      </c>
      <c r="F4502" s="4" t="str">
        <f>IF(D4502="","", IFNA(VLOOKUP(D4502, SATCAT_DECAY!A:B, 2, FALSE), ""))
</f>
        <v/>
      </c>
      <c r="G4502" s="3" t="str">
        <f t="shared" si="1"/>
        <v>ACTIVE</v>
      </c>
    </row>
    <row r="4503" ht="22.5" customHeight="1">
      <c r="A4503" s="20" t="s">
        <v>4515</v>
      </c>
      <c r="B4503" s="3" t="s">
        <v>25</v>
      </c>
      <c r="C4503" s="12" t="s">
        <v>4524</v>
      </c>
      <c r="D4503" s="13">
        <v>66066.0</v>
      </c>
      <c r="E4503" s="4">
        <v>45949.0</v>
      </c>
      <c r="F4503" s="4" t="str">
        <f>IF(D4503="","", IFNA(VLOOKUP(D4503, SATCAT_DECAY!A:B, 2, FALSE), ""))
</f>
        <v/>
      </c>
      <c r="G4503" s="3" t="str">
        <f t="shared" si="1"/>
        <v>ACTIVE</v>
      </c>
    </row>
    <row r="4504" ht="22.5" customHeight="1">
      <c r="A4504" s="20" t="s">
        <v>4515</v>
      </c>
      <c r="B4504" s="3" t="s">
        <v>25</v>
      </c>
      <c r="C4504" s="12" t="s">
        <v>4525</v>
      </c>
      <c r="D4504" s="13">
        <v>66067.0</v>
      </c>
      <c r="E4504" s="4">
        <v>45949.0</v>
      </c>
      <c r="F4504" s="4" t="str">
        <f>IF(D4504="","", IFNA(VLOOKUP(D4504, SATCAT_DECAY!A:B, 2, FALSE), ""))
</f>
        <v/>
      </c>
      <c r="G4504" s="3" t="str">
        <f t="shared" si="1"/>
        <v>ACTIVE</v>
      </c>
    </row>
    <row r="4505" ht="22.5" customHeight="1">
      <c r="A4505" s="20" t="s">
        <v>4515</v>
      </c>
      <c r="B4505" s="3" t="s">
        <v>25</v>
      </c>
      <c r="C4505" s="12" t="s">
        <v>4526</v>
      </c>
      <c r="D4505" s="13">
        <v>66068.0</v>
      </c>
      <c r="E4505" s="4">
        <v>45949.0</v>
      </c>
      <c r="F4505" s="4" t="str">
        <f>IF(D4505="","", IFNA(VLOOKUP(D4505, SATCAT_DECAY!A:B, 2, FALSE), ""))
</f>
        <v/>
      </c>
      <c r="G4505" s="3" t="str">
        <f t="shared" si="1"/>
        <v>ACTIVE</v>
      </c>
    </row>
    <row r="4506" ht="22.5" customHeight="1">
      <c r="A4506" s="20" t="s">
        <v>4515</v>
      </c>
      <c r="B4506" s="3" t="s">
        <v>25</v>
      </c>
      <c r="C4506" s="12" t="s">
        <v>4527</v>
      </c>
      <c r="D4506" s="13">
        <v>66069.0</v>
      </c>
      <c r="E4506" s="4">
        <v>45949.0</v>
      </c>
      <c r="F4506" s="4" t="str">
        <f>IF(D4506="","", IFNA(VLOOKUP(D4506, SATCAT_DECAY!A:B, 2, FALSE), ""))
</f>
        <v/>
      </c>
      <c r="G4506" s="3" t="str">
        <f t="shared" si="1"/>
        <v>ACTIVE</v>
      </c>
    </row>
    <row r="4507" ht="22.5" customHeight="1">
      <c r="A4507" s="20" t="s">
        <v>4515</v>
      </c>
      <c r="B4507" s="3" t="s">
        <v>25</v>
      </c>
      <c r="C4507" s="12" t="s">
        <v>4528</v>
      </c>
      <c r="D4507" s="13">
        <v>66070.0</v>
      </c>
      <c r="E4507" s="4">
        <v>45949.0</v>
      </c>
      <c r="F4507" s="4" t="str">
        <f>IF(D4507="","", IFNA(VLOOKUP(D4507, SATCAT_DECAY!A:B, 2, FALSE), ""))
</f>
        <v/>
      </c>
      <c r="G4507" s="3" t="str">
        <f t="shared" si="1"/>
        <v>ACTIVE</v>
      </c>
    </row>
    <row r="4508" ht="22.5" customHeight="1">
      <c r="A4508" s="20" t="s">
        <v>4515</v>
      </c>
      <c r="B4508" s="3" t="s">
        <v>25</v>
      </c>
      <c r="C4508" s="12" t="s">
        <v>4529</v>
      </c>
      <c r="D4508" s="13">
        <v>66071.0</v>
      </c>
      <c r="E4508" s="4">
        <v>45949.0</v>
      </c>
      <c r="F4508" s="4" t="str">
        <f>IF(D4508="","", IFNA(VLOOKUP(D4508, SATCAT_DECAY!A:B, 2, FALSE), ""))
</f>
        <v/>
      </c>
      <c r="G4508" s="3" t="str">
        <f t="shared" si="1"/>
        <v>ACTIVE</v>
      </c>
    </row>
    <row r="4509" ht="22.5" customHeight="1">
      <c r="A4509" s="20" t="s">
        <v>4515</v>
      </c>
      <c r="B4509" s="3" t="s">
        <v>25</v>
      </c>
      <c r="C4509" s="12" t="s">
        <v>4530</v>
      </c>
      <c r="D4509" s="13">
        <v>66072.0</v>
      </c>
      <c r="E4509" s="4">
        <v>45949.0</v>
      </c>
      <c r="F4509" s="4" t="str">
        <f>IF(D4509="","", IFNA(VLOOKUP(D4509, SATCAT_DECAY!A:B, 2, FALSE), ""))
</f>
        <v/>
      </c>
      <c r="G4509" s="3" t="str">
        <f t="shared" si="1"/>
        <v>ACTIVE</v>
      </c>
    </row>
    <row r="4510" ht="22.5" customHeight="1">
      <c r="A4510" s="20" t="s">
        <v>4515</v>
      </c>
      <c r="B4510" s="3" t="s">
        <v>25</v>
      </c>
      <c r="C4510" s="12" t="s">
        <v>4531</v>
      </c>
      <c r="D4510" s="13">
        <v>66073.0</v>
      </c>
      <c r="E4510" s="4">
        <v>45949.0</v>
      </c>
      <c r="F4510" s="4" t="str">
        <f>IF(D4510="","", IFNA(VLOOKUP(D4510, SATCAT_DECAY!A:B, 2, FALSE), ""))
</f>
        <v/>
      </c>
      <c r="G4510" s="3" t="str">
        <f t="shared" si="1"/>
        <v>ACTIVE</v>
      </c>
    </row>
    <row r="4511" ht="22.5" customHeight="1">
      <c r="A4511" s="20" t="s">
        <v>4515</v>
      </c>
      <c r="B4511" s="3" t="s">
        <v>25</v>
      </c>
      <c r="C4511" s="12" t="s">
        <v>4532</v>
      </c>
      <c r="D4511" s="13">
        <v>66074.0</v>
      </c>
      <c r="E4511" s="4">
        <v>45949.0</v>
      </c>
      <c r="F4511" s="4" t="str">
        <f>IF(D4511="","", IFNA(VLOOKUP(D4511, SATCAT_DECAY!A:B, 2, FALSE), ""))
</f>
        <v/>
      </c>
      <c r="G4511" s="3" t="str">
        <f t="shared" si="1"/>
        <v>ACTIVE</v>
      </c>
    </row>
    <row r="4512" ht="22.5" customHeight="1">
      <c r="A4512" s="20" t="s">
        <v>4515</v>
      </c>
      <c r="B4512" s="3" t="s">
        <v>25</v>
      </c>
      <c r="C4512" s="12" t="s">
        <v>4533</v>
      </c>
      <c r="D4512" s="13">
        <v>66075.0</v>
      </c>
      <c r="E4512" s="4">
        <v>45949.0</v>
      </c>
      <c r="F4512" s="4" t="str">
        <f>IF(D4512="","", IFNA(VLOOKUP(D4512, SATCAT_DECAY!A:B, 2, FALSE), ""))
</f>
        <v/>
      </c>
      <c r="G4512" s="3" t="str">
        <f t="shared" si="1"/>
        <v>ACTIVE</v>
      </c>
    </row>
    <row r="4513" ht="22.5" customHeight="1">
      <c r="A4513" s="20" t="s">
        <v>4515</v>
      </c>
      <c r="B4513" s="3" t="s">
        <v>25</v>
      </c>
      <c r="C4513" s="12" t="s">
        <v>4534</v>
      </c>
      <c r="D4513" s="13">
        <v>66076.0</v>
      </c>
      <c r="E4513" s="4">
        <v>45949.0</v>
      </c>
      <c r="F4513" s="4" t="str">
        <f>IF(D4513="","", IFNA(VLOOKUP(D4513, SATCAT_DECAY!A:B, 2, FALSE), ""))
</f>
        <v/>
      </c>
      <c r="G4513" s="3" t="str">
        <f t="shared" si="1"/>
        <v>ACTIVE</v>
      </c>
    </row>
    <row r="4514" ht="22.5" customHeight="1">
      <c r="A4514" s="20" t="s">
        <v>4515</v>
      </c>
      <c r="B4514" s="3" t="s">
        <v>25</v>
      </c>
      <c r="C4514" s="12" t="s">
        <v>4535</v>
      </c>
      <c r="D4514" s="13">
        <v>66077.0</v>
      </c>
      <c r="E4514" s="4">
        <v>45949.0</v>
      </c>
      <c r="F4514" s="4" t="str">
        <f>IF(D4514="","", IFNA(VLOOKUP(D4514, SATCAT_DECAY!A:B, 2, FALSE), ""))
</f>
        <v/>
      </c>
      <c r="G4514" s="3" t="str">
        <f t="shared" si="1"/>
        <v>ACTIVE</v>
      </c>
    </row>
    <row r="4515" ht="22.5" customHeight="1">
      <c r="A4515" s="20" t="s">
        <v>4515</v>
      </c>
      <c r="B4515" s="3" t="s">
        <v>25</v>
      </c>
      <c r="C4515" s="12" t="s">
        <v>4536</v>
      </c>
      <c r="D4515" s="13">
        <v>66078.0</v>
      </c>
      <c r="E4515" s="4">
        <v>45949.0</v>
      </c>
      <c r="F4515" s="4" t="str">
        <f>IF(D4515="","", IFNA(VLOOKUP(D4515, SATCAT_DECAY!A:B, 2, FALSE), ""))
</f>
        <v/>
      </c>
      <c r="G4515" s="3" t="str">
        <f t="shared" si="1"/>
        <v>ACTIVE</v>
      </c>
    </row>
    <row r="4516" ht="22.5" customHeight="1">
      <c r="A4516" s="20" t="s">
        <v>4515</v>
      </c>
      <c r="B4516" s="3" t="s">
        <v>25</v>
      </c>
      <c r="C4516" s="12" t="s">
        <v>4537</v>
      </c>
      <c r="D4516" s="13">
        <v>66079.0</v>
      </c>
      <c r="E4516" s="4">
        <v>45949.0</v>
      </c>
      <c r="F4516" s="4" t="str">
        <f>IF(D4516="","", IFNA(VLOOKUP(D4516, SATCAT_DECAY!A:B, 2, FALSE), ""))
</f>
        <v/>
      </c>
      <c r="G4516" s="3" t="str">
        <f t="shared" si="1"/>
        <v>ACTIVE</v>
      </c>
    </row>
    <row r="4517" ht="22.5" customHeight="1">
      <c r="A4517" s="20" t="s">
        <v>4515</v>
      </c>
      <c r="B4517" s="3" t="s">
        <v>25</v>
      </c>
      <c r="C4517" s="12" t="s">
        <v>4538</v>
      </c>
      <c r="D4517" s="13">
        <v>66080.0</v>
      </c>
      <c r="E4517" s="4">
        <v>45949.0</v>
      </c>
      <c r="F4517" s="4" t="str">
        <f>IF(D4517="","", IFNA(VLOOKUP(D4517, SATCAT_DECAY!A:B, 2, FALSE), ""))
</f>
        <v/>
      </c>
      <c r="G4517" s="3" t="str">
        <f t="shared" si="1"/>
        <v>ACTIVE</v>
      </c>
    </row>
    <row r="4518" ht="22.5" customHeight="1">
      <c r="A4518" s="20" t="s">
        <v>4515</v>
      </c>
      <c r="B4518" s="3" t="s">
        <v>25</v>
      </c>
      <c r="C4518" s="12" t="s">
        <v>4539</v>
      </c>
      <c r="D4518" s="13">
        <v>66081.0</v>
      </c>
      <c r="E4518" s="4">
        <v>45949.0</v>
      </c>
      <c r="F4518" s="4" t="str">
        <f>IF(D4518="","", IFNA(VLOOKUP(D4518, SATCAT_DECAY!A:B, 2, FALSE), ""))
</f>
        <v/>
      </c>
      <c r="G4518" s="3" t="str">
        <f t="shared" si="1"/>
        <v>ACTIVE</v>
      </c>
    </row>
    <row r="4519" ht="22.5" customHeight="1">
      <c r="A4519" s="20" t="s">
        <v>4515</v>
      </c>
      <c r="B4519" s="3" t="s">
        <v>25</v>
      </c>
      <c r="C4519" s="12" t="s">
        <v>4540</v>
      </c>
      <c r="D4519" s="13">
        <v>66082.0</v>
      </c>
      <c r="E4519" s="4">
        <v>45949.0</v>
      </c>
      <c r="F4519" s="4" t="str">
        <f>IF(D4519="","", IFNA(VLOOKUP(D4519, SATCAT_DECAY!A:B, 2, FALSE), ""))
</f>
        <v/>
      </c>
      <c r="G4519" s="3" t="str">
        <f t="shared" si="1"/>
        <v>ACTIVE</v>
      </c>
    </row>
    <row r="4520" ht="22.5" customHeight="1">
      <c r="A4520" s="20" t="s">
        <v>4515</v>
      </c>
      <c r="B4520" s="3" t="s">
        <v>25</v>
      </c>
      <c r="C4520" s="12" t="s">
        <v>4541</v>
      </c>
      <c r="D4520" s="13">
        <v>66083.0</v>
      </c>
      <c r="E4520" s="4">
        <v>45949.0</v>
      </c>
      <c r="F4520" s="4" t="str">
        <f>IF(D4520="","", IFNA(VLOOKUP(D4520, SATCAT_DECAY!A:B, 2, FALSE), ""))
</f>
        <v/>
      </c>
      <c r="G4520" s="3" t="str">
        <f t="shared" si="1"/>
        <v>ACTIVE</v>
      </c>
    </row>
    <row r="4521" ht="22.5" customHeight="1">
      <c r="A4521" s="20" t="s">
        <v>4515</v>
      </c>
      <c r="B4521" s="3" t="s">
        <v>25</v>
      </c>
      <c r="C4521" s="12" t="s">
        <v>4542</v>
      </c>
      <c r="D4521" s="13">
        <v>66084.0</v>
      </c>
      <c r="E4521" s="4">
        <v>45949.0</v>
      </c>
      <c r="F4521" s="4" t="str">
        <f>IF(D4521="","", IFNA(VLOOKUP(D4521, SATCAT_DECAY!A:B, 2, FALSE), ""))
</f>
        <v/>
      </c>
      <c r="G4521" s="3" t="str">
        <f t="shared" si="1"/>
        <v>ACTIVE</v>
      </c>
    </row>
    <row r="4522" ht="22.5" customHeight="1">
      <c r="A4522" s="20" t="s">
        <v>4515</v>
      </c>
      <c r="B4522" s="3" t="s">
        <v>25</v>
      </c>
      <c r="C4522" s="12" t="s">
        <v>4543</v>
      </c>
      <c r="D4522" s="13">
        <v>66085.0</v>
      </c>
      <c r="E4522" s="4">
        <v>45949.0</v>
      </c>
      <c r="F4522" s="4" t="str">
        <f>IF(D4522="","", IFNA(VLOOKUP(D4522, SATCAT_DECAY!A:B, 2, FALSE), ""))
</f>
        <v/>
      </c>
      <c r="G4522" s="3" t="str">
        <f t="shared" si="1"/>
        <v>ACTIVE</v>
      </c>
    </row>
    <row r="4523" ht="22.5" customHeight="1">
      <c r="A4523" s="11" t="str">
        <f t="array" ref="A4523">IFERROR(
  INDEX('Starlink Launches'!$A:$A, MATCH($E4523, 'Starlink Launches'!$B:$B, 0)),
  ""
)
</f>
        <v>11-5</v>
      </c>
      <c r="B4523" s="3" t="s">
        <v>25</v>
      </c>
      <c r="C4523" s="12" t="s">
        <v>4544</v>
      </c>
      <c r="D4523" s="13">
        <v>66114.0</v>
      </c>
      <c r="E4523" s="4">
        <v>45952.0</v>
      </c>
      <c r="F4523" s="4" t="str">
        <f>IF(D4523="","", IFNA(VLOOKUP(D4523, SATCAT_DECAY!A:B, 2, FALSE), ""))
</f>
        <v/>
      </c>
      <c r="G4523" s="3" t="str">
        <f t="shared" si="1"/>
        <v>ACTIVE</v>
      </c>
    </row>
    <row r="4524" ht="22.5" customHeight="1">
      <c r="A4524" s="11" t="str">
        <f t="array" ref="A4524">IFERROR(
  INDEX('Starlink Launches'!$A:$A, MATCH($E4524, 'Starlink Launches'!$B:$B, 0)),
  ""
)
</f>
        <v>11-5</v>
      </c>
      <c r="B4524" s="3" t="s">
        <v>25</v>
      </c>
      <c r="C4524" s="12" t="s">
        <v>4545</v>
      </c>
      <c r="D4524" s="13">
        <v>66115.0</v>
      </c>
      <c r="E4524" s="4">
        <v>45952.0</v>
      </c>
      <c r="F4524" s="4" t="str">
        <f>IF(D4524="","", IFNA(VLOOKUP(D4524, SATCAT_DECAY!A:B, 2, FALSE), ""))
</f>
        <v/>
      </c>
      <c r="G4524" s="3" t="str">
        <f t="shared" si="1"/>
        <v>ACTIVE</v>
      </c>
    </row>
    <row r="4525" ht="22.5" customHeight="1">
      <c r="A4525" s="11" t="str">
        <f t="array" ref="A4525">IFERROR(
  INDEX('Starlink Launches'!$A:$A, MATCH($E4525, 'Starlink Launches'!$B:$B, 0)),
  ""
)
</f>
        <v>11-5</v>
      </c>
      <c r="B4525" s="3" t="s">
        <v>25</v>
      </c>
      <c r="C4525" s="12" t="s">
        <v>4546</v>
      </c>
      <c r="D4525" s="13">
        <v>66116.0</v>
      </c>
      <c r="E4525" s="4">
        <v>45952.0</v>
      </c>
      <c r="F4525" s="4" t="str">
        <f>IF(D4525="","", IFNA(VLOOKUP(D4525, SATCAT_DECAY!A:B, 2, FALSE), ""))
</f>
        <v/>
      </c>
      <c r="G4525" s="3" t="str">
        <f t="shared" si="1"/>
        <v>ACTIVE</v>
      </c>
    </row>
    <row r="4526" ht="22.5" customHeight="1">
      <c r="A4526" s="11" t="str">
        <f t="array" ref="A4526">IFERROR(
  INDEX('Starlink Launches'!$A:$A, MATCH($E4526, 'Starlink Launches'!$B:$B, 0)),
  ""
)
</f>
        <v>11-5</v>
      </c>
      <c r="B4526" s="3" t="s">
        <v>25</v>
      </c>
      <c r="C4526" s="12" t="s">
        <v>4547</v>
      </c>
      <c r="D4526" s="13">
        <v>66117.0</v>
      </c>
      <c r="E4526" s="4">
        <v>45952.0</v>
      </c>
      <c r="F4526" s="4" t="str">
        <f>IF(D4526="","", IFNA(VLOOKUP(D4526, SATCAT_DECAY!A:B, 2, FALSE), ""))
</f>
        <v/>
      </c>
      <c r="G4526" s="3" t="str">
        <f t="shared" si="1"/>
        <v>ACTIVE</v>
      </c>
    </row>
    <row r="4527" ht="22.5" customHeight="1">
      <c r="A4527" s="11" t="str">
        <f t="array" ref="A4527">IFERROR(
  INDEX('Starlink Launches'!$A:$A, MATCH($E4527, 'Starlink Launches'!$B:$B, 0)),
  ""
)
</f>
        <v>11-5</v>
      </c>
      <c r="B4527" s="3" t="s">
        <v>25</v>
      </c>
      <c r="C4527" s="12" t="s">
        <v>4548</v>
      </c>
      <c r="D4527" s="13">
        <v>66118.0</v>
      </c>
      <c r="E4527" s="4">
        <v>45952.0</v>
      </c>
      <c r="F4527" s="4" t="str">
        <f>IF(D4527="","", IFNA(VLOOKUP(D4527, SATCAT_DECAY!A:B, 2, FALSE), ""))
</f>
        <v/>
      </c>
      <c r="G4527" s="3" t="str">
        <f t="shared" si="1"/>
        <v>ACTIVE</v>
      </c>
    </row>
    <row r="4528" ht="22.5" customHeight="1">
      <c r="A4528" s="11" t="str">
        <f t="array" ref="A4528">IFERROR(
  INDEX('Starlink Launches'!$A:$A, MATCH($E4528, 'Starlink Launches'!$B:$B, 0)),
  ""
)
</f>
        <v>11-5</v>
      </c>
      <c r="B4528" s="3" t="s">
        <v>25</v>
      </c>
      <c r="C4528" s="12" t="s">
        <v>4549</v>
      </c>
      <c r="D4528" s="13">
        <v>66119.0</v>
      </c>
      <c r="E4528" s="4">
        <v>45952.0</v>
      </c>
      <c r="F4528" s="4" t="str">
        <f>IF(D4528="","", IFNA(VLOOKUP(D4528, SATCAT_DECAY!A:B, 2, FALSE), ""))
</f>
        <v/>
      </c>
      <c r="G4528" s="3" t="str">
        <f t="shared" si="1"/>
        <v>ACTIVE</v>
      </c>
    </row>
    <row r="4529" ht="22.5" customHeight="1">
      <c r="A4529" s="11" t="str">
        <f t="array" ref="A4529">IFERROR(
  INDEX('Starlink Launches'!$A:$A, MATCH($E4529, 'Starlink Launches'!$B:$B, 0)),
  ""
)
</f>
        <v>11-5</v>
      </c>
      <c r="B4529" s="3" t="s">
        <v>25</v>
      </c>
      <c r="C4529" s="12" t="s">
        <v>4550</v>
      </c>
      <c r="D4529" s="13">
        <v>66120.0</v>
      </c>
      <c r="E4529" s="4">
        <v>45952.0</v>
      </c>
      <c r="F4529" s="4" t="str">
        <f>IF(D4529="","", IFNA(VLOOKUP(D4529, SATCAT_DECAY!A:B, 2, FALSE), ""))
</f>
        <v/>
      </c>
      <c r="G4529" s="3" t="str">
        <f t="shared" si="1"/>
        <v>ACTIVE</v>
      </c>
    </row>
    <row r="4530" ht="22.5" customHeight="1">
      <c r="A4530" s="11" t="str">
        <f t="array" ref="A4530">IFERROR(
  INDEX('Starlink Launches'!$A:$A, MATCH($E4530, 'Starlink Launches'!$B:$B, 0)),
  ""
)
</f>
        <v>11-5</v>
      </c>
      <c r="B4530" s="3" t="s">
        <v>25</v>
      </c>
      <c r="C4530" s="12" t="s">
        <v>4551</v>
      </c>
      <c r="D4530" s="13">
        <v>66121.0</v>
      </c>
      <c r="E4530" s="4">
        <v>45952.0</v>
      </c>
      <c r="F4530" s="4" t="str">
        <f>IF(D4530="","", IFNA(VLOOKUP(D4530, SATCAT_DECAY!A:B, 2, FALSE), ""))
</f>
        <v/>
      </c>
      <c r="G4530" s="3" t="str">
        <f t="shared" si="1"/>
        <v>ACTIVE</v>
      </c>
    </row>
    <row r="4531" ht="22.5" customHeight="1">
      <c r="A4531" s="11" t="str">
        <f t="array" ref="A4531">IFERROR(
  INDEX('Starlink Launches'!$A:$A, MATCH($E4531, 'Starlink Launches'!$B:$B, 0)),
  ""
)
</f>
        <v>11-5</v>
      </c>
      <c r="B4531" s="3" t="s">
        <v>25</v>
      </c>
      <c r="C4531" s="12" t="s">
        <v>4552</v>
      </c>
      <c r="D4531" s="13">
        <v>66122.0</v>
      </c>
      <c r="E4531" s="4">
        <v>45952.0</v>
      </c>
      <c r="F4531" s="4" t="str">
        <f>IF(D4531="","", IFNA(VLOOKUP(D4531, SATCAT_DECAY!A:B, 2, FALSE), ""))
</f>
        <v/>
      </c>
      <c r="G4531" s="3" t="str">
        <f t="shared" si="1"/>
        <v>ACTIVE</v>
      </c>
    </row>
    <row r="4532" ht="22.5" customHeight="1">
      <c r="A4532" s="11" t="str">
        <f t="array" ref="A4532">IFERROR(
  INDEX('Starlink Launches'!$A:$A, MATCH($E4532, 'Starlink Launches'!$B:$B, 0)),
  ""
)
</f>
        <v>11-5</v>
      </c>
      <c r="B4532" s="3" t="s">
        <v>25</v>
      </c>
      <c r="C4532" s="12" t="s">
        <v>4553</v>
      </c>
      <c r="D4532" s="13">
        <v>66123.0</v>
      </c>
      <c r="E4532" s="4">
        <v>45952.0</v>
      </c>
      <c r="F4532" s="4" t="str">
        <f>IF(D4532="","", IFNA(VLOOKUP(D4532, SATCAT_DECAY!A:B, 2, FALSE), ""))
</f>
        <v/>
      </c>
      <c r="G4532" s="3" t="str">
        <f t="shared" si="1"/>
        <v>ACTIVE</v>
      </c>
    </row>
    <row r="4533" ht="22.5" customHeight="1">
      <c r="A4533" s="11" t="str">
        <f t="array" ref="A4533">IFERROR(
  INDEX('Starlink Launches'!$A:$A, MATCH($E4533, 'Starlink Launches'!$B:$B, 0)),
  ""
)
</f>
        <v>11-5</v>
      </c>
      <c r="B4533" s="3" t="s">
        <v>25</v>
      </c>
      <c r="C4533" s="12" t="s">
        <v>4554</v>
      </c>
      <c r="D4533" s="13">
        <v>66124.0</v>
      </c>
      <c r="E4533" s="4">
        <v>45952.0</v>
      </c>
      <c r="F4533" s="4" t="str">
        <f>IF(D4533="","", IFNA(VLOOKUP(D4533, SATCAT_DECAY!A:B, 2, FALSE), ""))
</f>
        <v/>
      </c>
      <c r="G4533" s="3" t="str">
        <f t="shared" si="1"/>
        <v>ACTIVE</v>
      </c>
    </row>
    <row r="4534" ht="22.5" customHeight="1">
      <c r="A4534" s="11" t="str">
        <f t="array" ref="A4534">IFERROR(
  INDEX('Starlink Launches'!$A:$A, MATCH($E4534, 'Starlink Launches'!$B:$B, 0)),
  ""
)
</f>
        <v>11-5</v>
      </c>
      <c r="B4534" s="3" t="s">
        <v>25</v>
      </c>
      <c r="C4534" s="12" t="s">
        <v>4555</v>
      </c>
      <c r="D4534" s="13">
        <v>66125.0</v>
      </c>
      <c r="E4534" s="4">
        <v>45952.0</v>
      </c>
      <c r="F4534" s="4" t="str">
        <f>IF(D4534="","", IFNA(VLOOKUP(D4534, SATCAT_DECAY!A:B, 2, FALSE), ""))
</f>
        <v/>
      </c>
      <c r="G4534" s="3" t="str">
        <f t="shared" si="1"/>
        <v>ACTIVE</v>
      </c>
    </row>
    <row r="4535" ht="22.5" customHeight="1">
      <c r="A4535" s="11" t="str">
        <f t="array" ref="A4535">IFERROR(
  INDEX('Starlink Launches'!$A:$A, MATCH($E4535, 'Starlink Launches'!$B:$B, 0)),
  ""
)
</f>
        <v>11-5</v>
      </c>
      <c r="B4535" s="3" t="s">
        <v>25</v>
      </c>
      <c r="C4535" s="12" t="s">
        <v>4556</v>
      </c>
      <c r="D4535" s="13">
        <v>66126.0</v>
      </c>
      <c r="E4535" s="4">
        <v>45952.0</v>
      </c>
      <c r="F4535" s="4" t="str">
        <f>IF(D4535="","", IFNA(VLOOKUP(D4535, SATCAT_DECAY!A:B, 2, FALSE), ""))
</f>
        <v/>
      </c>
      <c r="G4535" s="3" t="str">
        <f t="shared" si="1"/>
        <v>ACTIVE</v>
      </c>
    </row>
    <row r="4536" ht="22.5" customHeight="1">
      <c r="A4536" s="11" t="str">
        <f t="array" ref="A4536">IFERROR(
  INDEX('Starlink Launches'!$A:$A, MATCH($E4536, 'Starlink Launches'!$B:$B, 0)),
  ""
)
</f>
        <v>11-5</v>
      </c>
      <c r="B4536" s="3" t="s">
        <v>25</v>
      </c>
      <c r="C4536" s="12" t="s">
        <v>4557</v>
      </c>
      <c r="D4536" s="13">
        <v>66127.0</v>
      </c>
      <c r="E4536" s="4">
        <v>45952.0</v>
      </c>
      <c r="F4536" s="4" t="str">
        <f>IF(D4536="","", IFNA(VLOOKUP(D4536, SATCAT_DECAY!A:B, 2, FALSE), ""))
</f>
        <v/>
      </c>
      <c r="G4536" s="3" t="str">
        <f t="shared" si="1"/>
        <v>ACTIVE</v>
      </c>
    </row>
    <row r="4537" ht="22.5" customHeight="1">
      <c r="A4537" s="11" t="str">
        <f t="array" ref="A4537">IFERROR(
  INDEX('Starlink Launches'!$A:$A, MATCH($E4537, 'Starlink Launches'!$B:$B, 0)),
  ""
)
</f>
        <v>11-5</v>
      </c>
      <c r="B4537" s="3" t="s">
        <v>25</v>
      </c>
      <c r="C4537" s="12" t="s">
        <v>4558</v>
      </c>
      <c r="D4537" s="13">
        <v>66128.0</v>
      </c>
      <c r="E4537" s="4">
        <v>45952.0</v>
      </c>
      <c r="F4537" s="4" t="str">
        <f>IF(D4537="","", IFNA(VLOOKUP(D4537, SATCAT_DECAY!A:B, 2, FALSE), ""))
</f>
        <v/>
      </c>
      <c r="G4537" s="3" t="str">
        <f t="shared" si="1"/>
        <v>ACTIVE</v>
      </c>
    </row>
    <row r="4538" ht="22.5" customHeight="1">
      <c r="A4538" s="11" t="str">
        <f t="array" ref="A4538">IFERROR(
  INDEX('Starlink Launches'!$A:$A, MATCH($E4538, 'Starlink Launches'!$B:$B, 0)),
  ""
)
</f>
        <v>11-5</v>
      </c>
      <c r="B4538" s="3" t="s">
        <v>25</v>
      </c>
      <c r="C4538" s="12" t="s">
        <v>4559</v>
      </c>
      <c r="D4538" s="13">
        <v>66129.0</v>
      </c>
      <c r="E4538" s="4">
        <v>45952.0</v>
      </c>
      <c r="F4538" s="4" t="str">
        <f>IF(D4538="","", IFNA(VLOOKUP(D4538, SATCAT_DECAY!A:B, 2, FALSE), ""))
</f>
        <v/>
      </c>
      <c r="G4538" s="3" t="str">
        <f t="shared" si="1"/>
        <v>ACTIVE</v>
      </c>
    </row>
    <row r="4539" ht="22.5" customHeight="1">
      <c r="A4539" s="11" t="str">
        <f t="array" ref="A4539">IFERROR(
  INDEX('Starlink Launches'!$A:$A, MATCH($E4539, 'Starlink Launches'!$B:$B, 0)),
  ""
)
</f>
        <v>11-5</v>
      </c>
      <c r="B4539" s="3" t="s">
        <v>25</v>
      </c>
      <c r="C4539" s="12" t="s">
        <v>4560</v>
      </c>
      <c r="D4539" s="13">
        <v>66130.0</v>
      </c>
      <c r="E4539" s="4">
        <v>45952.0</v>
      </c>
      <c r="F4539" s="4" t="str">
        <f>IF(D4539="","", IFNA(VLOOKUP(D4539, SATCAT_DECAY!A:B, 2, FALSE), ""))
</f>
        <v/>
      </c>
      <c r="G4539" s="3" t="str">
        <f t="shared" si="1"/>
        <v>ACTIVE</v>
      </c>
    </row>
    <row r="4540" ht="22.5" customHeight="1">
      <c r="A4540" s="11" t="str">
        <f t="array" ref="A4540">IFERROR(
  INDEX('Starlink Launches'!$A:$A, MATCH($E4540, 'Starlink Launches'!$B:$B, 0)),
  ""
)
</f>
        <v>11-5</v>
      </c>
      <c r="B4540" s="3" t="s">
        <v>25</v>
      </c>
      <c r="C4540" s="12" t="s">
        <v>4561</v>
      </c>
      <c r="D4540" s="13">
        <v>66131.0</v>
      </c>
      <c r="E4540" s="4">
        <v>45952.0</v>
      </c>
      <c r="F4540" s="4" t="str">
        <f>IF(D4540="","", IFNA(VLOOKUP(D4540, SATCAT_DECAY!A:B, 2, FALSE), ""))
</f>
        <v/>
      </c>
      <c r="G4540" s="3" t="str">
        <f t="shared" si="1"/>
        <v>ACTIVE</v>
      </c>
    </row>
    <row r="4541" ht="22.5" customHeight="1">
      <c r="A4541" s="11" t="str">
        <f t="array" ref="A4541">IFERROR(
  INDEX('Starlink Launches'!$A:$A, MATCH($E4541, 'Starlink Launches'!$B:$B, 0)),
  ""
)
</f>
        <v>11-5</v>
      </c>
      <c r="B4541" s="3" t="s">
        <v>25</v>
      </c>
      <c r="C4541" s="12" t="s">
        <v>4562</v>
      </c>
      <c r="D4541" s="13">
        <v>66132.0</v>
      </c>
      <c r="E4541" s="4">
        <v>45952.0</v>
      </c>
      <c r="F4541" s="4" t="str">
        <f>IF(D4541="","", IFNA(VLOOKUP(D4541, SATCAT_DECAY!A:B, 2, FALSE), ""))
</f>
        <v/>
      </c>
      <c r="G4541" s="3" t="str">
        <f t="shared" si="1"/>
        <v>ACTIVE</v>
      </c>
    </row>
    <row r="4542" ht="22.5" customHeight="1">
      <c r="A4542" s="11" t="str">
        <f t="array" ref="A4542">IFERROR(
  INDEX('Starlink Launches'!$A:$A, MATCH($E4542, 'Starlink Launches'!$B:$B, 0)),
  ""
)
</f>
        <v>11-5</v>
      </c>
      <c r="B4542" s="3" t="s">
        <v>25</v>
      </c>
      <c r="C4542" s="12" t="s">
        <v>4563</v>
      </c>
      <c r="D4542" s="13">
        <v>66133.0</v>
      </c>
      <c r="E4542" s="4">
        <v>45952.0</v>
      </c>
      <c r="F4542" s="4" t="str">
        <f>IF(D4542="","", IFNA(VLOOKUP(D4542, SATCAT_DECAY!A:B, 2, FALSE), ""))
</f>
        <v/>
      </c>
      <c r="G4542" s="3" t="str">
        <f t="shared" si="1"/>
        <v>ACTIVE</v>
      </c>
    </row>
    <row r="4543" ht="22.5" customHeight="1">
      <c r="A4543" s="11" t="str">
        <f t="array" ref="A4543">IFERROR(
  INDEX('Starlink Launches'!$A:$A, MATCH($E4543, 'Starlink Launches'!$B:$B, 0)),
  ""
)
</f>
        <v>11-5</v>
      </c>
      <c r="B4543" s="3" t="s">
        <v>25</v>
      </c>
      <c r="C4543" s="12" t="s">
        <v>4564</v>
      </c>
      <c r="D4543" s="13">
        <v>66134.0</v>
      </c>
      <c r="E4543" s="4">
        <v>45952.0</v>
      </c>
      <c r="F4543" s="4" t="str">
        <f>IF(D4543="","", IFNA(VLOOKUP(D4543, SATCAT_DECAY!A:B, 2, FALSE), ""))
</f>
        <v/>
      </c>
      <c r="G4543" s="3" t="str">
        <f t="shared" si="1"/>
        <v>ACTIVE</v>
      </c>
    </row>
    <row r="4544" ht="22.5" customHeight="1">
      <c r="A4544" s="11" t="str">
        <f t="array" ref="A4544">IFERROR(
  INDEX('Starlink Launches'!$A:$A, MATCH($E4544, 'Starlink Launches'!$B:$B, 0)),
  ""
)
</f>
        <v>11-5</v>
      </c>
      <c r="B4544" s="3" t="s">
        <v>25</v>
      </c>
      <c r="C4544" s="12" t="s">
        <v>4565</v>
      </c>
      <c r="D4544" s="13">
        <v>66135.0</v>
      </c>
      <c r="E4544" s="4">
        <v>45952.0</v>
      </c>
      <c r="F4544" s="4" t="str">
        <f>IF(D4544="","", IFNA(VLOOKUP(D4544, SATCAT_DECAY!A:B, 2, FALSE), ""))
</f>
        <v/>
      </c>
      <c r="G4544" s="3" t="str">
        <f t="shared" si="1"/>
        <v>ACTIVE</v>
      </c>
    </row>
    <row r="4545" ht="22.5" customHeight="1">
      <c r="A4545" s="11" t="str">
        <f t="array" ref="A4545">IFERROR(
  INDEX('Starlink Launches'!$A:$A, MATCH($E4545, 'Starlink Launches'!$B:$B, 0)),
  ""
)
</f>
        <v>11-5</v>
      </c>
      <c r="B4545" s="3" t="s">
        <v>25</v>
      </c>
      <c r="C4545" s="12" t="s">
        <v>4566</v>
      </c>
      <c r="D4545" s="13">
        <v>66136.0</v>
      </c>
      <c r="E4545" s="4">
        <v>45952.0</v>
      </c>
      <c r="F4545" s="4" t="str">
        <f>IF(D4545="","", IFNA(VLOOKUP(D4545, SATCAT_DECAY!A:B, 2, FALSE), ""))
</f>
        <v/>
      </c>
      <c r="G4545" s="3" t="str">
        <f t="shared" si="1"/>
        <v>ACTIVE</v>
      </c>
    </row>
    <row r="4546" ht="22.5" customHeight="1">
      <c r="A4546" s="11" t="str">
        <f t="array" ref="A4546">IFERROR(
  INDEX('Starlink Launches'!$A:$A, MATCH($E4546, 'Starlink Launches'!$B:$B, 0)),
  ""
)
</f>
        <v>11-5</v>
      </c>
      <c r="B4546" s="3" t="s">
        <v>25</v>
      </c>
      <c r="C4546" s="12" t="s">
        <v>4567</v>
      </c>
      <c r="D4546" s="13">
        <v>66137.0</v>
      </c>
      <c r="E4546" s="4">
        <v>45952.0</v>
      </c>
      <c r="F4546" s="4" t="str">
        <f>IF(D4546="","", IFNA(VLOOKUP(D4546, SATCAT_DECAY!A:B, 2, FALSE), ""))
</f>
        <v/>
      </c>
      <c r="G4546" s="3" t="str">
        <f t="shared" si="1"/>
        <v>ACTIVE</v>
      </c>
    </row>
    <row r="4547" ht="22.5" customHeight="1">
      <c r="A4547" s="11" t="str">
        <f t="array" ref="A4547">IFERROR(
  INDEX('Starlink Launches'!$A:$A, MATCH($E4547, 'Starlink Launches'!$B:$B, 0)),
  ""
)
</f>
        <v>11-5</v>
      </c>
      <c r="B4547" s="3" t="s">
        <v>25</v>
      </c>
      <c r="C4547" s="12" t="s">
        <v>4568</v>
      </c>
      <c r="D4547" s="13">
        <v>66138.0</v>
      </c>
      <c r="E4547" s="4">
        <v>45952.0</v>
      </c>
      <c r="F4547" s="4" t="str">
        <f>IF(D4547="","", IFNA(VLOOKUP(D4547, SATCAT_DECAY!A:B, 2, FALSE), ""))
</f>
        <v/>
      </c>
      <c r="G4547" s="3" t="str">
        <f t="shared" si="1"/>
        <v>ACTIVE</v>
      </c>
    </row>
    <row r="4548" ht="22.5" customHeight="1">
      <c r="A4548" s="11" t="str">
        <f t="array" ref="A4548">IFERROR(
  INDEX('Starlink Launches'!$A:$A, MATCH($E4548, 'Starlink Launches'!$B:$B, 0)),
  ""
)
</f>
        <v>11-5</v>
      </c>
      <c r="B4548" s="3" t="s">
        <v>25</v>
      </c>
      <c r="C4548" s="12" t="s">
        <v>4569</v>
      </c>
      <c r="D4548" s="13">
        <v>66139.0</v>
      </c>
      <c r="E4548" s="4">
        <v>45952.0</v>
      </c>
      <c r="F4548" s="4" t="str">
        <f>IF(D4548="","", IFNA(VLOOKUP(D4548, SATCAT_DECAY!A:B, 2, FALSE), ""))
</f>
        <v/>
      </c>
      <c r="G4548" s="3" t="str">
        <f t="shared" si="1"/>
        <v>ACTIVE</v>
      </c>
    </row>
    <row r="4549" ht="22.5" customHeight="1">
      <c r="A4549" s="11" t="str">
        <f t="array" ref="A4549">IFERROR(
  INDEX('Starlink Launches'!$A:$A, MATCH($E4549, 'Starlink Launches'!$B:$B, 0)),
  ""
)
</f>
        <v>11-5</v>
      </c>
      <c r="B4549" s="3" t="s">
        <v>25</v>
      </c>
      <c r="C4549" s="12" t="s">
        <v>4570</v>
      </c>
      <c r="D4549" s="13">
        <v>66140.0</v>
      </c>
      <c r="E4549" s="4">
        <v>45952.0</v>
      </c>
      <c r="F4549" s="4" t="str">
        <f>IF(D4549="","", IFNA(VLOOKUP(D4549, SATCAT_DECAY!A:B, 2, FALSE), ""))
</f>
        <v/>
      </c>
      <c r="G4549" s="3" t="str">
        <f t="shared" si="1"/>
        <v>ACTIVE</v>
      </c>
    </row>
    <row r="4550" ht="22.5" customHeight="1">
      <c r="A4550" s="11" t="str">
        <f t="array" ref="A4550">IFERROR(
  INDEX('Starlink Launches'!$A:$A, MATCH($E4550, 'Starlink Launches'!$B:$B, 0)),
  ""
)
</f>
        <v>11-5</v>
      </c>
      <c r="B4550" s="3" t="s">
        <v>25</v>
      </c>
      <c r="C4550" s="12" t="s">
        <v>4571</v>
      </c>
      <c r="D4550" s="13">
        <v>66141.0</v>
      </c>
      <c r="E4550" s="4">
        <v>45952.0</v>
      </c>
      <c r="F4550" s="4" t="str">
        <f>IF(D4550="","", IFNA(VLOOKUP(D4550, SATCAT_DECAY!A:B, 2, FALSE), ""))
</f>
        <v/>
      </c>
      <c r="G4550" s="3" t="str">
        <f t="shared" si="1"/>
        <v>ACTIVE</v>
      </c>
    </row>
    <row r="4551" ht="22.5" customHeight="1">
      <c r="A4551" s="11" t="str">
        <f t="array" ref="A4551">IFERROR(
  INDEX('Starlink Launches'!$A:$A, MATCH($E4551, 'Starlink Launches'!$B:$B, 0)),
  ""
)
</f>
        <v>11-12</v>
      </c>
      <c r="B4551" s="3" t="s">
        <v>25</v>
      </c>
      <c r="C4551" s="12" t="s">
        <v>4572</v>
      </c>
      <c r="D4551" s="13">
        <v>66146.0</v>
      </c>
      <c r="E4551" s="4">
        <v>45955.0</v>
      </c>
      <c r="F4551" s="4" t="str">
        <f>IF(D4551="","", IFNA(VLOOKUP(D4551, SATCAT_DECAY!A:B, 2, FALSE), ""))
</f>
        <v/>
      </c>
      <c r="G4551" s="3" t="str">
        <f t="shared" si="1"/>
        <v>ACTIVE</v>
      </c>
    </row>
    <row r="4552" ht="22.5" customHeight="1">
      <c r="A4552" s="11" t="str">
        <f t="array" ref="A4552">IFERROR(
  INDEX('Starlink Launches'!$A:$A, MATCH($E4552, 'Starlink Launches'!$B:$B, 0)),
  ""
)
</f>
        <v>11-12</v>
      </c>
      <c r="B4552" s="3" t="s">
        <v>25</v>
      </c>
      <c r="C4552" s="12" t="s">
        <v>4573</v>
      </c>
      <c r="D4552" s="13">
        <v>66147.0</v>
      </c>
      <c r="E4552" s="4">
        <v>45955.0</v>
      </c>
      <c r="F4552" s="4" t="str">
        <f>IF(D4552="","", IFNA(VLOOKUP(D4552, SATCAT_DECAY!A:B, 2, FALSE), ""))
</f>
        <v/>
      </c>
      <c r="G4552" s="3" t="str">
        <f t="shared" si="1"/>
        <v>ACTIVE</v>
      </c>
    </row>
    <row r="4553" ht="22.5" customHeight="1">
      <c r="A4553" s="11" t="str">
        <f t="array" ref="A4553">IFERROR(
  INDEX('Starlink Launches'!$A:$A, MATCH($E4553, 'Starlink Launches'!$B:$B, 0)),
  ""
)
</f>
        <v>11-12</v>
      </c>
      <c r="B4553" s="3" t="s">
        <v>25</v>
      </c>
      <c r="C4553" s="12" t="s">
        <v>4574</v>
      </c>
      <c r="D4553" s="13">
        <v>66148.0</v>
      </c>
      <c r="E4553" s="4">
        <v>45955.0</v>
      </c>
      <c r="F4553" s="4" t="str">
        <f>IF(D4553="","", IFNA(VLOOKUP(D4553, SATCAT_DECAY!A:B, 2, FALSE), ""))
</f>
        <v/>
      </c>
      <c r="G4553" s="3" t="str">
        <f t="shared" si="1"/>
        <v>ACTIVE</v>
      </c>
    </row>
    <row r="4554" ht="22.5" customHeight="1">
      <c r="A4554" s="11" t="str">
        <f t="array" ref="A4554">IFERROR(
  INDEX('Starlink Launches'!$A:$A, MATCH($E4554, 'Starlink Launches'!$B:$B, 0)),
  ""
)
</f>
        <v>11-12</v>
      </c>
      <c r="B4554" s="3" t="s">
        <v>25</v>
      </c>
      <c r="C4554" s="12" t="s">
        <v>4575</v>
      </c>
      <c r="D4554" s="13">
        <v>66149.0</v>
      </c>
      <c r="E4554" s="4">
        <v>45955.0</v>
      </c>
      <c r="F4554" s="4" t="str">
        <f>IF(D4554="","", IFNA(VLOOKUP(D4554, SATCAT_DECAY!A:B, 2, FALSE), ""))
</f>
        <v/>
      </c>
      <c r="G4554" s="3" t="str">
        <f t="shared" si="1"/>
        <v>ACTIVE</v>
      </c>
    </row>
    <row r="4555" ht="22.5" customHeight="1">
      <c r="A4555" s="11" t="str">
        <f t="array" ref="A4555">IFERROR(
  INDEX('Starlink Launches'!$A:$A, MATCH($E4555, 'Starlink Launches'!$B:$B, 0)),
  ""
)
</f>
        <v>11-12</v>
      </c>
      <c r="B4555" s="3" t="s">
        <v>25</v>
      </c>
      <c r="C4555" s="12" t="s">
        <v>4576</v>
      </c>
      <c r="D4555" s="13">
        <v>66150.0</v>
      </c>
      <c r="E4555" s="4">
        <v>45955.0</v>
      </c>
      <c r="F4555" s="4" t="str">
        <f>IF(D4555="","", IFNA(VLOOKUP(D4555, SATCAT_DECAY!A:B, 2, FALSE), ""))
</f>
        <v/>
      </c>
      <c r="G4555" s="3" t="str">
        <f t="shared" si="1"/>
        <v>ACTIVE</v>
      </c>
    </row>
    <row r="4556" ht="22.5" customHeight="1">
      <c r="A4556" s="11" t="str">
        <f t="array" ref="A4556">IFERROR(
  INDEX('Starlink Launches'!$A:$A, MATCH($E4556, 'Starlink Launches'!$B:$B, 0)),
  ""
)
</f>
        <v>11-12</v>
      </c>
      <c r="B4556" s="3" t="s">
        <v>25</v>
      </c>
      <c r="C4556" s="12" t="s">
        <v>4577</v>
      </c>
      <c r="D4556" s="13">
        <v>66151.0</v>
      </c>
      <c r="E4556" s="4">
        <v>45955.0</v>
      </c>
      <c r="F4556" s="4" t="str">
        <f>IF(D4556="","", IFNA(VLOOKUP(D4556, SATCAT_DECAY!A:B, 2, FALSE), ""))
</f>
        <v/>
      </c>
      <c r="G4556" s="3" t="str">
        <f t="shared" si="1"/>
        <v>ACTIVE</v>
      </c>
    </row>
    <row r="4557" ht="22.5" customHeight="1">
      <c r="A4557" s="11" t="str">
        <f t="array" ref="A4557">IFERROR(
  INDEX('Starlink Launches'!$A:$A, MATCH($E4557, 'Starlink Launches'!$B:$B, 0)),
  ""
)
</f>
        <v>11-12</v>
      </c>
      <c r="B4557" s="3" t="s">
        <v>25</v>
      </c>
      <c r="C4557" s="12" t="s">
        <v>4578</v>
      </c>
      <c r="D4557" s="13">
        <v>66152.0</v>
      </c>
      <c r="E4557" s="4">
        <v>45955.0</v>
      </c>
      <c r="F4557" s="4" t="str">
        <f>IF(D4557="","", IFNA(VLOOKUP(D4557, SATCAT_DECAY!A:B, 2, FALSE), ""))
</f>
        <v/>
      </c>
      <c r="G4557" s="3" t="str">
        <f t="shared" si="1"/>
        <v>ACTIVE</v>
      </c>
    </row>
    <row r="4558" ht="22.5" customHeight="1">
      <c r="A4558" s="11" t="str">
        <f t="array" ref="A4558">IFERROR(
  INDEX('Starlink Launches'!$A:$A, MATCH($E4558, 'Starlink Launches'!$B:$B, 0)),
  ""
)
</f>
        <v>11-12</v>
      </c>
      <c r="B4558" s="3" t="s">
        <v>25</v>
      </c>
      <c r="C4558" s="12" t="s">
        <v>4579</v>
      </c>
      <c r="D4558" s="13">
        <v>66153.0</v>
      </c>
      <c r="E4558" s="4">
        <v>45955.0</v>
      </c>
      <c r="F4558" s="4" t="str">
        <f>IF(D4558="","", IFNA(VLOOKUP(D4558, SATCAT_DECAY!A:B, 2, FALSE), ""))
</f>
        <v/>
      </c>
      <c r="G4558" s="3" t="str">
        <f t="shared" si="1"/>
        <v>ACTIVE</v>
      </c>
    </row>
    <row r="4559" ht="22.5" customHeight="1">
      <c r="A4559" s="11" t="str">
        <f t="array" ref="A4559">IFERROR(
  INDEX('Starlink Launches'!$A:$A, MATCH($E4559, 'Starlink Launches'!$B:$B, 0)),
  ""
)
</f>
        <v>11-12</v>
      </c>
      <c r="B4559" s="3" t="s">
        <v>25</v>
      </c>
      <c r="C4559" s="12" t="s">
        <v>4580</v>
      </c>
      <c r="D4559" s="13">
        <v>66154.0</v>
      </c>
      <c r="E4559" s="4">
        <v>45955.0</v>
      </c>
      <c r="F4559" s="4" t="str">
        <f>IF(D4559="","", IFNA(VLOOKUP(D4559, SATCAT_DECAY!A:B, 2, FALSE), ""))
</f>
        <v/>
      </c>
      <c r="G4559" s="3" t="str">
        <f t="shared" si="1"/>
        <v>ACTIVE</v>
      </c>
    </row>
    <row r="4560" ht="22.5" customHeight="1">
      <c r="A4560" s="11" t="str">
        <f t="array" ref="A4560">IFERROR(
  INDEX('Starlink Launches'!$A:$A, MATCH($E4560, 'Starlink Launches'!$B:$B, 0)),
  ""
)
</f>
        <v>11-12</v>
      </c>
      <c r="B4560" s="3" t="s">
        <v>25</v>
      </c>
      <c r="C4560" s="12" t="s">
        <v>4581</v>
      </c>
      <c r="D4560" s="13">
        <v>66155.0</v>
      </c>
      <c r="E4560" s="4">
        <v>45955.0</v>
      </c>
      <c r="F4560" s="4" t="str">
        <f>IF(D4560="","", IFNA(VLOOKUP(D4560, SATCAT_DECAY!A:B, 2, FALSE), ""))
</f>
        <v/>
      </c>
      <c r="G4560" s="3" t="str">
        <f t="shared" si="1"/>
        <v>ACTIVE</v>
      </c>
    </row>
    <row r="4561" ht="22.5" customHeight="1">
      <c r="A4561" s="11" t="str">
        <f t="array" ref="A4561">IFERROR(
  INDEX('Starlink Launches'!$A:$A, MATCH($E4561, 'Starlink Launches'!$B:$B, 0)),
  ""
)
</f>
        <v>11-12</v>
      </c>
      <c r="B4561" s="3" t="s">
        <v>25</v>
      </c>
      <c r="C4561" s="12" t="s">
        <v>4582</v>
      </c>
      <c r="D4561" s="13">
        <v>66156.0</v>
      </c>
      <c r="E4561" s="4">
        <v>45955.0</v>
      </c>
      <c r="F4561" s="4" t="str">
        <f>IF(D4561="","", IFNA(VLOOKUP(D4561, SATCAT_DECAY!A:B, 2, FALSE), ""))
</f>
        <v/>
      </c>
      <c r="G4561" s="3" t="str">
        <f t="shared" si="1"/>
        <v>ACTIVE</v>
      </c>
    </row>
    <row r="4562" ht="22.5" customHeight="1">
      <c r="A4562" s="11" t="str">
        <f t="array" ref="A4562">IFERROR(
  INDEX('Starlink Launches'!$A:$A, MATCH($E4562, 'Starlink Launches'!$B:$B, 0)),
  ""
)
</f>
        <v>11-12</v>
      </c>
      <c r="B4562" s="3" t="s">
        <v>25</v>
      </c>
      <c r="C4562" s="12" t="s">
        <v>4583</v>
      </c>
      <c r="D4562" s="13">
        <v>66157.0</v>
      </c>
      <c r="E4562" s="4">
        <v>45955.0</v>
      </c>
      <c r="F4562" s="4" t="str">
        <f>IF(D4562="","", IFNA(VLOOKUP(D4562, SATCAT_DECAY!A:B, 2, FALSE), ""))
</f>
        <v/>
      </c>
      <c r="G4562" s="3" t="str">
        <f t="shared" si="1"/>
        <v>ACTIVE</v>
      </c>
    </row>
    <row r="4563" ht="22.5" customHeight="1">
      <c r="A4563" s="11" t="str">
        <f t="array" ref="A4563">IFERROR(
  INDEX('Starlink Launches'!$A:$A, MATCH($E4563, 'Starlink Launches'!$B:$B, 0)),
  ""
)
</f>
        <v>11-12</v>
      </c>
      <c r="B4563" s="3" t="s">
        <v>25</v>
      </c>
      <c r="C4563" s="12" t="s">
        <v>4584</v>
      </c>
      <c r="D4563" s="13">
        <v>66158.0</v>
      </c>
      <c r="E4563" s="4">
        <v>45955.0</v>
      </c>
      <c r="F4563" s="4" t="str">
        <f>IF(D4563="","", IFNA(VLOOKUP(D4563, SATCAT_DECAY!A:B, 2, FALSE), ""))
</f>
        <v/>
      </c>
      <c r="G4563" s="3" t="str">
        <f t="shared" si="1"/>
        <v>ACTIVE</v>
      </c>
    </row>
    <row r="4564" ht="22.5" customHeight="1">
      <c r="A4564" s="11" t="str">
        <f t="array" ref="A4564">IFERROR(
  INDEX('Starlink Launches'!$A:$A, MATCH($E4564, 'Starlink Launches'!$B:$B, 0)),
  ""
)
</f>
        <v>11-12</v>
      </c>
      <c r="B4564" s="3" t="s">
        <v>25</v>
      </c>
      <c r="C4564" s="12" t="s">
        <v>4585</v>
      </c>
      <c r="D4564" s="13">
        <v>66159.0</v>
      </c>
      <c r="E4564" s="4">
        <v>45955.0</v>
      </c>
      <c r="F4564" s="4" t="str">
        <f>IF(D4564="","", IFNA(VLOOKUP(D4564, SATCAT_DECAY!A:B, 2, FALSE), ""))
</f>
        <v/>
      </c>
      <c r="G4564" s="3" t="str">
        <f t="shared" si="1"/>
        <v>ACTIVE</v>
      </c>
    </row>
    <row r="4565" ht="22.5" customHeight="1">
      <c r="A4565" s="11" t="str">
        <f t="array" ref="A4565">IFERROR(
  INDEX('Starlink Launches'!$A:$A, MATCH($E4565, 'Starlink Launches'!$B:$B, 0)),
  ""
)
</f>
        <v>11-12</v>
      </c>
      <c r="B4565" s="3" t="s">
        <v>25</v>
      </c>
      <c r="C4565" s="12" t="s">
        <v>4586</v>
      </c>
      <c r="D4565" s="13">
        <v>66160.0</v>
      </c>
      <c r="E4565" s="4">
        <v>45955.0</v>
      </c>
      <c r="F4565" s="4" t="str">
        <f>IF(D4565="","", IFNA(VLOOKUP(D4565, SATCAT_DECAY!A:B, 2, FALSE), ""))
</f>
        <v/>
      </c>
      <c r="G4565" s="3" t="str">
        <f t="shared" si="1"/>
        <v>ACTIVE</v>
      </c>
    </row>
    <row r="4566" ht="22.5" customHeight="1">
      <c r="A4566" s="11" t="str">
        <f t="array" ref="A4566">IFERROR(
  INDEX('Starlink Launches'!$A:$A, MATCH($E4566, 'Starlink Launches'!$B:$B, 0)),
  ""
)
</f>
        <v>11-12</v>
      </c>
      <c r="B4566" s="3" t="s">
        <v>25</v>
      </c>
      <c r="C4566" s="12" t="s">
        <v>4587</v>
      </c>
      <c r="D4566" s="13">
        <v>66161.0</v>
      </c>
      <c r="E4566" s="4">
        <v>45955.0</v>
      </c>
      <c r="F4566" s="4" t="str">
        <f>IF(D4566="","", IFNA(VLOOKUP(D4566, SATCAT_DECAY!A:B, 2, FALSE), ""))
</f>
        <v/>
      </c>
      <c r="G4566" s="3" t="str">
        <f t="shared" si="1"/>
        <v>ACTIVE</v>
      </c>
    </row>
    <row r="4567" ht="22.5" customHeight="1">
      <c r="A4567" s="11" t="str">
        <f t="array" ref="A4567">IFERROR(
  INDEX('Starlink Launches'!$A:$A, MATCH($E4567, 'Starlink Launches'!$B:$B, 0)),
  ""
)
</f>
        <v>11-12</v>
      </c>
      <c r="B4567" s="3" t="s">
        <v>25</v>
      </c>
      <c r="C4567" s="12" t="s">
        <v>4588</v>
      </c>
      <c r="D4567" s="13">
        <v>66162.0</v>
      </c>
      <c r="E4567" s="4">
        <v>45955.0</v>
      </c>
      <c r="F4567" s="4" t="str">
        <f>IF(D4567="","", IFNA(VLOOKUP(D4567, SATCAT_DECAY!A:B, 2, FALSE), ""))
</f>
        <v/>
      </c>
      <c r="G4567" s="3" t="str">
        <f t="shared" si="1"/>
        <v>ACTIVE</v>
      </c>
    </row>
    <row r="4568" ht="22.5" customHeight="1">
      <c r="A4568" s="11" t="str">
        <f t="array" ref="A4568">IFERROR(
  INDEX('Starlink Launches'!$A:$A, MATCH($E4568, 'Starlink Launches'!$B:$B, 0)),
  ""
)
</f>
        <v>11-12</v>
      </c>
      <c r="B4568" s="3" t="s">
        <v>25</v>
      </c>
      <c r="C4568" s="12" t="s">
        <v>4589</v>
      </c>
      <c r="D4568" s="13">
        <v>66163.0</v>
      </c>
      <c r="E4568" s="4">
        <v>45955.0</v>
      </c>
      <c r="F4568" s="4" t="str">
        <f>IF(D4568="","", IFNA(VLOOKUP(D4568, SATCAT_DECAY!A:B, 2, FALSE), ""))
</f>
        <v/>
      </c>
      <c r="G4568" s="3" t="str">
        <f t="shared" si="1"/>
        <v>ACTIVE</v>
      </c>
    </row>
    <row r="4569" ht="22.5" customHeight="1">
      <c r="A4569" s="11" t="str">
        <f t="array" ref="A4569">IFERROR(
  INDEX('Starlink Launches'!$A:$A, MATCH($E4569, 'Starlink Launches'!$B:$B, 0)),
  ""
)
</f>
        <v>11-12</v>
      </c>
      <c r="B4569" s="3" t="s">
        <v>25</v>
      </c>
      <c r="C4569" s="12" t="s">
        <v>4590</v>
      </c>
      <c r="D4569" s="13">
        <v>66164.0</v>
      </c>
      <c r="E4569" s="4">
        <v>45955.0</v>
      </c>
      <c r="F4569" s="4" t="str">
        <f>IF(D4569="","", IFNA(VLOOKUP(D4569, SATCAT_DECAY!A:B, 2, FALSE), ""))
</f>
        <v/>
      </c>
      <c r="G4569" s="3" t="str">
        <f t="shared" si="1"/>
        <v>ACTIVE</v>
      </c>
    </row>
    <row r="4570" ht="22.5" customHeight="1">
      <c r="A4570" s="11" t="str">
        <f t="array" ref="A4570">IFERROR(
  INDEX('Starlink Launches'!$A:$A, MATCH($E4570, 'Starlink Launches'!$B:$B, 0)),
  ""
)
</f>
        <v>11-12</v>
      </c>
      <c r="B4570" s="3" t="s">
        <v>25</v>
      </c>
      <c r="C4570" s="12" t="s">
        <v>4591</v>
      </c>
      <c r="D4570" s="13">
        <v>66165.0</v>
      </c>
      <c r="E4570" s="4">
        <v>45955.0</v>
      </c>
      <c r="F4570" s="4" t="str">
        <f>IF(D4570="","", IFNA(VLOOKUP(D4570, SATCAT_DECAY!A:B, 2, FALSE), ""))
</f>
        <v/>
      </c>
      <c r="G4570" s="3" t="str">
        <f t="shared" si="1"/>
        <v>ACTIVE</v>
      </c>
    </row>
    <row r="4571" ht="22.5" customHeight="1">
      <c r="A4571" s="11" t="str">
        <f t="array" ref="A4571">IFERROR(
  INDEX('Starlink Launches'!$A:$A, MATCH($E4571, 'Starlink Launches'!$B:$B, 0)),
  ""
)
</f>
        <v>11-12</v>
      </c>
      <c r="B4571" s="3" t="s">
        <v>25</v>
      </c>
      <c r="C4571" s="12" t="s">
        <v>4592</v>
      </c>
      <c r="D4571" s="13">
        <v>66166.0</v>
      </c>
      <c r="E4571" s="4">
        <v>45955.0</v>
      </c>
      <c r="F4571" s="4" t="str">
        <f>IF(D4571="","", IFNA(VLOOKUP(D4571, SATCAT_DECAY!A:B, 2, FALSE), ""))
</f>
        <v/>
      </c>
      <c r="G4571" s="3" t="str">
        <f t="shared" si="1"/>
        <v>ACTIVE</v>
      </c>
    </row>
    <row r="4572" ht="22.5" customHeight="1">
      <c r="A4572" s="11" t="str">
        <f t="array" ref="A4572">IFERROR(
  INDEX('Starlink Launches'!$A:$A, MATCH($E4572, 'Starlink Launches'!$B:$B, 0)),
  ""
)
</f>
        <v>11-12</v>
      </c>
      <c r="B4572" s="3" t="s">
        <v>25</v>
      </c>
      <c r="C4572" s="12" t="s">
        <v>4593</v>
      </c>
      <c r="D4572" s="13">
        <v>66167.0</v>
      </c>
      <c r="E4572" s="4">
        <v>45955.0</v>
      </c>
      <c r="F4572" s="4" t="str">
        <f>IF(D4572="","", IFNA(VLOOKUP(D4572, SATCAT_DECAY!A:B, 2, FALSE), ""))
</f>
        <v/>
      </c>
      <c r="G4572" s="3" t="str">
        <f t="shared" si="1"/>
        <v>ACTIVE</v>
      </c>
    </row>
    <row r="4573" ht="22.5" customHeight="1">
      <c r="A4573" s="11" t="str">
        <f t="array" ref="A4573">IFERROR(
  INDEX('Starlink Launches'!$A:$A, MATCH($E4573, 'Starlink Launches'!$B:$B, 0)),
  ""
)
</f>
        <v>11-12</v>
      </c>
      <c r="B4573" s="3" t="s">
        <v>25</v>
      </c>
      <c r="C4573" s="12" t="s">
        <v>4594</v>
      </c>
      <c r="D4573" s="13">
        <v>66168.0</v>
      </c>
      <c r="E4573" s="4">
        <v>45955.0</v>
      </c>
      <c r="F4573" s="4" t="str">
        <f>IF(D4573="","", IFNA(VLOOKUP(D4573, SATCAT_DECAY!A:B, 2, FALSE), ""))
</f>
        <v/>
      </c>
      <c r="G4573" s="3" t="str">
        <f t="shared" si="1"/>
        <v>ACTIVE</v>
      </c>
    </row>
    <row r="4574" ht="22.5" customHeight="1">
      <c r="A4574" s="11" t="str">
        <f t="array" ref="A4574">IFERROR(
  INDEX('Starlink Launches'!$A:$A, MATCH($E4574, 'Starlink Launches'!$B:$B, 0)),
  ""
)
</f>
        <v>11-12</v>
      </c>
      <c r="B4574" s="3" t="s">
        <v>25</v>
      </c>
      <c r="C4574" s="12" t="s">
        <v>4595</v>
      </c>
      <c r="D4574" s="13">
        <v>66169.0</v>
      </c>
      <c r="E4574" s="4">
        <v>45955.0</v>
      </c>
      <c r="F4574" s="4" t="str">
        <f>IF(D4574="","", IFNA(VLOOKUP(D4574, SATCAT_DECAY!A:B, 2, FALSE), ""))
</f>
        <v/>
      </c>
      <c r="G4574" s="3" t="str">
        <f t="shared" si="1"/>
        <v>ACTIVE</v>
      </c>
    </row>
    <row r="4575" ht="22.5" customHeight="1">
      <c r="A4575" s="11" t="str">
        <f t="array" ref="A4575">IFERROR(
  INDEX('Starlink Launches'!$A:$A, MATCH($E4575, 'Starlink Launches'!$B:$B, 0)),
  ""
)
</f>
        <v>11-12</v>
      </c>
      <c r="B4575" s="3" t="s">
        <v>25</v>
      </c>
      <c r="C4575" s="12" t="s">
        <v>4596</v>
      </c>
      <c r="D4575" s="13">
        <v>66170.0</v>
      </c>
      <c r="E4575" s="4">
        <v>45955.0</v>
      </c>
      <c r="F4575" s="4" t="str">
        <f>IF(D4575="","", IFNA(VLOOKUP(D4575, SATCAT_DECAY!A:B, 2, FALSE), ""))
</f>
        <v/>
      </c>
      <c r="G4575" s="3" t="str">
        <f t="shared" si="1"/>
        <v>ACTIVE</v>
      </c>
    </row>
    <row r="4576" ht="22.5" customHeight="1">
      <c r="A4576" s="11" t="str">
        <f t="array" ref="A4576">IFERROR(
  INDEX('Starlink Launches'!$A:$A, MATCH($E4576, 'Starlink Launches'!$B:$B, 0)),
  ""
)
</f>
        <v>11-12</v>
      </c>
      <c r="B4576" s="3" t="s">
        <v>25</v>
      </c>
      <c r="C4576" s="12" t="s">
        <v>4597</v>
      </c>
      <c r="D4576" s="13">
        <v>66171.0</v>
      </c>
      <c r="E4576" s="4">
        <v>45955.0</v>
      </c>
      <c r="F4576" s="4" t="str">
        <f>IF(D4576="","", IFNA(VLOOKUP(D4576, SATCAT_DECAY!A:B, 2, FALSE), ""))
</f>
        <v/>
      </c>
      <c r="G4576" s="3" t="str">
        <f t="shared" si="1"/>
        <v>ACTIVE</v>
      </c>
    </row>
    <row r="4577" ht="22.5" customHeight="1">
      <c r="A4577" s="11" t="str">
        <f t="array" ref="A4577">IFERROR(
  INDEX('Starlink Launches'!$A:$A, MATCH($E4577, 'Starlink Launches'!$B:$B, 0)),
  ""
)
</f>
        <v>11-12</v>
      </c>
      <c r="B4577" s="3" t="s">
        <v>25</v>
      </c>
      <c r="C4577" s="12" t="s">
        <v>4598</v>
      </c>
      <c r="D4577" s="13">
        <v>66172.0</v>
      </c>
      <c r="E4577" s="4">
        <v>45955.0</v>
      </c>
      <c r="F4577" s="4" t="str">
        <f>IF(D4577="","", IFNA(VLOOKUP(D4577, SATCAT_DECAY!A:B, 2, FALSE), ""))
</f>
        <v/>
      </c>
      <c r="G4577" s="3" t="str">
        <f t="shared" si="1"/>
        <v>ACTIVE</v>
      </c>
    </row>
    <row r="4578" ht="22.5" customHeight="1">
      <c r="A4578" s="11" t="str">
        <f t="array" ref="A4578">IFERROR(
  INDEX('Starlink Launches'!$A:$A, MATCH($E4578, 'Starlink Launches'!$B:$B, 0)),
  ""
)
</f>
        <v>11-12</v>
      </c>
      <c r="B4578" s="3" t="s">
        <v>25</v>
      </c>
      <c r="C4578" s="12" t="s">
        <v>4599</v>
      </c>
      <c r="D4578" s="13">
        <v>66173.0</v>
      </c>
      <c r="E4578" s="4">
        <v>45955.0</v>
      </c>
      <c r="F4578" s="4" t="str">
        <f>IF(D4578="","", IFNA(VLOOKUP(D4578, SATCAT_DECAY!A:B, 2, FALSE), ""))
</f>
        <v/>
      </c>
      <c r="G4578" s="3" t="str">
        <f t="shared" si="1"/>
        <v>ACTIVE</v>
      </c>
    </row>
    <row r="4579" ht="22.5" customHeight="1">
      <c r="A4579" s="11" t="str">
        <f t="array" ref="A4579">IFERROR(
  INDEX('Starlink Launches'!$A:$A, MATCH($E4579, 'Starlink Launches'!$B:$B, 0)),
  ""
)
</f>
        <v>11-21</v>
      </c>
      <c r="B4579" s="3" t="s">
        <v>25</v>
      </c>
      <c r="C4579" s="12" t="s">
        <v>4600</v>
      </c>
      <c r="D4579" s="13">
        <v>66206.0</v>
      </c>
      <c r="E4579" s="4">
        <v>45958.0</v>
      </c>
      <c r="F4579" s="4" t="str">
        <f>IF(D4579="","", IFNA(VLOOKUP(D4579, SATCAT_DECAY!A:B, 2, FALSE), ""))
</f>
        <v/>
      </c>
      <c r="G4579" s="3" t="str">
        <f t="shared" si="1"/>
        <v>ACTIVE</v>
      </c>
    </row>
    <row r="4580" ht="22.5" customHeight="1">
      <c r="A4580" s="11" t="str">
        <f t="array" ref="A4580">IFERROR(
  INDEX('Starlink Launches'!$A:$A, MATCH($E4580, 'Starlink Launches'!$B:$B, 0)),
  ""
)
</f>
        <v>11-21</v>
      </c>
      <c r="B4580" s="3" t="s">
        <v>25</v>
      </c>
      <c r="C4580" s="12" t="s">
        <v>4601</v>
      </c>
      <c r="D4580" s="13">
        <v>66207.0</v>
      </c>
      <c r="E4580" s="4">
        <v>45958.0</v>
      </c>
      <c r="F4580" s="4" t="str">
        <f>IF(D4580="","", IFNA(VLOOKUP(D4580, SATCAT_DECAY!A:B, 2, FALSE), ""))
</f>
        <v/>
      </c>
      <c r="G4580" s="3" t="str">
        <f t="shared" si="1"/>
        <v>ACTIVE</v>
      </c>
    </row>
    <row r="4581" ht="22.5" customHeight="1">
      <c r="A4581" s="11" t="str">
        <f t="array" ref="A4581">IFERROR(
  INDEX('Starlink Launches'!$A:$A, MATCH($E4581, 'Starlink Launches'!$B:$B, 0)),
  ""
)
</f>
        <v>11-21</v>
      </c>
      <c r="B4581" s="3" t="s">
        <v>25</v>
      </c>
      <c r="C4581" s="12" t="s">
        <v>4602</v>
      </c>
      <c r="D4581" s="13">
        <v>66208.0</v>
      </c>
      <c r="E4581" s="4">
        <v>45958.0</v>
      </c>
      <c r="F4581" s="4" t="str">
        <f>IF(D4581="","", IFNA(VLOOKUP(D4581, SATCAT_DECAY!A:B, 2, FALSE), ""))
</f>
        <v/>
      </c>
      <c r="G4581" s="3" t="str">
        <f t="shared" si="1"/>
        <v>ACTIVE</v>
      </c>
    </row>
    <row r="4582" ht="22.5" customHeight="1">
      <c r="A4582" s="11" t="str">
        <f t="array" ref="A4582">IFERROR(
  INDEX('Starlink Launches'!$A:$A, MATCH($E4582, 'Starlink Launches'!$B:$B, 0)),
  ""
)
</f>
        <v>11-21</v>
      </c>
      <c r="B4582" s="3" t="s">
        <v>25</v>
      </c>
      <c r="C4582" s="12" t="s">
        <v>4603</v>
      </c>
      <c r="D4582" s="13">
        <v>66209.0</v>
      </c>
      <c r="E4582" s="4">
        <v>45958.0</v>
      </c>
      <c r="F4582" s="4" t="str">
        <f>IF(D4582="","", IFNA(VLOOKUP(D4582, SATCAT_DECAY!A:B, 2, FALSE), ""))
</f>
        <v/>
      </c>
      <c r="G4582" s="3" t="str">
        <f t="shared" si="1"/>
        <v>ACTIVE</v>
      </c>
    </row>
    <row r="4583" ht="22.5" customHeight="1">
      <c r="A4583" s="11" t="str">
        <f t="array" ref="A4583">IFERROR(
  INDEX('Starlink Launches'!$A:$A, MATCH($E4583, 'Starlink Launches'!$B:$B, 0)),
  ""
)
</f>
        <v>11-21</v>
      </c>
      <c r="B4583" s="3" t="s">
        <v>25</v>
      </c>
      <c r="C4583" s="12" t="s">
        <v>4604</v>
      </c>
      <c r="D4583" s="13">
        <v>66210.0</v>
      </c>
      <c r="E4583" s="4">
        <v>45958.0</v>
      </c>
      <c r="F4583" s="4" t="str">
        <f>IF(D4583="","", IFNA(VLOOKUP(D4583, SATCAT_DECAY!A:B, 2, FALSE), ""))
</f>
        <v/>
      </c>
      <c r="G4583" s="3" t="str">
        <f t="shared" si="1"/>
        <v>ACTIVE</v>
      </c>
    </row>
    <row r="4584" ht="22.5" customHeight="1">
      <c r="A4584" s="11" t="str">
        <f t="array" ref="A4584">IFERROR(
  INDEX('Starlink Launches'!$A:$A, MATCH($E4584, 'Starlink Launches'!$B:$B, 0)),
  ""
)
</f>
        <v>11-21</v>
      </c>
      <c r="B4584" s="3" t="s">
        <v>25</v>
      </c>
      <c r="C4584" s="12" t="s">
        <v>4605</v>
      </c>
      <c r="D4584" s="13">
        <v>66211.0</v>
      </c>
      <c r="E4584" s="4">
        <v>45958.0</v>
      </c>
      <c r="F4584" s="4" t="str">
        <f>IF(D4584="","", IFNA(VLOOKUP(D4584, SATCAT_DECAY!A:B, 2, FALSE), ""))
</f>
        <v/>
      </c>
      <c r="G4584" s="3" t="str">
        <f t="shared" si="1"/>
        <v>ACTIVE</v>
      </c>
    </row>
    <row r="4585" ht="22.5" customHeight="1">
      <c r="A4585" s="11" t="str">
        <f t="array" ref="A4585">IFERROR(
  INDEX('Starlink Launches'!$A:$A, MATCH($E4585, 'Starlink Launches'!$B:$B, 0)),
  ""
)
</f>
        <v>11-21</v>
      </c>
      <c r="B4585" s="3" t="s">
        <v>25</v>
      </c>
      <c r="C4585" s="12" t="s">
        <v>4606</v>
      </c>
      <c r="D4585" s="13">
        <v>66212.0</v>
      </c>
      <c r="E4585" s="4">
        <v>45958.0</v>
      </c>
      <c r="F4585" s="4" t="str">
        <f>IF(D4585="","", IFNA(VLOOKUP(D4585, SATCAT_DECAY!A:B, 2, FALSE), ""))
</f>
        <v/>
      </c>
      <c r="G4585" s="3" t="str">
        <f t="shared" si="1"/>
        <v>ACTIVE</v>
      </c>
    </row>
    <row r="4586" ht="22.5" customHeight="1">
      <c r="A4586" s="11" t="str">
        <f t="array" ref="A4586">IFERROR(
  INDEX('Starlink Launches'!$A:$A, MATCH($E4586, 'Starlink Launches'!$B:$B, 0)),
  ""
)
</f>
        <v>11-21</v>
      </c>
      <c r="B4586" s="3" t="s">
        <v>25</v>
      </c>
      <c r="C4586" s="12" t="s">
        <v>4607</v>
      </c>
      <c r="D4586" s="13">
        <v>66213.0</v>
      </c>
      <c r="E4586" s="4">
        <v>45958.0</v>
      </c>
      <c r="F4586" s="4" t="str">
        <f>IF(D4586="","", IFNA(VLOOKUP(D4586, SATCAT_DECAY!A:B, 2, FALSE), ""))
</f>
        <v/>
      </c>
      <c r="G4586" s="3" t="str">
        <f t="shared" si="1"/>
        <v>ACTIVE</v>
      </c>
    </row>
    <row r="4587" ht="22.5" customHeight="1">
      <c r="A4587" s="11" t="str">
        <f t="array" ref="A4587">IFERROR(
  INDEX('Starlink Launches'!$A:$A, MATCH($E4587, 'Starlink Launches'!$B:$B, 0)),
  ""
)
</f>
        <v>11-21</v>
      </c>
      <c r="B4587" s="3" t="s">
        <v>25</v>
      </c>
      <c r="C4587" s="12" t="s">
        <v>4608</v>
      </c>
      <c r="D4587" s="13">
        <v>66214.0</v>
      </c>
      <c r="E4587" s="4">
        <v>45958.0</v>
      </c>
      <c r="F4587" s="4" t="str">
        <f>IF(D4587="","", IFNA(VLOOKUP(D4587, SATCAT_DECAY!A:B, 2, FALSE), ""))
</f>
        <v/>
      </c>
      <c r="G4587" s="3" t="str">
        <f t="shared" si="1"/>
        <v>ACTIVE</v>
      </c>
    </row>
    <row r="4588" ht="22.5" customHeight="1">
      <c r="A4588" s="11" t="str">
        <f t="array" ref="A4588">IFERROR(
  INDEX('Starlink Launches'!$A:$A, MATCH($E4588, 'Starlink Launches'!$B:$B, 0)),
  ""
)
</f>
        <v>11-21</v>
      </c>
      <c r="B4588" s="3" t="s">
        <v>25</v>
      </c>
      <c r="C4588" s="12" t="s">
        <v>4609</v>
      </c>
      <c r="D4588" s="13">
        <v>66215.0</v>
      </c>
      <c r="E4588" s="4">
        <v>45958.0</v>
      </c>
      <c r="F4588" s="4" t="str">
        <f>IF(D4588="","", IFNA(VLOOKUP(D4588, SATCAT_DECAY!A:B, 2, FALSE), ""))
</f>
        <v/>
      </c>
      <c r="G4588" s="3" t="str">
        <f t="shared" si="1"/>
        <v>ACTIVE</v>
      </c>
    </row>
    <row r="4589" ht="22.5" customHeight="1">
      <c r="A4589" s="11" t="str">
        <f t="array" ref="A4589">IFERROR(
  INDEX('Starlink Launches'!$A:$A, MATCH($E4589, 'Starlink Launches'!$B:$B, 0)),
  ""
)
</f>
        <v>11-21</v>
      </c>
      <c r="B4589" s="3" t="s">
        <v>25</v>
      </c>
      <c r="C4589" s="12" t="s">
        <v>4610</v>
      </c>
      <c r="D4589" s="13">
        <v>66216.0</v>
      </c>
      <c r="E4589" s="4">
        <v>45958.0</v>
      </c>
      <c r="F4589" s="4" t="str">
        <f>IF(D4589="","", IFNA(VLOOKUP(D4589, SATCAT_DECAY!A:B, 2, FALSE), ""))
</f>
        <v/>
      </c>
      <c r="G4589" s="3" t="str">
        <f t="shared" si="1"/>
        <v>ACTIVE</v>
      </c>
    </row>
    <row r="4590" ht="22.5" customHeight="1">
      <c r="A4590" s="11" t="str">
        <f t="array" ref="A4590">IFERROR(
  INDEX('Starlink Launches'!$A:$A, MATCH($E4590, 'Starlink Launches'!$B:$B, 0)),
  ""
)
</f>
        <v>11-21</v>
      </c>
      <c r="B4590" s="3" t="s">
        <v>25</v>
      </c>
      <c r="C4590" s="12" t="s">
        <v>4611</v>
      </c>
      <c r="D4590" s="13">
        <v>66217.0</v>
      </c>
      <c r="E4590" s="4">
        <v>45958.0</v>
      </c>
      <c r="F4590" s="4" t="str">
        <f>IF(D4590="","", IFNA(VLOOKUP(D4590, SATCAT_DECAY!A:B, 2, FALSE), ""))
</f>
        <v/>
      </c>
      <c r="G4590" s="3" t="str">
        <f t="shared" si="1"/>
        <v>ACTIVE</v>
      </c>
    </row>
    <row r="4591" ht="22.5" customHeight="1">
      <c r="A4591" s="11" t="str">
        <f t="array" ref="A4591">IFERROR(
  INDEX('Starlink Launches'!$A:$A, MATCH($E4591, 'Starlink Launches'!$B:$B, 0)),
  ""
)
</f>
        <v>11-21</v>
      </c>
      <c r="B4591" s="3" t="s">
        <v>25</v>
      </c>
      <c r="C4591" s="12" t="s">
        <v>4612</v>
      </c>
      <c r="D4591" s="13">
        <v>66218.0</v>
      </c>
      <c r="E4591" s="4">
        <v>45958.0</v>
      </c>
      <c r="F4591" s="4" t="str">
        <f>IF(D4591="","", IFNA(VLOOKUP(D4591, SATCAT_DECAY!A:B, 2, FALSE), ""))
</f>
        <v/>
      </c>
      <c r="G4591" s="3" t="str">
        <f t="shared" si="1"/>
        <v>ACTIVE</v>
      </c>
    </row>
    <row r="4592" ht="22.5" customHeight="1">
      <c r="A4592" s="11" t="str">
        <f t="array" ref="A4592">IFERROR(
  INDEX('Starlink Launches'!$A:$A, MATCH($E4592, 'Starlink Launches'!$B:$B, 0)),
  ""
)
</f>
        <v>11-21</v>
      </c>
      <c r="B4592" s="3" t="s">
        <v>25</v>
      </c>
      <c r="C4592" s="12" t="s">
        <v>4613</v>
      </c>
      <c r="D4592" s="13">
        <v>66219.0</v>
      </c>
      <c r="E4592" s="4">
        <v>45958.0</v>
      </c>
      <c r="F4592" s="4" t="str">
        <f>IF(D4592="","", IFNA(VLOOKUP(D4592, SATCAT_DECAY!A:B, 2, FALSE), ""))
</f>
        <v/>
      </c>
      <c r="G4592" s="3" t="str">
        <f t="shared" si="1"/>
        <v>ACTIVE</v>
      </c>
    </row>
    <row r="4593" ht="22.5" customHeight="1">
      <c r="A4593" s="11" t="str">
        <f t="array" ref="A4593">IFERROR(
  INDEX('Starlink Launches'!$A:$A, MATCH($E4593, 'Starlink Launches'!$B:$B, 0)),
  ""
)
</f>
        <v>11-21</v>
      </c>
      <c r="B4593" s="3" t="s">
        <v>25</v>
      </c>
      <c r="C4593" s="12" t="s">
        <v>4614</v>
      </c>
      <c r="D4593" s="13">
        <v>66220.0</v>
      </c>
      <c r="E4593" s="4">
        <v>45958.0</v>
      </c>
      <c r="F4593" s="4" t="str">
        <f>IF(D4593="","", IFNA(VLOOKUP(D4593, SATCAT_DECAY!A:B, 2, FALSE), ""))
</f>
        <v/>
      </c>
      <c r="G4593" s="3" t="str">
        <f t="shared" si="1"/>
        <v>ACTIVE</v>
      </c>
    </row>
    <row r="4594" ht="22.5" customHeight="1">
      <c r="A4594" s="11" t="str">
        <f t="array" ref="A4594">IFERROR(
  INDEX('Starlink Launches'!$A:$A, MATCH($E4594, 'Starlink Launches'!$B:$B, 0)),
  ""
)
</f>
        <v>11-21</v>
      </c>
      <c r="B4594" s="3" t="s">
        <v>25</v>
      </c>
      <c r="C4594" s="12" t="s">
        <v>4615</v>
      </c>
      <c r="D4594" s="13">
        <v>66221.0</v>
      </c>
      <c r="E4594" s="4">
        <v>45958.0</v>
      </c>
      <c r="F4594" s="4" t="str">
        <f>IF(D4594="","", IFNA(VLOOKUP(D4594, SATCAT_DECAY!A:B, 2, FALSE), ""))
</f>
        <v/>
      </c>
      <c r="G4594" s="3" t="str">
        <f t="shared" si="1"/>
        <v>ACTIVE</v>
      </c>
    </row>
    <row r="4595" ht="22.5" customHeight="1">
      <c r="A4595" s="11" t="str">
        <f t="array" ref="A4595">IFERROR(
  INDEX('Starlink Launches'!$A:$A, MATCH($E4595, 'Starlink Launches'!$B:$B, 0)),
  ""
)
</f>
        <v>11-21</v>
      </c>
      <c r="B4595" s="3" t="s">
        <v>25</v>
      </c>
      <c r="C4595" s="12" t="s">
        <v>4616</v>
      </c>
      <c r="D4595" s="13">
        <v>66222.0</v>
      </c>
      <c r="E4595" s="4">
        <v>45958.0</v>
      </c>
      <c r="F4595" s="4" t="str">
        <f>IF(D4595="","", IFNA(VLOOKUP(D4595, SATCAT_DECAY!A:B, 2, FALSE), ""))
</f>
        <v/>
      </c>
      <c r="G4595" s="3" t="str">
        <f t="shared" si="1"/>
        <v>ACTIVE</v>
      </c>
    </row>
    <row r="4596" ht="22.5" customHeight="1">
      <c r="A4596" s="11" t="str">
        <f t="array" ref="A4596">IFERROR(
  INDEX('Starlink Launches'!$A:$A, MATCH($E4596, 'Starlink Launches'!$B:$B, 0)),
  ""
)
</f>
        <v>11-21</v>
      </c>
      <c r="B4596" s="3" t="s">
        <v>25</v>
      </c>
      <c r="C4596" s="12" t="s">
        <v>4617</v>
      </c>
      <c r="D4596" s="13">
        <v>66223.0</v>
      </c>
      <c r="E4596" s="4">
        <v>45958.0</v>
      </c>
      <c r="F4596" s="4" t="str">
        <f>IF(D4596="","", IFNA(VLOOKUP(D4596, SATCAT_DECAY!A:B, 2, FALSE), ""))
</f>
        <v/>
      </c>
      <c r="G4596" s="3" t="str">
        <f t="shared" si="1"/>
        <v>ACTIVE</v>
      </c>
    </row>
    <row r="4597" ht="22.5" customHeight="1">
      <c r="A4597" s="11" t="str">
        <f t="array" ref="A4597">IFERROR(
  INDEX('Starlink Launches'!$A:$A, MATCH($E4597, 'Starlink Launches'!$B:$B, 0)),
  ""
)
</f>
        <v>11-21</v>
      </c>
      <c r="B4597" s="3" t="s">
        <v>25</v>
      </c>
      <c r="C4597" s="12" t="s">
        <v>4618</v>
      </c>
      <c r="D4597" s="13">
        <v>66224.0</v>
      </c>
      <c r="E4597" s="4">
        <v>45958.0</v>
      </c>
      <c r="F4597" s="4" t="str">
        <f>IF(D4597="","", IFNA(VLOOKUP(D4597, SATCAT_DECAY!A:B, 2, FALSE), ""))
</f>
        <v/>
      </c>
      <c r="G4597" s="3" t="str">
        <f t="shared" si="1"/>
        <v>ACTIVE</v>
      </c>
    </row>
    <row r="4598" ht="22.5" customHeight="1">
      <c r="A4598" s="11" t="str">
        <f t="array" ref="A4598">IFERROR(
  INDEX('Starlink Launches'!$A:$A, MATCH($E4598, 'Starlink Launches'!$B:$B, 0)),
  ""
)
</f>
        <v>11-21</v>
      </c>
      <c r="B4598" s="3" t="s">
        <v>25</v>
      </c>
      <c r="C4598" s="12" t="s">
        <v>4619</v>
      </c>
      <c r="D4598" s="13">
        <v>66225.0</v>
      </c>
      <c r="E4598" s="4">
        <v>45958.0</v>
      </c>
      <c r="F4598" s="4" t="str">
        <f>IF(D4598="","", IFNA(VLOOKUP(D4598, SATCAT_DECAY!A:B, 2, FALSE), ""))
</f>
        <v/>
      </c>
      <c r="G4598" s="3" t="str">
        <f t="shared" si="1"/>
        <v>ACTIVE</v>
      </c>
    </row>
    <row r="4599" ht="22.5" customHeight="1">
      <c r="A4599" s="11" t="str">
        <f t="array" ref="A4599">IFERROR(
  INDEX('Starlink Launches'!$A:$A, MATCH($E4599, 'Starlink Launches'!$B:$B, 0)),
  ""
)
</f>
        <v>11-21</v>
      </c>
      <c r="B4599" s="3" t="s">
        <v>25</v>
      </c>
      <c r="C4599" s="12" t="s">
        <v>4620</v>
      </c>
      <c r="D4599" s="13">
        <v>66226.0</v>
      </c>
      <c r="E4599" s="4">
        <v>45958.0</v>
      </c>
      <c r="F4599" s="4" t="str">
        <f>IF(D4599="","", IFNA(VLOOKUP(D4599, SATCAT_DECAY!A:B, 2, FALSE), ""))
</f>
        <v/>
      </c>
      <c r="G4599" s="3" t="str">
        <f t="shared" si="1"/>
        <v>ACTIVE</v>
      </c>
    </row>
    <row r="4600" ht="22.5" customHeight="1">
      <c r="A4600" s="11" t="str">
        <f t="array" ref="A4600">IFERROR(
  INDEX('Starlink Launches'!$A:$A, MATCH($E4600, 'Starlink Launches'!$B:$B, 0)),
  ""
)
</f>
        <v>11-21</v>
      </c>
      <c r="B4600" s="3" t="s">
        <v>25</v>
      </c>
      <c r="C4600" s="12" t="s">
        <v>4621</v>
      </c>
      <c r="D4600" s="13">
        <v>66227.0</v>
      </c>
      <c r="E4600" s="4">
        <v>45958.0</v>
      </c>
      <c r="F4600" s="4" t="str">
        <f>IF(D4600="","", IFNA(VLOOKUP(D4600, SATCAT_DECAY!A:B, 2, FALSE), ""))
</f>
        <v/>
      </c>
      <c r="G4600" s="3" t="str">
        <f t="shared" si="1"/>
        <v>ACTIVE</v>
      </c>
    </row>
    <row r="4601" ht="22.5" customHeight="1">
      <c r="A4601" s="11" t="str">
        <f t="array" ref="A4601">IFERROR(
  INDEX('Starlink Launches'!$A:$A, MATCH($E4601, 'Starlink Launches'!$B:$B, 0)),
  ""
)
</f>
        <v>11-21</v>
      </c>
      <c r="B4601" s="3" t="s">
        <v>25</v>
      </c>
      <c r="C4601" s="12" t="s">
        <v>4622</v>
      </c>
      <c r="D4601" s="13">
        <v>66228.0</v>
      </c>
      <c r="E4601" s="4">
        <v>45958.0</v>
      </c>
      <c r="F4601" s="4" t="str">
        <f>IF(D4601="","", IFNA(VLOOKUP(D4601, SATCAT_DECAY!A:B, 2, FALSE), ""))
</f>
        <v/>
      </c>
      <c r="G4601" s="3" t="str">
        <f t="shared" si="1"/>
        <v>ACTIVE</v>
      </c>
    </row>
    <row r="4602" ht="22.5" customHeight="1">
      <c r="A4602" s="11" t="str">
        <f t="array" ref="A4602">IFERROR(
  INDEX('Starlink Launches'!$A:$A, MATCH($E4602, 'Starlink Launches'!$B:$B, 0)),
  ""
)
</f>
        <v>11-21</v>
      </c>
      <c r="B4602" s="3" t="s">
        <v>25</v>
      </c>
      <c r="C4602" s="12" t="s">
        <v>4623</v>
      </c>
      <c r="D4602" s="13">
        <v>66229.0</v>
      </c>
      <c r="E4602" s="4">
        <v>45958.0</v>
      </c>
      <c r="F4602" s="4" t="str">
        <f>IF(D4602="","", IFNA(VLOOKUP(D4602, SATCAT_DECAY!A:B, 2, FALSE), ""))
</f>
        <v/>
      </c>
      <c r="G4602" s="3" t="str">
        <f t="shared" si="1"/>
        <v>ACTIVE</v>
      </c>
    </row>
    <row r="4603" ht="22.5" customHeight="1">
      <c r="A4603" s="11" t="str">
        <f t="array" ref="A4603">IFERROR(
  INDEX('Starlink Launches'!$A:$A, MATCH($E4603, 'Starlink Launches'!$B:$B, 0)),
  ""
)
</f>
        <v>11-21</v>
      </c>
      <c r="B4603" s="3" t="s">
        <v>25</v>
      </c>
      <c r="C4603" s="12" t="s">
        <v>4624</v>
      </c>
      <c r="D4603" s="13">
        <v>66230.0</v>
      </c>
      <c r="E4603" s="4">
        <v>45958.0</v>
      </c>
      <c r="F4603" s="4" t="str">
        <f>IF(D4603="","", IFNA(VLOOKUP(D4603, SATCAT_DECAY!A:B, 2, FALSE), ""))
</f>
        <v/>
      </c>
      <c r="G4603" s="3" t="str">
        <f t="shared" si="1"/>
        <v>ACTIVE</v>
      </c>
    </row>
    <row r="4604" ht="22.5" customHeight="1">
      <c r="A4604" s="11" t="str">
        <f t="array" ref="A4604">IFERROR(
  INDEX('Starlink Launches'!$A:$A, MATCH($E4604, 'Starlink Launches'!$B:$B, 0)),
  ""
)
</f>
        <v>11-21</v>
      </c>
      <c r="B4604" s="3" t="s">
        <v>25</v>
      </c>
      <c r="C4604" s="12" t="s">
        <v>4625</v>
      </c>
      <c r="D4604" s="13">
        <v>66231.0</v>
      </c>
      <c r="E4604" s="4">
        <v>45958.0</v>
      </c>
      <c r="F4604" s="4" t="str">
        <f>IF(D4604="","", IFNA(VLOOKUP(D4604, SATCAT_DECAY!A:B, 2, FALSE), ""))
</f>
        <v/>
      </c>
      <c r="G4604" s="3" t="str">
        <f t="shared" si="1"/>
        <v>ACTIVE</v>
      </c>
    </row>
    <row r="4605" ht="22.5" customHeight="1">
      <c r="A4605" s="11" t="str">
        <f t="array" ref="A4605">IFERROR(
  INDEX('Starlink Launches'!$A:$A, MATCH($E4605, 'Starlink Launches'!$B:$B, 0)),
  ""
)
</f>
        <v>11-21</v>
      </c>
      <c r="B4605" s="3" t="s">
        <v>25</v>
      </c>
      <c r="C4605" s="12" t="s">
        <v>4626</v>
      </c>
      <c r="D4605" s="13">
        <v>66232.0</v>
      </c>
      <c r="E4605" s="4">
        <v>45958.0</v>
      </c>
      <c r="F4605" s="4" t="str">
        <f>IF(D4605="","", IFNA(VLOOKUP(D4605, SATCAT_DECAY!A:B, 2, FALSE), ""))
</f>
        <v/>
      </c>
      <c r="G4605" s="3" t="str">
        <f t="shared" si="1"/>
        <v>ACTIVE</v>
      </c>
    </row>
    <row r="4606" ht="22.5" customHeight="1">
      <c r="A4606" s="11" t="str">
        <f t="array" ref="A4606">IFERROR(
  INDEX('Starlink Launches'!$A:$A, MATCH($E4606, 'Starlink Launches'!$B:$B, 0)),
  ""
)
</f>
        <v>11-21</v>
      </c>
      <c r="B4606" s="3" t="s">
        <v>25</v>
      </c>
      <c r="C4606" s="12" t="s">
        <v>4627</v>
      </c>
      <c r="D4606" s="13">
        <v>66233.0</v>
      </c>
      <c r="E4606" s="4">
        <v>45958.0</v>
      </c>
      <c r="F4606" s="4" t="str">
        <f>IF(D4606="","", IFNA(VLOOKUP(D4606, SATCAT_DECAY!A:B, 2, FALSE), ""))
</f>
        <v/>
      </c>
      <c r="G4606" s="3" t="str">
        <f t="shared" si="1"/>
        <v>ACTIVE</v>
      </c>
    </row>
    <row r="4607" ht="22.5" customHeight="1">
      <c r="A4607" s="11" t="str">
        <f t="array" ref="A4607">IFERROR(
  INDEX('Starlink Launches'!$A:$A, MATCH($E4607, 'Starlink Launches'!$B:$B, 0)),
  ""
)
</f>
        <v>11-23</v>
      </c>
      <c r="B4607" s="3" t="s">
        <v>25</v>
      </c>
      <c r="C4607" s="12" t="s">
        <v>4628</v>
      </c>
      <c r="D4607" s="13">
        <v>66265.0</v>
      </c>
      <c r="E4607" s="4">
        <v>45961.0</v>
      </c>
      <c r="F4607" s="4" t="str">
        <f>IF(D4607="","", IFNA(VLOOKUP(D4607, SATCAT_DECAY!A:B, 2, FALSE), ""))
</f>
        <v/>
      </c>
      <c r="G4607" s="3" t="str">
        <f t="shared" si="1"/>
        <v>ACTIVE</v>
      </c>
    </row>
    <row r="4608" ht="22.5" customHeight="1">
      <c r="A4608" s="11" t="str">
        <f t="array" ref="A4608">IFERROR(
  INDEX('Starlink Launches'!$A:$A, MATCH($E4608, 'Starlink Launches'!$B:$B, 0)),
  ""
)
</f>
        <v>11-23</v>
      </c>
      <c r="B4608" s="3" t="s">
        <v>25</v>
      </c>
      <c r="C4608" s="12" t="s">
        <v>4629</v>
      </c>
      <c r="D4608" s="13">
        <v>66266.0</v>
      </c>
      <c r="E4608" s="4">
        <v>45961.0</v>
      </c>
      <c r="F4608" s="4" t="str">
        <f>IF(D4608="","", IFNA(VLOOKUP(D4608, SATCAT_DECAY!A:B, 2, FALSE), ""))
</f>
        <v/>
      </c>
      <c r="G4608" s="3" t="str">
        <f t="shared" si="1"/>
        <v>ACTIVE</v>
      </c>
    </row>
    <row r="4609" ht="22.5" customHeight="1">
      <c r="A4609" s="11" t="str">
        <f t="array" ref="A4609">IFERROR(
  INDEX('Starlink Launches'!$A:$A, MATCH($E4609, 'Starlink Launches'!$B:$B, 0)),
  ""
)
</f>
        <v>11-23</v>
      </c>
      <c r="B4609" s="3" t="s">
        <v>25</v>
      </c>
      <c r="C4609" s="12" t="s">
        <v>4630</v>
      </c>
      <c r="D4609" s="13">
        <v>66267.0</v>
      </c>
      <c r="E4609" s="4">
        <v>45961.0</v>
      </c>
      <c r="F4609" s="4" t="str">
        <f>IF(D4609="","", IFNA(VLOOKUP(D4609, SATCAT_DECAY!A:B, 2, FALSE), ""))
</f>
        <v/>
      </c>
      <c r="G4609" s="3" t="str">
        <f t="shared" si="1"/>
        <v>ACTIVE</v>
      </c>
    </row>
    <row r="4610" ht="22.5" customHeight="1">
      <c r="A4610" s="11" t="str">
        <f t="array" ref="A4610">IFERROR(
  INDEX('Starlink Launches'!$A:$A, MATCH($E4610, 'Starlink Launches'!$B:$B, 0)),
  ""
)
</f>
        <v>11-23</v>
      </c>
      <c r="B4610" s="3" t="s">
        <v>25</v>
      </c>
      <c r="C4610" s="12" t="s">
        <v>4631</v>
      </c>
      <c r="D4610" s="13">
        <v>66268.0</v>
      </c>
      <c r="E4610" s="4">
        <v>45961.0</v>
      </c>
      <c r="F4610" s="4" t="str">
        <f>IF(D4610="","", IFNA(VLOOKUP(D4610, SATCAT_DECAY!A:B, 2, FALSE), ""))
</f>
        <v/>
      </c>
      <c r="G4610" s="3" t="str">
        <f t="shared" si="1"/>
        <v>ACTIVE</v>
      </c>
    </row>
    <row r="4611" ht="22.5" customHeight="1">
      <c r="A4611" s="11" t="str">
        <f t="array" ref="A4611">IFERROR(
  INDEX('Starlink Launches'!$A:$A, MATCH($E4611, 'Starlink Launches'!$B:$B, 0)),
  ""
)
</f>
        <v>11-23</v>
      </c>
      <c r="B4611" s="3" t="s">
        <v>25</v>
      </c>
      <c r="C4611" s="12" t="s">
        <v>4632</v>
      </c>
      <c r="D4611" s="13">
        <v>66269.0</v>
      </c>
      <c r="E4611" s="4">
        <v>45961.0</v>
      </c>
      <c r="F4611" s="4" t="str">
        <f>IF(D4611="","", IFNA(VLOOKUP(D4611, SATCAT_DECAY!A:B, 2, FALSE), ""))
</f>
        <v/>
      </c>
      <c r="G4611" s="3" t="str">
        <f t="shared" si="1"/>
        <v>ACTIVE</v>
      </c>
    </row>
    <row r="4612" ht="22.5" customHeight="1">
      <c r="A4612" s="11" t="str">
        <f t="array" ref="A4612">IFERROR(
  INDEX('Starlink Launches'!$A:$A, MATCH($E4612, 'Starlink Launches'!$B:$B, 0)),
  ""
)
</f>
        <v>11-23</v>
      </c>
      <c r="B4612" s="3" t="s">
        <v>25</v>
      </c>
      <c r="C4612" s="12" t="s">
        <v>4633</v>
      </c>
      <c r="D4612" s="13">
        <v>66270.0</v>
      </c>
      <c r="E4612" s="4">
        <v>45961.0</v>
      </c>
      <c r="F4612" s="4" t="str">
        <f>IF(D4612="","", IFNA(VLOOKUP(D4612, SATCAT_DECAY!A:B, 2, FALSE), ""))
</f>
        <v/>
      </c>
      <c r="G4612" s="3" t="str">
        <f t="shared" si="1"/>
        <v>ACTIVE</v>
      </c>
    </row>
    <row r="4613" ht="22.5" customHeight="1">
      <c r="A4613" s="11" t="str">
        <f t="array" ref="A4613">IFERROR(
  INDEX('Starlink Launches'!$A:$A, MATCH($E4613, 'Starlink Launches'!$B:$B, 0)),
  ""
)
</f>
        <v>11-23</v>
      </c>
      <c r="B4613" s="3" t="s">
        <v>25</v>
      </c>
      <c r="C4613" s="12" t="s">
        <v>4634</v>
      </c>
      <c r="D4613" s="13">
        <v>66271.0</v>
      </c>
      <c r="E4613" s="4">
        <v>45961.0</v>
      </c>
      <c r="F4613" s="4" t="str">
        <f>IF(D4613="","", IFNA(VLOOKUP(D4613, SATCAT_DECAY!A:B, 2, FALSE), ""))
</f>
        <v/>
      </c>
      <c r="G4613" s="3" t="str">
        <f t="shared" si="1"/>
        <v>ACTIVE</v>
      </c>
    </row>
    <row r="4614" ht="22.5" customHeight="1">
      <c r="A4614" s="11" t="str">
        <f t="array" ref="A4614">IFERROR(
  INDEX('Starlink Launches'!$A:$A, MATCH($E4614, 'Starlink Launches'!$B:$B, 0)),
  ""
)
</f>
        <v>11-23</v>
      </c>
      <c r="B4614" s="3" t="s">
        <v>25</v>
      </c>
      <c r="C4614" s="12" t="s">
        <v>4635</v>
      </c>
      <c r="D4614" s="13">
        <v>66272.0</v>
      </c>
      <c r="E4614" s="4">
        <v>45961.0</v>
      </c>
      <c r="F4614" s="4" t="str">
        <f>IF(D4614="","", IFNA(VLOOKUP(D4614, SATCAT_DECAY!A:B, 2, FALSE), ""))
</f>
        <v/>
      </c>
      <c r="G4614" s="3" t="str">
        <f t="shared" si="1"/>
        <v>ACTIVE</v>
      </c>
    </row>
    <row r="4615" ht="22.5" customHeight="1">
      <c r="A4615" s="11" t="str">
        <f t="array" ref="A4615">IFERROR(
  INDEX('Starlink Launches'!$A:$A, MATCH($E4615, 'Starlink Launches'!$B:$B, 0)),
  ""
)
</f>
        <v>11-23</v>
      </c>
      <c r="B4615" s="3" t="s">
        <v>25</v>
      </c>
      <c r="C4615" s="12" t="s">
        <v>4636</v>
      </c>
      <c r="D4615" s="13">
        <v>66273.0</v>
      </c>
      <c r="E4615" s="4">
        <v>45961.0</v>
      </c>
      <c r="F4615" s="4" t="str">
        <f>IF(D4615="","", IFNA(VLOOKUP(D4615, SATCAT_DECAY!A:B, 2, FALSE), ""))
</f>
        <v/>
      </c>
      <c r="G4615" s="3" t="str">
        <f t="shared" si="1"/>
        <v>ACTIVE</v>
      </c>
    </row>
    <row r="4616" ht="22.5" customHeight="1">
      <c r="A4616" s="11" t="str">
        <f t="array" ref="A4616">IFERROR(
  INDEX('Starlink Launches'!$A:$A, MATCH($E4616, 'Starlink Launches'!$B:$B, 0)),
  ""
)
</f>
        <v>11-23</v>
      </c>
      <c r="B4616" s="3" t="s">
        <v>25</v>
      </c>
      <c r="C4616" s="12" t="s">
        <v>4637</v>
      </c>
      <c r="D4616" s="13">
        <v>66274.0</v>
      </c>
      <c r="E4616" s="4">
        <v>45961.0</v>
      </c>
      <c r="F4616" s="4" t="str">
        <f>IF(D4616="","", IFNA(VLOOKUP(D4616, SATCAT_DECAY!A:B, 2, FALSE), ""))
</f>
        <v/>
      </c>
      <c r="G4616" s="3" t="str">
        <f t="shared" si="1"/>
        <v>ACTIVE</v>
      </c>
    </row>
    <row r="4617" ht="22.5" customHeight="1">
      <c r="A4617" s="11" t="str">
        <f t="array" ref="A4617">IFERROR(
  INDEX('Starlink Launches'!$A:$A, MATCH($E4617, 'Starlink Launches'!$B:$B, 0)),
  ""
)
</f>
        <v>11-23</v>
      </c>
      <c r="B4617" s="3" t="s">
        <v>25</v>
      </c>
      <c r="C4617" s="12" t="s">
        <v>4638</v>
      </c>
      <c r="D4617" s="13">
        <v>66275.0</v>
      </c>
      <c r="E4617" s="4">
        <v>45961.0</v>
      </c>
      <c r="F4617" s="4" t="str">
        <f>IF(D4617="","", IFNA(VLOOKUP(D4617, SATCAT_DECAY!A:B, 2, FALSE), ""))
</f>
        <v/>
      </c>
      <c r="G4617" s="3" t="str">
        <f t="shared" si="1"/>
        <v>ACTIVE</v>
      </c>
    </row>
    <row r="4618" ht="22.5" customHeight="1">
      <c r="A4618" s="11" t="str">
        <f t="array" ref="A4618">IFERROR(
  INDEX('Starlink Launches'!$A:$A, MATCH($E4618, 'Starlink Launches'!$B:$B, 0)),
  ""
)
</f>
        <v>11-23</v>
      </c>
      <c r="B4618" s="3" t="s">
        <v>25</v>
      </c>
      <c r="C4618" s="12" t="s">
        <v>4639</v>
      </c>
      <c r="D4618" s="13">
        <v>66276.0</v>
      </c>
      <c r="E4618" s="4">
        <v>45961.0</v>
      </c>
      <c r="F4618" s="4" t="str">
        <f>IF(D4618="","", IFNA(VLOOKUP(D4618, SATCAT_DECAY!A:B, 2, FALSE), ""))
</f>
        <v/>
      </c>
      <c r="G4618" s="3" t="str">
        <f t="shared" si="1"/>
        <v>ACTIVE</v>
      </c>
    </row>
    <row r="4619" ht="22.5" customHeight="1">
      <c r="A4619" s="11" t="str">
        <f t="array" ref="A4619">IFERROR(
  INDEX('Starlink Launches'!$A:$A, MATCH($E4619, 'Starlink Launches'!$B:$B, 0)),
  ""
)
</f>
        <v>11-23</v>
      </c>
      <c r="B4619" s="3" t="s">
        <v>25</v>
      </c>
      <c r="C4619" s="12" t="s">
        <v>4640</v>
      </c>
      <c r="D4619" s="13">
        <v>66277.0</v>
      </c>
      <c r="E4619" s="4">
        <v>45961.0</v>
      </c>
      <c r="F4619" s="4" t="str">
        <f>IF(D4619="","", IFNA(VLOOKUP(D4619, SATCAT_DECAY!A:B, 2, FALSE), ""))
</f>
        <v/>
      </c>
      <c r="G4619" s="3" t="str">
        <f t="shared" si="1"/>
        <v>ACTIVE</v>
      </c>
    </row>
    <row r="4620" ht="22.5" customHeight="1">
      <c r="A4620" s="11" t="str">
        <f t="array" ref="A4620">IFERROR(
  INDEX('Starlink Launches'!$A:$A, MATCH($E4620, 'Starlink Launches'!$B:$B, 0)),
  ""
)
</f>
        <v>11-23</v>
      </c>
      <c r="B4620" s="3" t="s">
        <v>25</v>
      </c>
      <c r="C4620" s="12" t="s">
        <v>4641</v>
      </c>
      <c r="D4620" s="13">
        <v>66278.0</v>
      </c>
      <c r="E4620" s="4">
        <v>45961.0</v>
      </c>
      <c r="F4620" s="4" t="str">
        <f>IF(D4620="","", IFNA(VLOOKUP(D4620, SATCAT_DECAY!A:B, 2, FALSE), ""))
</f>
        <v/>
      </c>
      <c r="G4620" s="3" t="str">
        <f t="shared" si="1"/>
        <v>ACTIVE</v>
      </c>
    </row>
    <row r="4621" ht="22.5" customHeight="1">
      <c r="A4621" s="11" t="str">
        <f t="array" ref="A4621">IFERROR(
  INDEX('Starlink Launches'!$A:$A, MATCH($E4621, 'Starlink Launches'!$B:$B, 0)),
  ""
)
</f>
        <v>11-23</v>
      </c>
      <c r="B4621" s="3" t="s">
        <v>25</v>
      </c>
      <c r="C4621" s="12" t="s">
        <v>4642</v>
      </c>
      <c r="D4621" s="13">
        <v>66279.0</v>
      </c>
      <c r="E4621" s="4">
        <v>45961.0</v>
      </c>
      <c r="F4621" s="4" t="str">
        <f>IF(D4621="","", IFNA(VLOOKUP(D4621, SATCAT_DECAY!A:B, 2, FALSE), ""))
</f>
        <v/>
      </c>
      <c r="G4621" s="3" t="str">
        <f t="shared" si="1"/>
        <v>ACTIVE</v>
      </c>
    </row>
    <row r="4622" ht="22.5" customHeight="1">
      <c r="A4622" s="11" t="str">
        <f t="array" ref="A4622">IFERROR(
  INDEX('Starlink Launches'!$A:$A, MATCH($E4622, 'Starlink Launches'!$B:$B, 0)),
  ""
)
</f>
        <v>11-23</v>
      </c>
      <c r="B4622" s="3" t="s">
        <v>25</v>
      </c>
      <c r="C4622" s="12" t="s">
        <v>4643</v>
      </c>
      <c r="D4622" s="13">
        <v>66280.0</v>
      </c>
      <c r="E4622" s="4">
        <v>45961.0</v>
      </c>
      <c r="F4622" s="4" t="str">
        <f>IF(D4622="","", IFNA(VLOOKUP(D4622, SATCAT_DECAY!A:B, 2, FALSE), ""))
</f>
        <v/>
      </c>
      <c r="G4622" s="3" t="str">
        <f t="shared" si="1"/>
        <v>ACTIVE</v>
      </c>
    </row>
    <row r="4623" ht="22.5" customHeight="1">
      <c r="A4623" s="11" t="str">
        <f t="array" ref="A4623">IFERROR(
  INDEX('Starlink Launches'!$A:$A, MATCH($E4623, 'Starlink Launches'!$B:$B, 0)),
  ""
)
</f>
        <v>11-23</v>
      </c>
      <c r="B4623" s="3" t="s">
        <v>25</v>
      </c>
      <c r="C4623" s="12" t="s">
        <v>4644</v>
      </c>
      <c r="D4623" s="13">
        <v>66281.0</v>
      </c>
      <c r="E4623" s="4">
        <v>45961.0</v>
      </c>
      <c r="F4623" s="4" t="str">
        <f>IF(D4623="","", IFNA(VLOOKUP(D4623, SATCAT_DECAY!A:B, 2, FALSE), ""))
</f>
        <v/>
      </c>
      <c r="G4623" s="3" t="str">
        <f t="shared" si="1"/>
        <v>ACTIVE</v>
      </c>
    </row>
    <row r="4624" ht="22.5" customHeight="1">
      <c r="A4624" s="11" t="str">
        <f t="array" ref="A4624">IFERROR(
  INDEX('Starlink Launches'!$A:$A, MATCH($E4624, 'Starlink Launches'!$B:$B, 0)),
  ""
)
</f>
        <v>11-23</v>
      </c>
      <c r="B4624" s="3" t="s">
        <v>25</v>
      </c>
      <c r="C4624" s="12" t="s">
        <v>4645</v>
      </c>
      <c r="D4624" s="13">
        <v>66282.0</v>
      </c>
      <c r="E4624" s="4">
        <v>45961.0</v>
      </c>
      <c r="F4624" s="4" t="str">
        <f>IF(D4624="","", IFNA(VLOOKUP(D4624, SATCAT_DECAY!A:B, 2, FALSE), ""))
</f>
        <v/>
      </c>
      <c r="G4624" s="3" t="str">
        <f t="shared" si="1"/>
        <v>ACTIVE</v>
      </c>
    </row>
    <row r="4625" ht="22.5" customHeight="1">
      <c r="A4625" s="11" t="str">
        <f t="array" ref="A4625">IFERROR(
  INDEX('Starlink Launches'!$A:$A, MATCH($E4625, 'Starlink Launches'!$B:$B, 0)),
  ""
)
</f>
        <v>11-23</v>
      </c>
      <c r="B4625" s="3" t="s">
        <v>25</v>
      </c>
      <c r="C4625" s="12" t="s">
        <v>4646</v>
      </c>
      <c r="D4625" s="13">
        <v>66283.0</v>
      </c>
      <c r="E4625" s="4">
        <v>45961.0</v>
      </c>
      <c r="F4625" s="4" t="str">
        <f>IF(D4625="","", IFNA(VLOOKUP(D4625, SATCAT_DECAY!A:B, 2, FALSE), ""))
</f>
        <v/>
      </c>
      <c r="G4625" s="3" t="str">
        <f t="shared" si="1"/>
        <v>ACTIVE</v>
      </c>
    </row>
    <row r="4626" ht="22.5" customHeight="1">
      <c r="A4626" s="11" t="str">
        <f t="array" ref="A4626">IFERROR(
  INDEX('Starlink Launches'!$A:$A, MATCH($E4626, 'Starlink Launches'!$B:$B, 0)),
  ""
)
</f>
        <v>11-23</v>
      </c>
      <c r="B4626" s="3" t="s">
        <v>25</v>
      </c>
      <c r="C4626" s="12" t="s">
        <v>4647</v>
      </c>
      <c r="D4626" s="13">
        <v>66284.0</v>
      </c>
      <c r="E4626" s="4">
        <v>45961.0</v>
      </c>
      <c r="F4626" s="4" t="str">
        <f>IF(D4626="","", IFNA(VLOOKUP(D4626, SATCAT_DECAY!A:B, 2, FALSE), ""))
</f>
        <v/>
      </c>
      <c r="G4626" s="3" t="str">
        <f t="shared" si="1"/>
        <v>ACTIVE</v>
      </c>
    </row>
    <row r="4627" ht="22.5" customHeight="1">
      <c r="A4627" s="11" t="str">
        <f t="array" ref="A4627">IFERROR(
  INDEX('Starlink Launches'!$A:$A, MATCH($E4627, 'Starlink Launches'!$B:$B, 0)),
  ""
)
</f>
        <v>11-23</v>
      </c>
      <c r="B4627" s="3" t="s">
        <v>25</v>
      </c>
      <c r="C4627" s="12" t="s">
        <v>4648</v>
      </c>
      <c r="D4627" s="13">
        <v>66285.0</v>
      </c>
      <c r="E4627" s="4">
        <v>45961.0</v>
      </c>
      <c r="F4627" s="4" t="str">
        <f>IF(D4627="","", IFNA(VLOOKUP(D4627, SATCAT_DECAY!A:B, 2, FALSE), ""))
</f>
        <v/>
      </c>
      <c r="G4627" s="3" t="str">
        <f t="shared" si="1"/>
        <v>ACTIVE</v>
      </c>
    </row>
    <row r="4628" ht="22.5" customHeight="1">
      <c r="A4628" s="11" t="str">
        <f t="array" ref="A4628">IFERROR(
  INDEX('Starlink Launches'!$A:$A, MATCH($E4628, 'Starlink Launches'!$B:$B, 0)),
  ""
)
</f>
        <v>11-23</v>
      </c>
      <c r="B4628" s="3" t="s">
        <v>25</v>
      </c>
      <c r="C4628" s="12" t="s">
        <v>4649</v>
      </c>
      <c r="D4628" s="13">
        <v>66286.0</v>
      </c>
      <c r="E4628" s="4">
        <v>45961.0</v>
      </c>
      <c r="F4628" s="4" t="str">
        <f>IF(D4628="","", IFNA(VLOOKUP(D4628, SATCAT_DECAY!A:B, 2, FALSE), ""))
</f>
        <v/>
      </c>
      <c r="G4628" s="3" t="str">
        <f t="shared" si="1"/>
        <v>ACTIVE</v>
      </c>
    </row>
    <row r="4629" ht="22.5" customHeight="1">
      <c r="A4629" s="11" t="str">
        <f t="array" ref="A4629">IFERROR(
  INDEX('Starlink Launches'!$A:$A, MATCH($E4629, 'Starlink Launches'!$B:$B, 0)),
  ""
)
</f>
        <v>11-23</v>
      </c>
      <c r="B4629" s="3" t="s">
        <v>25</v>
      </c>
      <c r="C4629" s="12" t="s">
        <v>4650</v>
      </c>
      <c r="D4629" s="13">
        <v>66287.0</v>
      </c>
      <c r="E4629" s="4">
        <v>45961.0</v>
      </c>
      <c r="F4629" s="4" t="str">
        <f>IF(D4629="","", IFNA(VLOOKUP(D4629, SATCAT_DECAY!A:B, 2, FALSE), ""))
</f>
        <v/>
      </c>
      <c r="G4629" s="3" t="str">
        <f t="shared" si="1"/>
        <v>ACTIVE</v>
      </c>
    </row>
    <row r="4630" ht="22.5" customHeight="1">
      <c r="A4630" s="11" t="str">
        <f t="array" ref="A4630">IFERROR(
  INDEX('Starlink Launches'!$A:$A, MATCH($E4630, 'Starlink Launches'!$B:$B, 0)),
  ""
)
</f>
        <v>11-23</v>
      </c>
      <c r="B4630" s="3" t="s">
        <v>25</v>
      </c>
      <c r="C4630" s="12" t="s">
        <v>4651</v>
      </c>
      <c r="D4630" s="13">
        <v>66288.0</v>
      </c>
      <c r="E4630" s="4">
        <v>45961.0</v>
      </c>
      <c r="F4630" s="4" t="str">
        <f>IF(D4630="","", IFNA(VLOOKUP(D4630, SATCAT_DECAY!A:B, 2, FALSE), ""))
</f>
        <v/>
      </c>
      <c r="G4630" s="3" t="str">
        <f t="shared" si="1"/>
        <v>ACTIVE</v>
      </c>
    </row>
    <row r="4631" ht="22.5" customHeight="1">
      <c r="A4631" s="11" t="str">
        <f t="array" ref="A4631">IFERROR(
  INDEX('Starlink Launches'!$A:$A, MATCH($E4631, 'Starlink Launches'!$B:$B, 0)),
  ""
)
</f>
        <v>11-23</v>
      </c>
      <c r="B4631" s="3" t="s">
        <v>25</v>
      </c>
      <c r="C4631" s="12" t="s">
        <v>4652</v>
      </c>
      <c r="D4631" s="13">
        <v>66289.0</v>
      </c>
      <c r="E4631" s="4">
        <v>45961.0</v>
      </c>
      <c r="F4631" s="4" t="str">
        <f>IF(D4631="","", IFNA(VLOOKUP(D4631, SATCAT_DECAY!A:B, 2, FALSE), ""))
</f>
        <v/>
      </c>
      <c r="G4631" s="3" t="str">
        <f t="shared" si="1"/>
        <v>ACTIVE</v>
      </c>
    </row>
    <row r="4632" ht="22.5" customHeight="1">
      <c r="A4632" s="11" t="str">
        <f t="array" ref="A4632">IFERROR(
  INDEX('Starlink Launches'!$A:$A, MATCH($E4632, 'Starlink Launches'!$B:$B, 0)),
  ""
)
</f>
        <v>11-23</v>
      </c>
      <c r="B4632" s="3" t="s">
        <v>25</v>
      </c>
      <c r="C4632" s="12" t="s">
        <v>4653</v>
      </c>
      <c r="D4632" s="13">
        <v>66290.0</v>
      </c>
      <c r="E4632" s="4">
        <v>45961.0</v>
      </c>
      <c r="F4632" s="4" t="str">
        <f>IF(D4632="","", IFNA(VLOOKUP(D4632, SATCAT_DECAY!A:B, 2, FALSE), ""))
</f>
        <v/>
      </c>
      <c r="G4632" s="3" t="str">
        <f t="shared" si="1"/>
        <v>ACTIVE</v>
      </c>
    </row>
    <row r="4633" ht="22.5" customHeight="1">
      <c r="A4633" s="11" t="str">
        <f t="array" ref="A4633">IFERROR(
  INDEX('Starlink Launches'!$A:$A, MATCH($E4633, 'Starlink Launches'!$B:$B, 0)),
  ""
)
</f>
        <v>11-23</v>
      </c>
      <c r="B4633" s="3" t="s">
        <v>25</v>
      </c>
      <c r="C4633" s="12" t="s">
        <v>4654</v>
      </c>
      <c r="D4633" s="13">
        <v>66291.0</v>
      </c>
      <c r="E4633" s="4">
        <v>45961.0</v>
      </c>
      <c r="F4633" s="4" t="str">
        <f>IF(D4633="","", IFNA(VLOOKUP(D4633, SATCAT_DECAY!A:B, 2, FALSE), ""))
</f>
        <v/>
      </c>
      <c r="G4633" s="3" t="str">
        <f t="shared" si="1"/>
        <v>ACTIVE</v>
      </c>
    </row>
    <row r="4634" ht="22.5" customHeight="1">
      <c r="A4634" s="11" t="str">
        <f t="array" ref="A4634">IFERROR(
  INDEX('Starlink Launches'!$A:$A, MATCH($E4634, 'Starlink Launches'!$B:$B, 0)),
  ""
)
</f>
        <v>11-23</v>
      </c>
      <c r="B4634" s="3" t="s">
        <v>25</v>
      </c>
      <c r="C4634" s="12" t="s">
        <v>4655</v>
      </c>
      <c r="D4634" s="13">
        <v>66292.0</v>
      </c>
      <c r="E4634" s="4">
        <v>45961.0</v>
      </c>
      <c r="F4634" s="4" t="str">
        <f>IF(D4634="","", IFNA(VLOOKUP(D4634, SATCAT_DECAY!A:B, 2, FALSE), ""))
</f>
        <v/>
      </c>
      <c r="G4634" s="3" t="str">
        <f t="shared" si="1"/>
        <v>ACTIVE</v>
      </c>
    </row>
    <row r="4635" ht="22.5" customHeight="1">
      <c r="A4635" s="20" t="s">
        <v>4656</v>
      </c>
      <c r="B4635" s="3" t="s">
        <v>25</v>
      </c>
      <c r="C4635" s="12" t="s">
        <v>4657</v>
      </c>
      <c r="D4635" s="13">
        <v>66348.0</v>
      </c>
      <c r="E4635" s="4">
        <v>45967.0</v>
      </c>
      <c r="F4635" s="4" t="str">
        <f>IF(D4635="","", IFNA(VLOOKUP(D4635, SATCAT_DECAY!A:B, 2, FALSE), ""))
</f>
        <v/>
      </c>
      <c r="G4635" s="3" t="str">
        <f t="shared" si="1"/>
        <v>ACTIVE</v>
      </c>
    </row>
    <row r="4636" ht="22.5" customHeight="1">
      <c r="A4636" s="20" t="s">
        <v>4656</v>
      </c>
      <c r="B4636" s="3" t="s">
        <v>25</v>
      </c>
      <c r="C4636" s="12" t="s">
        <v>4658</v>
      </c>
      <c r="D4636" s="13">
        <v>66349.0</v>
      </c>
      <c r="E4636" s="4">
        <v>45967.0</v>
      </c>
      <c r="F4636" s="4" t="str">
        <f>IF(D4636="","", IFNA(VLOOKUP(D4636, SATCAT_DECAY!A:B, 2, FALSE), ""))
</f>
        <v/>
      </c>
      <c r="G4636" s="3" t="str">
        <f t="shared" si="1"/>
        <v>ACTIVE</v>
      </c>
    </row>
    <row r="4637" ht="22.5" customHeight="1">
      <c r="A4637" s="20" t="s">
        <v>4656</v>
      </c>
      <c r="B4637" s="3" t="s">
        <v>25</v>
      </c>
      <c r="C4637" s="12" t="s">
        <v>4659</v>
      </c>
      <c r="D4637" s="13">
        <v>66350.0</v>
      </c>
      <c r="E4637" s="4">
        <v>45967.0</v>
      </c>
      <c r="F4637" s="4" t="str">
        <f>IF(D4637="","", IFNA(VLOOKUP(D4637, SATCAT_DECAY!A:B, 2, FALSE), ""))
</f>
        <v/>
      </c>
      <c r="G4637" s="3" t="str">
        <f t="shared" si="1"/>
        <v>ACTIVE</v>
      </c>
    </row>
    <row r="4638" ht="22.5" customHeight="1">
      <c r="A4638" s="20" t="s">
        <v>4656</v>
      </c>
      <c r="B4638" s="3" t="s">
        <v>25</v>
      </c>
      <c r="C4638" s="12" t="s">
        <v>4660</v>
      </c>
      <c r="D4638" s="13">
        <v>66351.0</v>
      </c>
      <c r="E4638" s="4">
        <v>45967.0</v>
      </c>
      <c r="F4638" s="4" t="str">
        <f>IF(D4638="","", IFNA(VLOOKUP(D4638, SATCAT_DECAY!A:B, 2, FALSE), ""))
</f>
        <v/>
      </c>
      <c r="G4638" s="3" t="str">
        <f t="shared" si="1"/>
        <v>ACTIVE</v>
      </c>
    </row>
    <row r="4639" ht="22.5" customHeight="1">
      <c r="A4639" s="20" t="s">
        <v>4656</v>
      </c>
      <c r="B4639" s="3" t="s">
        <v>25</v>
      </c>
      <c r="C4639" s="12" t="s">
        <v>4661</v>
      </c>
      <c r="D4639" s="13">
        <v>66352.0</v>
      </c>
      <c r="E4639" s="4">
        <v>45967.0</v>
      </c>
      <c r="F4639" s="4" t="str">
        <f>IF(D4639="","", IFNA(VLOOKUP(D4639, SATCAT_DECAY!A:B, 2, FALSE), ""))
</f>
        <v/>
      </c>
      <c r="G4639" s="3" t="str">
        <f t="shared" si="1"/>
        <v>ACTIVE</v>
      </c>
    </row>
    <row r="4640" ht="22.5" customHeight="1">
      <c r="A4640" s="20" t="s">
        <v>4656</v>
      </c>
      <c r="B4640" s="3" t="s">
        <v>25</v>
      </c>
      <c r="C4640" s="12" t="s">
        <v>4662</v>
      </c>
      <c r="D4640" s="13">
        <v>66353.0</v>
      </c>
      <c r="E4640" s="4">
        <v>45967.0</v>
      </c>
      <c r="F4640" s="4" t="str">
        <f>IF(D4640="","", IFNA(VLOOKUP(D4640, SATCAT_DECAY!A:B, 2, FALSE), ""))
</f>
        <v/>
      </c>
      <c r="G4640" s="3" t="str">
        <f t="shared" si="1"/>
        <v>ACTIVE</v>
      </c>
    </row>
    <row r="4641" ht="22.5" customHeight="1">
      <c r="A4641" s="20" t="s">
        <v>4656</v>
      </c>
      <c r="B4641" s="3" t="s">
        <v>25</v>
      </c>
      <c r="C4641" s="12" t="s">
        <v>4663</v>
      </c>
      <c r="D4641" s="13">
        <v>66354.0</v>
      </c>
      <c r="E4641" s="4">
        <v>45967.0</v>
      </c>
      <c r="F4641" s="4" t="str">
        <f>IF(D4641="","", IFNA(VLOOKUP(D4641, SATCAT_DECAY!A:B, 2, FALSE), ""))
</f>
        <v/>
      </c>
      <c r="G4641" s="3" t="str">
        <f t="shared" si="1"/>
        <v>ACTIVE</v>
      </c>
    </row>
    <row r="4642" ht="22.5" customHeight="1">
      <c r="A4642" s="20" t="s">
        <v>4656</v>
      </c>
      <c r="B4642" s="3" t="s">
        <v>25</v>
      </c>
      <c r="C4642" s="12" t="s">
        <v>4664</v>
      </c>
      <c r="D4642" s="13">
        <v>66355.0</v>
      </c>
      <c r="E4642" s="4">
        <v>45967.0</v>
      </c>
      <c r="F4642" s="4" t="str">
        <f>IF(D4642="","", IFNA(VLOOKUP(D4642, SATCAT_DECAY!A:B, 2, FALSE), ""))
</f>
        <v/>
      </c>
      <c r="G4642" s="3" t="str">
        <f t="shared" si="1"/>
        <v>ACTIVE</v>
      </c>
    </row>
    <row r="4643" ht="22.5" customHeight="1">
      <c r="A4643" s="20" t="s">
        <v>4656</v>
      </c>
      <c r="B4643" s="3" t="s">
        <v>25</v>
      </c>
      <c r="C4643" s="12" t="s">
        <v>4665</v>
      </c>
      <c r="D4643" s="13">
        <v>66356.0</v>
      </c>
      <c r="E4643" s="4">
        <v>45967.0</v>
      </c>
      <c r="F4643" s="4" t="str">
        <f>IF(D4643="","", IFNA(VLOOKUP(D4643, SATCAT_DECAY!A:B, 2, FALSE), ""))
</f>
        <v/>
      </c>
      <c r="G4643" s="3" t="str">
        <f t="shared" si="1"/>
        <v>ACTIVE</v>
      </c>
    </row>
    <row r="4644" ht="22.5" customHeight="1">
      <c r="A4644" s="20" t="s">
        <v>4656</v>
      </c>
      <c r="B4644" s="3" t="s">
        <v>25</v>
      </c>
      <c r="C4644" s="12" t="s">
        <v>4666</v>
      </c>
      <c r="D4644" s="13">
        <v>66357.0</v>
      </c>
      <c r="E4644" s="4">
        <v>45967.0</v>
      </c>
      <c r="F4644" s="4" t="str">
        <f>IF(D4644="","", IFNA(VLOOKUP(D4644, SATCAT_DECAY!A:B, 2, FALSE), ""))
</f>
        <v/>
      </c>
      <c r="G4644" s="3" t="str">
        <f t="shared" si="1"/>
        <v>ACTIVE</v>
      </c>
    </row>
    <row r="4645" ht="22.5" customHeight="1">
      <c r="A4645" s="20" t="s">
        <v>4656</v>
      </c>
      <c r="B4645" s="3" t="s">
        <v>25</v>
      </c>
      <c r="C4645" s="12" t="s">
        <v>4667</v>
      </c>
      <c r="D4645" s="13">
        <v>66358.0</v>
      </c>
      <c r="E4645" s="4">
        <v>45967.0</v>
      </c>
      <c r="F4645" s="4" t="str">
        <f>IF(D4645="","", IFNA(VLOOKUP(D4645, SATCAT_DECAY!A:B, 2, FALSE), ""))
</f>
        <v/>
      </c>
      <c r="G4645" s="3" t="str">
        <f t="shared" si="1"/>
        <v>ACTIVE</v>
      </c>
    </row>
    <row r="4646" ht="22.5" customHeight="1">
      <c r="A4646" s="20" t="s">
        <v>4656</v>
      </c>
      <c r="B4646" s="3" t="s">
        <v>25</v>
      </c>
      <c r="C4646" s="12" t="s">
        <v>4668</v>
      </c>
      <c r="D4646" s="13">
        <v>66359.0</v>
      </c>
      <c r="E4646" s="4">
        <v>45967.0</v>
      </c>
      <c r="F4646" s="4" t="str">
        <f>IF(D4646="","", IFNA(VLOOKUP(D4646, SATCAT_DECAY!A:B, 2, FALSE), ""))
</f>
        <v/>
      </c>
      <c r="G4646" s="3" t="str">
        <f t="shared" si="1"/>
        <v>ACTIVE</v>
      </c>
    </row>
    <row r="4647" ht="22.5" customHeight="1">
      <c r="A4647" s="20" t="s">
        <v>4656</v>
      </c>
      <c r="B4647" s="3" t="s">
        <v>25</v>
      </c>
      <c r="C4647" s="12" t="s">
        <v>4669</v>
      </c>
      <c r="D4647" s="13">
        <v>66360.0</v>
      </c>
      <c r="E4647" s="4">
        <v>45967.0</v>
      </c>
      <c r="F4647" s="4" t="str">
        <f>IF(D4647="","", IFNA(VLOOKUP(D4647, SATCAT_DECAY!A:B, 2, FALSE), ""))
</f>
        <v/>
      </c>
      <c r="G4647" s="3" t="str">
        <f t="shared" si="1"/>
        <v>ACTIVE</v>
      </c>
    </row>
    <row r="4648" ht="22.5" customHeight="1">
      <c r="A4648" s="20" t="s">
        <v>4656</v>
      </c>
      <c r="B4648" s="3" t="s">
        <v>25</v>
      </c>
      <c r="C4648" s="12" t="s">
        <v>4670</v>
      </c>
      <c r="D4648" s="13">
        <v>66361.0</v>
      </c>
      <c r="E4648" s="4">
        <v>45967.0</v>
      </c>
      <c r="F4648" s="4" t="str">
        <f>IF(D4648="","", IFNA(VLOOKUP(D4648, SATCAT_DECAY!A:B, 2, FALSE), ""))
</f>
        <v/>
      </c>
      <c r="G4648" s="3" t="str">
        <f t="shared" si="1"/>
        <v>ACTIVE</v>
      </c>
    </row>
    <row r="4649" ht="22.5" customHeight="1">
      <c r="A4649" s="20" t="s">
        <v>4656</v>
      </c>
      <c r="B4649" s="3" t="s">
        <v>25</v>
      </c>
      <c r="C4649" s="12" t="s">
        <v>4671</v>
      </c>
      <c r="D4649" s="13">
        <v>66362.0</v>
      </c>
      <c r="E4649" s="4">
        <v>45967.0</v>
      </c>
      <c r="F4649" s="4" t="str">
        <f>IF(D4649="","", IFNA(VLOOKUP(D4649, SATCAT_DECAY!A:B, 2, FALSE), ""))
</f>
        <v/>
      </c>
      <c r="G4649" s="3" t="str">
        <f t="shared" si="1"/>
        <v>ACTIVE</v>
      </c>
    </row>
    <row r="4650" ht="22.5" customHeight="1">
      <c r="A4650" s="20" t="s">
        <v>4656</v>
      </c>
      <c r="B4650" s="3" t="s">
        <v>25</v>
      </c>
      <c r="C4650" s="12" t="s">
        <v>4672</v>
      </c>
      <c r="D4650" s="13">
        <v>66363.0</v>
      </c>
      <c r="E4650" s="4">
        <v>45967.0</v>
      </c>
      <c r="F4650" s="4" t="str">
        <f>IF(D4650="","", IFNA(VLOOKUP(D4650, SATCAT_DECAY!A:B, 2, FALSE), ""))
</f>
        <v/>
      </c>
      <c r="G4650" s="3" t="str">
        <f t="shared" si="1"/>
        <v>ACTIVE</v>
      </c>
    </row>
    <row r="4651" ht="22.5" customHeight="1">
      <c r="A4651" s="20" t="s">
        <v>4656</v>
      </c>
      <c r="B4651" s="3" t="s">
        <v>25</v>
      </c>
      <c r="C4651" s="12" t="s">
        <v>4673</v>
      </c>
      <c r="D4651" s="13">
        <v>66364.0</v>
      </c>
      <c r="E4651" s="4">
        <v>45967.0</v>
      </c>
      <c r="F4651" s="4" t="str">
        <f>IF(D4651="","", IFNA(VLOOKUP(D4651, SATCAT_DECAY!A:B, 2, FALSE), ""))
</f>
        <v/>
      </c>
      <c r="G4651" s="3" t="str">
        <f t="shared" si="1"/>
        <v>ACTIVE</v>
      </c>
    </row>
    <row r="4652" ht="22.5" customHeight="1">
      <c r="A4652" s="20" t="s">
        <v>4656</v>
      </c>
      <c r="B4652" s="3" t="s">
        <v>25</v>
      </c>
      <c r="C4652" s="12" t="s">
        <v>4674</v>
      </c>
      <c r="D4652" s="13">
        <v>66365.0</v>
      </c>
      <c r="E4652" s="4">
        <v>45967.0</v>
      </c>
      <c r="F4652" s="4" t="str">
        <f>IF(D4652="","", IFNA(VLOOKUP(D4652, SATCAT_DECAY!A:B, 2, FALSE), ""))
</f>
        <v/>
      </c>
      <c r="G4652" s="3" t="str">
        <f t="shared" si="1"/>
        <v>ACTIVE</v>
      </c>
    </row>
    <row r="4653" ht="22.5" customHeight="1">
      <c r="A4653" s="20" t="s">
        <v>4656</v>
      </c>
      <c r="B4653" s="3" t="s">
        <v>25</v>
      </c>
      <c r="C4653" s="12" t="s">
        <v>4675</v>
      </c>
      <c r="D4653" s="13">
        <v>66366.0</v>
      </c>
      <c r="E4653" s="4">
        <v>45967.0</v>
      </c>
      <c r="F4653" s="4" t="str">
        <f>IF(D4653="","", IFNA(VLOOKUP(D4653, SATCAT_DECAY!A:B, 2, FALSE), ""))
</f>
        <v/>
      </c>
      <c r="G4653" s="3" t="str">
        <f t="shared" si="1"/>
        <v>ACTIVE</v>
      </c>
    </row>
    <row r="4654" ht="22.5" customHeight="1">
      <c r="A4654" s="20" t="s">
        <v>4656</v>
      </c>
      <c r="B4654" s="3" t="s">
        <v>25</v>
      </c>
      <c r="C4654" s="12" t="s">
        <v>4676</v>
      </c>
      <c r="D4654" s="13">
        <v>66367.0</v>
      </c>
      <c r="E4654" s="4">
        <v>45967.0</v>
      </c>
      <c r="F4654" s="4" t="str">
        <f>IF(D4654="","", IFNA(VLOOKUP(D4654, SATCAT_DECAY!A:B, 2, FALSE), ""))
</f>
        <v/>
      </c>
      <c r="G4654" s="3" t="str">
        <f t="shared" si="1"/>
        <v>ACTIVE</v>
      </c>
    </row>
    <row r="4655" ht="22.5" customHeight="1">
      <c r="A4655" s="20" t="s">
        <v>4656</v>
      </c>
      <c r="B4655" s="3" t="s">
        <v>25</v>
      </c>
      <c r="C4655" s="12" t="s">
        <v>4677</v>
      </c>
      <c r="D4655" s="13">
        <v>66368.0</v>
      </c>
      <c r="E4655" s="4">
        <v>45967.0</v>
      </c>
      <c r="F4655" s="4" t="str">
        <f>IF(D4655="","", IFNA(VLOOKUP(D4655, SATCAT_DECAY!A:B, 2, FALSE), ""))
</f>
        <v/>
      </c>
      <c r="G4655" s="3" t="str">
        <f t="shared" si="1"/>
        <v>ACTIVE</v>
      </c>
    </row>
    <row r="4656" ht="22.5" customHeight="1">
      <c r="A4656" s="20" t="s">
        <v>4656</v>
      </c>
      <c r="B4656" s="3" t="s">
        <v>25</v>
      </c>
      <c r="C4656" s="12" t="s">
        <v>4678</v>
      </c>
      <c r="D4656" s="13">
        <v>66369.0</v>
      </c>
      <c r="E4656" s="4">
        <v>45967.0</v>
      </c>
      <c r="F4656" s="4" t="str">
        <f>IF(D4656="","", IFNA(VLOOKUP(D4656, SATCAT_DECAY!A:B, 2, FALSE), ""))
</f>
        <v/>
      </c>
      <c r="G4656" s="3" t="str">
        <f t="shared" si="1"/>
        <v>ACTIVE</v>
      </c>
    </row>
    <row r="4657" ht="22.5" customHeight="1">
      <c r="A4657" s="20" t="s">
        <v>4656</v>
      </c>
      <c r="B4657" s="3" t="s">
        <v>25</v>
      </c>
      <c r="C4657" s="12" t="s">
        <v>4679</v>
      </c>
      <c r="D4657" s="13">
        <v>66370.0</v>
      </c>
      <c r="E4657" s="4">
        <v>45967.0</v>
      </c>
      <c r="F4657" s="4" t="str">
        <f>IF(D4657="","", IFNA(VLOOKUP(D4657, SATCAT_DECAY!A:B, 2, FALSE), ""))
</f>
        <v/>
      </c>
      <c r="G4657" s="3" t="str">
        <f t="shared" si="1"/>
        <v>ACTIVE</v>
      </c>
    </row>
    <row r="4658" ht="22.5" customHeight="1">
      <c r="A4658" s="20" t="s">
        <v>4656</v>
      </c>
      <c r="B4658" s="3" t="s">
        <v>25</v>
      </c>
      <c r="C4658" s="12" t="s">
        <v>4680</v>
      </c>
      <c r="D4658" s="13">
        <v>66371.0</v>
      </c>
      <c r="E4658" s="4">
        <v>45967.0</v>
      </c>
      <c r="F4658" s="4" t="str">
        <f>IF(D4658="","", IFNA(VLOOKUP(D4658, SATCAT_DECAY!A:B, 2, FALSE), ""))
</f>
        <v/>
      </c>
      <c r="G4658" s="3" t="str">
        <f t="shared" si="1"/>
        <v>ACTIVE</v>
      </c>
    </row>
    <row r="4659" ht="22.5" customHeight="1">
      <c r="A4659" s="20" t="s">
        <v>4656</v>
      </c>
      <c r="B4659" s="3" t="s">
        <v>25</v>
      </c>
      <c r="C4659" s="12" t="s">
        <v>4681</v>
      </c>
      <c r="D4659" s="13">
        <v>66372.0</v>
      </c>
      <c r="E4659" s="4">
        <v>45967.0</v>
      </c>
      <c r="F4659" s="4" t="str">
        <f>IF(D4659="","", IFNA(VLOOKUP(D4659, SATCAT_DECAY!A:B, 2, FALSE), ""))
</f>
        <v/>
      </c>
      <c r="G4659" s="3" t="str">
        <f t="shared" si="1"/>
        <v>ACTIVE</v>
      </c>
    </row>
    <row r="4660" ht="22.5" customHeight="1">
      <c r="A4660" s="20" t="s">
        <v>4656</v>
      </c>
      <c r="B4660" s="3" t="s">
        <v>25</v>
      </c>
      <c r="C4660" s="12" t="s">
        <v>4682</v>
      </c>
      <c r="D4660" s="13">
        <v>66373.0</v>
      </c>
      <c r="E4660" s="4">
        <v>45967.0</v>
      </c>
      <c r="F4660" s="4" t="str">
        <f>IF(D4660="","", IFNA(VLOOKUP(D4660, SATCAT_DECAY!A:B, 2, FALSE), ""))
</f>
        <v/>
      </c>
      <c r="G4660" s="3" t="str">
        <f t="shared" si="1"/>
        <v>ACTIVE</v>
      </c>
    </row>
    <row r="4661" ht="22.5" customHeight="1">
      <c r="A4661" s="20" t="s">
        <v>4656</v>
      </c>
      <c r="B4661" s="3" t="s">
        <v>25</v>
      </c>
      <c r="C4661" s="12" t="s">
        <v>4683</v>
      </c>
      <c r="D4661" s="13">
        <v>66374.0</v>
      </c>
      <c r="E4661" s="4">
        <v>45967.0</v>
      </c>
      <c r="F4661" s="4" t="str">
        <f>IF(D4661="","", IFNA(VLOOKUP(D4661, SATCAT_DECAY!A:B, 2, FALSE), ""))
</f>
        <v/>
      </c>
      <c r="G4661" s="3" t="str">
        <f t="shared" si="1"/>
        <v>ACTIVE</v>
      </c>
    </row>
    <row r="4662" ht="22.5" customHeight="1">
      <c r="A4662" s="20" t="s">
        <v>4656</v>
      </c>
      <c r="B4662" s="3" t="s">
        <v>25</v>
      </c>
      <c r="C4662" s="12" t="s">
        <v>4684</v>
      </c>
      <c r="D4662" s="13">
        <v>66375.0</v>
      </c>
      <c r="E4662" s="4">
        <v>45967.0</v>
      </c>
      <c r="F4662" s="4" t="str">
        <f>IF(D4662="","", IFNA(VLOOKUP(D4662, SATCAT_DECAY!A:B, 2, FALSE), ""))
</f>
        <v/>
      </c>
      <c r="G4662" s="3" t="str">
        <f t="shared" si="1"/>
        <v>ACTIVE</v>
      </c>
    </row>
    <row r="4663" ht="22.5" customHeight="1">
      <c r="A4663" s="11" t="str">
        <f t="array" ref="A4663">IFERROR(
  INDEX('Starlink Launches'!$A:$A, MATCH($E4663, 'Starlink Launches'!$B:$B, 0)),
  ""
)
</f>
        <v>11-30</v>
      </c>
      <c r="B4663" s="3" t="s">
        <v>25</v>
      </c>
      <c r="C4663" s="12" t="s">
        <v>4685</v>
      </c>
      <c r="D4663" s="13">
        <v>66617.0</v>
      </c>
      <c r="E4663" s="4">
        <v>45984.0</v>
      </c>
      <c r="F4663" s="4" t="str">
        <f>IF(D4663="","", IFNA(VLOOKUP(D4663, SATCAT_DECAY!A:B, 2, FALSE), ""))
</f>
        <v/>
      </c>
      <c r="G4663" s="3" t="str">
        <f t="shared" si="1"/>
        <v>ACTIVE</v>
      </c>
    </row>
    <row r="4664" ht="22.5" customHeight="1">
      <c r="A4664" s="11" t="str">
        <f t="array" ref="A4664">IFERROR(
  INDEX('Starlink Launches'!$A:$A, MATCH($E4664, 'Starlink Launches'!$B:$B, 0)),
  ""
)
</f>
        <v>11-30</v>
      </c>
      <c r="B4664" s="3" t="s">
        <v>25</v>
      </c>
      <c r="C4664" s="12" t="s">
        <v>4686</v>
      </c>
      <c r="D4664" s="13">
        <v>66618.0</v>
      </c>
      <c r="E4664" s="4">
        <v>45984.0</v>
      </c>
      <c r="F4664" s="4" t="str">
        <f>IF(D4664="","", IFNA(VLOOKUP(D4664, SATCAT_DECAY!A:B, 2, FALSE), ""))
</f>
        <v/>
      </c>
      <c r="G4664" s="3" t="str">
        <f t="shared" si="1"/>
        <v>ACTIVE</v>
      </c>
    </row>
    <row r="4665" ht="22.5" customHeight="1">
      <c r="A4665" s="11" t="str">
        <f t="array" ref="A4665">IFERROR(
  INDEX('Starlink Launches'!$A:$A, MATCH($E4665, 'Starlink Launches'!$B:$B, 0)),
  ""
)
</f>
        <v>11-30</v>
      </c>
      <c r="B4665" s="3" t="s">
        <v>25</v>
      </c>
      <c r="C4665" s="12" t="s">
        <v>4687</v>
      </c>
      <c r="D4665" s="13">
        <v>66619.0</v>
      </c>
      <c r="E4665" s="4">
        <v>45984.0</v>
      </c>
      <c r="F4665" s="4" t="str">
        <f>IF(D4665="","", IFNA(VLOOKUP(D4665, SATCAT_DECAY!A:B, 2, FALSE), ""))
</f>
        <v/>
      </c>
      <c r="G4665" s="3" t="str">
        <f t="shared" si="1"/>
        <v>ACTIVE</v>
      </c>
    </row>
    <row r="4666" ht="22.5" customHeight="1">
      <c r="A4666" s="11" t="str">
        <f t="array" ref="A4666">IFERROR(
  INDEX('Starlink Launches'!$A:$A, MATCH($E4666, 'Starlink Launches'!$B:$B, 0)),
  ""
)
</f>
        <v>11-30</v>
      </c>
      <c r="B4666" s="3" t="s">
        <v>25</v>
      </c>
      <c r="C4666" s="12" t="s">
        <v>4688</v>
      </c>
      <c r="D4666" s="13">
        <v>66620.0</v>
      </c>
      <c r="E4666" s="4">
        <v>45984.0</v>
      </c>
      <c r="F4666" s="4" t="str">
        <f>IF(D4666="","", IFNA(VLOOKUP(D4666, SATCAT_DECAY!A:B, 2, FALSE), ""))
</f>
        <v/>
      </c>
      <c r="G4666" s="3" t="str">
        <f t="shared" si="1"/>
        <v>ACTIVE</v>
      </c>
    </row>
    <row r="4667" ht="22.5" customHeight="1">
      <c r="A4667" s="11" t="str">
        <f t="array" ref="A4667">IFERROR(
  INDEX('Starlink Launches'!$A:$A, MATCH($E4667, 'Starlink Launches'!$B:$B, 0)),
  ""
)
</f>
        <v>11-30</v>
      </c>
      <c r="B4667" s="3" t="s">
        <v>25</v>
      </c>
      <c r="C4667" s="12" t="s">
        <v>4689</v>
      </c>
      <c r="D4667" s="13">
        <v>66621.0</v>
      </c>
      <c r="E4667" s="4">
        <v>45984.0</v>
      </c>
      <c r="F4667" s="4" t="str">
        <f>IF(D4667="","", IFNA(VLOOKUP(D4667, SATCAT_DECAY!A:B, 2, FALSE), ""))
</f>
        <v/>
      </c>
      <c r="G4667" s="3" t="str">
        <f t="shared" si="1"/>
        <v>ACTIVE</v>
      </c>
    </row>
    <row r="4668" ht="22.5" customHeight="1">
      <c r="A4668" s="11" t="str">
        <f t="array" ref="A4668">IFERROR(
  INDEX('Starlink Launches'!$A:$A, MATCH($E4668, 'Starlink Launches'!$B:$B, 0)),
  ""
)
</f>
        <v>11-30</v>
      </c>
      <c r="B4668" s="3" t="s">
        <v>25</v>
      </c>
      <c r="C4668" s="12" t="s">
        <v>4690</v>
      </c>
      <c r="D4668" s="13">
        <v>66622.0</v>
      </c>
      <c r="E4668" s="4">
        <v>45984.0</v>
      </c>
      <c r="F4668" s="4" t="str">
        <f>IF(D4668="","", IFNA(VLOOKUP(D4668, SATCAT_DECAY!A:B, 2, FALSE), ""))
</f>
        <v/>
      </c>
      <c r="G4668" s="3" t="str">
        <f t="shared" si="1"/>
        <v>ACTIVE</v>
      </c>
    </row>
    <row r="4669" ht="22.5" customHeight="1">
      <c r="A4669" s="11" t="str">
        <f t="array" ref="A4669">IFERROR(
  INDEX('Starlink Launches'!$A:$A, MATCH($E4669, 'Starlink Launches'!$B:$B, 0)),
  ""
)
</f>
        <v>11-30</v>
      </c>
      <c r="B4669" s="3" t="s">
        <v>25</v>
      </c>
      <c r="C4669" s="12" t="s">
        <v>4691</v>
      </c>
      <c r="D4669" s="13">
        <v>66623.0</v>
      </c>
      <c r="E4669" s="4">
        <v>45984.0</v>
      </c>
      <c r="F4669" s="4" t="str">
        <f>IF(D4669="","", IFNA(VLOOKUP(D4669, SATCAT_DECAY!A:B, 2, FALSE), ""))
</f>
        <v/>
      </c>
      <c r="G4669" s="3" t="str">
        <f t="shared" si="1"/>
        <v>ACTIVE</v>
      </c>
    </row>
    <row r="4670" ht="22.5" customHeight="1">
      <c r="A4670" s="11" t="str">
        <f t="array" ref="A4670">IFERROR(
  INDEX('Starlink Launches'!$A:$A, MATCH($E4670, 'Starlink Launches'!$B:$B, 0)),
  ""
)
</f>
        <v>11-30</v>
      </c>
      <c r="B4670" s="3" t="s">
        <v>25</v>
      </c>
      <c r="C4670" s="12" t="s">
        <v>4692</v>
      </c>
      <c r="D4670" s="13">
        <v>66624.0</v>
      </c>
      <c r="E4670" s="4">
        <v>45984.0</v>
      </c>
      <c r="F4670" s="4" t="str">
        <f>IF(D4670="","", IFNA(VLOOKUP(D4670, SATCAT_DECAY!A:B, 2, FALSE), ""))
</f>
        <v/>
      </c>
      <c r="G4670" s="3" t="str">
        <f t="shared" si="1"/>
        <v>ACTIVE</v>
      </c>
    </row>
    <row r="4671" ht="22.5" customHeight="1">
      <c r="A4671" s="11" t="str">
        <f t="array" ref="A4671">IFERROR(
  INDEX('Starlink Launches'!$A:$A, MATCH($E4671, 'Starlink Launches'!$B:$B, 0)),
  ""
)
</f>
        <v>11-30</v>
      </c>
      <c r="B4671" s="3" t="s">
        <v>25</v>
      </c>
      <c r="C4671" s="12" t="s">
        <v>4693</v>
      </c>
      <c r="D4671" s="13">
        <v>66625.0</v>
      </c>
      <c r="E4671" s="4">
        <v>45984.0</v>
      </c>
      <c r="F4671" s="4" t="str">
        <f>IF(D4671="","", IFNA(VLOOKUP(D4671, SATCAT_DECAY!A:B, 2, FALSE), ""))
</f>
        <v/>
      </c>
      <c r="G4671" s="3" t="str">
        <f t="shared" si="1"/>
        <v>ACTIVE</v>
      </c>
    </row>
    <row r="4672" ht="22.5" customHeight="1">
      <c r="A4672" s="11" t="str">
        <f t="array" ref="A4672">IFERROR(
  INDEX('Starlink Launches'!$A:$A, MATCH($E4672, 'Starlink Launches'!$B:$B, 0)),
  ""
)
</f>
        <v>11-30</v>
      </c>
      <c r="B4672" s="3" t="s">
        <v>25</v>
      </c>
      <c r="C4672" s="12" t="s">
        <v>4694</v>
      </c>
      <c r="D4672" s="13">
        <v>66626.0</v>
      </c>
      <c r="E4672" s="4">
        <v>45984.0</v>
      </c>
      <c r="F4672" s="4" t="str">
        <f>IF(D4672="","", IFNA(VLOOKUP(D4672, SATCAT_DECAY!A:B, 2, FALSE), ""))
</f>
        <v/>
      </c>
      <c r="G4672" s="3" t="str">
        <f t="shared" si="1"/>
        <v>ACTIVE</v>
      </c>
    </row>
    <row r="4673" ht="22.5" customHeight="1">
      <c r="A4673" s="11" t="str">
        <f t="array" ref="A4673">IFERROR(
  INDEX('Starlink Launches'!$A:$A, MATCH($E4673, 'Starlink Launches'!$B:$B, 0)),
  ""
)
</f>
        <v>11-30</v>
      </c>
      <c r="B4673" s="3" t="s">
        <v>25</v>
      </c>
      <c r="C4673" s="12" t="s">
        <v>4695</v>
      </c>
      <c r="D4673" s="13">
        <v>66627.0</v>
      </c>
      <c r="E4673" s="4">
        <v>45984.0</v>
      </c>
      <c r="F4673" s="4" t="str">
        <f>IF(D4673="","", IFNA(VLOOKUP(D4673, SATCAT_DECAY!A:B, 2, FALSE), ""))
</f>
        <v/>
      </c>
      <c r="G4673" s="3" t="str">
        <f t="shared" si="1"/>
        <v>ACTIVE</v>
      </c>
    </row>
    <row r="4674" ht="22.5" customHeight="1">
      <c r="A4674" s="11" t="str">
        <f t="array" ref="A4674">IFERROR(
  INDEX('Starlink Launches'!$A:$A, MATCH($E4674, 'Starlink Launches'!$B:$B, 0)),
  ""
)
</f>
        <v>11-30</v>
      </c>
      <c r="B4674" s="3" t="s">
        <v>25</v>
      </c>
      <c r="C4674" s="12" t="s">
        <v>4696</v>
      </c>
      <c r="D4674" s="13">
        <v>66628.0</v>
      </c>
      <c r="E4674" s="4">
        <v>45984.0</v>
      </c>
      <c r="F4674" s="4" t="str">
        <f>IF(D4674="","", IFNA(VLOOKUP(D4674, SATCAT_DECAY!A:B, 2, FALSE), ""))
</f>
        <v/>
      </c>
      <c r="G4674" s="3" t="str">
        <f t="shared" si="1"/>
        <v>ACTIVE</v>
      </c>
    </row>
    <row r="4675" ht="22.5" customHeight="1">
      <c r="A4675" s="11" t="str">
        <f t="array" ref="A4675">IFERROR(
  INDEX('Starlink Launches'!$A:$A, MATCH($E4675, 'Starlink Launches'!$B:$B, 0)),
  ""
)
</f>
        <v>11-30</v>
      </c>
      <c r="B4675" s="3" t="s">
        <v>25</v>
      </c>
      <c r="C4675" s="12" t="s">
        <v>4697</v>
      </c>
      <c r="D4675" s="13">
        <v>66630.0</v>
      </c>
      <c r="E4675" s="4">
        <v>45984.0</v>
      </c>
      <c r="F4675" s="4" t="str">
        <f>IF(D4675="","", IFNA(VLOOKUP(D4675, SATCAT_DECAY!A:B, 2, FALSE), ""))
</f>
        <v/>
      </c>
      <c r="G4675" s="3" t="str">
        <f t="shared" si="1"/>
        <v>ACTIVE</v>
      </c>
    </row>
    <row r="4676" ht="22.5" customHeight="1">
      <c r="A4676" s="11" t="str">
        <f t="array" ref="A4676">IFERROR(
  INDEX('Starlink Launches'!$A:$A, MATCH($E4676, 'Starlink Launches'!$B:$B, 0)),
  ""
)
</f>
        <v>11-30</v>
      </c>
      <c r="B4676" s="3" t="s">
        <v>25</v>
      </c>
      <c r="C4676" s="12" t="s">
        <v>4698</v>
      </c>
      <c r="D4676" s="13">
        <v>66631.0</v>
      </c>
      <c r="E4676" s="4">
        <v>45984.0</v>
      </c>
      <c r="F4676" s="4" t="str">
        <f>IF(D4676="","", IFNA(VLOOKUP(D4676, SATCAT_DECAY!A:B, 2, FALSE), ""))
</f>
        <v/>
      </c>
      <c r="G4676" s="3" t="str">
        <f t="shared" si="1"/>
        <v>ACTIVE</v>
      </c>
    </row>
    <row r="4677" ht="22.5" customHeight="1">
      <c r="A4677" s="11" t="str">
        <f t="array" ref="A4677">IFERROR(
  INDEX('Starlink Launches'!$A:$A, MATCH($E4677, 'Starlink Launches'!$B:$B, 0)),
  ""
)
</f>
        <v>11-30</v>
      </c>
      <c r="B4677" s="3" t="s">
        <v>25</v>
      </c>
      <c r="C4677" s="12" t="s">
        <v>4699</v>
      </c>
      <c r="D4677" s="13">
        <v>66632.0</v>
      </c>
      <c r="E4677" s="4">
        <v>45984.0</v>
      </c>
      <c r="F4677" s="4" t="str">
        <f>IF(D4677="","", IFNA(VLOOKUP(D4677, SATCAT_DECAY!A:B, 2, FALSE), ""))
</f>
        <v/>
      </c>
      <c r="G4677" s="3" t="str">
        <f t="shared" si="1"/>
        <v>ACTIVE</v>
      </c>
    </row>
    <row r="4678" ht="22.5" customHeight="1">
      <c r="A4678" s="11" t="str">
        <f t="array" ref="A4678">IFERROR(
  INDEX('Starlink Launches'!$A:$A, MATCH($E4678, 'Starlink Launches'!$B:$B, 0)),
  ""
)
</f>
        <v>11-30</v>
      </c>
      <c r="B4678" s="3" t="s">
        <v>25</v>
      </c>
      <c r="C4678" s="12" t="s">
        <v>4700</v>
      </c>
      <c r="D4678" s="13">
        <v>66633.0</v>
      </c>
      <c r="E4678" s="4">
        <v>45984.0</v>
      </c>
      <c r="F4678" s="4" t="str">
        <f>IF(D4678="","", IFNA(VLOOKUP(D4678, SATCAT_DECAY!A:B, 2, FALSE), ""))
</f>
        <v/>
      </c>
      <c r="G4678" s="3" t="str">
        <f t="shared" si="1"/>
        <v>ACTIVE</v>
      </c>
    </row>
    <row r="4679" ht="22.5" customHeight="1">
      <c r="A4679" s="11" t="str">
        <f t="array" ref="A4679">IFERROR(
  INDEX('Starlink Launches'!$A:$A, MATCH($E4679, 'Starlink Launches'!$B:$B, 0)),
  ""
)
</f>
        <v>11-30</v>
      </c>
      <c r="B4679" s="3" t="s">
        <v>25</v>
      </c>
      <c r="C4679" s="12" t="s">
        <v>4701</v>
      </c>
      <c r="D4679" s="13">
        <v>66634.0</v>
      </c>
      <c r="E4679" s="4">
        <v>45984.0</v>
      </c>
      <c r="F4679" s="4" t="str">
        <f>IF(D4679="","", IFNA(VLOOKUP(D4679, SATCAT_DECAY!A:B, 2, FALSE), ""))
</f>
        <v/>
      </c>
      <c r="G4679" s="3" t="str">
        <f t="shared" si="1"/>
        <v>ACTIVE</v>
      </c>
    </row>
    <row r="4680" ht="22.5" customHeight="1">
      <c r="A4680" s="11" t="str">
        <f t="array" ref="A4680">IFERROR(
  INDEX('Starlink Launches'!$A:$A, MATCH($E4680, 'Starlink Launches'!$B:$B, 0)),
  ""
)
</f>
        <v>11-30</v>
      </c>
      <c r="B4680" s="3" t="s">
        <v>25</v>
      </c>
      <c r="C4680" s="12" t="s">
        <v>4702</v>
      </c>
      <c r="D4680" s="13">
        <v>66635.0</v>
      </c>
      <c r="E4680" s="4">
        <v>45984.0</v>
      </c>
      <c r="F4680" s="4" t="str">
        <f>IF(D4680="","", IFNA(VLOOKUP(D4680, SATCAT_DECAY!A:B, 2, FALSE), ""))
</f>
        <v/>
      </c>
      <c r="G4680" s="3" t="str">
        <f t="shared" si="1"/>
        <v>ACTIVE</v>
      </c>
    </row>
    <row r="4681" ht="22.5" customHeight="1">
      <c r="A4681" s="11" t="str">
        <f t="array" ref="A4681">IFERROR(
  INDEX('Starlink Launches'!$A:$A, MATCH($E4681, 'Starlink Launches'!$B:$B, 0)),
  ""
)
</f>
        <v>11-30</v>
      </c>
      <c r="B4681" s="3" t="s">
        <v>25</v>
      </c>
      <c r="C4681" s="12" t="s">
        <v>4703</v>
      </c>
      <c r="D4681" s="13">
        <v>66636.0</v>
      </c>
      <c r="E4681" s="4">
        <v>45984.0</v>
      </c>
      <c r="F4681" s="4" t="str">
        <f>IF(D4681="","", IFNA(VLOOKUP(D4681, SATCAT_DECAY!A:B, 2, FALSE), ""))
</f>
        <v/>
      </c>
      <c r="G4681" s="3" t="str">
        <f t="shared" si="1"/>
        <v>ACTIVE</v>
      </c>
    </row>
    <row r="4682" ht="22.5" customHeight="1">
      <c r="A4682" s="11" t="str">
        <f t="array" ref="A4682">IFERROR(
  INDEX('Starlink Launches'!$A:$A, MATCH($E4682, 'Starlink Launches'!$B:$B, 0)),
  ""
)
</f>
        <v>11-30</v>
      </c>
      <c r="B4682" s="3" t="s">
        <v>25</v>
      </c>
      <c r="C4682" s="12" t="s">
        <v>4704</v>
      </c>
      <c r="D4682" s="13">
        <v>66637.0</v>
      </c>
      <c r="E4682" s="4">
        <v>45984.0</v>
      </c>
      <c r="F4682" s="4" t="str">
        <f>IF(D4682="","", IFNA(VLOOKUP(D4682, SATCAT_DECAY!A:B, 2, FALSE), ""))
</f>
        <v/>
      </c>
      <c r="G4682" s="3" t="str">
        <f t="shared" si="1"/>
        <v>ACTIVE</v>
      </c>
    </row>
    <row r="4683" ht="22.5" customHeight="1">
      <c r="A4683" s="11" t="str">
        <f t="array" ref="A4683">IFERROR(
  INDEX('Starlink Launches'!$A:$A, MATCH($E4683, 'Starlink Launches'!$B:$B, 0)),
  ""
)
</f>
        <v>11-30</v>
      </c>
      <c r="B4683" s="3" t="s">
        <v>25</v>
      </c>
      <c r="C4683" s="12" t="s">
        <v>4705</v>
      </c>
      <c r="D4683" s="13">
        <v>66638.0</v>
      </c>
      <c r="E4683" s="4">
        <v>45984.0</v>
      </c>
      <c r="F4683" s="4" t="str">
        <f>IF(D4683="","", IFNA(VLOOKUP(D4683, SATCAT_DECAY!A:B, 2, FALSE), ""))
</f>
        <v/>
      </c>
      <c r="G4683" s="3" t="str">
        <f t="shared" si="1"/>
        <v>ACTIVE</v>
      </c>
    </row>
    <row r="4684" ht="22.5" customHeight="1">
      <c r="A4684" s="11" t="str">
        <f t="array" ref="A4684">IFERROR(
  INDEX('Starlink Launches'!$A:$A, MATCH($E4684, 'Starlink Launches'!$B:$B, 0)),
  ""
)
</f>
        <v>11-30</v>
      </c>
      <c r="B4684" s="3" t="s">
        <v>25</v>
      </c>
      <c r="C4684" s="12" t="s">
        <v>4706</v>
      </c>
      <c r="D4684" s="13">
        <v>66639.0</v>
      </c>
      <c r="E4684" s="4">
        <v>45984.0</v>
      </c>
      <c r="F4684" s="4" t="str">
        <f>IF(D4684="","", IFNA(VLOOKUP(D4684, SATCAT_DECAY!A:B, 2, FALSE), ""))
</f>
        <v/>
      </c>
      <c r="G4684" s="3" t="str">
        <f t="shared" si="1"/>
        <v>ACTIVE</v>
      </c>
    </row>
    <row r="4685" ht="22.5" customHeight="1">
      <c r="A4685" s="11" t="str">
        <f t="array" ref="A4685">IFERROR(
  INDEX('Starlink Launches'!$A:$A, MATCH($E4685, 'Starlink Launches'!$B:$B, 0)),
  ""
)
</f>
        <v>11-30</v>
      </c>
      <c r="B4685" s="3" t="s">
        <v>25</v>
      </c>
      <c r="C4685" s="12" t="s">
        <v>4707</v>
      </c>
      <c r="D4685" s="13">
        <v>66640.0</v>
      </c>
      <c r="E4685" s="4">
        <v>45984.0</v>
      </c>
      <c r="F4685" s="4" t="str">
        <f>IF(D4685="","", IFNA(VLOOKUP(D4685, SATCAT_DECAY!A:B, 2, FALSE), ""))
</f>
        <v/>
      </c>
      <c r="G4685" s="3" t="str">
        <f t="shared" si="1"/>
        <v>ACTIVE</v>
      </c>
    </row>
    <row r="4686" ht="22.5" customHeight="1">
      <c r="A4686" s="11" t="str">
        <f t="array" ref="A4686">IFERROR(
  INDEX('Starlink Launches'!$A:$A, MATCH($E4686, 'Starlink Launches'!$B:$B, 0)),
  ""
)
</f>
        <v>11-30</v>
      </c>
      <c r="B4686" s="3" t="s">
        <v>25</v>
      </c>
      <c r="C4686" s="12" t="s">
        <v>4708</v>
      </c>
      <c r="D4686" s="13">
        <v>66641.0</v>
      </c>
      <c r="E4686" s="4">
        <v>45984.0</v>
      </c>
      <c r="F4686" s="4" t="str">
        <f>IF(D4686="","", IFNA(VLOOKUP(D4686, SATCAT_DECAY!A:B, 2, FALSE), ""))
</f>
        <v/>
      </c>
      <c r="G4686" s="3" t="str">
        <f t="shared" si="1"/>
        <v>ACTIVE</v>
      </c>
    </row>
    <row r="4687" ht="22.5" customHeight="1">
      <c r="A4687" s="11" t="str">
        <f t="array" ref="A4687">IFERROR(
  INDEX('Starlink Launches'!$A:$A, MATCH($E4687, 'Starlink Launches'!$B:$B, 0)),
  ""
)
</f>
        <v>11-30</v>
      </c>
      <c r="B4687" s="3" t="s">
        <v>25</v>
      </c>
      <c r="C4687" s="12" t="s">
        <v>4709</v>
      </c>
      <c r="D4687" s="13">
        <v>66642.0</v>
      </c>
      <c r="E4687" s="4">
        <v>45984.0</v>
      </c>
      <c r="F4687" s="4" t="str">
        <f>IF(D4687="","", IFNA(VLOOKUP(D4687, SATCAT_DECAY!A:B, 2, FALSE), ""))
</f>
        <v/>
      </c>
      <c r="G4687" s="3" t="str">
        <f t="shared" si="1"/>
        <v>ACTIVE</v>
      </c>
    </row>
    <row r="4688" ht="22.5" customHeight="1">
      <c r="A4688" s="11" t="str">
        <f t="array" ref="A4688">IFERROR(
  INDEX('Starlink Launches'!$A:$A, MATCH($E4688, 'Starlink Launches'!$B:$B, 0)),
  ""
)
</f>
        <v>11-30</v>
      </c>
      <c r="B4688" s="3" t="s">
        <v>25</v>
      </c>
      <c r="C4688" s="12" t="s">
        <v>4710</v>
      </c>
      <c r="D4688" s="13">
        <v>66643.0</v>
      </c>
      <c r="E4688" s="4">
        <v>45984.0</v>
      </c>
      <c r="F4688" s="4" t="str">
        <f>IF(D4688="","", IFNA(VLOOKUP(D4688, SATCAT_DECAY!A:B, 2, FALSE), ""))
</f>
        <v/>
      </c>
      <c r="G4688" s="3" t="str">
        <f t="shared" si="1"/>
        <v>ACTIVE</v>
      </c>
    </row>
    <row r="4689" ht="22.5" customHeight="1">
      <c r="A4689" s="11" t="str">
        <f t="array" ref="A4689">IFERROR(
  INDEX('Starlink Launches'!$A:$A, MATCH($E4689, 'Starlink Launches'!$B:$B, 0)),
  ""
)
</f>
        <v>11-30</v>
      </c>
      <c r="B4689" s="3" t="s">
        <v>25</v>
      </c>
      <c r="C4689" s="12" t="s">
        <v>4711</v>
      </c>
      <c r="D4689" s="13">
        <v>66644.0</v>
      </c>
      <c r="E4689" s="4">
        <v>45984.0</v>
      </c>
      <c r="F4689" s="4" t="str">
        <f>IF(D4689="","", IFNA(VLOOKUP(D4689, SATCAT_DECAY!A:B, 2, FALSE), ""))
</f>
        <v/>
      </c>
      <c r="G4689" s="3" t="str">
        <f t="shared" si="1"/>
        <v>ACTIVE</v>
      </c>
    </row>
    <row r="4690" ht="22.5" customHeight="1">
      <c r="A4690" s="11" t="str">
        <f t="array" ref="A4690">IFERROR(
  INDEX('Starlink Launches'!$A:$A, MATCH($E4690, 'Starlink Launches'!$B:$B, 0)),
  ""
)
</f>
        <v>11-25</v>
      </c>
      <c r="B4690" s="3" t="s">
        <v>25</v>
      </c>
      <c r="C4690" s="12" t="s">
        <v>4712</v>
      </c>
      <c r="D4690" s="13">
        <v>66878.0</v>
      </c>
      <c r="E4690" s="4">
        <v>45995.0</v>
      </c>
      <c r="F4690" s="4" t="str">
        <f>IF(D4690="","", IFNA(VLOOKUP(D4690, SATCAT_DECAY!A:B, 2, FALSE), ""))
</f>
        <v/>
      </c>
      <c r="G4690" s="3" t="str">
        <f t="shared" si="1"/>
        <v>ACTIVE</v>
      </c>
    </row>
    <row r="4691" ht="22.5" customHeight="1">
      <c r="A4691" s="11" t="str">
        <f t="array" ref="A4691">IFERROR(
  INDEX('Starlink Launches'!$A:$A, MATCH($E4691, 'Starlink Launches'!$B:$B, 0)),
  ""
)
</f>
        <v>11-25</v>
      </c>
      <c r="B4691" s="3" t="s">
        <v>25</v>
      </c>
      <c r="C4691" s="12" t="s">
        <v>4713</v>
      </c>
      <c r="D4691" s="13">
        <v>66879.0</v>
      </c>
      <c r="E4691" s="4">
        <v>45995.0</v>
      </c>
      <c r="F4691" s="4" t="str">
        <f>IF(D4691="","", IFNA(VLOOKUP(D4691, SATCAT_DECAY!A:B, 2, FALSE), ""))
</f>
        <v/>
      </c>
      <c r="G4691" s="3" t="str">
        <f t="shared" si="1"/>
        <v>ACTIVE</v>
      </c>
    </row>
    <row r="4692" ht="22.5" customHeight="1">
      <c r="A4692" s="11" t="str">
        <f t="array" ref="A4692">IFERROR(
  INDEX('Starlink Launches'!$A:$A, MATCH($E4692, 'Starlink Launches'!$B:$B, 0)),
  ""
)
</f>
        <v>11-25</v>
      </c>
      <c r="B4692" s="3" t="s">
        <v>25</v>
      </c>
      <c r="C4692" s="12" t="s">
        <v>4714</v>
      </c>
      <c r="D4692" s="13">
        <v>66880.0</v>
      </c>
      <c r="E4692" s="4">
        <v>45995.0</v>
      </c>
      <c r="F4692" s="4" t="str">
        <f>IF(D4692="","", IFNA(VLOOKUP(D4692, SATCAT_DECAY!A:B, 2, FALSE), ""))
</f>
        <v/>
      </c>
      <c r="G4692" s="3" t="str">
        <f t="shared" si="1"/>
        <v>ACTIVE</v>
      </c>
    </row>
    <row r="4693" ht="22.5" customHeight="1">
      <c r="A4693" s="11" t="str">
        <f t="array" ref="A4693">IFERROR(
  INDEX('Starlink Launches'!$A:$A, MATCH($E4693, 'Starlink Launches'!$B:$B, 0)),
  ""
)
</f>
        <v>11-25</v>
      </c>
      <c r="B4693" s="3" t="s">
        <v>25</v>
      </c>
      <c r="C4693" s="12" t="s">
        <v>4715</v>
      </c>
      <c r="D4693" s="13">
        <v>66881.0</v>
      </c>
      <c r="E4693" s="4">
        <v>45995.0</v>
      </c>
      <c r="F4693" s="4" t="str">
        <f>IF(D4693="","", IFNA(VLOOKUP(D4693, SATCAT_DECAY!A:B, 2, FALSE), ""))
</f>
        <v/>
      </c>
      <c r="G4693" s="3" t="str">
        <f t="shared" si="1"/>
        <v>ACTIVE</v>
      </c>
    </row>
    <row r="4694" ht="22.5" customHeight="1">
      <c r="A4694" s="11" t="str">
        <f t="array" ref="A4694">IFERROR(
  INDEX('Starlink Launches'!$A:$A, MATCH($E4694, 'Starlink Launches'!$B:$B, 0)),
  ""
)
</f>
        <v>11-25</v>
      </c>
      <c r="B4694" s="3" t="s">
        <v>25</v>
      </c>
      <c r="C4694" s="12" t="s">
        <v>4716</v>
      </c>
      <c r="D4694" s="13">
        <v>66882.0</v>
      </c>
      <c r="E4694" s="4">
        <v>45995.0</v>
      </c>
      <c r="F4694" s="4" t="str">
        <f>IF(D4694="","", IFNA(VLOOKUP(D4694, SATCAT_DECAY!A:B, 2, FALSE), ""))
</f>
        <v/>
      </c>
      <c r="G4694" s="3" t="str">
        <f t="shared" si="1"/>
        <v>ACTIVE</v>
      </c>
    </row>
    <row r="4695" ht="22.5" customHeight="1">
      <c r="A4695" s="11" t="str">
        <f t="array" ref="A4695">IFERROR(
  INDEX('Starlink Launches'!$A:$A, MATCH($E4695, 'Starlink Launches'!$B:$B, 0)),
  ""
)
</f>
        <v>11-25</v>
      </c>
      <c r="B4695" s="3" t="s">
        <v>25</v>
      </c>
      <c r="C4695" s="12" t="s">
        <v>4717</v>
      </c>
      <c r="D4695" s="13">
        <v>66883.0</v>
      </c>
      <c r="E4695" s="4">
        <v>45995.0</v>
      </c>
      <c r="F4695" s="4" t="str">
        <f>IF(D4695="","", IFNA(VLOOKUP(D4695, SATCAT_DECAY!A:B, 2, FALSE), ""))
</f>
        <v/>
      </c>
      <c r="G4695" s="3" t="str">
        <f t="shared" si="1"/>
        <v>ACTIVE</v>
      </c>
    </row>
    <row r="4696" ht="22.5" customHeight="1">
      <c r="A4696" s="11" t="str">
        <f t="array" ref="A4696">IFERROR(
  INDEX('Starlink Launches'!$A:$A, MATCH($E4696, 'Starlink Launches'!$B:$B, 0)),
  ""
)
</f>
        <v>11-25</v>
      </c>
      <c r="B4696" s="3" t="s">
        <v>25</v>
      </c>
      <c r="C4696" s="12" t="s">
        <v>4718</v>
      </c>
      <c r="D4696" s="13">
        <v>66884.0</v>
      </c>
      <c r="E4696" s="4">
        <v>45995.0</v>
      </c>
      <c r="F4696" s="4" t="str">
        <f>IF(D4696="","", IFNA(VLOOKUP(D4696, SATCAT_DECAY!A:B, 2, FALSE), ""))
</f>
        <v/>
      </c>
      <c r="G4696" s="3" t="str">
        <f t="shared" si="1"/>
        <v>ACTIVE</v>
      </c>
    </row>
    <row r="4697" ht="22.5" customHeight="1">
      <c r="A4697" s="11" t="str">
        <f t="array" ref="A4697">IFERROR(
  INDEX('Starlink Launches'!$A:$A, MATCH($E4697, 'Starlink Launches'!$B:$B, 0)),
  ""
)
</f>
        <v>11-25</v>
      </c>
      <c r="B4697" s="3" t="s">
        <v>25</v>
      </c>
      <c r="C4697" s="12" t="s">
        <v>4719</v>
      </c>
      <c r="D4697" s="13">
        <v>66885.0</v>
      </c>
      <c r="E4697" s="4">
        <v>45995.0</v>
      </c>
      <c r="F4697" s="4" t="str">
        <f>IF(D4697="","", IFNA(VLOOKUP(D4697, SATCAT_DECAY!A:B, 2, FALSE), ""))
</f>
        <v/>
      </c>
      <c r="G4697" s="3" t="str">
        <f t="shared" si="1"/>
        <v>ACTIVE</v>
      </c>
    </row>
    <row r="4698" ht="22.5" customHeight="1">
      <c r="A4698" s="11" t="str">
        <f t="array" ref="A4698">IFERROR(
  INDEX('Starlink Launches'!$A:$A, MATCH($E4698, 'Starlink Launches'!$B:$B, 0)),
  ""
)
</f>
        <v>11-25</v>
      </c>
      <c r="B4698" s="3" t="s">
        <v>25</v>
      </c>
      <c r="C4698" s="12" t="s">
        <v>4720</v>
      </c>
      <c r="D4698" s="13">
        <v>66886.0</v>
      </c>
      <c r="E4698" s="4">
        <v>45995.0</v>
      </c>
      <c r="F4698" s="4" t="str">
        <f>IF(D4698="","", IFNA(VLOOKUP(D4698, SATCAT_DECAY!A:B, 2, FALSE), ""))
</f>
        <v/>
      </c>
      <c r="G4698" s="3" t="str">
        <f t="shared" si="1"/>
        <v>ACTIVE</v>
      </c>
    </row>
    <row r="4699" ht="22.5" customHeight="1">
      <c r="A4699" s="11" t="str">
        <f t="array" ref="A4699">IFERROR(
  INDEX('Starlink Launches'!$A:$A, MATCH($E4699, 'Starlink Launches'!$B:$B, 0)),
  ""
)
</f>
        <v>11-25</v>
      </c>
      <c r="B4699" s="3" t="s">
        <v>25</v>
      </c>
      <c r="C4699" s="12" t="s">
        <v>4721</v>
      </c>
      <c r="D4699" s="13">
        <v>66887.0</v>
      </c>
      <c r="E4699" s="4">
        <v>45995.0</v>
      </c>
      <c r="F4699" s="4" t="str">
        <f>IF(D4699="","", IFNA(VLOOKUP(D4699, SATCAT_DECAY!A:B, 2, FALSE), ""))
</f>
        <v/>
      </c>
      <c r="G4699" s="3" t="str">
        <f t="shared" si="1"/>
        <v>ACTIVE</v>
      </c>
    </row>
    <row r="4700" ht="22.5" customHeight="1">
      <c r="A4700" s="11" t="str">
        <f t="array" ref="A4700">IFERROR(
  INDEX('Starlink Launches'!$A:$A, MATCH($E4700, 'Starlink Launches'!$B:$B, 0)),
  ""
)
</f>
        <v>11-25</v>
      </c>
      <c r="B4700" s="3" t="s">
        <v>25</v>
      </c>
      <c r="C4700" s="12" t="s">
        <v>4722</v>
      </c>
      <c r="D4700" s="13">
        <v>66888.0</v>
      </c>
      <c r="E4700" s="4">
        <v>45995.0</v>
      </c>
      <c r="F4700" s="4" t="str">
        <f>IF(D4700="","", IFNA(VLOOKUP(D4700, SATCAT_DECAY!A:B, 2, FALSE), ""))
</f>
        <v/>
      </c>
      <c r="G4700" s="3" t="str">
        <f t="shared" si="1"/>
        <v>ACTIVE</v>
      </c>
    </row>
    <row r="4701" ht="22.5" customHeight="1">
      <c r="A4701" s="11" t="str">
        <f t="array" ref="A4701">IFERROR(
  INDEX('Starlink Launches'!$A:$A, MATCH($E4701, 'Starlink Launches'!$B:$B, 0)),
  ""
)
</f>
        <v>11-25</v>
      </c>
      <c r="B4701" s="3" t="s">
        <v>25</v>
      </c>
      <c r="C4701" s="12" t="s">
        <v>4723</v>
      </c>
      <c r="D4701" s="13">
        <v>66889.0</v>
      </c>
      <c r="E4701" s="4">
        <v>45995.0</v>
      </c>
      <c r="F4701" s="4" t="str">
        <f>IF(D4701="","", IFNA(VLOOKUP(D4701, SATCAT_DECAY!A:B, 2, FALSE), ""))
</f>
        <v/>
      </c>
      <c r="G4701" s="3" t="str">
        <f t="shared" si="1"/>
        <v>ACTIVE</v>
      </c>
    </row>
    <row r="4702" ht="22.5" customHeight="1">
      <c r="A4702" s="11" t="str">
        <f t="array" ref="A4702">IFERROR(
  INDEX('Starlink Launches'!$A:$A, MATCH($E4702, 'Starlink Launches'!$B:$B, 0)),
  ""
)
</f>
        <v>11-25</v>
      </c>
      <c r="B4702" s="3" t="s">
        <v>25</v>
      </c>
      <c r="C4702" s="12" t="s">
        <v>4724</v>
      </c>
      <c r="D4702" s="13">
        <v>66890.0</v>
      </c>
      <c r="E4702" s="4">
        <v>45995.0</v>
      </c>
      <c r="F4702" s="4" t="str">
        <f>IF(D4702="","", IFNA(VLOOKUP(D4702, SATCAT_DECAY!A:B, 2, FALSE), ""))
</f>
        <v/>
      </c>
      <c r="G4702" s="3" t="str">
        <f t="shared" si="1"/>
        <v>ACTIVE</v>
      </c>
    </row>
    <row r="4703" ht="22.5" customHeight="1">
      <c r="A4703" s="11" t="str">
        <f t="array" ref="A4703">IFERROR(
  INDEX('Starlink Launches'!$A:$A, MATCH($E4703, 'Starlink Launches'!$B:$B, 0)),
  ""
)
</f>
        <v>11-25</v>
      </c>
      <c r="B4703" s="3" t="s">
        <v>25</v>
      </c>
      <c r="C4703" s="12" t="s">
        <v>4725</v>
      </c>
      <c r="D4703" s="13">
        <v>66891.0</v>
      </c>
      <c r="E4703" s="4">
        <v>45995.0</v>
      </c>
      <c r="F4703" s="4" t="str">
        <f>IF(D4703="","", IFNA(VLOOKUP(D4703, SATCAT_DECAY!A:B, 2, FALSE), ""))
</f>
        <v/>
      </c>
      <c r="G4703" s="3" t="str">
        <f t="shared" si="1"/>
        <v>ACTIVE</v>
      </c>
    </row>
    <row r="4704" ht="22.5" customHeight="1">
      <c r="A4704" s="11" t="str">
        <f t="array" ref="A4704">IFERROR(
  INDEX('Starlink Launches'!$A:$A, MATCH($E4704, 'Starlink Launches'!$B:$B, 0)),
  ""
)
</f>
        <v>11-25</v>
      </c>
      <c r="B4704" s="3" t="s">
        <v>25</v>
      </c>
      <c r="C4704" s="12" t="s">
        <v>4726</v>
      </c>
      <c r="D4704" s="13">
        <v>66892.0</v>
      </c>
      <c r="E4704" s="4">
        <v>45995.0</v>
      </c>
      <c r="F4704" s="4" t="str">
        <f>IF(D4704="","", IFNA(VLOOKUP(D4704, SATCAT_DECAY!A:B, 2, FALSE), ""))
</f>
        <v/>
      </c>
      <c r="G4704" s="3" t="str">
        <f t="shared" si="1"/>
        <v>ACTIVE</v>
      </c>
    </row>
    <row r="4705" ht="22.5" customHeight="1">
      <c r="A4705" s="11" t="str">
        <f t="array" ref="A4705">IFERROR(
  INDEX('Starlink Launches'!$A:$A, MATCH($E4705, 'Starlink Launches'!$B:$B, 0)),
  ""
)
</f>
        <v>11-25</v>
      </c>
      <c r="B4705" s="3" t="s">
        <v>25</v>
      </c>
      <c r="C4705" s="12" t="s">
        <v>4727</v>
      </c>
      <c r="D4705" s="13">
        <v>66893.0</v>
      </c>
      <c r="E4705" s="4">
        <v>45995.0</v>
      </c>
      <c r="F4705" s="4" t="str">
        <f>IF(D4705="","", IFNA(VLOOKUP(D4705, SATCAT_DECAY!A:B, 2, FALSE), ""))
</f>
        <v/>
      </c>
      <c r="G4705" s="3" t="str">
        <f t="shared" si="1"/>
        <v>ACTIVE</v>
      </c>
    </row>
    <row r="4706" ht="22.5" customHeight="1">
      <c r="A4706" s="11" t="str">
        <f t="array" ref="A4706">IFERROR(
  INDEX('Starlink Launches'!$A:$A, MATCH($E4706, 'Starlink Launches'!$B:$B, 0)),
  ""
)
</f>
        <v>11-25</v>
      </c>
      <c r="B4706" s="3" t="s">
        <v>25</v>
      </c>
      <c r="C4706" s="12" t="s">
        <v>4728</v>
      </c>
      <c r="D4706" s="13">
        <v>66894.0</v>
      </c>
      <c r="E4706" s="4">
        <v>45995.0</v>
      </c>
      <c r="F4706" s="4" t="str">
        <f>IF(D4706="","", IFNA(VLOOKUP(D4706, SATCAT_DECAY!A:B, 2, FALSE), ""))
</f>
        <v/>
      </c>
      <c r="G4706" s="3" t="str">
        <f t="shared" si="1"/>
        <v>ACTIVE</v>
      </c>
    </row>
    <row r="4707" ht="22.5" customHeight="1">
      <c r="A4707" s="11" t="str">
        <f t="array" ref="A4707">IFERROR(
  INDEX('Starlink Launches'!$A:$A, MATCH($E4707, 'Starlink Launches'!$B:$B, 0)),
  ""
)
</f>
        <v>11-25</v>
      </c>
      <c r="B4707" s="3" t="s">
        <v>25</v>
      </c>
      <c r="C4707" s="12" t="s">
        <v>4729</v>
      </c>
      <c r="D4707" s="13">
        <v>66895.0</v>
      </c>
      <c r="E4707" s="4">
        <v>45995.0</v>
      </c>
      <c r="F4707" s="4" t="str">
        <f>IF(D4707="","", IFNA(VLOOKUP(D4707, SATCAT_DECAY!A:B, 2, FALSE), ""))
</f>
        <v/>
      </c>
      <c r="G4707" s="3" t="str">
        <f t="shared" si="1"/>
        <v>ACTIVE</v>
      </c>
    </row>
    <row r="4708" ht="22.5" customHeight="1">
      <c r="A4708" s="11" t="str">
        <f t="array" ref="A4708">IFERROR(
  INDEX('Starlink Launches'!$A:$A, MATCH($E4708, 'Starlink Launches'!$B:$B, 0)),
  ""
)
</f>
        <v>11-25</v>
      </c>
      <c r="B4708" s="3" t="s">
        <v>25</v>
      </c>
      <c r="C4708" s="12" t="s">
        <v>4730</v>
      </c>
      <c r="D4708" s="13">
        <v>66896.0</v>
      </c>
      <c r="E4708" s="4">
        <v>45995.0</v>
      </c>
      <c r="F4708" s="4" t="str">
        <f>IF(D4708="","", IFNA(VLOOKUP(D4708, SATCAT_DECAY!A:B, 2, FALSE), ""))
</f>
        <v/>
      </c>
      <c r="G4708" s="3" t="str">
        <f t="shared" si="1"/>
        <v>ACTIVE</v>
      </c>
    </row>
    <row r="4709" ht="22.5" customHeight="1">
      <c r="A4709" s="11" t="str">
        <f t="array" ref="A4709">IFERROR(
  INDEX('Starlink Launches'!$A:$A, MATCH($E4709, 'Starlink Launches'!$B:$B, 0)),
  ""
)
</f>
        <v>11-25</v>
      </c>
      <c r="B4709" s="3" t="s">
        <v>25</v>
      </c>
      <c r="C4709" s="12" t="s">
        <v>4731</v>
      </c>
      <c r="D4709" s="13">
        <v>66897.0</v>
      </c>
      <c r="E4709" s="4">
        <v>45995.0</v>
      </c>
      <c r="F4709" s="4" t="str">
        <f>IF(D4709="","", IFNA(VLOOKUP(D4709, SATCAT_DECAY!A:B, 2, FALSE), ""))
</f>
        <v/>
      </c>
      <c r="G4709" s="3" t="str">
        <f t="shared" si="1"/>
        <v>ACTIVE</v>
      </c>
    </row>
    <row r="4710" ht="22.5" customHeight="1">
      <c r="A4710" s="11" t="str">
        <f t="array" ref="A4710">IFERROR(
  INDEX('Starlink Launches'!$A:$A, MATCH($E4710, 'Starlink Launches'!$B:$B, 0)),
  ""
)
</f>
        <v>11-25</v>
      </c>
      <c r="B4710" s="3" t="s">
        <v>25</v>
      </c>
      <c r="C4710" s="12" t="s">
        <v>4732</v>
      </c>
      <c r="D4710" s="13">
        <v>66898.0</v>
      </c>
      <c r="E4710" s="4">
        <v>45995.0</v>
      </c>
      <c r="F4710" s="4" t="str">
        <f>IF(D4710="","", IFNA(VLOOKUP(D4710, SATCAT_DECAY!A:B, 2, FALSE), ""))
</f>
        <v/>
      </c>
      <c r="G4710" s="3" t="str">
        <f t="shared" si="1"/>
        <v>ACTIVE</v>
      </c>
    </row>
    <row r="4711" ht="22.5" customHeight="1">
      <c r="A4711" s="11" t="str">
        <f t="array" ref="A4711">IFERROR(
  INDEX('Starlink Launches'!$A:$A, MATCH($E4711, 'Starlink Launches'!$B:$B, 0)),
  ""
)
</f>
        <v>11-25</v>
      </c>
      <c r="B4711" s="3" t="s">
        <v>25</v>
      </c>
      <c r="C4711" s="12" t="s">
        <v>4733</v>
      </c>
      <c r="D4711" s="13">
        <v>66899.0</v>
      </c>
      <c r="E4711" s="4">
        <v>45995.0</v>
      </c>
      <c r="F4711" s="4" t="str">
        <f>IF(D4711="","", IFNA(VLOOKUP(D4711, SATCAT_DECAY!A:B, 2, FALSE), ""))
</f>
        <v/>
      </c>
      <c r="G4711" s="3" t="str">
        <f t="shared" si="1"/>
        <v>ACTIVE</v>
      </c>
    </row>
    <row r="4712" ht="22.5" customHeight="1">
      <c r="A4712" s="11" t="str">
        <f t="array" ref="A4712">IFERROR(
  INDEX('Starlink Launches'!$A:$A, MATCH($E4712, 'Starlink Launches'!$B:$B, 0)),
  ""
)
</f>
        <v>11-25</v>
      </c>
      <c r="B4712" s="3" t="s">
        <v>25</v>
      </c>
      <c r="C4712" s="12" t="s">
        <v>4734</v>
      </c>
      <c r="D4712" s="13">
        <v>66900.0</v>
      </c>
      <c r="E4712" s="4">
        <v>45995.0</v>
      </c>
      <c r="F4712" s="4" t="str">
        <f>IF(D4712="","", IFNA(VLOOKUP(D4712, SATCAT_DECAY!A:B, 2, FALSE), ""))
</f>
        <v/>
      </c>
      <c r="G4712" s="3" t="str">
        <f t="shared" si="1"/>
        <v>ACTIVE</v>
      </c>
    </row>
    <row r="4713" ht="22.5" customHeight="1">
      <c r="A4713" s="11" t="str">
        <f t="array" ref="A4713">IFERROR(
  INDEX('Starlink Launches'!$A:$A, MATCH($E4713, 'Starlink Launches'!$B:$B, 0)),
  ""
)
</f>
        <v>11-25</v>
      </c>
      <c r="B4713" s="3" t="s">
        <v>25</v>
      </c>
      <c r="C4713" s="12" t="s">
        <v>4735</v>
      </c>
      <c r="D4713" s="13">
        <v>66901.0</v>
      </c>
      <c r="E4713" s="4">
        <v>45995.0</v>
      </c>
      <c r="F4713" s="4" t="str">
        <f>IF(D4713="","", IFNA(VLOOKUP(D4713, SATCAT_DECAY!A:B, 2, FALSE), ""))
</f>
        <v/>
      </c>
      <c r="G4713" s="3" t="str">
        <f t="shared" si="1"/>
        <v>ACTIVE</v>
      </c>
    </row>
    <row r="4714" ht="22.5" customHeight="1">
      <c r="A4714" s="11" t="str">
        <f t="array" ref="A4714">IFERROR(
  INDEX('Starlink Launches'!$A:$A, MATCH($E4714, 'Starlink Launches'!$B:$B, 0)),
  ""
)
</f>
        <v>11-25</v>
      </c>
      <c r="B4714" s="3" t="s">
        <v>25</v>
      </c>
      <c r="C4714" s="12" t="s">
        <v>4736</v>
      </c>
      <c r="D4714" s="13">
        <v>66902.0</v>
      </c>
      <c r="E4714" s="4">
        <v>45995.0</v>
      </c>
      <c r="F4714" s="4" t="str">
        <f>IF(D4714="","", IFNA(VLOOKUP(D4714, SATCAT_DECAY!A:B, 2, FALSE), ""))
</f>
        <v/>
      </c>
      <c r="G4714" s="3" t="str">
        <f t="shared" si="1"/>
        <v>ACTIVE</v>
      </c>
    </row>
    <row r="4715" ht="22.5" customHeight="1">
      <c r="A4715" s="11" t="str">
        <f t="array" ref="A4715">IFERROR(
  INDEX('Starlink Launches'!$A:$A, MATCH($E4715, 'Starlink Launches'!$B:$B, 0)),
  ""
)
</f>
        <v>11-25</v>
      </c>
      <c r="B4715" s="3" t="s">
        <v>25</v>
      </c>
      <c r="C4715" s="12" t="s">
        <v>4737</v>
      </c>
      <c r="D4715" s="13">
        <v>66903.0</v>
      </c>
      <c r="E4715" s="4">
        <v>45995.0</v>
      </c>
      <c r="F4715" s="4" t="str">
        <f>IF(D4715="","", IFNA(VLOOKUP(D4715, SATCAT_DECAY!A:B, 2, FALSE), ""))
</f>
        <v/>
      </c>
      <c r="G4715" s="3" t="str">
        <f t="shared" si="1"/>
        <v>ACTIVE</v>
      </c>
    </row>
    <row r="4716" ht="22.5" customHeight="1">
      <c r="A4716" s="11" t="str">
        <f t="array" ref="A4716">IFERROR(
  INDEX('Starlink Launches'!$A:$A, MATCH($E4716, 'Starlink Launches'!$B:$B, 0)),
  ""
)
</f>
        <v>11-25</v>
      </c>
      <c r="B4716" s="3" t="s">
        <v>25</v>
      </c>
      <c r="C4716" s="12" t="s">
        <v>4738</v>
      </c>
      <c r="D4716" s="13">
        <v>66904.0</v>
      </c>
      <c r="E4716" s="4">
        <v>45995.0</v>
      </c>
      <c r="F4716" s="4" t="str">
        <f>IF(D4716="","", IFNA(VLOOKUP(D4716, SATCAT_DECAY!A:B, 2, FALSE), ""))
</f>
        <v/>
      </c>
      <c r="G4716" s="3" t="str">
        <f t="shared" si="1"/>
        <v>ACTIVE</v>
      </c>
    </row>
    <row r="4717" ht="22.5" customHeight="1">
      <c r="A4717" s="11" t="str">
        <f t="array" ref="A4717">IFERROR(
  INDEX('Starlink Launches'!$A:$A, MATCH($E4717, 'Starlink Launches'!$B:$B, 0)),
  ""
)
</f>
        <v>11-25</v>
      </c>
      <c r="B4717" s="3" t="s">
        <v>25</v>
      </c>
      <c r="C4717" s="12" t="s">
        <v>4739</v>
      </c>
      <c r="D4717" s="13">
        <v>66905.0</v>
      </c>
      <c r="E4717" s="4">
        <v>45995.0</v>
      </c>
      <c r="F4717" s="4" t="str">
        <f>IF(D4717="","", IFNA(VLOOKUP(D4717, SATCAT_DECAY!A:B, 2, FALSE), ""))
</f>
        <v/>
      </c>
      <c r="G4717" s="3" t="str">
        <f t="shared" si="1"/>
        <v>ACTIVE</v>
      </c>
    </row>
    <row r="4718" ht="22.5" customHeight="1">
      <c r="A4718" s="11" t="str">
        <f t="array" ref="A4718">IFERROR(
  INDEX('Starlink Launches'!$A:$A, MATCH($E4718, 'Starlink Launches'!$B:$B, 0)),
  ""
)
</f>
        <v>11-15</v>
      </c>
      <c r="B4718" s="3" t="s">
        <v>25</v>
      </c>
      <c r="C4718" s="12" t="s">
        <v>4740</v>
      </c>
      <c r="D4718" s="13">
        <v>66925.0</v>
      </c>
      <c r="E4718" s="4">
        <v>45998.0</v>
      </c>
      <c r="F4718" s="4" t="str">
        <f>IF(D4718="","", IFNA(VLOOKUP(D4718, SATCAT_DECAY!A:B, 2, FALSE), ""))
</f>
        <v/>
      </c>
      <c r="G4718" s="3" t="str">
        <f t="shared" si="1"/>
        <v>ACTIVE</v>
      </c>
    </row>
    <row r="4719" ht="22.5" customHeight="1">
      <c r="A4719" s="11" t="str">
        <f t="array" ref="A4719">IFERROR(
  INDEX('Starlink Launches'!$A:$A, MATCH($E4719, 'Starlink Launches'!$B:$B, 0)),
  ""
)
</f>
        <v>11-15</v>
      </c>
      <c r="B4719" s="3" t="s">
        <v>25</v>
      </c>
      <c r="C4719" s="12" t="s">
        <v>4741</v>
      </c>
      <c r="D4719" s="13">
        <v>66926.0</v>
      </c>
      <c r="E4719" s="4">
        <v>45998.0</v>
      </c>
      <c r="F4719" s="4" t="str">
        <f>IF(D4719="","", IFNA(VLOOKUP(D4719, SATCAT_DECAY!A:B, 2, FALSE), ""))
</f>
        <v/>
      </c>
      <c r="G4719" s="3" t="str">
        <f t="shared" si="1"/>
        <v>ACTIVE</v>
      </c>
    </row>
    <row r="4720" ht="22.5" customHeight="1">
      <c r="A4720" s="11" t="str">
        <f t="array" ref="A4720">IFERROR(
  INDEX('Starlink Launches'!$A:$A, MATCH($E4720, 'Starlink Launches'!$B:$B, 0)),
  ""
)
</f>
        <v>11-15</v>
      </c>
      <c r="B4720" s="3" t="s">
        <v>25</v>
      </c>
      <c r="C4720" s="12" t="s">
        <v>4742</v>
      </c>
      <c r="D4720" s="13">
        <v>66927.0</v>
      </c>
      <c r="E4720" s="4">
        <v>45998.0</v>
      </c>
      <c r="F4720" s="4" t="str">
        <f>IF(D4720="","", IFNA(VLOOKUP(D4720, SATCAT_DECAY!A:B, 2, FALSE), ""))
</f>
        <v/>
      </c>
      <c r="G4720" s="3" t="str">
        <f t="shared" si="1"/>
        <v>ACTIVE</v>
      </c>
    </row>
    <row r="4721" ht="22.5" customHeight="1">
      <c r="A4721" s="11" t="str">
        <f t="array" ref="A4721">IFERROR(
  INDEX('Starlink Launches'!$A:$A, MATCH($E4721, 'Starlink Launches'!$B:$B, 0)),
  ""
)
</f>
        <v>11-15</v>
      </c>
      <c r="B4721" s="3" t="s">
        <v>25</v>
      </c>
      <c r="C4721" s="12" t="s">
        <v>4743</v>
      </c>
      <c r="D4721" s="13">
        <v>66928.0</v>
      </c>
      <c r="E4721" s="4">
        <v>45998.0</v>
      </c>
      <c r="F4721" s="4" t="str">
        <f>IF(D4721="","", IFNA(VLOOKUP(D4721, SATCAT_DECAY!A:B, 2, FALSE), ""))
</f>
        <v/>
      </c>
      <c r="G4721" s="3" t="str">
        <f t="shared" si="1"/>
        <v>ACTIVE</v>
      </c>
    </row>
    <row r="4722" ht="22.5" customHeight="1">
      <c r="A4722" s="11" t="str">
        <f t="array" ref="A4722">IFERROR(
  INDEX('Starlink Launches'!$A:$A, MATCH($E4722, 'Starlink Launches'!$B:$B, 0)),
  ""
)
</f>
        <v>11-15</v>
      </c>
      <c r="B4722" s="3" t="s">
        <v>25</v>
      </c>
      <c r="C4722" s="12" t="s">
        <v>4744</v>
      </c>
      <c r="D4722" s="13">
        <v>66929.0</v>
      </c>
      <c r="E4722" s="4">
        <v>45998.0</v>
      </c>
      <c r="F4722" s="4" t="str">
        <f>IF(D4722="","", IFNA(VLOOKUP(D4722, SATCAT_DECAY!A:B, 2, FALSE), ""))
</f>
        <v/>
      </c>
      <c r="G4722" s="3" t="str">
        <f t="shared" si="1"/>
        <v>ACTIVE</v>
      </c>
    </row>
    <row r="4723" ht="22.5" customHeight="1">
      <c r="A4723" s="11" t="str">
        <f t="array" ref="A4723">IFERROR(
  INDEX('Starlink Launches'!$A:$A, MATCH($E4723, 'Starlink Launches'!$B:$B, 0)),
  ""
)
</f>
        <v>11-15</v>
      </c>
      <c r="B4723" s="3" t="s">
        <v>25</v>
      </c>
      <c r="C4723" s="12" t="s">
        <v>4745</v>
      </c>
      <c r="D4723" s="13">
        <v>66930.0</v>
      </c>
      <c r="E4723" s="4">
        <v>45998.0</v>
      </c>
      <c r="F4723" s="4" t="str">
        <f>IF(D4723="","", IFNA(VLOOKUP(D4723, SATCAT_DECAY!A:B, 2, FALSE), ""))
</f>
        <v/>
      </c>
      <c r="G4723" s="3" t="str">
        <f t="shared" si="1"/>
        <v>ACTIVE</v>
      </c>
    </row>
    <row r="4724" ht="22.5" customHeight="1">
      <c r="A4724" s="11" t="str">
        <f t="array" ref="A4724">IFERROR(
  INDEX('Starlink Launches'!$A:$A, MATCH($E4724, 'Starlink Launches'!$B:$B, 0)),
  ""
)
</f>
        <v>11-15</v>
      </c>
      <c r="B4724" s="3" t="s">
        <v>25</v>
      </c>
      <c r="C4724" s="12" t="s">
        <v>4746</v>
      </c>
      <c r="D4724" s="13">
        <v>66931.0</v>
      </c>
      <c r="E4724" s="4">
        <v>45998.0</v>
      </c>
      <c r="F4724" s="4" t="str">
        <f>IF(D4724="","", IFNA(VLOOKUP(D4724, SATCAT_DECAY!A:B, 2, FALSE), ""))
</f>
        <v/>
      </c>
      <c r="G4724" s="3" t="str">
        <f t="shared" si="1"/>
        <v>ACTIVE</v>
      </c>
    </row>
    <row r="4725" ht="22.5" customHeight="1">
      <c r="A4725" s="11" t="str">
        <f t="array" ref="A4725">IFERROR(
  INDEX('Starlink Launches'!$A:$A, MATCH($E4725, 'Starlink Launches'!$B:$B, 0)),
  ""
)
</f>
        <v>11-15</v>
      </c>
      <c r="B4725" s="3" t="s">
        <v>25</v>
      </c>
      <c r="C4725" s="12" t="s">
        <v>4747</v>
      </c>
      <c r="D4725" s="13">
        <v>66932.0</v>
      </c>
      <c r="E4725" s="4">
        <v>45998.0</v>
      </c>
      <c r="F4725" s="4" t="str">
        <f>IF(D4725="","", IFNA(VLOOKUP(D4725, SATCAT_DECAY!A:B, 2, FALSE), ""))
</f>
        <v/>
      </c>
      <c r="G4725" s="3" t="str">
        <f t="shared" si="1"/>
        <v>ACTIVE</v>
      </c>
    </row>
    <row r="4726" ht="22.5" customHeight="1">
      <c r="A4726" s="11" t="str">
        <f t="array" ref="A4726">IFERROR(
  INDEX('Starlink Launches'!$A:$A, MATCH($E4726, 'Starlink Launches'!$B:$B, 0)),
  ""
)
</f>
        <v>11-15</v>
      </c>
      <c r="B4726" s="3" t="s">
        <v>25</v>
      </c>
      <c r="C4726" s="12" t="s">
        <v>4748</v>
      </c>
      <c r="D4726" s="13">
        <v>66933.0</v>
      </c>
      <c r="E4726" s="4">
        <v>45998.0</v>
      </c>
      <c r="F4726" s="4" t="str">
        <f>IF(D4726="","", IFNA(VLOOKUP(D4726, SATCAT_DECAY!A:B, 2, FALSE), ""))
</f>
        <v/>
      </c>
      <c r="G4726" s="3" t="str">
        <f t="shared" si="1"/>
        <v>ACTIVE</v>
      </c>
    </row>
    <row r="4727" ht="22.5" customHeight="1">
      <c r="A4727" s="11" t="str">
        <f t="array" ref="A4727">IFERROR(
  INDEX('Starlink Launches'!$A:$A, MATCH($E4727, 'Starlink Launches'!$B:$B, 0)),
  ""
)
</f>
        <v>11-15</v>
      </c>
      <c r="B4727" s="3" t="s">
        <v>25</v>
      </c>
      <c r="C4727" s="12" t="s">
        <v>4749</v>
      </c>
      <c r="D4727" s="13">
        <v>66934.0</v>
      </c>
      <c r="E4727" s="4">
        <v>45998.0</v>
      </c>
      <c r="F4727" s="4" t="str">
        <f>IF(D4727="","", IFNA(VLOOKUP(D4727, SATCAT_DECAY!A:B, 2, FALSE), ""))
</f>
        <v/>
      </c>
      <c r="G4727" s="3" t="str">
        <f t="shared" si="1"/>
        <v>ACTIVE</v>
      </c>
    </row>
    <row r="4728" ht="22.5" customHeight="1">
      <c r="A4728" s="11" t="str">
        <f t="array" ref="A4728">IFERROR(
  INDEX('Starlink Launches'!$A:$A, MATCH($E4728, 'Starlink Launches'!$B:$B, 0)),
  ""
)
</f>
        <v>11-15</v>
      </c>
      <c r="B4728" s="3" t="s">
        <v>25</v>
      </c>
      <c r="C4728" s="12" t="s">
        <v>4750</v>
      </c>
      <c r="D4728" s="13">
        <v>66935.0</v>
      </c>
      <c r="E4728" s="4">
        <v>45998.0</v>
      </c>
      <c r="F4728" s="4" t="str">
        <f>IF(D4728="","", IFNA(VLOOKUP(D4728, SATCAT_DECAY!A:B, 2, FALSE), ""))
</f>
        <v/>
      </c>
      <c r="G4728" s="3" t="str">
        <f t="shared" si="1"/>
        <v>ACTIVE</v>
      </c>
    </row>
    <row r="4729" ht="22.5" customHeight="1">
      <c r="A4729" s="11" t="str">
        <f t="array" ref="A4729">IFERROR(
  INDEX('Starlink Launches'!$A:$A, MATCH($E4729, 'Starlink Launches'!$B:$B, 0)),
  ""
)
</f>
        <v>11-15</v>
      </c>
      <c r="B4729" s="3" t="s">
        <v>25</v>
      </c>
      <c r="C4729" s="12" t="s">
        <v>4751</v>
      </c>
      <c r="D4729" s="13">
        <v>66936.0</v>
      </c>
      <c r="E4729" s="4">
        <v>45998.0</v>
      </c>
      <c r="F4729" s="4" t="str">
        <f>IF(D4729="","", IFNA(VLOOKUP(D4729, SATCAT_DECAY!A:B, 2, FALSE), ""))
</f>
        <v/>
      </c>
      <c r="G4729" s="3" t="str">
        <f t="shared" si="1"/>
        <v>ACTIVE</v>
      </c>
    </row>
    <row r="4730" ht="22.5" customHeight="1">
      <c r="A4730" s="11" t="str">
        <f t="array" ref="A4730">IFERROR(
  INDEX('Starlink Launches'!$A:$A, MATCH($E4730, 'Starlink Launches'!$B:$B, 0)),
  ""
)
</f>
        <v>11-15</v>
      </c>
      <c r="B4730" s="3" t="s">
        <v>25</v>
      </c>
      <c r="C4730" s="12" t="s">
        <v>4752</v>
      </c>
      <c r="D4730" s="13">
        <v>66937.0</v>
      </c>
      <c r="E4730" s="4">
        <v>45998.0</v>
      </c>
      <c r="F4730" s="4" t="str">
        <f>IF(D4730="","", IFNA(VLOOKUP(D4730, SATCAT_DECAY!A:B, 2, FALSE), ""))
</f>
        <v/>
      </c>
      <c r="G4730" s="3" t="str">
        <f t="shared" si="1"/>
        <v>ACTIVE</v>
      </c>
    </row>
    <row r="4731" ht="22.5" customHeight="1">
      <c r="A4731" s="11" t="str">
        <f t="array" ref="A4731">IFERROR(
  INDEX('Starlink Launches'!$A:$A, MATCH($E4731, 'Starlink Launches'!$B:$B, 0)),
  ""
)
</f>
        <v>11-15</v>
      </c>
      <c r="B4731" s="3" t="s">
        <v>25</v>
      </c>
      <c r="C4731" s="12" t="s">
        <v>4753</v>
      </c>
      <c r="D4731" s="13">
        <v>66938.0</v>
      </c>
      <c r="E4731" s="4">
        <v>45998.0</v>
      </c>
      <c r="F4731" s="4" t="str">
        <f>IF(D4731="","", IFNA(VLOOKUP(D4731, SATCAT_DECAY!A:B, 2, FALSE), ""))
</f>
        <v/>
      </c>
      <c r="G4731" s="3" t="str">
        <f t="shared" si="1"/>
        <v>ACTIVE</v>
      </c>
    </row>
    <row r="4732" ht="22.5" customHeight="1">
      <c r="A4732" s="11" t="str">
        <f t="array" ref="A4732">IFERROR(
  INDEX('Starlink Launches'!$A:$A, MATCH($E4732, 'Starlink Launches'!$B:$B, 0)),
  ""
)
</f>
        <v>11-15</v>
      </c>
      <c r="B4732" s="3" t="s">
        <v>25</v>
      </c>
      <c r="C4732" s="12" t="s">
        <v>4754</v>
      </c>
      <c r="D4732" s="13">
        <v>66939.0</v>
      </c>
      <c r="E4732" s="4">
        <v>45998.0</v>
      </c>
      <c r="F4732" s="4" t="str">
        <f>IF(D4732="","", IFNA(VLOOKUP(D4732, SATCAT_DECAY!A:B, 2, FALSE), ""))
</f>
        <v/>
      </c>
      <c r="G4732" s="3" t="str">
        <f t="shared" si="1"/>
        <v>ACTIVE</v>
      </c>
    </row>
    <row r="4733" ht="22.5" customHeight="1">
      <c r="A4733" s="11" t="str">
        <f t="array" ref="A4733">IFERROR(
  INDEX('Starlink Launches'!$A:$A, MATCH($E4733, 'Starlink Launches'!$B:$B, 0)),
  ""
)
</f>
        <v>11-15</v>
      </c>
      <c r="B4733" s="3" t="s">
        <v>25</v>
      </c>
      <c r="C4733" s="12" t="s">
        <v>4755</v>
      </c>
      <c r="D4733" s="13">
        <v>66940.0</v>
      </c>
      <c r="E4733" s="4">
        <v>45998.0</v>
      </c>
      <c r="F4733" s="4" t="str">
        <f>IF(D4733="","", IFNA(VLOOKUP(D4733, SATCAT_DECAY!A:B, 2, FALSE), ""))
</f>
        <v/>
      </c>
      <c r="G4733" s="3" t="str">
        <f t="shared" si="1"/>
        <v>ACTIVE</v>
      </c>
    </row>
    <row r="4734" ht="22.5" customHeight="1">
      <c r="A4734" s="11" t="str">
        <f t="array" ref="A4734">IFERROR(
  INDEX('Starlink Launches'!$A:$A, MATCH($E4734, 'Starlink Launches'!$B:$B, 0)),
  ""
)
</f>
        <v>11-15</v>
      </c>
      <c r="B4734" s="3" t="s">
        <v>25</v>
      </c>
      <c r="C4734" s="12" t="s">
        <v>4756</v>
      </c>
      <c r="D4734" s="13">
        <v>66941.0</v>
      </c>
      <c r="E4734" s="4">
        <v>45998.0</v>
      </c>
      <c r="F4734" s="4" t="str">
        <f>IF(D4734="","", IFNA(VLOOKUP(D4734, SATCAT_DECAY!A:B, 2, FALSE), ""))
</f>
        <v/>
      </c>
      <c r="G4734" s="3" t="str">
        <f t="shared" si="1"/>
        <v>ACTIVE</v>
      </c>
    </row>
    <row r="4735" ht="22.5" customHeight="1">
      <c r="A4735" s="11" t="str">
        <f t="array" ref="A4735">IFERROR(
  INDEX('Starlink Launches'!$A:$A, MATCH($E4735, 'Starlink Launches'!$B:$B, 0)),
  ""
)
</f>
        <v>11-15</v>
      </c>
      <c r="B4735" s="3" t="s">
        <v>25</v>
      </c>
      <c r="C4735" s="12" t="s">
        <v>4757</v>
      </c>
      <c r="D4735" s="13">
        <v>66942.0</v>
      </c>
      <c r="E4735" s="4">
        <v>45998.0</v>
      </c>
      <c r="F4735" s="4" t="str">
        <f>IF(D4735="","", IFNA(VLOOKUP(D4735, SATCAT_DECAY!A:B, 2, FALSE), ""))
</f>
        <v/>
      </c>
      <c r="G4735" s="3" t="str">
        <f t="shared" si="1"/>
        <v>ACTIVE</v>
      </c>
    </row>
    <row r="4736" ht="22.5" customHeight="1">
      <c r="A4736" s="11" t="str">
        <f t="array" ref="A4736">IFERROR(
  INDEX('Starlink Launches'!$A:$A, MATCH($E4736, 'Starlink Launches'!$B:$B, 0)),
  ""
)
</f>
        <v>11-15</v>
      </c>
      <c r="B4736" s="3" t="s">
        <v>25</v>
      </c>
      <c r="C4736" s="12" t="s">
        <v>4758</v>
      </c>
      <c r="D4736" s="13">
        <v>66943.0</v>
      </c>
      <c r="E4736" s="4">
        <v>45998.0</v>
      </c>
      <c r="F4736" s="4" t="str">
        <f>IF(D4736="","", IFNA(VLOOKUP(D4736, SATCAT_DECAY!A:B, 2, FALSE), ""))
</f>
        <v/>
      </c>
      <c r="G4736" s="3" t="str">
        <f t="shared" si="1"/>
        <v>ACTIVE</v>
      </c>
    </row>
    <row r="4737" ht="22.5" customHeight="1">
      <c r="A4737" s="11" t="str">
        <f t="array" ref="A4737">IFERROR(
  INDEX('Starlink Launches'!$A:$A, MATCH($E4737, 'Starlink Launches'!$B:$B, 0)),
  ""
)
</f>
        <v>11-15</v>
      </c>
      <c r="B4737" s="3" t="s">
        <v>25</v>
      </c>
      <c r="C4737" s="12" t="s">
        <v>4759</v>
      </c>
      <c r="D4737" s="13">
        <v>66944.0</v>
      </c>
      <c r="E4737" s="4">
        <v>45998.0</v>
      </c>
      <c r="F4737" s="4" t="str">
        <f>IF(D4737="","", IFNA(VLOOKUP(D4737, SATCAT_DECAY!A:B, 2, FALSE), ""))
</f>
        <v/>
      </c>
      <c r="G4737" s="3" t="str">
        <f t="shared" si="1"/>
        <v>ACTIVE</v>
      </c>
    </row>
    <row r="4738" ht="22.5" customHeight="1">
      <c r="A4738" s="11" t="str">
        <f t="array" ref="A4738">IFERROR(
  INDEX('Starlink Launches'!$A:$A, MATCH($E4738, 'Starlink Launches'!$B:$B, 0)),
  ""
)
</f>
        <v>11-15</v>
      </c>
      <c r="B4738" s="3" t="s">
        <v>25</v>
      </c>
      <c r="C4738" s="12" t="s">
        <v>4760</v>
      </c>
      <c r="D4738" s="13">
        <v>66945.0</v>
      </c>
      <c r="E4738" s="4">
        <v>45998.0</v>
      </c>
      <c r="F4738" s="4" t="str">
        <f>IF(D4738="","", IFNA(VLOOKUP(D4738, SATCAT_DECAY!A:B, 2, FALSE), ""))
</f>
        <v/>
      </c>
      <c r="G4738" s="3" t="str">
        <f t="shared" si="1"/>
        <v>ACTIVE</v>
      </c>
    </row>
    <row r="4739" ht="22.5" customHeight="1">
      <c r="A4739" s="11" t="str">
        <f t="array" ref="A4739">IFERROR(
  INDEX('Starlink Launches'!$A:$A, MATCH($E4739, 'Starlink Launches'!$B:$B, 0)),
  ""
)
</f>
        <v>11-15</v>
      </c>
      <c r="B4739" s="3" t="s">
        <v>25</v>
      </c>
      <c r="C4739" s="12" t="s">
        <v>4761</v>
      </c>
      <c r="D4739" s="13">
        <v>66946.0</v>
      </c>
      <c r="E4739" s="4">
        <v>45998.0</v>
      </c>
      <c r="F4739" s="4" t="str">
        <f>IF(D4739="","", IFNA(VLOOKUP(D4739, SATCAT_DECAY!A:B, 2, FALSE), ""))
</f>
        <v/>
      </c>
      <c r="G4739" s="3" t="str">
        <f t="shared" si="1"/>
        <v>ACTIVE</v>
      </c>
    </row>
    <row r="4740" ht="22.5" customHeight="1">
      <c r="A4740" s="11" t="str">
        <f t="array" ref="A4740">IFERROR(
  INDEX('Starlink Launches'!$A:$A, MATCH($E4740, 'Starlink Launches'!$B:$B, 0)),
  ""
)
</f>
        <v>11-15</v>
      </c>
      <c r="B4740" s="3" t="s">
        <v>25</v>
      </c>
      <c r="C4740" s="12" t="s">
        <v>4762</v>
      </c>
      <c r="D4740" s="13">
        <v>66947.0</v>
      </c>
      <c r="E4740" s="4">
        <v>45998.0</v>
      </c>
      <c r="F4740" s="4" t="str">
        <f>IF(D4740="","", IFNA(VLOOKUP(D4740, SATCAT_DECAY!A:B, 2, FALSE), ""))
</f>
        <v/>
      </c>
      <c r="G4740" s="3" t="str">
        <f t="shared" si="1"/>
        <v>ACTIVE</v>
      </c>
    </row>
    <row r="4741" ht="22.5" customHeight="1">
      <c r="A4741" s="11" t="str">
        <f t="array" ref="A4741">IFERROR(
  INDEX('Starlink Launches'!$A:$A, MATCH($E4741, 'Starlink Launches'!$B:$B, 0)),
  ""
)
</f>
        <v>11-15</v>
      </c>
      <c r="B4741" s="3" t="s">
        <v>25</v>
      </c>
      <c r="C4741" s="12" t="s">
        <v>4763</v>
      </c>
      <c r="D4741" s="13">
        <v>66948.0</v>
      </c>
      <c r="E4741" s="4">
        <v>45998.0</v>
      </c>
      <c r="F4741" s="4" t="str">
        <f>IF(D4741="","", IFNA(VLOOKUP(D4741, SATCAT_DECAY!A:B, 2, FALSE), ""))
</f>
        <v/>
      </c>
      <c r="G4741" s="3" t="str">
        <f t="shared" si="1"/>
        <v>ACTIVE</v>
      </c>
    </row>
    <row r="4742" ht="22.5" customHeight="1">
      <c r="A4742" s="11" t="str">
        <f t="array" ref="A4742">IFERROR(
  INDEX('Starlink Launches'!$A:$A, MATCH($E4742, 'Starlink Launches'!$B:$B, 0)),
  ""
)
</f>
        <v>11-15</v>
      </c>
      <c r="B4742" s="3" t="s">
        <v>25</v>
      </c>
      <c r="C4742" s="12" t="s">
        <v>4764</v>
      </c>
      <c r="D4742" s="13">
        <v>66949.0</v>
      </c>
      <c r="E4742" s="4">
        <v>45998.0</v>
      </c>
      <c r="F4742" s="4" t="str">
        <f>IF(D4742="","", IFNA(VLOOKUP(D4742, SATCAT_DECAY!A:B, 2, FALSE), ""))
</f>
        <v/>
      </c>
      <c r="G4742" s="3" t="str">
        <f t="shared" si="1"/>
        <v>ACTIVE</v>
      </c>
    </row>
    <row r="4743" ht="22.5" customHeight="1">
      <c r="A4743" s="11" t="str">
        <f t="array" ref="A4743">IFERROR(
  INDEX('Starlink Launches'!$A:$A, MATCH($E4743, 'Starlink Launches'!$B:$B, 0)),
  ""
)
</f>
        <v>11-15</v>
      </c>
      <c r="B4743" s="3" t="s">
        <v>25</v>
      </c>
      <c r="C4743" s="12" t="s">
        <v>4765</v>
      </c>
      <c r="D4743" s="13">
        <v>66950.0</v>
      </c>
      <c r="E4743" s="4">
        <v>45998.0</v>
      </c>
      <c r="F4743" s="4" t="str">
        <f>IF(D4743="","", IFNA(VLOOKUP(D4743, SATCAT_DECAY!A:B, 2, FALSE), ""))
</f>
        <v/>
      </c>
      <c r="G4743" s="3" t="str">
        <f t="shared" si="1"/>
        <v>ACTIVE</v>
      </c>
    </row>
    <row r="4744" ht="22.5" customHeight="1">
      <c r="A4744" s="11" t="str">
        <f t="array" ref="A4744">IFERROR(
  INDEX('Starlink Launches'!$A:$A, MATCH($E4744, 'Starlink Launches'!$B:$B, 0)),
  ""
)
</f>
        <v>11-15</v>
      </c>
      <c r="B4744" s="3" t="s">
        <v>25</v>
      </c>
      <c r="C4744" s="12" t="s">
        <v>4766</v>
      </c>
      <c r="D4744" s="13">
        <v>66951.0</v>
      </c>
      <c r="E4744" s="4">
        <v>45998.0</v>
      </c>
      <c r="F4744" s="4" t="str">
        <f>IF(D4744="","", IFNA(VLOOKUP(D4744, SATCAT_DECAY!A:B, 2, FALSE), ""))
</f>
        <v/>
      </c>
      <c r="G4744" s="3" t="str">
        <f t="shared" si="1"/>
        <v>ACTIVE</v>
      </c>
    </row>
    <row r="4745" ht="22.5" customHeight="1">
      <c r="A4745" s="17" t="str">
        <f t="array" ref="A4745">IFERROR(
  INDEX('Starlink Launches'!$A:$A, MATCH($E4745, 'Starlink Launches'!$B:$B, 0)),
  ""
)
</f>
        <v>11-15</v>
      </c>
      <c r="B4745" s="9" t="s">
        <v>25</v>
      </c>
      <c r="C4745" s="18" t="s">
        <v>4767</v>
      </c>
      <c r="D4745" s="19">
        <v>66952.0</v>
      </c>
      <c r="E4745" s="10">
        <v>45998.0</v>
      </c>
      <c r="F4745" s="4" t="str">
        <f>IF(D4745="","", IFNA(VLOOKUP(D4745, SATCAT_DECAY!A:B, 2, FALSE), ""))
</f>
        <v/>
      </c>
      <c r="G4745" s="9" t="str">
        <f t="shared" si="1"/>
        <v>ACTIVE</v>
      </c>
    </row>
    <row r="4746" ht="22.5" customHeight="1">
      <c r="A4746" s="11" t="str">
        <f t="array" ref="A4746">IFERROR(
  INDEX('Starlink Launches'!$A:$A, MATCH($E4746, 'Starlink Launches'!$B:$B, 0)),
  ""
)
</f>
        <v>12-1</v>
      </c>
      <c r="B4746" s="3" t="s">
        <v>25</v>
      </c>
      <c r="C4746" s="12" t="s">
        <v>4768</v>
      </c>
      <c r="D4746" s="13">
        <v>62088.0</v>
      </c>
      <c r="E4746" s="4">
        <v>45621.0</v>
      </c>
      <c r="F4746" s="4" t="str">
        <f>IF(D4746="","", IFNA(VLOOKUP(D4746, SATCAT_DECAY!A:B, 2, FALSE), ""))
</f>
        <v/>
      </c>
      <c r="G4746" s="3" t="str">
        <f t="shared" si="1"/>
        <v>ACTIVE</v>
      </c>
    </row>
    <row r="4747" ht="22.5" customHeight="1">
      <c r="A4747" s="11" t="str">
        <f t="array" ref="A4747">IFERROR(
  INDEX('Starlink Launches'!$A:$A, MATCH($E4747, 'Starlink Launches'!$B:$B, 0)),
  ""
)
</f>
        <v>12-1</v>
      </c>
      <c r="B4747" s="3" t="s">
        <v>25</v>
      </c>
      <c r="C4747" s="12" t="s">
        <v>4769</v>
      </c>
      <c r="D4747" s="13">
        <v>62089.0</v>
      </c>
      <c r="E4747" s="4">
        <v>45621.0</v>
      </c>
      <c r="F4747" s="4" t="str">
        <f>IF(D4747="","", IFNA(VLOOKUP(D4747, SATCAT_DECAY!A:B, 2, FALSE), ""))
</f>
        <v/>
      </c>
      <c r="G4747" s="3" t="str">
        <f t="shared" si="1"/>
        <v>ACTIVE</v>
      </c>
    </row>
    <row r="4748" ht="22.5" customHeight="1">
      <c r="A4748" s="11" t="str">
        <f t="array" ref="A4748">IFERROR(
  INDEX('Starlink Launches'!$A:$A, MATCH($E4748, 'Starlink Launches'!$B:$B, 0)),
  ""
)
</f>
        <v>12-1</v>
      </c>
      <c r="B4748" s="3" t="s">
        <v>25</v>
      </c>
      <c r="C4748" s="12" t="s">
        <v>4770</v>
      </c>
      <c r="D4748" s="13">
        <v>62090.0</v>
      </c>
      <c r="E4748" s="4">
        <v>45621.0</v>
      </c>
      <c r="F4748" s="4" t="str">
        <f>IF(D4748="","", IFNA(VLOOKUP(D4748, SATCAT_DECAY!A:B, 2, FALSE), ""))
</f>
        <v/>
      </c>
      <c r="G4748" s="3" t="str">
        <f t="shared" si="1"/>
        <v>ACTIVE</v>
      </c>
    </row>
    <row r="4749" ht="22.5" customHeight="1">
      <c r="A4749" s="11" t="str">
        <f t="array" ref="A4749">IFERROR(
  INDEX('Starlink Launches'!$A:$A, MATCH($E4749, 'Starlink Launches'!$B:$B, 0)),
  ""
)
</f>
        <v>12-1</v>
      </c>
      <c r="B4749" s="3" t="s">
        <v>25</v>
      </c>
      <c r="C4749" s="12" t="s">
        <v>4771</v>
      </c>
      <c r="D4749" s="13">
        <v>62091.0</v>
      </c>
      <c r="E4749" s="4">
        <v>45621.0</v>
      </c>
      <c r="F4749" s="4" t="str">
        <f>IF(D4749="","", IFNA(VLOOKUP(D4749, SATCAT_DECAY!A:B, 2, FALSE), ""))
</f>
        <v/>
      </c>
      <c r="G4749" s="3" t="str">
        <f t="shared" si="1"/>
        <v>ACTIVE</v>
      </c>
    </row>
    <row r="4750" ht="22.5" customHeight="1">
      <c r="A4750" s="11" t="str">
        <f t="array" ref="A4750">IFERROR(
  INDEX('Starlink Launches'!$A:$A, MATCH($E4750, 'Starlink Launches'!$B:$B, 0)),
  ""
)
</f>
        <v>12-1</v>
      </c>
      <c r="B4750" s="3" t="s">
        <v>25</v>
      </c>
      <c r="C4750" s="12" t="s">
        <v>4772</v>
      </c>
      <c r="D4750" s="13">
        <v>62092.0</v>
      </c>
      <c r="E4750" s="4">
        <v>45621.0</v>
      </c>
      <c r="F4750" s="4" t="str">
        <f>IF(D4750="","", IFNA(VLOOKUP(D4750, SATCAT_DECAY!A:B, 2, FALSE), ""))
</f>
        <v/>
      </c>
      <c r="G4750" s="3" t="str">
        <f t="shared" si="1"/>
        <v>ACTIVE</v>
      </c>
    </row>
    <row r="4751" ht="22.5" customHeight="1">
      <c r="A4751" s="11" t="str">
        <f t="array" ref="A4751">IFERROR(
  INDEX('Starlink Launches'!$A:$A, MATCH($E4751, 'Starlink Launches'!$B:$B, 0)),
  ""
)
</f>
        <v>12-1</v>
      </c>
      <c r="B4751" s="3" t="s">
        <v>25</v>
      </c>
      <c r="C4751" s="12" t="s">
        <v>4773</v>
      </c>
      <c r="D4751" s="13">
        <v>62093.0</v>
      </c>
      <c r="E4751" s="4">
        <v>45621.0</v>
      </c>
      <c r="F4751" s="4" t="str">
        <f>IF(D4751="","", IFNA(VLOOKUP(D4751, SATCAT_DECAY!A:B, 2, FALSE), ""))
</f>
        <v/>
      </c>
      <c r="G4751" s="3" t="str">
        <f t="shared" si="1"/>
        <v>ACTIVE</v>
      </c>
    </row>
    <row r="4752" ht="22.5" customHeight="1">
      <c r="A4752" s="11" t="str">
        <f t="array" ref="A4752">IFERROR(
  INDEX('Starlink Launches'!$A:$A, MATCH($E4752, 'Starlink Launches'!$B:$B, 0)),
  ""
)
</f>
        <v>12-1</v>
      </c>
      <c r="B4752" s="3" t="s">
        <v>25</v>
      </c>
      <c r="C4752" s="12" t="s">
        <v>4774</v>
      </c>
      <c r="D4752" s="13">
        <v>62094.0</v>
      </c>
      <c r="E4752" s="4">
        <v>45621.0</v>
      </c>
      <c r="F4752" s="4" t="str">
        <f>IF(D4752="","", IFNA(VLOOKUP(D4752, SATCAT_DECAY!A:B, 2, FALSE), ""))
</f>
        <v/>
      </c>
      <c r="G4752" s="3" t="str">
        <f t="shared" si="1"/>
        <v>ACTIVE</v>
      </c>
    </row>
    <row r="4753" ht="22.5" customHeight="1">
      <c r="A4753" s="11" t="str">
        <f t="array" ref="A4753">IFERROR(
  INDEX('Starlink Launches'!$A:$A, MATCH($E4753, 'Starlink Launches'!$B:$B, 0)),
  ""
)
</f>
        <v>12-1</v>
      </c>
      <c r="B4753" s="3" t="s">
        <v>25</v>
      </c>
      <c r="C4753" s="12" t="s">
        <v>4775</v>
      </c>
      <c r="D4753" s="13">
        <v>62095.0</v>
      </c>
      <c r="E4753" s="4">
        <v>45621.0</v>
      </c>
      <c r="F4753" s="4" t="str">
        <f>IF(D4753="","", IFNA(VLOOKUP(D4753, SATCAT_DECAY!A:B, 2, FALSE), ""))
</f>
        <v/>
      </c>
      <c r="G4753" s="3" t="str">
        <f t="shared" si="1"/>
        <v>ACTIVE</v>
      </c>
    </row>
    <row r="4754" ht="22.5" customHeight="1">
      <c r="A4754" s="11" t="str">
        <f t="array" ref="A4754">IFERROR(
  INDEX('Starlink Launches'!$A:$A, MATCH($E4754, 'Starlink Launches'!$B:$B, 0)),
  ""
)
</f>
        <v>12-1</v>
      </c>
      <c r="B4754" s="3" t="s">
        <v>25</v>
      </c>
      <c r="C4754" s="12" t="s">
        <v>4776</v>
      </c>
      <c r="D4754" s="13">
        <v>62096.0</v>
      </c>
      <c r="E4754" s="4">
        <v>45621.0</v>
      </c>
      <c r="F4754" s="4" t="str">
        <f>IF(D4754="","", IFNA(VLOOKUP(D4754, SATCAT_DECAY!A:B, 2, FALSE), ""))
</f>
        <v/>
      </c>
      <c r="G4754" s="3" t="str">
        <f t="shared" si="1"/>
        <v>ACTIVE</v>
      </c>
    </row>
    <row r="4755" ht="22.5" customHeight="1">
      <c r="A4755" s="11" t="str">
        <f t="array" ref="A4755">IFERROR(
  INDEX('Starlink Launches'!$A:$A, MATCH($E4755, 'Starlink Launches'!$B:$B, 0)),
  ""
)
</f>
        <v>12-1</v>
      </c>
      <c r="B4755" s="3" t="s">
        <v>25</v>
      </c>
      <c r="C4755" s="12" t="s">
        <v>4777</v>
      </c>
      <c r="D4755" s="13">
        <v>62097.0</v>
      </c>
      <c r="E4755" s="4">
        <v>45621.0</v>
      </c>
      <c r="F4755" s="4" t="str">
        <f>IF(D4755="","", IFNA(VLOOKUP(D4755, SATCAT_DECAY!A:B, 2, FALSE), ""))
</f>
        <v/>
      </c>
      <c r="G4755" s="3" t="str">
        <f t="shared" si="1"/>
        <v>ACTIVE</v>
      </c>
    </row>
    <row r="4756" ht="22.5" customHeight="1">
      <c r="A4756" s="11" t="str">
        <f t="array" ref="A4756">IFERROR(
  INDEX('Starlink Launches'!$A:$A, MATCH($E4756, 'Starlink Launches'!$B:$B, 0)),
  ""
)
</f>
        <v>12-1</v>
      </c>
      <c r="B4756" s="3" t="s">
        <v>25</v>
      </c>
      <c r="C4756" s="12" t="s">
        <v>4778</v>
      </c>
      <c r="D4756" s="13">
        <v>62098.0</v>
      </c>
      <c r="E4756" s="4">
        <v>45621.0</v>
      </c>
      <c r="F4756" s="4" t="str">
        <f>IF(D4756="","", IFNA(VLOOKUP(D4756, SATCAT_DECAY!A:B, 2, FALSE), ""))
</f>
        <v/>
      </c>
      <c r="G4756" s="3" t="str">
        <f t="shared" si="1"/>
        <v>ACTIVE</v>
      </c>
    </row>
    <row r="4757" ht="22.5" customHeight="1">
      <c r="A4757" s="11" t="str">
        <f t="array" ref="A4757">IFERROR(
  INDEX('Starlink Launches'!$A:$A, MATCH($E4757, 'Starlink Launches'!$B:$B, 0)),
  ""
)
</f>
        <v>12-1</v>
      </c>
      <c r="B4757" s="3" t="s">
        <v>25</v>
      </c>
      <c r="C4757" s="12" t="s">
        <v>4779</v>
      </c>
      <c r="D4757" s="13">
        <v>62099.0</v>
      </c>
      <c r="E4757" s="4">
        <v>45621.0</v>
      </c>
      <c r="F4757" s="4" t="str">
        <f>IF(D4757="","", IFNA(VLOOKUP(D4757, SATCAT_DECAY!A:B, 2, FALSE), ""))
</f>
        <v/>
      </c>
      <c r="G4757" s="3" t="str">
        <f t="shared" si="1"/>
        <v>ACTIVE</v>
      </c>
    </row>
    <row r="4758" ht="22.5" customHeight="1">
      <c r="A4758" s="11" t="str">
        <f t="array" ref="A4758">IFERROR(
  INDEX('Starlink Launches'!$A:$A, MATCH($E4758, 'Starlink Launches'!$B:$B, 0)),
  ""
)
</f>
        <v>12-1</v>
      </c>
      <c r="B4758" s="3" t="s">
        <v>25</v>
      </c>
      <c r="C4758" s="12" t="s">
        <v>4780</v>
      </c>
      <c r="D4758" s="13">
        <v>62100.0</v>
      </c>
      <c r="E4758" s="4">
        <v>45621.0</v>
      </c>
      <c r="F4758" s="4" t="str">
        <f>IF(D4758="","", IFNA(VLOOKUP(D4758, SATCAT_DECAY!A:B, 2, FALSE), ""))
</f>
        <v/>
      </c>
      <c r="G4758" s="3" t="str">
        <f t="shared" si="1"/>
        <v>ACTIVE</v>
      </c>
    </row>
    <row r="4759" ht="22.5" customHeight="1">
      <c r="A4759" s="11" t="str">
        <f t="array" ref="A4759">IFERROR(
  INDEX('Starlink Launches'!$A:$A, MATCH($E4759, 'Starlink Launches'!$B:$B, 0)),
  ""
)
</f>
        <v>12-1</v>
      </c>
      <c r="B4759" s="3" t="s">
        <v>25</v>
      </c>
      <c r="C4759" s="12" t="s">
        <v>4781</v>
      </c>
      <c r="D4759" s="13">
        <v>62101.0</v>
      </c>
      <c r="E4759" s="4">
        <v>45621.0</v>
      </c>
      <c r="F4759" s="4" t="str">
        <f>IF(D4759="","", IFNA(VLOOKUP(D4759, SATCAT_DECAY!A:B, 2, FALSE), ""))
</f>
        <v/>
      </c>
      <c r="G4759" s="3" t="str">
        <f t="shared" si="1"/>
        <v>ACTIVE</v>
      </c>
    </row>
    <row r="4760" ht="22.5" customHeight="1">
      <c r="A4760" s="11" t="str">
        <f t="array" ref="A4760">IFERROR(
  INDEX('Starlink Launches'!$A:$A, MATCH($E4760, 'Starlink Launches'!$B:$B, 0)),
  ""
)
</f>
        <v>12-1</v>
      </c>
      <c r="B4760" s="3" t="s">
        <v>25</v>
      </c>
      <c r="C4760" s="12" t="s">
        <v>4782</v>
      </c>
      <c r="D4760" s="13">
        <v>62102.0</v>
      </c>
      <c r="E4760" s="4">
        <v>45621.0</v>
      </c>
      <c r="F4760" s="4" t="str">
        <f>IF(D4760="","", IFNA(VLOOKUP(D4760, SATCAT_DECAY!A:B, 2, FALSE), ""))
</f>
        <v/>
      </c>
      <c r="G4760" s="3" t="str">
        <f t="shared" si="1"/>
        <v>ACTIVE</v>
      </c>
    </row>
    <row r="4761" ht="22.5" customHeight="1">
      <c r="A4761" s="11" t="str">
        <f t="array" ref="A4761">IFERROR(
  INDEX('Starlink Launches'!$A:$A, MATCH($E4761, 'Starlink Launches'!$B:$B, 0)),
  ""
)
</f>
        <v>12-1</v>
      </c>
      <c r="B4761" s="3" t="s">
        <v>25</v>
      </c>
      <c r="C4761" s="12" t="s">
        <v>4783</v>
      </c>
      <c r="D4761" s="13">
        <v>62103.0</v>
      </c>
      <c r="E4761" s="4">
        <v>45621.0</v>
      </c>
      <c r="F4761" s="4" t="str">
        <f>IF(D4761="","", IFNA(VLOOKUP(D4761, SATCAT_DECAY!A:B, 2, FALSE), ""))
</f>
        <v/>
      </c>
      <c r="G4761" s="3" t="str">
        <f t="shared" si="1"/>
        <v>ACTIVE</v>
      </c>
    </row>
    <row r="4762" ht="22.5" customHeight="1">
      <c r="A4762" s="11" t="str">
        <f t="array" ref="A4762">IFERROR(
  INDEX('Starlink Launches'!$A:$A, MATCH($E4762, 'Starlink Launches'!$B:$B, 0)),
  ""
)
</f>
        <v>12-1</v>
      </c>
      <c r="B4762" s="3" t="s">
        <v>25</v>
      </c>
      <c r="C4762" s="12" t="s">
        <v>4784</v>
      </c>
      <c r="D4762" s="13">
        <v>62104.0</v>
      </c>
      <c r="E4762" s="4">
        <v>45621.0</v>
      </c>
      <c r="F4762" s="4" t="str">
        <f>IF(D4762="","", IFNA(VLOOKUP(D4762, SATCAT_DECAY!A:B, 2, FALSE), ""))
</f>
        <v/>
      </c>
      <c r="G4762" s="3" t="str">
        <f t="shared" si="1"/>
        <v>ACTIVE</v>
      </c>
    </row>
    <row r="4763" ht="22.5" customHeight="1">
      <c r="A4763" s="11" t="str">
        <f t="array" ref="A4763">IFERROR(
  INDEX('Starlink Launches'!$A:$A, MATCH($E4763, 'Starlink Launches'!$B:$B, 0)),
  ""
)
</f>
        <v>12-1</v>
      </c>
      <c r="B4763" s="3" t="s">
        <v>25</v>
      </c>
      <c r="C4763" s="12" t="s">
        <v>4785</v>
      </c>
      <c r="D4763" s="13">
        <v>62107.0</v>
      </c>
      <c r="E4763" s="4">
        <v>45621.0</v>
      </c>
      <c r="F4763" s="4" t="str">
        <f>IF(D4763="","", IFNA(VLOOKUP(D4763, SATCAT_DECAY!A:B, 2, FALSE), ""))
</f>
        <v/>
      </c>
      <c r="G4763" s="3" t="str">
        <f t="shared" si="1"/>
        <v>ACTIVE</v>
      </c>
    </row>
    <row r="4764" ht="22.5" customHeight="1">
      <c r="A4764" s="11" t="str">
        <f t="array" ref="A4764">IFERROR(
  INDEX('Starlink Launches'!$A:$A, MATCH($E4764, 'Starlink Launches'!$B:$B, 0)),
  ""
)
</f>
        <v>12-1</v>
      </c>
      <c r="B4764" s="3" t="s">
        <v>25</v>
      </c>
      <c r="C4764" s="12" t="s">
        <v>4786</v>
      </c>
      <c r="D4764" s="13">
        <v>62108.0</v>
      </c>
      <c r="E4764" s="4">
        <v>45621.0</v>
      </c>
      <c r="F4764" s="4" t="str">
        <f>IF(D4764="","", IFNA(VLOOKUP(D4764, SATCAT_DECAY!A:B, 2, FALSE), ""))
</f>
        <v/>
      </c>
      <c r="G4764" s="3" t="str">
        <f t="shared" si="1"/>
        <v>ACTIVE</v>
      </c>
    </row>
    <row r="4765" ht="22.5" customHeight="1">
      <c r="A4765" s="11" t="str">
        <f t="array" ref="A4765">IFERROR(
  INDEX('Starlink Launches'!$A:$A, MATCH($E4765, 'Starlink Launches'!$B:$B, 0)),
  ""
)
</f>
        <v>12-1</v>
      </c>
      <c r="B4765" s="3" t="s">
        <v>25</v>
      </c>
      <c r="C4765" s="12" t="s">
        <v>4787</v>
      </c>
      <c r="D4765" s="13">
        <v>62109.0</v>
      </c>
      <c r="E4765" s="4">
        <v>45621.0</v>
      </c>
      <c r="F4765" s="4" t="str">
        <f>IF(D4765="","", IFNA(VLOOKUP(D4765, SATCAT_DECAY!A:B, 2, FALSE), ""))
</f>
        <v/>
      </c>
      <c r="G4765" s="3" t="str">
        <f t="shared" si="1"/>
        <v>ACTIVE</v>
      </c>
    </row>
    <row r="4766" ht="22.5" customHeight="1">
      <c r="A4766" s="11" t="str">
        <f t="array" ref="A4766">IFERROR(
  INDEX('Starlink Launches'!$A:$A, MATCH($E4766, 'Starlink Launches'!$B:$B, 0)),
  ""
)
</f>
        <v>12-1</v>
      </c>
      <c r="B4766" s="3" t="s">
        <v>25</v>
      </c>
      <c r="C4766" s="12" t="s">
        <v>4788</v>
      </c>
      <c r="D4766" s="13">
        <v>62110.0</v>
      </c>
      <c r="E4766" s="4">
        <v>45621.0</v>
      </c>
      <c r="F4766" s="4" t="str">
        <f>IF(D4766="","", IFNA(VLOOKUP(D4766, SATCAT_DECAY!A:B, 2, FALSE), ""))
</f>
        <v/>
      </c>
      <c r="G4766" s="3" t="str">
        <f t="shared" si="1"/>
        <v>ACTIVE</v>
      </c>
    </row>
    <row r="4767" ht="22.5" customHeight="1">
      <c r="A4767" s="11" t="str">
        <f t="array" ref="A4767">IFERROR(
  INDEX('Starlink Launches'!$A:$A, MATCH($E4767, 'Starlink Launches'!$B:$B, 0)),
  ""
)
</f>
        <v>12-5</v>
      </c>
      <c r="B4767" s="3" t="s">
        <v>25</v>
      </c>
      <c r="C4767" s="12" t="s">
        <v>4789</v>
      </c>
      <c r="D4767" s="13">
        <v>62267.0</v>
      </c>
      <c r="E4767" s="4">
        <v>45634.0</v>
      </c>
      <c r="F4767" s="4" t="str">
        <f>IF(D4767="","", IFNA(VLOOKUP(D4767, SATCAT_DECAY!A:B, 2, FALSE), ""))
</f>
        <v/>
      </c>
      <c r="G4767" s="3" t="str">
        <f t="shared" si="1"/>
        <v>ACTIVE</v>
      </c>
    </row>
    <row r="4768" ht="22.5" customHeight="1">
      <c r="A4768" s="11" t="str">
        <f t="array" ref="A4768">IFERROR(
  INDEX('Starlink Launches'!$A:$A, MATCH($E4768, 'Starlink Launches'!$B:$B, 0)),
  ""
)
</f>
        <v>12-5</v>
      </c>
      <c r="B4768" s="3" t="s">
        <v>25</v>
      </c>
      <c r="C4768" s="12" t="s">
        <v>4790</v>
      </c>
      <c r="D4768" s="13">
        <v>62268.0</v>
      </c>
      <c r="E4768" s="4">
        <v>45634.0</v>
      </c>
      <c r="F4768" s="4" t="str">
        <f>IF(D4768="","", IFNA(VLOOKUP(D4768, SATCAT_DECAY!A:B, 2, FALSE), ""))
</f>
        <v/>
      </c>
      <c r="G4768" s="3" t="str">
        <f t="shared" si="1"/>
        <v>ACTIVE</v>
      </c>
    </row>
    <row r="4769" ht="22.5" customHeight="1">
      <c r="A4769" s="11" t="str">
        <f t="array" ref="A4769">IFERROR(
  INDEX('Starlink Launches'!$A:$A, MATCH($E4769, 'Starlink Launches'!$B:$B, 0)),
  ""
)
</f>
        <v>12-5</v>
      </c>
      <c r="B4769" s="3" t="s">
        <v>25</v>
      </c>
      <c r="C4769" s="12" t="s">
        <v>4791</v>
      </c>
      <c r="D4769" s="13">
        <v>62269.0</v>
      </c>
      <c r="E4769" s="4">
        <v>45634.0</v>
      </c>
      <c r="F4769" s="4" t="str">
        <f>IF(D4769="","", IFNA(VLOOKUP(D4769, SATCAT_DECAY!A:B, 2, FALSE), ""))
</f>
        <v/>
      </c>
      <c r="G4769" s="3" t="str">
        <f t="shared" si="1"/>
        <v>ACTIVE</v>
      </c>
    </row>
    <row r="4770" ht="22.5" customHeight="1">
      <c r="A4770" s="11" t="str">
        <f t="array" ref="A4770">IFERROR(
  INDEX('Starlink Launches'!$A:$A, MATCH($E4770, 'Starlink Launches'!$B:$B, 0)),
  ""
)
</f>
        <v>12-5</v>
      </c>
      <c r="B4770" s="3" t="s">
        <v>25</v>
      </c>
      <c r="C4770" s="12" t="s">
        <v>4792</v>
      </c>
      <c r="D4770" s="13">
        <v>62270.0</v>
      </c>
      <c r="E4770" s="4">
        <v>45634.0</v>
      </c>
      <c r="F4770" s="4" t="str">
        <f>IF(D4770="","", IFNA(VLOOKUP(D4770, SATCAT_DECAY!A:B, 2, FALSE), ""))
</f>
        <v/>
      </c>
      <c r="G4770" s="3" t="str">
        <f t="shared" si="1"/>
        <v>ACTIVE</v>
      </c>
    </row>
    <row r="4771" ht="22.5" customHeight="1">
      <c r="A4771" s="11" t="str">
        <f t="array" ref="A4771">IFERROR(
  INDEX('Starlink Launches'!$A:$A, MATCH($E4771, 'Starlink Launches'!$B:$B, 0)),
  ""
)
</f>
        <v>12-5</v>
      </c>
      <c r="B4771" s="3" t="s">
        <v>25</v>
      </c>
      <c r="C4771" s="12" t="s">
        <v>4793</v>
      </c>
      <c r="D4771" s="13">
        <v>62271.0</v>
      </c>
      <c r="E4771" s="4">
        <v>45634.0</v>
      </c>
      <c r="F4771" s="4" t="str">
        <f>IF(D4771="","", IFNA(VLOOKUP(D4771, SATCAT_DECAY!A:B, 2, FALSE), ""))
</f>
        <v/>
      </c>
      <c r="G4771" s="3" t="str">
        <f t="shared" si="1"/>
        <v>ACTIVE</v>
      </c>
    </row>
    <row r="4772" ht="22.5" customHeight="1">
      <c r="A4772" s="11" t="str">
        <f t="array" ref="A4772">IFERROR(
  INDEX('Starlink Launches'!$A:$A, MATCH($E4772, 'Starlink Launches'!$B:$B, 0)),
  ""
)
</f>
        <v>12-5</v>
      </c>
      <c r="B4772" s="3" t="s">
        <v>25</v>
      </c>
      <c r="C4772" s="12" t="s">
        <v>4794</v>
      </c>
      <c r="D4772" s="13">
        <v>62272.0</v>
      </c>
      <c r="E4772" s="4">
        <v>45634.0</v>
      </c>
      <c r="F4772" s="4" t="str">
        <f>IF(D4772="","", IFNA(VLOOKUP(D4772, SATCAT_DECAY!A:B, 2, FALSE), ""))
</f>
        <v/>
      </c>
      <c r="G4772" s="3" t="str">
        <f t="shared" si="1"/>
        <v>ACTIVE</v>
      </c>
    </row>
    <row r="4773" ht="22.5" customHeight="1">
      <c r="A4773" s="11" t="str">
        <f t="array" ref="A4773">IFERROR(
  INDEX('Starlink Launches'!$A:$A, MATCH($E4773, 'Starlink Launches'!$B:$B, 0)),
  ""
)
</f>
        <v>12-5</v>
      </c>
      <c r="B4773" s="3" t="s">
        <v>25</v>
      </c>
      <c r="C4773" s="12" t="s">
        <v>4795</v>
      </c>
      <c r="D4773" s="13">
        <v>62273.0</v>
      </c>
      <c r="E4773" s="4">
        <v>45634.0</v>
      </c>
      <c r="F4773" s="4" t="str">
        <f>IF(D4773="","", IFNA(VLOOKUP(D4773, SATCAT_DECAY!A:B, 2, FALSE), ""))
</f>
        <v/>
      </c>
      <c r="G4773" s="3" t="str">
        <f t="shared" si="1"/>
        <v>ACTIVE</v>
      </c>
    </row>
    <row r="4774" ht="22.5" customHeight="1">
      <c r="A4774" s="11" t="str">
        <f t="array" ref="A4774">IFERROR(
  INDEX('Starlink Launches'!$A:$A, MATCH($E4774, 'Starlink Launches'!$B:$B, 0)),
  ""
)
</f>
        <v>12-5</v>
      </c>
      <c r="B4774" s="3" t="s">
        <v>25</v>
      </c>
      <c r="C4774" s="12" t="s">
        <v>4796</v>
      </c>
      <c r="D4774" s="13">
        <v>62274.0</v>
      </c>
      <c r="E4774" s="4">
        <v>45634.0</v>
      </c>
      <c r="F4774" s="4" t="str">
        <f>IF(D4774="","", IFNA(VLOOKUP(D4774, SATCAT_DECAY!A:B, 2, FALSE), ""))
</f>
        <v/>
      </c>
      <c r="G4774" s="3" t="str">
        <f t="shared" si="1"/>
        <v>ACTIVE</v>
      </c>
    </row>
    <row r="4775" ht="22.5" customHeight="1">
      <c r="A4775" s="11" t="str">
        <f t="array" ref="A4775">IFERROR(
  INDEX('Starlink Launches'!$A:$A, MATCH($E4775, 'Starlink Launches'!$B:$B, 0)),
  ""
)
</f>
        <v>12-5</v>
      </c>
      <c r="B4775" s="3" t="s">
        <v>25</v>
      </c>
      <c r="C4775" s="12" t="s">
        <v>4797</v>
      </c>
      <c r="D4775" s="13">
        <v>62275.0</v>
      </c>
      <c r="E4775" s="4">
        <v>45634.0</v>
      </c>
      <c r="F4775" s="4" t="str">
        <f>IF(D4775="","", IFNA(VLOOKUP(D4775, SATCAT_DECAY!A:B, 2, FALSE), ""))
</f>
        <v/>
      </c>
      <c r="G4775" s="3" t="str">
        <f t="shared" si="1"/>
        <v>ACTIVE</v>
      </c>
    </row>
    <row r="4776" ht="22.5" customHeight="1">
      <c r="A4776" s="11" t="str">
        <f t="array" ref="A4776">IFERROR(
  INDEX('Starlink Launches'!$A:$A, MATCH($E4776, 'Starlink Launches'!$B:$B, 0)),
  ""
)
</f>
        <v>12-5</v>
      </c>
      <c r="B4776" s="3" t="s">
        <v>25</v>
      </c>
      <c r="C4776" s="12" t="s">
        <v>4798</v>
      </c>
      <c r="D4776" s="13">
        <v>62276.0</v>
      </c>
      <c r="E4776" s="4">
        <v>45634.0</v>
      </c>
      <c r="F4776" s="4" t="str">
        <f>IF(D4776="","", IFNA(VLOOKUP(D4776, SATCAT_DECAY!A:B, 2, FALSE), ""))
</f>
        <v/>
      </c>
      <c r="G4776" s="3" t="str">
        <f t="shared" si="1"/>
        <v>ACTIVE</v>
      </c>
    </row>
    <row r="4777" ht="22.5" customHeight="1">
      <c r="A4777" s="11" t="str">
        <f t="array" ref="A4777">IFERROR(
  INDEX('Starlink Launches'!$A:$A, MATCH($E4777, 'Starlink Launches'!$B:$B, 0)),
  ""
)
</f>
        <v>12-5</v>
      </c>
      <c r="B4777" s="3" t="s">
        <v>25</v>
      </c>
      <c r="C4777" s="12" t="s">
        <v>4799</v>
      </c>
      <c r="D4777" s="13">
        <v>62277.0</v>
      </c>
      <c r="E4777" s="4">
        <v>45634.0</v>
      </c>
      <c r="F4777" s="4" t="str">
        <f>IF(D4777="","", IFNA(VLOOKUP(D4777, SATCAT_DECAY!A:B, 2, FALSE), ""))
</f>
        <v/>
      </c>
      <c r="G4777" s="3" t="str">
        <f t="shared" si="1"/>
        <v>ACTIVE</v>
      </c>
    </row>
    <row r="4778" ht="22.5" customHeight="1">
      <c r="A4778" s="11" t="str">
        <f t="array" ref="A4778">IFERROR(
  INDEX('Starlink Launches'!$A:$A, MATCH($E4778, 'Starlink Launches'!$B:$B, 0)),
  ""
)
</f>
        <v>12-5</v>
      </c>
      <c r="B4778" s="3" t="s">
        <v>25</v>
      </c>
      <c r="C4778" s="12" t="s">
        <v>4800</v>
      </c>
      <c r="D4778" s="13">
        <v>62278.0</v>
      </c>
      <c r="E4778" s="4">
        <v>45634.0</v>
      </c>
      <c r="F4778" s="4" t="str">
        <f>IF(D4778="","", IFNA(VLOOKUP(D4778, SATCAT_DECAY!A:B, 2, FALSE), ""))
</f>
        <v/>
      </c>
      <c r="G4778" s="3" t="str">
        <f t="shared" si="1"/>
        <v>ACTIVE</v>
      </c>
    </row>
    <row r="4779" ht="22.5" customHeight="1">
      <c r="A4779" s="11" t="str">
        <f t="array" ref="A4779">IFERROR(
  INDEX('Starlink Launches'!$A:$A, MATCH($E4779, 'Starlink Launches'!$B:$B, 0)),
  ""
)
</f>
        <v>12-5</v>
      </c>
      <c r="B4779" s="3" t="s">
        <v>25</v>
      </c>
      <c r="C4779" s="12" t="s">
        <v>4801</v>
      </c>
      <c r="D4779" s="13">
        <v>62279.0</v>
      </c>
      <c r="E4779" s="4">
        <v>45634.0</v>
      </c>
      <c r="F4779" s="4" t="str">
        <f>IF(D4779="","", IFNA(VLOOKUP(D4779, SATCAT_DECAY!A:B, 2, FALSE), ""))
</f>
        <v/>
      </c>
      <c r="G4779" s="3" t="str">
        <f t="shared" si="1"/>
        <v>ACTIVE</v>
      </c>
    </row>
    <row r="4780" ht="22.5" customHeight="1">
      <c r="A4780" s="11" t="str">
        <f t="array" ref="A4780">IFERROR(
  INDEX('Starlink Launches'!$A:$A, MATCH($E4780, 'Starlink Launches'!$B:$B, 0)),
  ""
)
</f>
        <v>12-5</v>
      </c>
      <c r="B4780" s="3" t="s">
        <v>25</v>
      </c>
      <c r="C4780" s="12" t="s">
        <v>4802</v>
      </c>
      <c r="D4780" s="13">
        <v>62280.0</v>
      </c>
      <c r="E4780" s="4">
        <v>45634.0</v>
      </c>
      <c r="F4780" s="4" t="str">
        <f>IF(D4780="","", IFNA(VLOOKUP(D4780, SATCAT_DECAY!A:B, 2, FALSE), ""))
</f>
        <v/>
      </c>
      <c r="G4780" s="3" t="str">
        <f t="shared" si="1"/>
        <v>ACTIVE</v>
      </c>
    </row>
    <row r="4781" ht="22.5" customHeight="1">
      <c r="A4781" s="11" t="str">
        <f t="array" ref="A4781">IFERROR(
  INDEX('Starlink Launches'!$A:$A, MATCH($E4781, 'Starlink Launches'!$B:$B, 0)),
  ""
)
</f>
        <v>12-5</v>
      </c>
      <c r="B4781" s="3" t="s">
        <v>25</v>
      </c>
      <c r="C4781" s="12" t="s">
        <v>4803</v>
      </c>
      <c r="D4781" s="13">
        <v>62281.0</v>
      </c>
      <c r="E4781" s="4">
        <v>45634.0</v>
      </c>
      <c r="F4781" s="4" t="str">
        <f>IF(D4781="","", IFNA(VLOOKUP(D4781, SATCAT_DECAY!A:B, 2, FALSE), ""))
</f>
        <v/>
      </c>
      <c r="G4781" s="3" t="str">
        <f t="shared" si="1"/>
        <v>ACTIVE</v>
      </c>
    </row>
    <row r="4782" ht="22.5" customHeight="1">
      <c r="A4782" s="11" t="str">
        <f t="array" ref="A4782">IFERROR(
  INDEX('Starlink Launches'!$A:$A, MATCH($E4782, 'Starlink Launches'!$B:$B, 0)),
  ""
)
</f>
        <v>12-5</v>
      </c>
      <c r="B4782" s="3" t="s">
        <v>25</v>
      </c>
      <c r="C4782" s="12" t="s">
        <v>4804</v>
      </c>
      <c r="D4782" s="13">
        <v>62282.0</v>
      </c>
      <c r="E4782" s="4">
        <v>45634.0</v>
      </c>
      <c r="F4782" s="4" t="str">
        <f>IF(D4782="","", IFNA(VLOOKUP(D4782, SATCAT_DECAY!A:B, 2, FALSE), ""))
</f>
        <v/>
      </c>
      <c r="G4782" s="3" t="str">
        <f t="shared" si="1"/>
        <v>ACTIVE</v>
      </c>
    </row>
    <row r="4783" ht="22.5" customHeight="1">
      <c r="A4783" s="11" t="str">
        <f t="array" ref="A4783">IFERROR(
  INDEX('Starlink Launches'!$A:$A, MATCH($E4783, 'Starlink Launches'!$B:$B, 0)),
  ""
)
</f>
        <v>12-5</v>
      </c>
      <c r="B4783" s="3" t="s">
        <v>25</v>
      </c>
      <c r="C4783" s="12" t="s">
        <v>4805</v>
      </c>
      <c r="D4783" s="13">
        <v>62283.0</v>
      </c>
      <c r="E4783" s="4">
        <v>45634.0</v>
      </c>
      <c r="F4783" s="4" t="str">
        <f>IF(D4783="","", IFNA(VLOOKUP(D4783, SATCAT_DECAY!A:B, 2, FALSE), ""))
</f>
        <v/>
      </c>
      <c r="G4783" s="3" t="str">
        <f t="shared" si="1"/>
        <v>ACTIVE</v>
      </c>
    </row>
    <row r="4784" ht="22.5" customHeight="1">
      <c r="A4784" s="11" t="str">
        <f t="array" ref="A4784">IFERROR(
  INDEX('Starlink Launches'!$A:$A, MATCH($E4784, 'Starlink Launches'!$B:$B, 0)),
  ""
)
</f>
        <v>12-5</v>
      </c>
      <c r="B4784" s="3" t="s">
        <v>25</v>
      </c>
      <c r="C4784" s="12" t="s">
        <v>4806</v>
      </c>
      <c r="D4784" s="13">
        <v>62284.0</v>
      </c>
      <c r="E4784" s="4">
        <v>45634.0</v>
      </c>
      <c r="F4784" s="4" t="str">
        <f>IF(D4784="","", IFNA(VLOOKUP(D4784, SATCAT_DECAY!A:B, 2, FALSE), ""))
</f>
        <v/>
      </c>
      <c r="G4784" s="3" t="str">
        <f t="shared" si="1"/>
        <v>ACTIVE</v>
      </c>
    </row>
    <row r="4785" ht="22.5" customHeight="1">
      <c r="A4785" s="11" t="str">
        <f t="array" ref="A4785">IFERROR(
  INDEX('Starlink Launches'!$A:$A, MATCH($E4785, 'Starlink Launches'!$B:$B, 0)),
  ""
)
</f>
        <v>12-5</v>
      </c>
      <c r="B4785" s="3" t="s">
        <v>25</v>
      </c>
      <c r="C4785" s="12" t="s">
        <v>4807</v>
      </c>
      <c r="D4785" s="13">
        <v>62285.0</v>
      </c>
      <c r="E4785" s="4">
        <v>45634.0</v>
      </c>
      <c r="F4785" s="4" t="str">
        <f>IF(D4785="","", IFNA(VLOOKUP(D4785, SATCAT_DECAY!A:B, 2, FALSE), ""))
</f>
        <v/>
      </c>
      <c r="G4785" s="3" t="str">
        <f t="shared" si="1"/>
        <v>ACTIVE</v>
      </c>
    </row>
    <row r="4786" ht="22.5" customHeight="1">
      <c r="A4786" s="11" t="str">
        <f t="array" ref="A4786">IFERROR(
  INDEX('Starlink Launches'!$A:$A, MATCH($E4786, 'Starlink Launches'!$B:$B, 0)),
  ""
)
</f>
        <v>12-5</v>
      </c>
      <c r="B4786" s="3" t="s">
        <v>25</v>
      </c>
      <c r="C4786" s="12" t="s">
        <v>4808</v>
      </c>
      <c r="D4786" s="13">
        <v>62286.0</v>
      </c>
      <c r="E4786" s="4">
        <v>45634.0</v>
      </c>
      <c r="F4786" s="4" t="str">
        <f>IF(D4786="","", IFNA(VLOOKUP(D4786, SATCAT_DECAY!A:B, 2, FALSE), ""))
</f>
        <v/>
      </c>
      <c r="G4786" s="3" t="str">
        <f t="shared" si="1"/>
        <v>ACTIVE</v>
      </c>
    </row>
    <row r="4787" ht="22.5" customHeight="1">
      <c r="A4787" s="11" t="str">
        <f t="array" ref="A4787">IFERROR(
  INDEX('Starlink Launches'!$A:$A, MATCH($E4787, 'Starlink Launches'!$B:$B, 0)),
  ""
)
</f>
        <v>12-5</v>
      </c>
      <c r="B4787" s="3" t="s">
        <v>25</v>
      </c>
      <c r="C4787" s="12" t="s">
        <v>4809</v>
      </c>
      <c r="D4787" s="13">
        <v>62287.0</v>
      </c>
      <c r="E4787" s="4">
        <v>45634.0</v>
      </c>
      <c r="F4787" s="4" t="str">
        <f>IF(D4787="","", IFNA(VLOOKUP(D4787, SATCAT_DECAY!A:B, 2, FALSE), ""))
</f>
        <v/>
      </c>
      <c r="G4787" s="3" t="str">
        <f t="shared" si="1"/>
        <v>ACTIVE</v>
      </c>
    </row>
    <row r="4788" ht="22.5" customHeight="1">
      <c r="A4788" s="11" t="str">
        <f t="array" ref="A4788">IFERROR(
  INDEX('Starlink Launches'!$A:$A, MATCH($E4788, 'Starlink Launches'!$B:$B, 0)),
  ""
)
</f>
        <v>12-5</v>
      </c>
      <c r="B4788" s="3" t="s">
        <v>25</v>
      </c>
      <c r="C4788" s="12" t="s">
        <v>4810</v>
      </c>
      <c r="D4788" s="13">
        <v>62288.0</v>
      </c>
      <c r="E4788" s="4">
        <v>45634.0</v>
      </c>
      <c r="F4788" s="4" t="str">
        <f>IF(D4788="","", IFNA(VLOOKUP(D4788, SATCAT_DECAY!A:B, 2, FALSE), ""))
</f>
        <v/>
      </c>
      <c r="G4788" s="3" t="str">
        <f t="shared" si="1"/>
        <v>ACTIVE</v>
      </c>
    </row>
    <row r="4789" ht="22.5" customHeight="1">
      <c r="A4789" s="11" t="str">
        <f t="array" ref="A4789">IFERROR(
  INDEX('Starlink Launches'!$A:$A, MATCH($E4789, 'Starlink Launches'!$B:$B, 0)),
  ""
)
</f>
        <v>12-5</v>
      </c>
      <c r="B4789" s="3" t="s">
        <v>25</v>
      </c>
      <c r="C4789" s="12" t="s">
        <v>4811</v>
      </c>
      <c r="D4789" s="13">
        <v>62289.0</v>
      </c>
      <c r="E4789" s="4">
        <v>45634.0</v>
      </c>
      <c r="F4789" s="4" t="str">
        <f>IF(D4789="","", IFNA(VLOOKUP(D4789, SATCAT_DECAY!A:B, 2, FALSE), ""))
</f>
        <v/>
      </c>
      <c r="G4789" s="3" t="str">
        <f t="shared" si="1"/>
        <v>ACTIVE</v>
      </c>
    </row>
    <row r="4790" ht="22.5" customHeight="1">
      <c r="A4790" s="11" t="str">
        <f t="array" ref="A4790">IFERROR(
  INDEX('Starlink Launches'!$A:$A, MATCH($E4790, 'Starlink Launches'!$B:$B, 0)),
  ""
)
</f>
        <v>12-2</v>
      </c>
      <c r="B4790" s="3" t="s">
        <v>25</v>
      </c>
      <c r="C4790" s="12" t="s">
        <v>4812</v>
      </c>
      <c r="D4790" s="13">
        <v>62409.0</v>
      </c>
      <c r="E4790" s="4">
        <v>45649.0</v>
      </c>
      <c r="F4790" s="4" t="str">
        <f>IF(D4790="","", IFNA(VLOOKUP(D4790, SATCAT_DECAY!A:B, 2, FALSE), ""))
</f>
        <v/>
      </c>
      <c r="G4790" s="3" t="str">
        <f t="shared" si="1"/>
        <v>ACTIVE</v>
      </c>
    </row>
    <row r="4791" ht="22.5" customHeight="1">
      <c r="A4791" s="11" t="str">
        <f t="array" ref="A4791">IFERROR(
  INDEX('Starlink Launches'!$A:$A, MATCH($E4791, 'Starlink Launches'!$B:$B, 0)),
  ""
)
</f>
        <v>12-2</v>
      </c>
      <c r="B4791" s="3" t="s">
        <v>25</v>
      </c>
      <c r="C4791" s="12" t="s">
        <v>4813</v>
      </c>
      <c r="D4791" s="13">
        <v>62410.0</v>
      </c>
      <c r="E4791" s="4">
        <v>45649.0</v>
      </c>
      <c r="F4791" s="4" t="str">
        <f>IF(D4791="","", IFNA(VLOOKUP(D4791, SATCAT_DECAY!A:B, 2, FALSE), ""))
</f>
        <v/>
      </c>
      <c r="G4791" s="3" t="str">
        <f t="shared" si="1"/>
        <v>ACTIVE</v>
      </c>
    </row>
    <row r="4792" ht="22.5" customHeight="1">
      <c r="A4792" s="11" t="str">
        <f t="array" ref="A4792">IFERROR(
  INDEX('Starlink Launches'!$A:$A, MATCH($E4792, 'Starlink Launches'!$B:$B, 0)),
  ""
)
</f>
        <v>12-2</v>
      </c>
      <c r="B4792" s="3" t="s">
        <v>25</v>
      </c>
      <c r="C4792" s="12" t="s">
        <v>4814</v>
      </c>
      <c r="D4792" s="13">
        <v>62411.0</v>
      </c>
      <c r="E4792" s="4">
        <v>45649.0</v>
      </c>
      <c r="F4792" s="4" t="str">
        <f>IF(D4792="","", IFNA(VLOOKUP(D4792, SATCAT_DECAY!A:B, 2, FALSE), ""))
</f>
        <v/>
      </c>
      <c r="G4792" s="3" t="str">
        <f t="shared" si="1"/>
        <v>ACTIVE</v>
      </c>
    </row>
    <row r="4793" ht="22.5" customHeight="1">
      <c r="A4793" s="11" t="str">
        <f t="array" ref="A4793">IFERROR(
  INDEX('Starlink Launches'!$A:$A, MATCH($E4793, 'Starlink Launches'!$B:$B, 0)),
  ""
)
</f>
        <v>12-2</v>
      </c>
      <c r="B4793" s="3" t="s">
        <v>25</v>
      </c>
      <c r="C4793" s="12" t="s">
        <v>4815</v>
      </c>
      <c r="D4793" s="13">
        <v>62412.0</v>
      </c>
      <c r="E4793" s="4">
        <v>45649.0</v>
      </c>
      <c r="F4793" s="4" t="str">
        <f>IF(D4793="","", IFNA(VLOOKUP(D4793, SATCAT_DECAY!A:B, 2, FALSE), ""))
</f>
        <v/>
      </c>
      <c r="G4793" s="3" t="str">
        <f t="shared" si="1"/>
        <v>ACTIVE</v>
      </c>
    </row>
    <row r="4794" ht="22.5" customHeight="1">
      <c r="A4794" s="11" t="str">
        <f t="array" ref="A4794">IFERROR(
  INDEX('Starlink Launches'!$A:$A, MATCH($E4794, 'Starlink Launches'!$B:$B, 0)),
  ""
)
</f>
        <v>12-2</v>
      </c>
      <c r="B4794" s="3" t="s">
        <v>25</v>
      </c>
      <c r="C4794" s="12" t="s">
        <v>4816</v>
      </c>
      <c r="D4794" s="13">
        <v>62413.0</v>
      </c>
      <c r="E4794" s="4">
        <v>45649.0</v>
      </c>
      <c r="F4794" s="4" t="str">
        <f>IF(D4794="","", IFNA(VLOOKUP(D4794, SATCAT_DECAY!A:B, 2, FALSE), ""))
</f>
        <v/>
      </c>
      <c r="G4794" s="3" t="str">
        <f t="shared" si="1"/>
        <v>ACTIVE</v>
      </c>
    </row>
    <row r="4795" ht="22.5" customHeight="1">
      <c r="A4795" s="11" t="str">
        <f t="array" ref="A4795">IFERROR(
  INDEX('Starlink Launches'!$A:$A, MATCH($E4795, 'Starlink Launches'!$B:$B, 0)),
  ""
)
</f>
        <v>12-2</v>
      </c>
      <c r="B4795" s="3" t="s">
        <v>25</v>
      </c>
      <c r="C4795" s="12" t="s">
        <v>4817</v>
      </c>
      <c r="D4795" s="13">
        <v>62414.0</v>
      </c>
      <c r="E4795" s="4">
        <v>45649.0</v>
      </c>
      <c r="F4795" s="4" t="str">
        <f>IF(D4795="","", IFNA(VLOOKUP(D4795, SATCAT_DECAY!A:B, 2, FALSE), ""))
</f>
        <v/>
      </c>
      <c r="G4795" s="3" t="str">
        <f t="shared" si="1"/>
        <v>ACTIVE</v>
      </c>
    </row>
    <row r="4796" ht="22.5" customHeight="1">
      <c r="A4796" s="11" t="str">
        <f t="array" ref="A4796">IFERROR(
  INDEX('Starlink Launches'!$A:$A, MATCH($E4796, 'Starlink Launches'!$B:$B, 0)),
  ""
)
</f>
        <v>12-2</v>
      </c>
      <c r="B4796" s="3" t="s">
        <v>25</v>
      </c>
      <c r="C4796" s="12" t="s">
        <v>4818</v>
      </c>
      <c r="D4796" s="13">
        <v>62415.0</v>
      </c>
      <c r="E4796" s="4">
        <v>45649.0</v>
      </c>
      <c r="F4796" s="4" t="str">
        <f>IF(D4796="","", IFNA(VLOOKUP(D4796, SATCAT_DECAY!A:B, 2, FALSE), ""))
</f>
        <v/>
      </c>
      <c r="G4796" s="3" t="str">
        <f t="shared" si="1"/>
        <v>ACTIVE</v>
      </c>
    </row>
    <row r="4797" ht="22.5" customHeight="1">
      <c r="A4797" s="11" t="str">
        <f t="array" ref="A4797">IFERROR(
  INDEX('Starlink Launches'!$A:$A, MATCH($E4797, 'Starlink Launches'!$B:$B, 0)),
  ""
)
</f>
        <v>12-2</v>
      </c>
      <c r="B4797" s="3" t="s">
        <v>25</v>
      </c>
      <c r="C4797" s="12" t="s">
        <v>4819</v>
      </c>
      <c r="D4797" s="13">
        <v>62416.0</v>
      </c>
      <c r="E4797" s="4">
        <v>45649.0</v>
      </c>
      <c r="F4797" s="4" t="str">
        <f>IF(D4797="","", IFNA(VLOOKUP(D4797, SATCAT_DECAY!A:B, 2, FALSE), ""))
</f>
        <v/>
      </c>
      <c r="G4797" s="3" t="str">
        <f t="shared" si="1"/>
        <v>ACTIVE</v>
      </c>
    </row>
    <row r="4798" ht="22.5" customHeight="1">
      <c r="A4798" s="11" t="str">
        <f t="array" ref="A4798">IFERROR(
  INDEX('Starlink Launches'!$A:$A, MATCH($E4798, 'Starlink Launches'!$B:$B, 0)),
  ""
)
</f>
        <v>12-2</v>
      </c>
      <c r="B4798" s="3" t="s">
        <v>25</v>
      </c>
      <c r="C4798" s="12" t="s">
        <v>4820</v>
      </c>
      <c r="D4798" s="13">
        <v>62417.0</v>
      </c>
      <c r="E4798" s="4">
        <v>45649.0</v>
      </c>
      <c r="F4798" s="4" t="str">
        <f>IF(D4798="","", IFNA(VLOOKUP(D4798, SATCAT_DECAY!A:B, 2, FALSE), ""))
</f>
        <v/>
      </c>
      <c r="G4798" s="3" t="str">
        <f t="shared" si="1"/>
        <v>ACTIVE</v>
      </c>
    </row>
    <row r="4799" ht="22.5" customHeight="1">
      <c r="A4799" s="11" t="str">
        <f t="array" ref="A4799">IFERROR(
  INDEX('Starlink Launches'!$A:$A, MATCH($E4799, 'Starlink Launches'!$B:$B, 0)),
  ""
)
</f>
        <v>12-2</v>
      </c>
      <c r="B4799" s="3" t="s">
        <v>25</v>
      </c>
      <c r="C4799" s="12" t="s">
        <v>4821</v>
      </c>
      <c r="D4799" s="13">
        <v>62418.0</v>
      </c>
      <c r="E4799" s="4">
        <v>45649.0</v>
      </c>
      <c r="F4799" s="4" t="str">
        <f>IF(D4799="","", IFNA(VLOOKUP(D4799, SATCAT_DECAY!A:B, 2, FALSE), ""))
</f>
        <v/>
      </c>
      <c r="G4799" s="3" t="str">
        <f t="shared" si="1"/>
        <v>ACTIVE</v>
      </c>
    </row>
    <row r="4800" ht="22.5" customHeight="1">
      <c r="A4800" s="11" t="str">
        <f t="array" ref="A4800">IFERROR(
  INDEX('Starlink Launches'!$A:$A, MATCH($E4800, 'Starlink Launches'!$B:$B, 0)),
  ""
)
</f>
        <v>12-2</v>
      </c>
      <c r="B4800" s="3" t="s">
        <v>25</v>
      </c>
      <c r="C4800" s="12" t="s">
        <v>4822</v>
      </c>
      <c r="D4800" s="13">
        <v>62419.0</v>
      </c>
      <c r="E4800" s="4">
        <v>45649.0</v>
      </c>
      <c r="F4800" s="4" t="str">
        <f>IF(D4800="","", IFNA(VLOOKUP(D4800, SATCAT_DECAY!A:B, 2, FALSE), ""))
</f>
        <v/>
      </c>
      <c r="G4800" s="3" t="str">
        <f t="shared" si="1"/>
        <v>ACTIVE</v>
      </c>
    </row>
    <row r="4801" ht="22.5" customHeight="1">
      <c r="A4801" s="11" t="str">
        <f t="array" ref="A4801">IFERROR(
  INDEX('Starlink Launches'!$A:$A, MATCH($E4801, 'Starlink Launches'!$B:$B, 0)),
  ""
)
</f>
        <v>12-2</v>
      </c>
      <c r="B4801" s="3" t="s">
        <v>25</v>
      </c>
      <c r="C4801" s="12" t="s">
        <v>4823</v>
      </c>
      <c r="D4801" s="13">
        <v>62420.0</v>
      </c>
      <c r="E4801" s="4">
        <v>45649.0</v>
      </c>
      <c r="F4801" s="4" t="str">
        <f>IF(D4801="","", IFNA(VLOOKUP(D4801, SATCAT_DECAY!A:B, 2, FALSE), ""))
</f>
        <v/>
      </c>
      <c r="G4801" s="3" t="str">
        <f t="shared" si="1"/>
        <v>ACTIVE</v>
      </c>
    </row>
    <row r="4802" ht="22.5" customHeight="1">
      <c r="A4802" s="11" t="str">
        <f t="array" ref="A4802">IFERROR(
  INDEX('Starlink Launches'!$A:$A, MATCH($E4802, 'Starlink Launches'!$B:$B, 0)),
  ""
)
</f>
        <v>12-2</v>
      </c>
      <c r="B4802" s="3" t="s">
        <v>25</v>
      </c>
      <c r="C4802" s="12" t="s">
        <v>4824</v>
      </c>
      <c r="D4802" s="13">
        <v>62421.0</v>
      </c>
      <c r="E4802" s="4">
        <v>45649.0</v>
      </c>
      <c r="F4802" s="4" t="str">
        <f>IF(D4802="","", IFNA(VLOOKUP(D4802, SATCAT_DECAY!A:B, 2, FALSE), ""))
</f>
        <v/>
      </c>
      <c r="G4802" s="3" t="str">
        <f t="shared" si="1"/>
        <v>ACTIVE</v>
      </c>
    </row>
    <row r="4803" ht="22.5" customHeight="1">
      <c r="A4803" s="11" t="str">
        <f t="array" ref="A4803">IFERROR(
  INDEX('Starlink Launches'!$A:$A, MATCH($E4803, 'Starlink Launches'!$B:$B, 0)),
  ""
)
</f>
        <v>12-2</v>
      </c>
      <c r="B4803" s="3" t="s">
        <v>25</v>
      </c>
      <c r="C4803" s="12" t="s">
        <v>4825</v>
      </c>
      <c r="D4803" s="13">
        <v>62422.0</v>
      </c>
      <c r="E4803" s="4">
        <v>45649.0</v>
      </c>
      <c r="F4803" s="4" t="str">
        <f>IF(D4803="","", IFNA(VLOOKUP(D4803, SATCAT_DECAY!A:B, 2, FALSE), ""))
</f>
        <v/>
      </c>
      <c r="G4803" s="3" t="str">
        <f t="shared" si="1"/>
        <v>ACTIVE</v>
      </c>
    </row>
    <row r="4804" ht="22.5" customHeight="1">
      <c r="A4804" s="11" t="str">
        <f t="array" ref="A4804">IFERROR(
  INDEX('Starlink Launches'!$A:$A, MATCH($E4804, 'Starlink Launches'!$B:$B, 0)),
  ""
)
</f>
        <v>12-2</v>
      </c>
      <c r="B4804" s="3" t="s">
        <v>25</v>
      </c>
      <c r="C4804" s="12" t="s">
        <v>4826</v>
      </c>
      <c r="D4804" s="13">
        <v>62423.0</v>
      </c>
      <c r="E4804" s="4">
        <v>45649.0</v>
      </c>
      <c r="F4804" s="4" t="str">
        <f>IF(D4804="","", IFNA(VLOOKUP(D4804, SATCAT_DECAY!A:B, 2, FALSE), ""))
</f>
        <v/>
      </c>
      <c r="G4804" s="3" t="str">
        <f t="shared" si="1"/>
        <v>ACTIVE</v>
      </c>
    </row>
    <row r="4805" ht="22.5" customHeight="1">
      <c r="A4805" s="11" t="str">
        <f t="array" ref="A4805">IFERROR(
  INDEX('Starlink Launches'!$A:$A, MATCH($E4805, 'Starlink Launches'!$B:$B, 0)),
  ""
)
</f>
        <v>12-2</v>
      </c>
      <c r="B4805" s="3" t="s">
        <v>25</v>
      </c>
      <c r="C4805" s="12" t="s">
        <v>4827</v>
      </c>
      <c r="D4805" s="13">
        <v>62424.0</v>
      </c>
      <c r="E4805" s="4">
        <v>45649.0</v>
      </c>
      <c r="F4805" s="4" t="str">
        <f>IF(D4805="","", IFNA(VLOOKUP(D4805, SATCAT_DECAY!A:B, 2, FALSE), ""))
</f>
        <v/>
      </c>
      <c r="G4805" s="3" t="str">
        <f t="shared" si="1"/>
        <v>ACTIVE</v>
      </c>
    </row>
    <row r="4806" ht="22.5" customHeight="1">
      <c r="A4806" s="11" t="str">
        <f t="array" ref="A4806">IFERROR(
  INDEX('Starlink Launches'!$A:$A, MATCH($E4806, 'Starlink Launches'!$B:$B, 0)),
  ""
)
</f>
        <v>12-2</v>
      </c>
      <c r="B4806" s="3" t="s">
        <v>25</v>
      </c>
      <c r="C4806" s="12" t="s">
        <v>4828</v>
      </c>
      <c r="D4806" s="13">
        <v>62425.0</v>
      </c>
      <c r="E4806" s="4">
        <v>45649.0</v>
      </c>
      <c r="F4806" s="4" t="str">
        <f>IF(D4806="","", IFNA(VLOOKUP(D4806, SATCAT_DECAY!A:B, 2, FALSE), ""))
</f>
        <v/>
      </c>
      <c r="G4806" s="3" t="str">
        <f t="shared" si="1"/>
        <v>ACTIVE</v>
      </c>
    </row>
    <row r="4807" ht="22.5" customHeight="1">
      <c r="A4807" s="11" t="str">
        <f t="array" ref="A4807">IFERROR(
  INDEX('Starlink Launches'!$A:$A, MATCH($E4807, 'Starlink Launches'!$B:$B, 0)),
  ""
)
</f>
        <v>12-2</v>
      </c>
      <c r="B4807" s="3" t="s">
        <v>25</v>
      </c>
      <c r="C4807" s="12" t="s">
        <v>4829</v>
      </c>
      <c r="D4807" s="13">
        <v>62426.0</v>
      </c>
      <c r="E4807" s="4">
        <v>45649.0</v>
      </c>
      <c r="F4807" s="4" t="str">
        <f>IF(D4807="","", IFNA(VLOOKUP(D4807, SATCAT_DECAY!A:B, 2, FALSE), ""))
</f>
        <v/>
      </c>
      <c r="G4807" s="3" t="str">
        <f t="shared" si="1"/>
        <v>ACTIVE</v>
      </c>
    </row>
    <row r="4808" ht="22.5" customHeight="1">
      <c r="A4808" s="11" t="str">
        <f t="array" ref="A4808">IFERROR(
  INDEX('Starlink Launches'!$A:$A, MATCH($E4808, 'Starlink Launches'!$B:$B, 0)),
  ""
)
</f>
        <v>12-2</v>
      </c>
      <c r="B4808" s="3" t="s">
        <v>25</v>
      </c>
      <c r="C4808" s="12" t="s">
        <v>4830</v>
      </c>
      <c r="D4808" s="13">
        <v>62427.0</v>
      </c>
      <c r="E4808" s="4">
        <v>45649.0</v>
      </c>
      <c r="F4808" s="4" t="str">
        <f>IF(D4808="","", IFNA(VLOOKUP(D4808, SATCAT_DECAY!A:B, 2, FALSE), ""))
</f>
        <v/>
      </c>
      <c r="G4808" s="3" t="str">
        <f t="shared" si="1"/>
        <v>ACTIVE</v>
      </c>
    </row>
    <row r="4809" ht="22.5" customHeight="1">
      <c r="A4809" s="11" t="str">
        <f t="array" ref="A4809">IFERROR(
  INDEX('Starlink Launches'!$A:$A, MATCH($E4809, 'Starlink Launches'!$B:$B, 0)),
  ""
)
</f>
        <v>12-2</v>
      </c>
      <c r="B4809" s="3" t="s">
        <v>25</v>
      </c>
      <c r="C4809" s="12" t="s">
        <v>4831</v>
      </c>
      <c r="D4809" s="13">
        <v>62428.0</v>
      </c>
      <c r="E4809" s="4">
        <v>45649.0</v>
      </c>
      <c r="F4809" s="4" t="str">
        <f>IF(D4809="","", IFNA(VLOOKUP(D4809, SATCAT_DECAY!A:B, 2, FALSE), ""))
</f>
        <v/>
      </c>
      <c r="G4809" s="3" t="str">
        <f t="shared" si="1"/>
        <v>ACTIVE</v>
      </c>
    </row>
    <row r="4810" ht="22.5" customHeight="1">
      <c r="A4810" s="11" t="str">
        <f t="array" ref="A4810">IFERROR(
  INDEX('Starlink Launches'!$A:$A, MATCH($E4810, 'Starlink Launches'!$B:$B, 0)),
  ""
)
</f>
        <v>12-2</v>
      </c>
      <c r="B4810" s="3" t="s">
        <v>25</v>
      </c>
      <c r="C4810" s="12" t="s">
        <v>4832</v>
      </c>
      <c r="D4810" s="13">
        <v>62429.0</v>
      </c>
      <c r="E4810" s="4">
        <v>45649.0</v>
      </c>
      <c r="F4810" s="4" t="str">
        <f>IF(D4810="","", IFNA(VLOOKUP(D4810, SATCAT_DECAY!A:B, 2, FALSE), ""))
</f>
        <v/>
      </c>
      <c r="G4810" s="3" t="str">
        <f t="shared" si="1"/>
        <v>ACTIVE</v>
      </c>
    </row>
    <row r="4811" ht="22.5" customHeight="1">
      <c r="A4811" s="11" t="str">
        <f t="array" ref="A4811">IFERROR(
  INDEX('Starlink Launches'!$A:$A, MATCH($E4811, 'Starlink Launches'!$B:$B, 0)),
  ""
)
</f>
        <v>12-6</v>
      </c>
      <c r="B4811" s="3" t="s">
        <v>25</v>
      </c>
      <c r="C4811" s="12" t="s">
        <v>4833</v>
      </c>
      <c r="D4811" s="13">
        <v>62462.0</v>
      </c>
      <c r="E4811" s="4">
        <v>45657.0</v>
      </c>
      <c r="F4811" s="4" t="str">
        <f>IF(D4811="","", IFNA(VLOOKUP(D4811, SATCAT_DECAY!A:B, 2, FALSE), ""))
</f>
        <v/>
      </c>
      <c r="G4811" s="3" t="str">
        <f t="shared" si="1"/>
        <v>ACTIVE</v>
      </c>
    </row>
    <row r="4812" ht="22.5" customHeight="1">
      <c r="A4812" s="11" t="str">
        <f t="array" ref="A4812">IFERROR(
  INDEX('Starlink Launches'!$A:$A, MATCH($E4812, 'Starlink Launches'!$B:$B, 0)),
  ""
)
</f>
        <v>12-6</v>
      </c>
      <c r="B4812" s="3" t="s">
        <v>25</v>
      </c>
      <c r="C4812" s="12" t="s">
        <v>4834</v>
      </c>
      <c r="D4812" s="13">
        <v>62463.0</v>
      </c>
      <c r="E4812" s="4">
        <v>45657.0</v>
      </c>
      <c r="F4812" s="4" t="str">
        <f>IF(D4812="","", IFNA(VLOOKUP(D4812, SATCAT_DECAY!A:B, 2, FALSE), ""))
</f>
        <v/>
      </c>
      <c r="G4812" s="3" t="str">
        <f t="shared" si="1"/>
        <v>ACTIVE</v>
      </c>
    </row>
    <row r="4813" ht="22.5" customHeight="1">
      <c r="A4813" s="11" t="str">
        <f t="array" ref="A4813">IFERROR(
  INDEX('Starlink Launches'!$A:$A, MATCH($E4813, 'Starlink Launches'!$B:$B, 0)),
  ""
)
</f>
        <v>12-6</v>
      </c>
      <c r="B4813" s="3" t="s">
        <v>25</v>
      </c>
      <c r="C4813" s="12" t="s">
        <v>4835</v>
      </c>
      <c r="D4813" s="13">
        <v>62465.0</v>
      </c>
      <c r="E4813" s="4">
        <v>45657.0</v>
      </c>
      <c r="F4813" s="4" t="str">
        <f>IF(D4813="","", IFNA(VLOOKUP(D4813, SATCAT_DECAY!A:B, 2, FALSE), ""))
</f>
        <v/>
      </c>
      <c r="G4813" s="3" t="str">
        <f t="shared" si="1"/>
        <v>ACTIVE</v>
      </c>
    </row>
    <row r="4814" ht="22.5" customHeight="1">
      <c r="A4814" s="11" t="str">
        <f t="array" ref="A4814">IFERROR(
  INDEX('Starlink Launches'!$A:$A, MATCH($E4814, 'Starlink Launches'!$B:$B, 0)),
  ""
)
</f>
        <v>12-6</v>
      </c>
      <c r="B4814" s="3" t="s">
        <v>25</v>
      </c>
      <c r="C4814" s="12" t="s">
        <v>4836</v>
      </c>
      <c r="D4814" s="13">
        <v>62466.0</v>
      </c>
      <c r="E4814" s="4">
        <v>45657.0</v>
      </c>
      <c r="F4814" s="4" t="str">
        <f>IF(D4814="","", IFNA(VLOOKUP(D4814, SATCAT_DECAY!A:B, 2, FALSE), ""))
</f>
        <v/>
      </c>
      <c r="G4814" s="3" t="str">
        <f t="shared" si="1"/>
        <v>ACTIVE</v>
      </c>
    </row>
    <row r="4815" ht="22.5" customHeight="1">
      <c r="A4815" s="11" t="str">
        <f t="array" ref="A4815">IFERROR(
  INDEX('Starlink Launches'!$A:$A, MATCH($E4815, 'Starlink Launches'!$B:$B, 0)),
  ""
)
</f>
        <v>12-6</v>
      </c>
      <c r="B4815" s="3" t="s">
        <v>25</v>
      </c>
      <c r="C4815" s="12" t="s">
        <v>4837</v>
      </c>
      <c r="D4815" s="13">
        <v>62467.0</v>
      </c>
      <c r="E4815" s="4">
        <v>45657.0</v>
      </c>
      <c r="F4815" s="4" t="str">
        <f>IF(D4815="","", IFNA(VLOOKUP(D4815, SATCAT_DECAY!A:B, 2, FALSE), ""))
</f>
        <v/>
      </c>
      <c r="G4815" s="3" t="str">
        <f t="shared" si="1"/>
        <v>ACTIVE</v>
      </c>
    </row>
    <row r="4816" ht="22.5" customHeight="1">
      <c r="A4816" s="11" t="str">
        <f t="array" ref="A4816">IFERROR(
  INDEX('Starlink Launches'!$A:$A, MATCH($E4816, 'Starlink Launches'!$B:$B, 0)),
  ""
)
</f>
        <v>12-6</v>
      </c>
      <c r="B4816" s="3" t="s">
        <v>25</v>
      </c>
      <c r="C4816" s="12" t="s">
        <v>4838</v>
      </c>
      <c r="D4816" s="13">
        <v>62468.0</v>
      </c>
      <c r="E4816" s="4">
        <v>45657.0</v>
      </c>
      <c r="F4816" s="4" t="str">
        <f>IF(D4816="","", IFNA(VLOOKUP(D4816, SATCAT_DECAY!A:B, 2, FALSE), ""))
</f>
        <v/>
      </c>
      <c r="G4816" s="3" t="str">
        <f t="shared" si="1"/>
        <v>ACTIVE</v>
      </c>
    </row>
    <row r="4817" ht="22.5" customHeight="1">
      <c r="A4817" s="11" t="str">
        <f t="array" ref="A4817">IFERROR(
  INDEX('Starlink Launches'!$A:$A, MATCH($E4817, 'Starlink Launches'!$B:$B, 0)),
  ""
)
</f>
        <v>12-6</v>
      </c>
      <c r="B4817" s="3" t="s">
        <v>25</v>
      </c>
      <c r="C4817" s="12" t="s">
        <v>4839</v>
      </c>
      <c r="D4817" s="13">
        <v>62469.0</v>
      </c>
      <c r="E4817" s="4">
        <v>45657.0</v>
      </c>
      <c r="F4817" s="4" t="str">
        <f>IF(D4817="","", IFNA(VLOOKUP(D4817, SATCAT_DECAY!A:B, 2, FALSE), ""))
</f>
        <v/>
      </c>
      <c r="G4817" s="3" t="str">
        <f t="shared" si="1"/>
        <v>ACTIVE</v>
      </c>
    </row>
    <row r="4818" ht="22.5" customHeight="1">
      <c r="A4818" s="11" t="str">
        <f t="array" ref="A4818">IFERROR(
  INDEX('Starlink Launches'!$A:$A, MATCH($E4818, 'Starlink Launches'!$B:$B, 0)),
  ""
)
</f>
        <v>12-6</v>
      </c>
      <c r="B4818" s="3" t="s">
        <v>25</v>
      </c>
      <c r="C4818" s="12" t="s">
        <v>4840</v>
      </c>
      <c r="D4818" s="13">
        <v>62470.0</v>
      </c>
      <c r="E4818" s="4">
        <v>45657.0</v>
      </c>
      <c r="F4818" s="4" t="str">
        <f>IF(D4818="","", IFNA(VLOOKUP(D4818, SATCAT_DECAY!A:B, 2, FALSE), ""))
</f>
        <v/>
      </c>
      <c r="G4818" s="3" t="str">
        <f t="shared" si="1"/>
        <v>ACTIVE</v>
      </c>
    </row>
    <row r="4819" ht="22.5" customHeight="1">
      <c r="A4819" s="11" t="str">
        <f t="array" ref="A4819">IFERROR(
  INDEX('Starlink Launches'!$A:$A, MATCH($E4819, 'Starlink Launches'!$B:$B, 0)),
  ""
)
</f>
        <v>12-6</v>
      </c>
      <c r="B4819" s="3" t="s">
        <v>25</v>
      </c>
      <c r="C4819" s="12" t="s">
        <v>4841</v>
      </c>
      <c r="D4819" s="13">
        <v>62471.0</v>
      </c>
      <c r="E4819" s="4">
        <v>45657.0</v>
      </c>
      <c r="F4819" s="4" t="str">
        <f>IF(D4819="","", IFNA(VLOOKUP(D4819, SATCAT_DECAY!A:B, 2, FALSE), ""))
</f>
        <v/>
      </c>
      <c r="G4819" s="3" t="str">
        <f t="shared" si="1"/>
        <v>ACTIVE</v>
      </c>
    </row>
    <row r="4820" ht="22.5" customHeight="1">
      <c r="A4820" s="11" t="str">
        <f t="array" ref="A4820">IFERROR(
  INDEX('Starlink Launches'!$A:$A, MATCH($E4820, 'Starlink Launches'!$B:$B, 0)),
  ""
)
</f>
        <v>12-6</v>
      </c>
      <c r="B4820" s="3" t="s">
        <v>25</v>
      </c>
      <c r="C4820" s="12" t="s">
        <v>4842</v>
      </c>
      <c r="D4820" s="13">
        <v>62472.0</v>
      </c>
      <c r="E4820" s="4">
        <v>45657.0</v>
      </c>
      <c r="F4820" s="4" t="str">
        <f>IF(D4820="","", IFNA(VLOOKUP(D4820, SATCAT_DECAY!A:B, 2, FALSE), ""))
</f>
        <v/>
      </c>
      <c r="G4820" s="3" t="str">
        <f t="shared" si="1"/>
        <v>ACTIVE</v>
      </c>
    </row>
    <row r="4821" ht="22.5" customHeight="1">
      <c r="A4821" s="11" t="str">
        <f t="array" ref="A4821">IFERROR(
  INDEX('Starlink Launches'!$A:$A, MATCH($E4821, 'Starlink Launches'!$B:$B, 0)),
  ""
)
</f>
        <v>12-6</v>
      </c>
      <c r="B4821" s="3" t="s">
        <v>25</v>
      </c>
      <c r="C4821" s="12" t="s">
        <v>4843</v>
      </c>
      <c r="D4821" s="13">
        <v>62473.0</v>
      </c>
      <c r="E4821" s="4">
        <v>45657.0</v>
      </c>
      <c r="F4821" s="4" t="str">
        <f>IF(D4821="","", IFNA(VLOOKUP(D4821, SATCAT_DECAY!A:B, 2, FALSE), ""))
</f>
        <v/>
      </c>
      <c r="G4821" s="3" t="str">
        <f t="shared" si="1"/>
        <v>ACTIVE</v>
      </c>
    </row>
    <row r="4822" ht="22.5" customHeight="1">
      <c r="A4822" s="11" t="str">
        <f t="array" ref="A4822">IFERROR(
  INDEX('Starlink Launches'!$A:$A, MATCH($E4822, 'Starlink Launches'!$B:$B, 0)),
  ""
)
</f>
        <v>12-6</v>
      </c>
      <c r="B4822" s="3" t="s">
        <v>25</v>
      </c>
      <c r="C4822" s="12" t="s">
        <v>4844</v>
      </c>
      <c r="D4822" s="13">
        <v>62474.0</v>
      </c>
      <c r="E4822" s="4">
        <v>45657.0</v>
      </c>
      <c r="F4822" s="4" t="str">
        <f>IF(D4822="","", IFNA(VLOOKUP(D4822, SATCAT_DECAY!A:B, 2, FALSE), ""))
</f>
        <v/>
      </c>
      <c r="G4822" s="3" t="str">
        <f t="shared" si="1"/>
        <v>ACTIVE</v>
      </c>
    </row>
    <row r="4823" ht="22.5" customHeight="1">
      <c r="A4823" s="11" t="str">
        <f t="array" ref="A4823">IFERROR(
  INDEX('Starlink Launches'!$A:$A, MATCH($E4823, 'Starlink Launches'!$B:$B, 0)),
  ""
)
</f>
        <v>12-6</v>
      </c>
      <c r="B4823" s="3" t="s">
        <v>25</v>
      </c>
      <c r="C4823" s="12" t="s">
        <v>4845</v>
      </c>
      <c r="D4823" s="13">
        <v>62475.0</v>
      </c>
      <c r="E4823" s="4">
        <v>45657.0</v>
      </c>
      <c r="F4823" s="4" t="str">
        <f>IF(D4823="","", IFNA(VLOOKUP(D4823, SATCAT_DECAY!A:B, 2, FALSE), ""))
</f>
        <v/>
      </c>
      <c r="G4823" s="3" t="str">
        <f t="shared" si="1"/>
        <v>ACTIVE</v>
      </c>
    </row>
    <row r="4824" ht="22.5" customHeight="1">
      <c r="A4824" s="11" t="str">
        <f t="array" ref="A4824">IFERROR(
  INDEX('Starlink Launches'!$A:$A, MATCH($E4824, 'Starlink Launches'!$B:$B, 0)),
  ""
)
</f>
        <v>12-6</v>
      </c>
      <c r="B4824" s="3" t="s">
        <v>25</v>
      </c>
      <c r="C4824" s="12" t="s">
        <v>4846</v>
      </c>
      <c r="D4824" s="13">
        <v>62476.0</v>
      </c>
      <c r="E4824" s="4">
        <v>45657.0</v>
      </c>
      <c r="F4824" s="4" t="str">
        <f>IF(D4824="","", IFNA(VLOOKUP(D4824, SATCAT_DECAY!A:B, 2, FALSE), ""))
</f>
        <v/>
      </c>
      <c r="G4824" s="3" t="str">
        <f t="shared" si="1"/>
        <v>ACTIVE</v>
      </c>
    </row>
    <row r="4825" ht="22.5" customHeight="1">
      <c r="A4825" s="11" t="str">
        <f t="array" ref="A4825">IFERROR(
  INDEX('Starlink Launches'!$A:$A, MATCH($E4825, 'Starlink Launches'!$B:$B, 0)),
  ""
)
</f>
        <v>12-6</v>
      </c>
      <c r="B4825" s="3" t="s">
        <v>25</v>
      </c>
      <c r="C4825" s="12" t="s">
        <v>4847</v>
      </c>
      <c r="D4825" s="13">
        <v>62477.0</v>
      </c>
      <c r="E4825" s="4">
        <v>45657.0</v>
      </c>
      <c r="F4825" s="4" t="str">
        <f>IF(D4825="","", IFNA(VLOOKUP(D4825, SATCAT_DECAY!A:B, 2, FALSE), ""))
</f>
        <v/>
      </c>
      <c r="G4825" s="3" t="str">
        <f t="shared" si="1"/>
        <v>ACTIVE</v>
      </c>
    </row>
    <row r="4826" ht="22.5" customHeight="1">
      <c r="A4826" s="11" t="str">
        <f t="array" ref="A4826">IFERROR(
  INDEX('Starlink Launches'!$A:$A, MATCH($E4826, 'Starlink Launches'!$B:$B, 0)),
  ""
)
</f>
        <v>12-6</v>
      </c>
      <c r="B4826" s="3" t="s">
        <v>25</v>
      </c>
      <c r="C4826" s="12" t="s">
        <v>4848</v>
      </c>
      <c r="D4826" s="13">
        <v>62478.0</v>
      </c>
      <c r="E4826" s="4">
        <v>45657.0</v>
      </c>
      <c r="F4826" s="4" t="str">
        <f>IF(D4826="","", IFNA(VLOOKUP(D4826, SATCAT_DECAY!A:B, 2, FALSE), ""))
</f>
        <v/>
      </c>
      <c r="G4826" s="3" t="str">
        <f t="shared" si="1"/>
        <v>ACTIVE</v>
      </c>
    </row>
    <row r="4827" ht="22.5" customHeight="1">
      <c r="A4827" s="11" t="str">
        <f t="array" ref="A4827">IFERROR(
  INDEX('Starlink Launches'!$A:$A, MATCH($E4827, 'Starlink Launches'!$B:$B, 0)),
  ""
)
</f>
        <v>12-6</v>
      </c>
      <c r="B4827" s="3" t="s">
        <v>25</v>
      </c>
      <c r="C4827" s="12" t="s">
        <v>4849</v>
      </c>
      <c r="D4827" s="13">
        <v>62479.0</v>
      </c>
      <c r="E4827" s="4">
        <v>45657.0</v>
      </c>
      <c r="F4827" s="4" t="str">
        <f>IF(D4827="","", IFNA(VLOOKUP(D4827, SATCAT_DECAY!A:B, 2, FALSE), ""))
</f>
        <v/>
      </c>
      <c r="G4827" s="3" t="str">
        <f t="shared" si="1"/>
        <v>ACTIVE</v>
      </c>
    </row>
    <row r="4828" ht="22.5" customHeight="1">
      <c r="A4828" s="11" t="str">
        <f t="array" ref="A4828">IFERROR(
  INDEX('Starlink Launches'!$A:$A, MATCH($E4828, 'Starlink Launches'!$B:$B, 0)),
  ""
)
</f>
        <v>12-6</v>
      </c>
      <c r="B4828" s="3" t="s">
        <v>25</v>
      </c>
      <c r="C4828" s="12" t="s">
        <v>4850</v>
      </c>
      <c r="D4828" s="13">
        <v>62480.0</v>
      </c>
      <c r="E4828" s="4">
        <v>45657.0</v>
      </c>
      <c r="F4828" s="4" t="str">
        <f>IF(D4828="","", IFNA(VLOOKUP(D4828, SATCAT_DECAY!A:B, 2, FALSE), ""))
</f>
        <v/>
      </c>
      <c r="G4828" s="3" t="str">
        <f t="shared" si="1"/>
        <v>ACTIVE</v>
      </c>
    </row>
    <row r="4829" ht="22.5" customHeight="1">
      <c r="A4829" s="11" t="str">
        <f t="array" ref="A4829">IFERROR(
  INDEX('Starlink Launches'!$A:$A, MATCH($E4829, 'Starlink Launches'!$B:$B, 0)),
  ""
)
</f>
        <v>12-6</v>
      </c>
      <c r="B4829" s="3" t="s">
        <v>25</v>
      </c>
      <c r="C4829" s="12" t="s">
        <v>4851</v>
      </c>
      <c r="D4829" s="13">
        <v>62481.0</v>
      </c>
      <c r="E4829" s="4">
        <v>45657.0</v>
      </c>
      <c r="F4829" s="4" t="str">
        <f>IF(D4829="","", IFNA(VLOOKUP(D4829, SATCAT_DECAY!A:B, 2, FALSE), ""))
</f>
        <v/>
      </c>
      <c r="G4829" s="3" t="str">
        <f t="shared" si="1"/>
        <v>ACTIVE</v>
      </c>
    </row>
    <row r="4830" ht="22.5" customHeight="1">
      <c r="A4830" s="11" t="str">
        <f t="array" ref="A4830">IFERROR(
  INDEX('Starlink Launches'!$A:$A, MATCH($E4830, 'Starlink Launches'!$B:$B, 0)),
  ""
)
</f>
        <v>12-6</v>
      </c>
      <c r="B4830" s="3" t="s">
        <v>25</v>
      </c>
      <c r="C4830" s="12" t="s">
        <v>4852</v>
      </c>
      <c r="D4830" s="13">
        <v>62482.0</v>
      </c>
      <c r="E4830" s="4">
        <v>45657.0</v>
      </c>
      <c r="F4830" s="4" t="str">
        <f>IF(D4830="","", IFNA(VLOOKUP(D4830, SATCAT_DECAY!A:B, 2, FALSE), ""))
</f>
        <v/>
      </c>
      <c r="G4830" s="3" t="str">
        <f t="shared" si="1"/>
        <v>ACTIVE</v>
      </c>
    </row>
    <row r="4831" ht="22.5" customHeight="1">
      <c r="A4831" s="11" t="str">
        <f t="array" ref="A4831">IFERROR(
  INDEX('Starlink Launches'!$A:$A, MATCH($E4831, 'Starlink Launches'!$B:$B, 0)),
  ""
)
</f>
        <v>12-11</v>
      </c>
      <c r="B4831" s="3" t="s">
        <v>25</v>
      </c>
      <c r="C4831" s="12" t="s">
        <v>4853</v>
      </c>
      <c r="D4831" s="13">
        <v>62511.0</v>
      </c>
      <c r="E4831" s="4">
        <v>45665.0</v>
      </c>
      <c r="F4831" s="4" t="str">
        <f>IF(D4831="","", IFNA(VLOOKUP(D4831, SATCAT_DECAY!A:B, 2, FALSE), ""))
</f>
        <v/>
      </c>
      <c r="G4831" s="3" t="str">
        <f t="shared" si="1"/>
        <v>ACTIVE</v>
      </c>
      <c r="I4831" s="15"/>
      <c r="J4831" s="21"/>
    </row>
    <row r="4832" ht="22.5" customHeight="1">
      <c r="A4832" s="11" t="str">
        <f t="array" ref="A4832">IFERROR(
  INDEX('Starlink Launches'!$A:$A, MATCH($E4832, 'Starlink Launches'!$B:$B, 0)),
  ""
)
</f>
        <v>12-11</v>
      </c>
      <c r="B4832" s="3" t="s">
        <v>25</v>
      </c>
      <c r="C4832" s="12" t="s">
        <v>4854</v>
      </c>
      <c r="D4832" s="13">
        <v>62512.0</v>
      </c>
      <c r="E4832" s="4">
        <v>45665.0</v>
      </c>
      <c r="F4832" s="4" t="str">
        <f>IF(D4832="","", IFNA(VLOOKUP(D4832, SATCAT_DECAY!A:B, 2, FALSE), ""))
</f>
        <v/>
      </c>
      <c r="G4832" s="3" t="str">
        <f t="shared" si="1"/>
        <v>ACTIVE</v>
      </c>
      <c r="I4832" s="15"/>
      <c r="J4832" s="21"/>
    </row>
    <row r="4833" ht="22.5" customHeight="1">
      <c r="A4833" s="11" t="str">
        <f t="array" ref="A4833">IFERROR(
  INDEX('Starlink Launches'!$A:$A, MATCH($E4833, 'Starlink Launches'!$B:$B, 0)),
  ""
)
</f>
        <v>12-11</v>
      </c>
      <c r="B4833" s="3" t="s">
        <v>25</v>
      </c>
      <c r="C4833" s="12" t="s">
        <v>4855</v>
      </c>
      <c r="D4833" s="13">
        <v>62513.0</v>
      </c>
      <c r="E4833" s="4">
        <v>45665.0</v>
      </c>
      <c r="F4833" s="4" t="str">
        <f>IF(D4833="","", IFNA(VLOOKUP(D4833, SATCAT_DECAY!A:B, 2, FALSE), ""))
</f>
        <v/>
      </c>
      <c r="G4833" s="3" t="str">
        <f t="shared" si="1"/>
        <v>ACTIVE</v>
      </c>
      <c r="I4833" s="15"/>
      <c r="J4833" s="21"/>
    </row>
    <row r="4834" ht="22.5" customHeight="1">
      <c r="A4834" s="11" t="str">
        <f t="array" ref="A4834">IFERROR(
  INDEX('Starlink Launches'!$A:$A, MATCH($E4834, 'Starlink Launches'!$B:$B, 0)),
  ""
)
</f>
        <v>12-11</v>
      </c>
      <c r="B4834" s="3" t="s">
        <v>25</v>
      </c>
      <c r="C4834" s="12" t="s">
        <v>4856</v>
      </c>
      <c r="D4834" s="13">
        <v>62514.0</v>
      </c>
      <c r="E4834" s="4">
        <v>45665.0</v>
      </c>
      <c r="F4834" s="4" t="str">
        <f>IF(D4834="","", IFNA(VLOOKUP(D4834, SATCAT_DECAY!A:B, 2, FALSE), ""))
</f>
        <v/>
      </c>
      <c r="G4834" s="3" t="str">
        <f t="shared" si="1"/>
        <v>ACTIVE</v>
      </c>
      <c r="I4834" s="15"/>
      <c r="J4834" s="21"/>
    </row>
    <row r="4835" ht="22.5" customHeight="1">
      <c r="A4835" s="11" t="str">
        <f t="array" ref="A4835">IFERROR(
  INDEX('Starlink Launches'!$A:$A, MATCH($E4835, 'Starlink Launches'!$B:$B, 0)),
  ""
)
</f>
        <v>12-11</v>
      </c>
      <c r="B4835" s="3" t="s">
        <v>25</v>
      </c>
      <c r="C4835" s="12" t="s">
        <v>4857</v>
      </c>
      <c r="D4835" s="13">
        <v>62515.0</v>
      </c>
      <c r="E4835" s="4">
        <v>45665.0</v>
      </c>
      <c r="F4835" s="4" t="str">
        <f>IF(D4835="","", IFNA(VLOOKUP(D4835, SATCAT_DECAY!A:B, 2, FALSE), ""))
</f>
        <v/>
      </c>
      <c r="G4835" s="3" t="str">
        <f t="shared" si="1"/>
        <v>ACTIVE</v>
      </c>
      <c r="I4835" s="15"/>
      <c r="J4835" s="21"/>
    </row>
    <row r="4836" ht="22.5" customHeight="1">
      <c r="A4836" s="11" t="str">
        <f t="array" ref="A4836">IFERROR(
  INDEX('Starlink Launches'!$A:$A, MATCH($E4836, 'Starlink Launches'!$B:$B, 0)),
  ""
)
</f>
        <v>12-11</v>
      </c>
      <c r="B4836" s="3" t="s">
        <v>25</v>
      </c>
      <c r="C4836" s="12" t="s">
        <v>4858</v>
      </c>
      <c r="D4836" s="13">
        <v>62516.0</v>
      </c>
      <c r="E4836" s="4">
        <v>45665.0</v>
      </c>
      <c r="F4836" s="4" t="str">
        <f>IF(D4836="","", IFNA(VLOOKUP(D4836, SATCAT_DECAY!A:B, 2, FALSE), ""))
</f>
        <v/>
      </c>
      <c r="G4836" s="3" t="str">
        <f t="shared" si="1"/>
        <v>ACTIVE</v>
      </c>
      <c r="I4836" s="15"/>
      <c r="J4836" s="21"/>
    </row>
    <row r="4837" ht="22.5" customHeight="1">
      <c r="A4837" s="11" t="str">
        <f t="array" ref="A4837">IFERROR(
  INDEX('Starlink Launches'!$A:$A, MATCH($E4837, 'Starlink Launches'!$B:$B, 0)),
  ""
)
</f>
        <v>12-11</v>
      </c>
      <c r="B4837" s="3" t="s">
        <v>25</v>
      </c>
      <c r="C4837" s="12" t="s">
        <v>4859</v>
      </c>
      <c r="D4837" s="13">
        <v>62517.0</v>
      </c>
      <c r="E4837" s="4">
        <v>45665.0</v>
      </c>
      <c r="F4837" s="4" t="str">
        <f>IF(D4837="","", IFNA(VLOOKUP(D4837, SATCAT_DECAY!A:B, 2, FALSE), ""))
</f>
        <v/>
      </c>
      <c r="G4837" s="3" t="str">
        <f t="shared" si="1"/>
        <v>ACTIVE</v>
      </c>
      <c r="I4837" s="15"/>
      <c r="J4837" s="21"/>
    </row>
    <row r="4838" ht="22.5" customHeight="1">
      <c r="A4838" s="11" t="str">
        <f t="array" ref="A4838">IFERROR(
  INDEX('Starlink Launches'!$A:$A, MATCH($E4838, 'Starlink Launches'!$B:$B, 0)),
  ""
)
</f>
        <v>12-11</v>
      </c>
      <c r="B4838" s="3" t="s">
        <v>25</v>
      </c>
      <c r="C4838" s="12" t="s">
        <v>4860</v>
      </c>
      <c r="D4838" s="13">
        <v>62518.0</v>
      </c>
      <c r="E4838" s="4">
        <v>45665.0</v>
      </c>
      <c r="F4838" s="4" t="str">
        <f>IF(D4838="","", IFNA(VLOOKUP(D4838, SATCAT_DECAY!A:B, 2, FALSE), ""))
</f>
        <v/>
      </c>
      <c r="G4838" s="3" t="str">
        <f t="shared" si="1"/>
        <v>ACTIVE</v>
      </c>
      <c r="I4838" s="15"/>
      <c r="J4838" s="21"/>
    </row>
    <row r="4839" ht="22.5" customHeight="1">
      <c r="A4839" s="11" t="str">
        <f t="array" ref="A4839">IFERROR(
  INDEX('Starlink Launches'!$A:$A, MATCH($E4839, 'Starlink Launches'!$B:$B, 0)),
  ""
)
</f>
        <v>12-11</v>
      </c>
      <c r="B4839" s="3" t="s">
        <v>25</v>
      </c>
      <c r="C4839" s="12" t="s">
        <v>4861</v>
      </c>
      <c r="D4839" s="13">
        <v>62519.0</v>
      </c>
      <c r="E4839" s="4">
        <v>45665.0</v>
      </c>
      <c r="F4839" s="4" t="str">
        <f>IF(D4839="","", IFNA(VLOOKUP(D4839, SATCAT_DECAY!A:B, 2, FALSE), ""))
</f>
        <v/>
      </c>
      <c r="G4839" s="3" t="str">
        <f t="shared" si="1"/>
        <v>ACTIVE</v>
      </c>
      <c r="I4839" s="15"/>
      <c r="J4839" s="21"/>
    </row>
    <row r="4840" ht="22.5" customHeight="1">
      <c r="A4840" s="11" t="str">
        <f t="array" ref="A4840">IFERROR(
  INDEX('Starlink Launches'!$A:$A, MATCH($E4840, 'Starlink Launches'!$B:$B, 0)),
  ""
)
</f>
        <v>12-11</v>
      </c>
      <c r="B4840" s="3" t="s">
        <v>25</v>
      </c>
      <c r="C4840" s="12" t="s">
        <v>4862</v>
      </c>
      <c r="D4840" s="13">
        <v>62520.0</v>
      </c>
      <c r="E4840" s="4">
        <v>45665.0</v>
      </c>
      <c r="F4840" s="4" t="str">
        <f>IF(D4840="","", IFNA(VLOOKUP(D4840, SATCAT_DECAY!A:B, 2, FALSE), ""))
</f>
        <v/>
      </c>
      <c r="G4840" s="3" t="str">
        <f t="shared" si="1"/>
        <v>ACTIVE</v>
      </c>
      <c r="I4840" s="15"/>
      <c r="J4840" s="21"/>
    </row>
    <row r="4841" ht="22.5" customHeight="1">
      <c r="A4841" s="11" t="str">
        <f t="array" ref="A4841">IFERROR(
  INDEX('Starlink Launches'!$A:$A, MATCH($E4841, 'Starlink Launches'!$B:$B, 0)),
  ""
)
</f>
        <v>12-11</v>
      </c>
      <c r="B4841" s="3" t="s">
        <v>25</v>
      </c>
      <c r="C4841" s="12" t="s">
        <v>4863</v>
      </c>
      <c r="D4841" s="13">
        <v>62521.0</v>
      </c>
      <c r="E4841" s="4">
        <v>45665.0</v>
      </c>
      <c r="F4841" s="4" t="str">
        <f>IF(D4841="","", IFNA(VLOOKUP(D4841, SATCAT_DECAY!A:B, 2, FALSE), ""))
</f>
        <v/>
      </c>
      <c r="G4841" s="3" t="str">
        <f t="shared" si="1"/>
        <v>ACTIVE</v>
      </c>
      <c r="I4841" s="15"/>
      <c r="J4841" s="21"/>
    </row>
    <row r="4842" ht="22.5" customHeight="1">
      <c r="A4842" s="11" t="str">
        <f t="array" ref="A4842">IFERROR(
  INDEX('Starlink Launches'!$A:$A, MATCH($E4842, 'Starlink Launches'!$B:$B, 0)),
  ""
)
</f>
        <v>12-11</v>
      </c>
      <c r="B4842" s="3" t="s">
        <v>25</v>
      </c>
      <c r="C4842" s="12" t="s">
        <v>4864</v>
      </c>
      <c r="D4842" s="13">
        <v>62522.0</v>
      </c>
      <c r="E4842" s="4">
        <v>45665.0</v>
      </c>
      <c r="F4842" s="4" t="str">
        <f>IF(D4842="","", IFNA(VLOOKUP(D4842, SATCAT_DECAY!A:B, 2, FALSE), ""))
</f>
        <v/>
      </c>
      <c r="G4842" s="3" t="str">
        <f t="shared" si="1"/>
        <v>ACTIVE</v>
      </c>
      <c r="I4842" s="15"/>
      <c r="J4842" s="21"/>
    </row>
    <row r="4843" ht="22.5" customHeight="1">
      <c r="A4843" s="11" t="str">
        <f t="array" ref="A4843">IFERROR(
  INDEX('Starlink Launches'!$A:$A, MATCH($E4843, 'Starlink Launches'!$B:$B, 0)),
  ""
)
</f>
        <v>12-11</v>
      </c>
      <c r="B4843" s="3" t="s">
        <v>25</v>
      </c>
      <c r="C4843" s="12" t="s">
        <v>4865</v>
      </c>
      <c r="D4843" s="13">
        <v>62523.0</v>
      </c>
      <c r="E4843" s="4">
        <v>45665.0</v>
      </c>
      <c r="F4843" s="4" t="str">
        <f>IF(D4843="","", IFNA(VLOOKUP(D4843, SATCAT_DECAY!A:B, 2, FALSE), ""))
</f>
        <v/>
      </c>
      <c r="G4843" s="3" t="str">
        <f t="shared" si="1"/>
        <v>ACTIVE</v>
      </c>
      <c r="I4843" s="15"/>
      <c r="J4843" s="21"/>
    </row>
    <row r="4844" ht="22.5" customHeight="1">
      <c r="A4844" s="11" t="str">
        <f t="array" ref="A4844">IFERROR(
  INDEX('Starlink Launches'!$A:$A, MATCH($E4844, 'Starlink Launches'!$B:$B, 0)),
  ""
)
</f>
        <v>12-11</v>
      </c>
      <c r="B4844" s="3" t="s">
        <v>25</v>
      </c>
      <c r="C4844" s="12" t="s">
        <v>4866</v>
      </c>
      <c r="D4844" s="13">
        <v>62524.0</v>
      </c>
      <c r="E4844" s="4">
        <v>45665.0</v>
      </c>
      <c r="F4844" s="4" t="str">
        <f>IF(D4844="","", IFNA(VLOOKUP(D4844, SATCAT_DECAY!A:B, 2, FALSE), ""))
</f>
        <v/>
      </c>
      <c r="G4844" s="3" t="str">
        <f t="shared" si="1"/>
        <v>ACTIVE</v>
      </c>
      <c r="I4844" s="15"/>
      <c r="J4844" s="21"/>
    </row>
    <row r="4845" ht="22.5" customHeight="1">
      <c r="A4845" s="11" t="str">
        <f t="array" ref="A4845">IFERROR(
  INDEX('Starlink Launches'!$A:$A, MATCH($E4845, 'Starlink Launches'!$B:$B, 0)),
  ""
)
</f>
        <v>12-11</v>
      </c>
      <c r="B4845" s="3" t="s">
        <v>25</v>
      </c>
      <c r="C4845" s="12" t="s">
        <v>4867</v>
      </c>
      <c r="D4845" s="13">
        <v>62525.0</v>
      </c>
      <c r="E4845" s="4">
        <v>45665.0</v>
      </c>
      <c r="F4845" s="4" t="str">
        <f>IF(D4845="","", IFNA(VLOOKUP(D4845, SATCAT_DECAY!A:B, 2, FALSE), ""))
</f>
        <v/>
      </c>
      <c r="G4845" s="3" t="str">
        <f t="shared" si="1"/>
        <v>ACTIVE</v>
      </c>
      <c r="I4845" s="15"/>
      <c r="J4845" s="21"/>
    </row>
    <row r="4846" ht="22.5" customHeight="1">
      <c r="A4846" s="11" t="str">
        <f t="array" ref="A4846">IFERROR(
  INDEX('Starlink Launches'!$A:$A, MATCH($E4846, 'Starlink Launches'!$B:$B, 0)),
  ""
)
</f>
        <v>12-11</v>
      </c>
      <c r="B4846" s="3" t="s">
        <v>25</v>
      </c>
      <c r="C4846" s="12" t="s">
        <v>4868</v>
      </c>
      <c r="D4846" s="13">
        <v>62526.0</v>
      </c>
      <c r="E4846" s="4">
        <v>45665.0</v>
      </c>
      <c r="F4846" s="4" t="str">
        <f>IF(D4846="","", IFNA(VLOOKUP(D4846, SATCAT_DECAY!A:B, 2, FALSE), ""))
</f>
        <v/>
      </c>
      <c r="G4846" s="3" t="str">
        <f t="shared" si="1"/>
        <v>ACTIVE</v>
      </c>
      <c r="I4846" s="15"/>
      <c r="J4846" s="21"/>
    </row>
    <row r="4847" ht="22.5" customHeight="1">
      <c r="A4847" s="11" t="str">
        <f t="array" ref="A4847">IFERROR(
  INDEX('Starlink Launches'!$A:$A, MATCH($E4847, 'Starlink Launches'!$B:$B, 0)),
  ""
)
</f>
        <v>12-11</v>
      </c>
      <c r="B4847" s="3" t="s">
        <v>25</v>
      </c>
      <c r="C4847" s="12" t="s">
        <v>4869</v>
      </c>
      <c r="D4847" s="13">
        <v>62527.0</v>
      </c>
      <c r="E4847" s="4">
        <v>45665.0</v>
      </c>
      <c r="F4847" s="4" t="str">
        <f>IF(D4847="","", IFNA(VLOOKUP(D4847, SATCAT_DECAY!A:B, 2, FALSE), ""))
</f>
        <v/>
      </c>
      <c r="G4847" s="3" t="str">
        <f t="shared" si="1"/>
        <v>ACTIVE</v>
      </c>
      <c r="I4847" s="15"/>
      <c r="J4847" s="21"/>
    </row>
    <row r="4848" ht="22.5" customHeight="1">
      <c r="A4848" s="11" t="str">
        <f t="array" ref="A4848">IFERROR(
  INDEX('Starlink Launches'!$A:$A, MATCH($E4848, 'Starlink Launches'!$B:$B, 0)),
  ""
)
</f>
        <v>12-11</v>
      </c>
      <c r="B4848" s="3" t="s">
        <v>25</v>
      </c>
      <c r="C4848" s="12" t="s">
        <v>4870</v>
      </c>
      <c r="D4848" s="13">
        <v>62528.0</v>
      </c>
      <c r="E4848" s="4">
        <v>45665.0</v>
      </c>
      <c r="F4848" s="4" t="str">
        <f>IF(D4848="","", IFNA(VLOOKUP(D4848, SATCAT_DECAY!A:B, 2, FALSE), ""))
</f>
        <v/>
      </c>
      <c r="G4848" s="3" t="str">
        <f t="shared" si="1"/>
        <v>ACTIVE</v>
      </c>
      <c r="I4848" s="15"/>
      <c r="J4848" s="21"/>
    </row>
    <row r="4849" ht="22.5" customHeight="1">
      <c r="A4849" s="11" t="str">
        <f t="array" ref="A4849">IFERROR(
  INDEX('Starlink Launches'!$A:$A, MATCH($E4849, 'Starlink Launches'!$B:$B, 0)),
  ""
)
</f>
        <v>12-11</v>
      </c>
      <c r="B4849" s="3" t="s">
        <v>25</v>
      </c>
      <c r="C4849" s="12" t="s">
        <v>4871</v>
      </c>
      <c r="D4849" s="13">
        <v>62529.0</v>
      </c>
      <c r="E4849" s="4">
        <v>45665.0</v>
      </c>
      <c r="F4849" s="4" t="str">
        <f>IF(D4849="","", IFNA(VLOOKUP(D4849, SATCAT_DECAY!A:B, 2, FALSE), ""))
</f>
        <v/>
      </c>
      <c r="G4849" s="3" t="str">
        <f t="shared" si="1"/>
        <v>ACTIVE</v>
      </c>
      <c r="I4849" s="15"/>
      <c r="J4849" s="21"/>
    </row>
    <row r="4850" ht="22.5" customHeight="1">
      <c r="A4850" s="11" t="str">
        <f t="array" ref="A4850">IFERROR(
  INDEX('Starlink Launches'!$A:$A, MATCH($E4850, 'Starlink Launches'!$B:$B, 0)),
  ""
)
</f>
        <v>12-11</v>
      </c>
      <c r="B4850" s="3" t="s">
        <v>25</v>
      </c>
      <c r="C4850" s="12" t="s">
        <v>4872</v>
      </c>
      <c r="D4850" s="13">
        <v>62530.0</v>
      </c>
      <c r="E4850" s="4">
        <v>45665.0</v>
      </c>
      <c r="F4850" s="4" t="str">
        <f>IF(D4850="","", IFNA(VLOOKUP(D4850, SATCAT_DECAY!A:B, 2, FALSE), ""))
</f>
        <v/>
      </c>
      <c r="G4850" s="3" t="str">
        <f t="shared" si="1"/>
        <v>ACTIVE</v>
      </c>
      <c r="I4850" s="15"/>
      <c r="J4850" s="21"/>
    </row>
    <row r="4851" ht="22.5" customHeight="1">
      <c r="A4851" s="11" t="str">
        <f t="array" ref="A4851">IFERROR(
  INDEX('Starlink Launches'!$A:$A, MATCH($E4851, 'Starlink Launches'!$B:$B, 0)),
  ""
)
</f>
        <v>12-11</v>
      </c>
      <c r="B4851" s="3" t="s">
        <v>25</v>
      </c>
      <c r="C4851" s="12" t="s">
        <v>4873</v>
      </c>
      <c r="D4851" s="13">
        <v>62531.0</v>
      </c>
      <c r="E4851" s="4">
        <v>45665.0</v>
      </c>
      <c r="F4851" s="4" t="str">
        <f>IF(D4851="","", IFNA(VLOOKUP(D4851, SATCAT_DECAY!A:B, 2, FALSE), ""))
</f>
        <v/>
      </c>
      <c r="G4851" s="3" t="str">
        <f t="shared" si="1"/>
        <v>ACTIVE</v>
      </c>
      <c r="I4851" s="15"/>
      <c r="J4851" s="21"/>
    </row>
    <row r="4852" ht="22.5" customHeight="1">
      <c r="A4852" s="11" t="str">
        <f t="array" ref="A4852">IFERROR(
  INDEX('Starlink Launches'!$A:$A, MATCH($E4852, 'Starlink Launches'!$B:$B, 0)),
  ""
)
</f>
        <v>12-12</v>
      </c>
      <c r="B4852" s="3" t="s">
        <v>25</v>
      </c>
      <c r="C4852" s="12" t="s">
        <v>4874</v>
      </c>
      <c r="D4852" s="13">
        <v>62554.0</v>
      </c>
      <c r="E4852" s="4">
        <v>45667.0</v>
      </c>
      <c r="F4852" s="4" t="str">
        <f>IF(D4852="","", IFNA(VLOOKUP(D4852, SATCAT_DECAY!A:B, 2, FALSE), ""))
</f>
        <v/>
      </c>
      <c r="G4852" s="3" t="str">
        <f t="shared" si="1"/>
        <v>ACTIVE</v>
      </c>
    </row>
    <row r="4853" ht="22.5" customHeight="1">
      <c r="A4853" s="11" t="str">
        <f t="array" ref="A4853">IFERROR(
  INDEX('Starlink Launches'!$A:$A, MATCH($E4853, 'Starlink Launches'!$B:$B, 0)),
  ""
)
</f>
        <v>12-12</v>
      </c>
      <c r="B4853" s="3" t="s">
        <v>25</v>
      </c>
      <c r="C4853" s="12" t="s">
        <v>4875</v>
      </c>
      <c r="D4853" s="13">
        <v>62555.0</v>
      </c>
      <c r="E4853" s="4">
        <v>45667.0</v>
      </c>
      <c r="F4853" s="4" t="str">
        <f>IF(D4853="","", IFNA(VLOOKUP(D4853, SATCAT_DECAY!A:B, 2, FALSE), ""))
</f>
        <v/>
      </c>
      <c r="G4853" s="3" t="str">
        <f t="shared" si="1"/>
        <v>ACTIVE</v>
      </c>
    </row>
    <row r="4854" ht="22.5" customHeight="1">
      <c r="A4854" s="11" t="str">
        <f t="array" ref="A4854">IFERROR(
  INDEX('Starlink Launches'!$A:$A, MATCH($E4854, 'Starlink Launches'!$B:$B, 0)),
  ""
)
</f>
        <v>12-12</v>
      </c>
      <c r="B4854" s="3" t="s">
        <v>25</v>
      </c>
      <c r="C4854" s="12" t="s">
        <v>4876</v>
      </c>
      <c r="D4854" s="13">
        <v>62556.0</v>
      </c>
      <c r="E4854" s="4">
        <v>45667.0</v>
      </c>
      <c r="F4854" s="4" t="str">
        <f>IF(D4854="","", IFNA(VLOOKUP(D4854, SATCAT_DECAY!A:B, 2, FALSE), ""))
</f>
        <v/>
      </c>
      <c r="G4854" s="3" t="str">
        <f t="shared" si="1"/>
        <v>ACTIVE</v>
      </c>
    </row>
    <row r="4855" ht="22.5" customHeight="1">
      <c r="A4855" s="11" t="str">
        <f t="array" ref="A4855">IFERROR(
  INDEX('Starlink Launches'!$A:$A, MATCH($E4855, 'Starlink Launches'!$B:$B, 0)),
  ""
)
</f>
        <v>12-12</v>
      </c>
      <c r="B4855" s="3" t="s">
        <v>25</v>
      </c>
      <c r="C4855" s="12" t="s">
        <v>4877</v>
      </c>
      <c r="D4855" s="13">
        <v>62557.0</v>
      </c>
      <c r="E4855" s="4">
        <v>45667.0</v>
      </c>
      <c r="F4855" s="4" t="str">
        <f>IF(D4855="","", IFNA(VLOOKUP(D4855, SATCAT_DECAY!A:B, 2, FALSE), ""))
</f>
        <v/>
      </c>
      <c r="G4855" s="3" t="str">
        <f t="shared" si="1"/>
        <v>ACTIVE</v>
      </c>
    </row>
    <row r="4856" ht="22.5" customHeight="1">
      <c r="A4856" s="11" t="str">
        <f t="array" ref="A4856">IFERROR(
  INDEX('Starlink Launches'!$A:$A, MATCH($E4856, 'Starlink Launches'!$B:$B, 0)),
  ""
)
</f>
        <v>12-12</v>
      </c>
      <c r="B4856" s="3" t="s">
        <v>25</v>
      </c>
      <c r="C4856" s="12" t="s">
        <v>4878</v>
      </c>
      <c r="D4856" s="13">
        <v>62558.0</v>
      </c>
      <c r="E4856" s="4">
        <v>45667.0</v>
      </c>
      <c r="F4856" s="4" t="str">
        <f>IF(D4856="","", IFNA(VLOOKUP(D4856, SATCAT_DECAY!A:B, 2, FALSE), ""))
</f>
        <v/>
      </c>
      <c r="G4856" s="3" t="str">
        <f t="shared" si="1"/>
        <v>ACTIVE</v>
      </c>
    </row>
    <row r="4857" ht="22.5" customHeight="1">
      <c r="A4857" s="11" t="str">
        <f t="array" ref="A4857">IFERROR(
  INDEX('Starlink Launches'!$A:$A, MATCH($E4857, 'Starlink Launches'!$B:$B, 0)),
  ""
)
</f>
        <v>12-12</v>
      </c>
      <c r="B4857" s="3" t="s">
        <v>25</v>
      </c>
      <c r="C4857" s="12" t="s">
        <v>4879</v>
      </c>
      <c r="D4857" s="13">
        <v>62559.0</v>
      </c>
      <c r="E4857" s="4">
        <v>45667.0</v>
      </c>
      <c r="F4857" s="4" t="str">
        <f>IF(D4857="","", IFNA(VLOOKUP(D4857, SATCAT_DECAY!A:B, 2, FALSE), ""))
</f>
        <v/>
      </c>
      <c r="G4857" s="3" t="str">
        <f t="shared" si="1"/>
        <v>ACTIVE</v>
      </c>
    </row>
    <row r="4858" ht="22.5" customHeight="1">
      <c r="A4858" s="11" t="str">
        <f t="array" ref="A4858">IFERROR(
  INDEX('Starlink Launches'!$A:$A, MATCH($E4858, 'Starlink Launches'!$B:$B, 0)),
  ""
)
</f>
        <v>12-12</v>
      </c>
      <c r="B4858" s="3" t="s">
        <v>25</v>
      </c>
      <c r="C4858" s="12" t="s">
        <v>4880</v>
      </c>
      <c r="D4858" s="13">
        <v>62560.0</v>
      </c>
      <c r="E4858" s="4">
        <v>45667.0</v>
      </c>
      <c r="F4858" s="4" t="str">
        <f>IF(D4858="","", IFNA(VLOOKUP(D4858, SATCAT_DECAY!A:B, 2, FALSE), ""))
</f>
        <v/>
      </c>
      <c r="G4858" s="3" t="str">
        <f t="shared" si="1"/>
        <v>ACTIVE</v>
      </c>
    </row>
    <row r="4859" ht="22.5" customHeight="1">
      <c r="A4859" s="11" t="str">
        <f t="array" ref="A4859">IFERROR(
  INDEX('Starlink Launches'!$A:$A, MATCH($E4859, 'Starlink Launches'!$B:$B, 0)),
  ""
)
</f>
        <v>12-12</v>
      </c>
      <c r="B4859" s="3" t="s">
        <v>25</v>
      </c>
      <c r="C4859" s="12" t="s">
        <v>4881</v>
      </c>
      <c r="D4859" s="13">
        <v>62561.0</v>
      </c>
      <c r="E4859" s="4">
        <v>45667.0</v>
      </c>
      <c r="F4859" s="4" t="str">
        <f>IF(D4859="","", IFNA(VLOOKUP(D4859, SATCAT_DECAY!A:B, 2, FALSE), ""))
</f>
        <v/>
      </c>
      <c r="G4859" s="3" t="str">
        <f t="shared" si="1"/>
        <v>ACTIVE</v>
      </c>
    </row>
    <row r="4860" ht="22.5" customHeight="1">
      <c r="A4860" s="11" t="str">
        <f t="array" ref="A4860">IFERROR(
  INDEX('Starlink Launches'!$A:$A, MATCH($E4860, 'Starlink Launches'!$B:$B, 0)),
  ""
)
</f>
        <v>12-12</v>
      </c>
      <c r="B4860" s="3" t="s">
        <v>25</v>
      </c>
      <c r="C4860" s="12" t="s">
        <v>4882</v>
      </c>
      <c r="D4860" s="13">
        <v>62562.0</v>
      </c>
      <c r="E4860" s="4">
        <v>45667.0</v>
      </c>
      <c r="F4860" s="4" t="str">
        <f>IF(D4860="","", IFNA(VLOOKUP(D4860, SATCAT_DECAY!A:B, 2, FALSE), ""))
</f>
        <v/>
      </c>
      <c r="G4860" s="3" t="str">
        <f t="shared" si="1"/>
        <v>ACTIVE</v>
      </c>
    </row>
    <row r="4861" ht="22.5" customHeight="1">
      <c r="A4861" s="11" t="str">
        <f t="array" ref="A4861">IFERROR(
  INDEX('Starlink Launches'!$A:$A, MATCH($E4861, 'Starlink Launches'!$B:$B, 0)),
  ""
)
</f>
        <v>12-12</v>
      </c>
      <c r="B4861" s="3" t="s">
        <v>25</v>
      </c>
      <c r="C4861" s="12" t="s">
        <v>4883</v>
      </c>
      <c r="D4861" s="13">
        <v>62563.0</v>
      </c>
      <c r="E4861" s="4">
        <v>45667.0</v>
      </c>
      <c r="F4861" s="4" t="str">
        <f>IF(D4861="","", IFNA(VLOOKUP(D4861, SATCAT_DECAY!A:B, 2, FALSE), ""))
</f>
        <v/>
      </c>
      <c r="G4861" s="3" t="str">
        <f t="shared" si="1"/>
        <v>ACTIVE</v>
      </c>
    </row>
    <row r="4862" ht="22.5" customHeight="1">
      <c r="A4862" s="11" t="str">
        <f t="array" ref="A4862">IFERROR(
  INDEX('Starlink Launches'!$A:$A, MATCH($E4862, 'Starlink Launches'!$B:$B, 0)),
  ""
)
</f>
        <v>12-12</v>
      </c>
      <c r="B4862" s="3" t="s">
        <v>25</v>
      </c>
      <c r="C4862" s="12" t="s">
        <v>4884</v>
      </c>
      <c r="D4862" s="13">
        <v>62564.0</v>
      </c>
      <c r="E4862" s="4">
        <v>45667.0</v>
      </c>
      <c r="F4862" s="4" t="str">
        <f>IF(D4862="","", IFNA(VLOOKUP(D4862, SATCAT_DECAY!A:B, 2, FALSE), ""))
</f>
        <v/>
      </c>
      <c r="G4862" s="3" t="str">
        <f t="shared" si="1"/>
        <v>ACTIVE</v>
      </c>
    </row>
    <row r="4863" ht="22.5" customHeight="1">
      <c r="A4863" s="11" t="str">
        <f t="array" ref="A4863">IFERROR(
  INDEX('Starlink Launches'!$A:$A, MATCH($E4863, 'Starlink Launches'!$B:$B, 0)),
  ""
)
</f>
        <v>12-12</v>
      </c>
      <c r="B4863" s="3" t="s">
        <v>25</v>
      </c>
      <c r="C4863" s="12" t="s">
        <v>4885</v>
      </c>
      <c r="D4863" s="13">
        <v>62565.0</v>
      </c>
      <c r="E4863" s="4">
        <v>45667.0</v>
      </c>
      <c r="F4863" s="4" t="str">
        <f>IF(D4863="","", IFNA(VLOOKUP(D4863, SATCAT_DECAY!A:B, 2, FALSE), ""))
</f>
        <v/>
      </c>
      <c r="G4863" s="3" t="str">
        <f t="shared" si="1"/>
        <v>ACTIVE</v>
      </c>
    </row>
    <row r="4864" ht="22.5" customHeight="1">
      <c r="A4864" s="11" t="str">
        <f t="array" ref="A4864">IFERROR(
  INDEX('Starlink Launches'!$A:$A, MATCH($E4864, 'Starlink Launches'!$B:$B, 0)),
  ""
)
</f>
        <v>12-12</v>
      </c>
      <c r="B4864" s="3" t="s">
        <v>25</v>
      </c>
      <c r="C4864" s="12" t="s">
        <v>4886</v>
      </c>
      <c r="D4864" s="13">
        <v>62566.0</v>
      </c>
      <c r="E4864" s="4">
        <v>45667.0</v>
      </c>
      <c r="F4864" s="4" t="str">
        <f>IF(D4864="","", IFNA(VLOOKUP(D4864, SATCAT_DECAY!A:B, 2, FALSE), ""))
</f>
        <v/>
      </c>
      <c r="G4864" s="3" t="str">
        <f t="shared" si="1"/>
        <v>ACTIVE</v>
      </c>
    </row>
    <row r="4865" ht="22.5" customHeight="1">
      <c r="A4865" s="11" t="str">
        <f t="array" ref="A4865">IFERROR(
  INDEX('Starlink Launches'!$A:$A, MATCH($E4865, 'Starlink Launches'!$B:$B, 0)),
  ""
)
</f>
        <v>12-12</v>
      </c>
      <c r="B4865" s="3" t="s">
        <v>25</v>
      </c>
      <c r="C4865" s="12" t="s">
        <v>4887</v>
      </c>
      <c r="D4865" s="13">
        <v>62567.0</v>
      </c>
      <c r="E4865" s="4">
        <v>45667.0</v>
      </c>
      <c r="F4865" s="4" t="str">
        <f>IF(D4865="","", IFNA(VLOOKUP(D4865, SATCAT_DECAY!A:B, 2, FALSE), ""))
</f>
        <v/>
      </c>
      <c r="G4865" s="3" t="str">
        <f t="shared" si="1"/>
        <v>ACTIVE</v>
      </c>
    </row>
    <row r="4866" ht="22.5" customHeight="1">
      <c r="A4866" s="11" t="str">
        <f t="array" ref="A4866">IFERROR(
  INDEX('Starlink Launches'!$A:$A, MATCH($E4866, 'Starlink Launches'!$B:$B, 0)),
  ""
)
</f>
        <v>12-12</v>
      </c>
      <c r="B4866" s="3" t="s">
        <v>25</v>
      </c>
      <c r="C4866" s="12" t="s">
        <v>4888</v>
      </c>
      <c r="D4866" s="13">
        <v>62568.0</v>
      </c>
      <c r="E4866" s="4">
        <v>45667.0</v>
      </c>
      <c r="F4866" s="4" t="str">
        <f>IF(D4866="","", IFNA(VLOOKUP(D4866, SATCAT_DECAY!A:B, 2, FALSE), ""))
</f>
        <v/>
      </c>
      <c r="G4866" s="3" t="str">
        <f t="shared" si="1"/>
        <v>ACTIVE</v>
      </c>
    </row>
    <row r="4867" ht="22.5" customHeight="1">
      <c r="A4867" s="11" t="str">
        <f t="array" ref="A4867">IFERROR(
  INDEX('Starlink Launches'!$A:$A, MATCH($E4867, 'Starlink Launches'!$B:$B, 0)),
  ""
)
</f>
        <v>12-12</v>
      </c>
      <c r="B4867" s="3" t="s">
        <v>25</v>
      </c>
      <c r="C4867" s="12" t="s">
        <v>4889</v>
      </c>
      <c r="D4867" s="13">
        <v>62569.0</v>
      </c>
      <c r="E4867" s="4">
        <v>45667.0</v>
      </c>
      <c r="F4867" s="4" t="str">
        <f>IF(D4867="","", IFNA(VLOOKUP(D4867, SATCAT_DECAY!A:B, 2, FALSE), ""))
</f>
        <v/>
      </c>
      <c r="G4867" s="3" t="str">
        <f t="shared" si="1"/>
        <v>ACTIVE</v>
      </c>
    </row>
    <row r="4868" ht="22.5" customHeight="1">
      <c r="A4868" s="11" t="str">
        <f t="array" ref="A4868">IFERROR(
  INDEX('Starlink Launches'!$A:$A, MATCH($E4868, 'Starlink Launches'!$B:$B, 0)),
  ""
)
</f>
        <v>12-12</v>
      </c>
      <c r="B4868" s="3" t="s">
        <v>25</v>
      </c>
      <c r="C4868" s="12" t="s">
        <v>4890</v>
      </c>
      <c r="D4868" s="13">
        <v>62570.0</v>
      </c>
      <c r="E4868" s="4">
        <v>45667.0</v>
      </c>
      <c r="F4868" s="4" t="str">
        <f>IF(D4868="","", IFNA(VLOOKUP(D4868, SATCAT_DECAY!A:B, 2, FALSE), ""))
</f>
        <v/>
      </c>
      <c r="G4868" s="3" t="str">
        <f t="shared" si="1"/>
        <v>ACTIVE</v>
      </c>
    </row>
    <row r="4869" ht="22.5" customHeight="1">
      <c r="A4869" s="11" t="str">
        <f t="array" ref="A4869">IFERROR(
  INDEX('Starlink Launches'!$A:$A, MATCH($E4869, 'Starlink Launches'!$B:$B, 0)),
  ""
)
</f>
        <v>12-12</v>
      </c>
      <c r="B4869" s="3" t="s">
        <v>25</v>
      </c>
      <c r="C4869" s="12" t="s">
        <v>4891</v>
      </c>
      <c r="D4869" s="13">
        <v>62571.0</v>
      </c>
      <c r="E4869" s="4">
        <v>45667.0</v>
      </c>
      <c r="F4869" s="4" t="str">
        <f>IF(D4869="","", IFNA(VLOOKUP(D4869, SATCAT_DECAY!A:B, 2, FALSE), ""))
</f>
        <v/>
      </c>
      <c r="G4869" s="3" t="str">
        <f t="shared" si="1"/>
        <v>ACTIVE</v>
      </c>
    </row>
    <row r="4870" ht="22.5" customHeight="1">
      <c r="A4870" s="11" t="str">
        <f t="array" ref="A4870">IFERROR(
  INDEX('Starlink Launches'!$A:$A, MATCH($E4870, 'Starlink Launches'!$B:$B, 0)),
  ""
)
</f>
        <v>12-12</v>
      </c>
      <c r="B4870" s="3" t="s">
        <v>25</v>
      </c>
      <c r="C4870" s="12" t="s">
        <v>4892</v>
      </c>
      <c r="D4870" s="13">
        <v>62572.0</v>
      </c>
      <c r="E4870" s="4">
        <v>45667.0</v>
      </c>
      <c r="F4870" s="4" t="str">
        <f>IF(D4870="","", IFNA(VLOOKUP(D4870, SATCAT_DECAY!A:B, 2, FALSE), ""))
</f>
        <v/>
      </c>
      <c r="G4870" s="3" t="str">
        <f t="shared" si="1"/>
        <v>ACTIVE</v>
      </c>
    </row>
    <row r="4871" ht="22.5" customHeight="1">
      <c r="A4871" s="11" t="str">
        <f t="array" ref="A4871">IFERROR(
  INDEX('Starlink Launches'!$A:$A, MATCH($E4871, 'Starlink Launches'!$B:$B, 0)),
  ""
)
</f>
        <v>12-12</v>
      </c>
      <c r="B4871" s="3" t="s">
        <v>25</v>
      </c>
      <c r="C4871" s="12" t="s">
        <v>4893</v>
      </c>
      <c r="D4871" s="13">
        <v>62573.0</v>
      </c>
      <c r="E4871" s="4">
        <v>45667.0</v>
      </c>
      <c r="F4871" s="4" t="str">
        <f>IF(D4871="","", IFNA(VLOOKUP(D4871, SATCAT_DECAY!A:B, 2, FALSE), ""))
</f>
        <v/>
      </c>
      <c r="G4871" s="3" t="str">
        <f t="shared" si="1"/>
        <v>ACTIVE</v>
      </c>
    </row>
    <row r="4872" ht="22.5" customHeight="1">
      <c r="A4872" s="11" t="str">
        <f t="array" ref="A4872">IFERROR(
  INDEX('Starlink Launches'!$A:$A, MATCH($E4872, 'Starlink Launches'!$B:$B, 0)),
  ""
)
</f>
        <v>12-12</v>
      </c>
      <c r="B4872" s="3" t="s">
        <v>25</v>
      </c>
      <c r="C4872" s="12" t="s">
        <v>4894</v>
      </c>
      <c r="D4872" s="13">
        <v>62574.0</v>
      </c>
      <c r="E4872" s="4">
        <v>45667.0</v>
      </c>
      <c r="F4872" s="4" t="str">
        <f>IF(D4872="","", IFNA(VLOOKUP(D4872, SATCAT_DECAY!A:B, 2, FALSE), ""))
</f>
        <v/>
      </c>
      <c r="G4872" s="3" t="str">
        <f t="shared" si="1"/>
        <v>ACTIVE</v>
      </c>
    </row>
    <row r="4873" ht="22.5" customHeight="1">
      <c r="A4873" s="11" t="str">
        <f t="array" ref="A4873">IFERROR(
  INDEX('Starlink Launches'!$A:$A, MATCH($E4873, 'Starlink Launches'!$B:$B, 0)),
  ""
)
</f>
        <v>12-4</v>
      </c>
      <c r="B4873" s="3" t="s">
        <v>25</v>
      </c>
      <c r="C4873" s="12" t="s">
        <v>4895</v>
      </c>
      <c r="D4873" s="13">
        <v>62587.0</v>
      </c>
      <c r="E4873" s="4">
        <v>45670.0</v>
      </c>
      <c r="F4873" s="4" t="str">
        <f>IF(D4873="","", IFNA(VLOOKUP(D4873, SATCAT_DECAY!A:B, 2, FALSE), ""))
</f>
        <v/>
      </c>
      <c r="G4873" s="3" t="str">
        <f t="shared" si="1"/>
        <v>ACTIVE</v>
      </c>
    </row>
    <row r="4874" ht="22.5" customHeight="1">
      <c r="A4874" s="11" t="str">
        <f t="array" ref="A4874">IFERROR(
  INDEX('Starlink Launches'!$A:$A, MATCH($E4874, 'Starlink Launches'!$B:$B, 0)),
  ""
)
</f>
        <v>12-4</v>
      </c>
      <c r="B4874" s="3" t="s">
        <v>25</v>
      </c>
      <c r="C4874" s="12" t="s">
        <v>4896</v>
      </c>
      <c r="D4874" s="13">
        <v>62588.0</v>
      </c>
      <c r="E4874" s="4">
        <v>45670.0</v>
      </c>
      <c r="F4874" s="4" t="str">
        <f>IF(D4874="","", IFNA(VLOOKUP(D4874, SATCAT_DECAY!A:B, 2, FALSE), ""))
</f>
        <v/>
      </c>
      <c r="G4874" s="3" t="str">
        <f t="shared" si="1"/>
        <v>ACTIVE</v>
      </c>
    </row>
    <row r="4875" ht="22.5" customHeight="1">
      <c r="A4875" s="11" t="str">
        <f t="array" ref="A4875">IFERROR(
  INDEX('Starlink Launches'!$A:$A, MATCH($E4875, 'Starlink Launches'!$B:$B, 0)),
  ""
)
</f>
        <v>12-4</v>
      </c>
      <c r="B4875" s="3" t="s">
        <v>25</v>
      </c>
      <c r="C4875" s="12" t="s">
        <v>4897</v>
      </c>
      <c r="D4875" s="13">
        <v>62589.0</v>
      </c>
      <c r="E4875" s="4">
        <v>45670.0</v>
      </c>
      <c r="F4875" s="4" t="str">
        <f>IF(D4875="","", IFNA(VLOOKUP(D4875, SATCAT_DECAY!A:B, 2, FALSE), ""))
</f>
        <v/>
      </c>
      <c r="G4875" s="3" t="str">
        <f t="shared" si="1"/>
        <v>ACTIVE</v>
      </c>
    </row>
    <row r="4876" ht="22.5" customHeight="1">
      <c r="A4876" s="11" t="str">
        <f t="array" ref="A4876">IFERROR(
  INDEX('Starlink Launches'!$A:$A, MATCH($E4876, 'Starlink Launches'!$B:$B, 0)),
  ""
)
</f>
        <v>12-4</v>
      </c>
      <c r="B4876" s="3" t="s">
        <v>25</v>
      </c>
      <c r="C4876" s="12" t="s">
        <v>4898</v>
      </c>
      <c r="D4876" s="13">
        <v>62590.0</v>
      </c>
      <c r="E4876" s="4">
        <v>45670.0</v>
      </c>
      <c r="F4876" s="4" t="str">
        <f>IF(D4876="","", IFNA(VLOOKUP(D4876, SATCAT_DECAY!A:B, 2, FALSE), ""))
</f>
        <v/>
      </c>
      <c r="G4876" s="3" t="str">
        <f t="shared" si="1"/>
        <v>ACTIVE</v>
      </c>
    </row>
    <row r="4877" ht="22.5" customHeight="1">
      <c r="A4877" s="11" t="str">
        <f t="array" ref="A4877">IFERROR(
  INDEX('Starlink Launches'!$A:$A, MATCH($E4877, 'Starlink Launches'!$B:$B, 0)),
  ""
)
</f>
        <v>12-4</v>
      </c>
      <c r="B4877" s="3" t="s">
        <v>25</v>
      </c>
      <c r="C4877" s="12" t="s">
        <v>4899</v>
      </c>
      <c r="D4877" s="13">
        <v>62591.0</v>
      </c>
      <c r="E4877" s="4">
        <v>45670.0</v>
      </c>
      <c r="F4877" s="4" t="str">
        <f>IF(D4877="","", IFNA(VLOOKUP(D4877, SATCAT_DECAY!A:B, 2, FALSE), ""))
</f>
        <v/>
      </c>
      <c r="G4877" s="3" t="str">
        <f t="shared" si="1"/>
        <v>ACTIVE</v>
      </c>
    </row>
    <row r="4878" ht="22.5" customHeight="1">
      <c r="A4878" s="11" t="str">
        <f t="array" ref="A4878">IFERROR(
  INDEX('Starlink Launches'!$A:$A, MATCH($E4878, 'Starlink Launches'!$B:$B, 0)),
  ""
)
</f>
        <v>12-4</v>
      </c>
      <c r="B4878" s="3" t="s">
        <v>25</v>
      </c>
      <c r="C4878" s="12" t="s">
        <v>4900</v>
      </c>
      <c r="D4878" s="13">
        <v>62592.0</v>
      </c>
      <c r="E4878" s="4">
        <v>45670.0</v>
      </c>
      <c r="F4878" s="4" t="str">
        <f>IF(D4878="","", IFNA(VLOOKUP(D4878, SATCAT_DECAY!A:B, 2, FALSE), ""))
</f>
        <v/>
      </c>
      <c r="G4878" s="3" t="str">
        <f t="shared" si="1"/>
        <v>ACTIVE</v>
      </c>
    </row>
    <row r="4879" ht="22.5" customHeight="1">
      <c r="A4879" s="11" t="str">
        <f t="array" ref="A4879">IFERROR(
  INDEX('Starlink Launches'!$A:$A, MATCH($E4879, 'Starlink Launches'!$B:$B, 0)),
  ""
)
</f>
        <v>12-4</v>
      </c>
      <c r="B4879" s="3" t="s">
        <v>25</v>
      </c>
      <c r="C4879" s="12" t="s">
        <v>4901</v>
      </c>
      <c r="D4879" s="13">
        <v>62593.0</v>
      </c>
      <c r="E4879" s="4">
        <v>45670.0</v>
      </c>
      <c r="F4879" s="4" t="str">
        <f>IF(D4879="","", IFNA(VLOOKUP(D4879, SATCAT_DECAY!A:B, 2, FALSE), ""))
</f>
        <v/>
      </c>
      <c r="G4879" s="3" t="str">
        <f t="shared" si="1"/>
        <v>ACTIVE</v>
      </c>
    </row>
    <row r="4880" ht="22.5" customHeight="1">
      <c r="A4880" s="11" t="str">
        <f t="array" ref="A4880">IFERROR(
  INDEX('Starlink Launches'!$A:$A, MATCH($E4880, 'Starlink Launches'!$B:$B, 0)),
  ""
)
</f>
        <v>12-4</v>
      </c>
      <c r="B4880" s="3" t="s">
        <v>25</v>
      </c>
      <c r="C4880" s="12" t="s">
        <v>4902</v>
      </c>
      <c r="D4880" s="13">
        <v>62594.0</v>
      </c>
      <c r="E4880" s="4">
        <v>45670.0</v>
      </c>
      <c r="F4880" s="4" t="str">
        <f>IF(D4880="","", IFNA(VLOOKUP(D4880, SATCAT_DECAY!A:B, 2, FALSE), ""))
</f>
        <v/>
      </c>
      <c r="G4880" s="3" t="str">
        <f t="shared" si="1"/>
        <v>ACTIVE</v>
      </c>
    </row>
    <row r="4881" ht="22.5" customHeight="1">
      <c r="A4881" s="11" t="str">
        <f t="array" ref="A4881">IFERROR(
  INDEX('Starlink Launches'!$A:$A, MATCH($E4881, 'Starlink Launches'!$B:$B, 0)),
  ""
)
</f>
        <v>12-4</v>
      </c>
      <c r="B4881" s="3" t="s">
        <v>25</v>
      </c>
      <c r="C4881" s="12" t="s">
        <v>4903</v>
      </c>
      <c r="D4881" s="13">
        <v>62595.0</v>
      </c>
      <c r="E4881" s="4">
        <v>45670.0</v>
      </c>
      <c r="F4881" s="4" t="str">
        <f>IF(D4881="","", IFNA(VLOOKUP(D4881, SATCAT_DECAY!A:B, 2, FALSE), ""))
</f>
        <v/>
      </c>
      <c r="G4881" s="3" t="str">
        <f t="shared" si="1"/>
        <v>ACTIVE</v>
      </c>
    </row>
    <row r="4882" ht="22.5" customHeight="1">
      <c r="A4882" s="11" t="str">
        <f t="array" ref="A4882">IFERROR(
  INDEX('Starlink Launches'!$A:$A, MATCH($E4882, 'Starlink Launches'!$B:$B, 0)),
  ""
)
</f>
        <v>12-4</v>
      </c>
      <c r="B4882" s="3" t="s">
        <v>25</v>
      </c>
      <c r="C4882" s="12" t="s">
        <v>4904</v>
      </c>
      <c r="D4882" s="13">
        <v>62597.0</v>
      </c>
      <c r="E4882" s="4">
        <v>45670.0</v>
      </c>
      <c r="F4882" s="4" t="str">
        <f>IF(D4882="","", IFNA(VLOOKUP(D4882, SATCAT_DECAY!A:B, 2, FALSE), ""))
</f>
        <v/>
      </c>
      <c r="G4882" s="3" t="str">
        <f t="shared" si="1"/>
        <v>ACTIVE</v>
      </c>
    </row>
    <row r="4883" ht="22.5" customHeight="1">
      <c r="A4883" s="11" t="str">
        <f t="array" ref="A4883">IFERROR(
  INDEX('Starlink Launches'!$A:$A, MATCH($E4883, 'Starlink Launches'!$B:$B, 0)),
  ""
)
</f>
        <v>12-4</v>
      </c>
      <c r="B4883" s="3" t="s">
        <v>25</v>
      </c>
      <c r="C4883" s="12" t="s">
        <v>4905</v>
      </c>
      <c r="D4883" s="13">
        <v>62598.0</v>
      </c>
      <c r="E4883" s="4">
        <v>45670.0</v>
      </c>
      <c r="F4883" s="4" t="str">
        <f>IF(D4883="","", IFNA(VLOOKUP(D4883, SATCAT_DECAY!A:B, 2, FALSE), ""))
</f>
        <v/>
      </c>
      <c r="G4883" s="3" t="str">
        <f t="shared" si="1"/>
        <v>ACTIVE</v>
      </c>
    </row>
    <row r="4884" ht="22.5" customHeight="1">
      <c r="A4884" s="11" t="str">
        <f t="array" ref="A4884">IFERROR(
  INDEX('Starlink Launches'!$A:$A, MATCH($E4884, 'Starlink Launches'!$B:$B, 0)),
  ""
)
</f>
        <v>12-4</v>
      </c>
      <c r="B4884" s="3" t="s">
        <v>25</v>
      </c>
      <c r="C4884" s="12" t="s">
        <v>4906</v>
      </c>
      <c r="D4884" s="13">
        <v>62599.0</v>
      </c>
      <c r="E4884" s="4">
        <v>45670.0</v>
      </c>
      <c r="F4884" s="4" t="str">
        <f>IF(D4884="","", IFNA(VLOOKUP(D4884, SATCAT_DECAY!A:B, 2, FALSE), ""))
</f>
        <v/>
      </c>
      <c r="G4884" s="3" t="str">
        <f t="shared" si="1"/>
        <v>ACTIVE</v>
      </c>
    </row>
    <row r="4885" ht="22.5" customHeight="1">
      <c r="A4885" s="11" t="str">
        <f t="array" ref="A4885">IFERROR(
  INDEX('Starlink Launches'!$A:$A, MATCH($E4885, 'Starlink Launches'!$B:$B, 0)),
  ""
)
</f>
        <v>12-4</v>
      </c>
      <c r="B4885" s="3" t="s">
        <v>25</v>
      </c>
      <c r="C4885" s="12" t="s">
        <v>4907</v>
      </c>
      <c r="D4885" s="13">
        <v>62600.0</v>
      </c>
      <c r="E4885" s="4">
        <v>45670.0</v>
      </c>
      <c r="F4885" s="4" t="str">
        <f>IF(D4885="","", IFNA(VLOOKUP(D4885, SATCAT_DECAY!A:B, 2, FALSE), ""))
</f>
        <v/>
      </c>
      <c r="G4885" s="3" t="str">
        <f t="shared" si="1"/>
        <v>ACTIVE</v>
      </c>
    </row>
    <row r="4886" ht="22.5" customHeight="1">
      <c r="A4886" s="11" t="str">
        <f t="array" ref="A4886">IFERROR(
  INDEX('Starlink Launches'!$A:$A, MATCH($E4886, 'Starlink Launches'!$B:$B, 0)),
  ""
)
</f>
        <v>12-4</v>
      </c>
      <c r="B4886" s="3" t="s">
        <v>25</v>
      </c>
      <c r="C4886" s="12" t="s">
        <v>4908</v>
      </c>
      <c r="D4886" s="13">
        <v>62601.0</v>
      </c>
      <c r="E4886" s="4">
        <v>45670.0</v>
      </c>
      <c r="F4886" s="4" t="str">
        <f>IF(D4886="","", IFNA(VLOOKUP(D4886, SATCAT_DECAY!A:B, 2, FALSE), ""))
</f>
        <v/>
      </c>
      <c r="G4886" s="3" t="str">
        <f t="shared" si="1"/>
        <v>ACTIVE</v>
      </c>
    </row>
    <row r="4887" ht="22.5" customHeight="1">
      <c r="A4887" s="11" t="str">
        <f t="array" ref="A4887">IFERROR(
  INDEX('Starlink Launches'!$A:$A, MATCH($E4887, 'Starlink Launches'!$B:$B, 0)),
  ""
)
</f>
        <v>12-4</v>
      </c>
      <c r="B4887" s="3" t="s">
        <v>25</v>
      </c>
      <c r="C4887" s="12" t="s">
        <v>4909</v>
      </c>
      <c r="D4887" s="13">
        <v>62602.0</v>
      </c>
      <c r="E4887" s="4">
        <v>45670.0</v>
      </c>
      <c r="F4887" s="4" t="str">
        <f>IF(D4887="","", IFNA(VLOOKUP(D4887, SATCAT_DECAY!A:B, 2, FALSE), ""))
</f>
        <v/>
      </c>
      <c r="G4887" s="3" t="str">
        <f t="shared" si="1"/>
        <v>ACTIVE</v>
      </c>
    </row>
    <row r="4888" ht="22.5" customHeight="1">
      <c r="A4888" s="11" t="str">
        <f t="array" ref="A4888">IFERROR(
  INDEX('Starlink Launches'!$A:$A, MATCH($E4888, 'Starlink Launches'!$B:$B, 0)),
  ""
)
</f>
        <v>12-4</v>
      </c>
      <c r="B4888" s="3" t="s">
        <v>25</v>
      </c>
      <c r="C4888" s="12" t="s">
        <v>4910</v>
      </c>
      <c r="D4888" s="13">
        <v>62603.0</v>
      </c>
      <c r="E4888" s="4">
        <v>45670.0</v>
      </c>
      <c r="F4888" s="4" t="str">
        <f>IF(D4888="","", IFNA(VLOOKUP(D4888, SATCAT_DECAY!A:B, 2, FALSE), ""))
</f>
        <v/>
      </c>
      <c r="G4888" s="3" t="str">
        <f t="shared" si="1"/>
        <v>ACTIVE</v>
      </c>
    </row>
    <row r="4889" ht="22.5" customHeight="1">
      <c r="A4889" s="11" t="str">
        <f t="array" ref="A4889">IFERROR(
  INDEX('Starlink Launches'!$A:$A, MATCH($E4889, 'Starlink Launches'!$B:$B, 0)),
  ""
)
</f>
        <v>12-4</v>
      </c>
      <c r="B4889" s="3" t="s">
        <v>25</v>
      </c>
      <c r="C4889" s="12" t="s">
        <v>4911</v>
      </c>
      <c r="D4889" s="13">
        <v>62604.0</v>
      </c>
      <c r="E4889" s="4">
        <v>45670.0</v>
      </c>
      <c r="F4889" s="4" t="str">
        <f>IF(D4889="","", IFNA(VLOOKUP(D4889, SATCAT_DECAY!A:B, 2, FALSE), ""))
</f>
        <v/>
      </c>
      <c r="G4889" s="3" t="str">
        <f t="shared" si="1"/>
        <v>ACTIVE</v>
      </c>
    </row>
    <row r="4890" ht="22.5" customHeight="1">
      <c r="A4890" s="11" t="str">
        <f t="array" ref="A4890">IFERROR(
  INDEX('Starlink Launches'!$A:$A, MATCH($E4890, 'Starlink Launches'!$B:$B, 0)),
  ""
)
</f>
        <v>12-4</v>
      </c>
      <c r="B4890" s="3" t="s">
        <v>25</v>
      </c>
      <c r="C4890" s="12" t="s">
        <v>4912</v>
      </c>
      <c r="D4890" s="13">
        <v>62605.0</v>
      </c>
      <c r="E4890" s="4">
        <v>45670.0</v>
      </c>
      <c r="F4890" s="4" t="str">
        <f>IF(D4890="","", IFNA(VLOOKUP(D4890, SATCAT_DECAY!A:B, 2, FALSE), ""))
</f>
        <v/>
      </c>
      <c r="G4890" s="3" t="str">
        <f t="shared" si="1"/>
        <v>ACTIVE</v>
      </c>
    </row>
    <row r="4891" ht="22.5" customHeight="1">
      <c r="A4891" s="11" t="str">
        <f t="array" ref="A4891">IFERROR(
  INDEX('Starlink Launches'!$A:$A, MATCH($E4891, 'Starlink Launches'!$B:$B, 0)),
  ""
)
</f>
        <v>12-4</v>
      </c>
      <c r="B4891" s="3" t="s">
        <v>25</v>
      </c>
      <c r="C4891" s="12" t="s">
        <v>4913</v>
      </c>
      <c r="D4891" s="13">
        <v>62606.0</v>
      </c>
      <c r="E4891" s="4">
        <v>45670.0</v>
      </c>
      <c r="F4891" s="4" t="str">
        <f>IF(D4891="","", IFNA(VLOOKUP(D4891, SATCAT_DECAY!A:B, 2, FALSE), ""))
</f>
        <v/>
      </c>
      <c r="G4891" s="3" t="str">
        <f t="shared" si="1"/>
        <v>ACTIVE</v>
      </c>
    </row>
    <row r="4892" ht="22.5" customHeight="1">
      <c r="A4892" s="11" t="str">
        <f t="array" ref="A4892">IFERROR(
  INDEX('Starlink Launches'!$A:$A, MATCH($E4892, 'Starlink Launches'!$B:$B, 0)),
  ""
)
</f>
        <v>12-4</v>
      </c>
      <c r="B4892" s="3" t="s">
        <v>25</v>
      </c>
      <c r="C4892" s="12" t="s">
        <v>4914</v>
      </c>
      <c r="D4892" s="13">
        <v>62607.0</v>
      </c>
      <c r="E4892" s="4">
        <v>45670.0</v>
      </c>
      <c r="F4892" s="4" t="str">
        <f>IF(D4892="","", IFNA(VLOOKUP(D4892, SATCAT_DECAY!A:B, 2, FALSE), ""))
</f>
        <v/>
      </c>
      <c r="G4892" s="3" t="str">
        <f t="shared" si="1"/>
        <v>ACTIVE</v>
      </c>
    </row>
    <row r="4893" ht="22.5" customHeight="1">
      <c r="A4893" s="11" t="str">
        <f t="array" ref="A4893">IFERROR(
  INDEX('Starlink Launches'!$A:$A, MATCH($E4893, 'Starlink Launches'!$B:$B, 0)),
  ""
)
</f>
        <v>12-7</v>
      </c>
      <c r="B4893" s="3" t="s">
        <v>25</v>
      </c>
      <c r="C4893" s="12" t="s">
        <v>4915</v>
      </c>
      <c r="D4893" s="13">
        <v>62829.0</v>
      </c>
      <c r="E4893" s="4">
        <v>45684.0</v>
      </c>
      <c r="F4893" s="4" t="str">
        <f>IF(D4893="","", IFNA(VLOOKUP(D4893, SATCAT_DECAY!A:B, 2, FALSE), ""))
</f>
        <v/>
      </c>
      <c r="G4893" s="3" t="str">
        <f t="shared" si="1"/>
        <v>ACTIVE</v>
      </c>
    </row>
    <row r="4894" ht="22.5" customHeight="1">
      <c r="A4894" s="11" t="str">
        <f t="array" ref="A4894">IFERROR(
  INDEX('Starlink Launches'!$A:$A, MATCH($E4894, 'Starlink Launches'!$B:$B, 0)),
  ""
)
</f>
        <v>12-7</v>
      </c>
      <c r="B4894" s="3" t="s">
        <v>25</v>
      </c>
      <c r="C4894" s="12" t="s">
        <v>4916</v>
      </c>
      <c r="D4894" s="13">
        <v>62830.0</v>
      </c>
      <c r="E4894" s="4">
        <v>45684.0</v>
      </c>
      <c r="F4894" s="4" t="str">
        <f>IF(D4894="","", IFNA(VLOOKUP(D4894, SATCAT_DECAY!A:B, 2, FALSE), ""))
</f>
        <v/>
      </c>
      <c r="G4894" s="3" t="str">
        <f t="shared" si="1"/>
        <v>ACTIVE</v>
      </c>
    </row>
    <row r="4895" ht="22.5" customHeight="1">
      <c r="A4895" s="11" t="str">
        <f t="array" ref="A4895">IFERROR(
  INDEX('Starlink Launches'!$A:$A, MATCH($E4895, 'Starlink Launches'!$B:$B, 0)),
  ""
)
</f>
        <v>12-7</v>
      </c>
      <c r="B4895" s="3" t="s">
        <v>25</v>
      </c>
      <c r="C4895" s="12" t="s">
        <v>4917</v>
      </c>
      <c r="D4895" s="13">
        <v>62831.0</v>
      </c>
      <c r="E4895" s="4">
        <v>45684.0</v>
      </c>
      <c r="F4895" s="4" t="str">
        <f>IF(D4895="","", IFNA(VLOOKUP(D4895, SATCAT_DECAY!A:B, 2, FALSE), ""))
</f>
        <v/>
      </c>
      <c r="G4895" s="3" t="str">
        <f t="shared" si="1"/>
        <v>ACTIVE</v>
      </c>
    </row>
    <row r="4896" ht="22.5" customHeight="1">
      <c r="A4896" s="11" t="str">
        <f t="array" ref="A4896">IFERROR(
  INDEX('Starlink Launches'!$A:$A, MATCH($E4896, 'Starlink Launches'!$B:$B, 0)),
  ""
)
</f>
        <v>12-7</v>
      </c>
      <c r="B4896" s="3" t="s">
        <v>25</v>
      </c>
      <c r="C4896" s="12" t="s">
        <v>4918</v>
      </c>
      <c r="D4896" s="13">
        <v>62832.0</v>
      </c>
      <c r="E4896" s="4">
        <v>45684.0</v>
      </c>
      <c r="F4896" s="4" t="str">
        <f>IF(D4896="","", IFNA(VLOOKUP(D4896, SATCAT_DECAY!A:B, 2, FALSE), ""))
</f>
        <v/>
      </c>
      <c r="G4896" s="3" t="str">
        <f t="shared" si="1"/>
        <v>ACTIVE</v>
      </c>
    </row>
    <row r="4897" ht="22.5" customHeight="1">
      <c r="A4897" s="11" t="str">
        <f t="array" ref="A4897">IFERROR(
  INDEX('Starlink Launches'!$A:$A, MATCH($E4897, 'Starlink Launches'!$B:$B, 0)),
  ""
)
</f>
        <v>12-7</v>
      </c>
      <c r="B4897" s="3" t="s">
        <v>25</v>
      </c>
      <c r="C4897" s="12" t="s">
        <v>4919</v>
      </c>
      <c r="D4897" s="13">
        <v>62833.0</v>
      </c>
      <c r="E4897" s="4">
        <v>45684.0</v>
      </c>
      <c r="F4897" s="4" t="str">
        <f>IF(D4897="","", IFNA(VLOOKUP(D4897, SATCAT_DECAY!A:B, 2, FALSE), ""))
</f>
        <v/>
      </c>
      <c r="G4897" s="3" t="str">
        <f t="shared" si="1"/>
        <v>ACTIVE</v>
      </c>
    </row>
    <row r="4898" ht="22.5" customHeight="1">
      <c r="A4898" s="11" t="str">
        <f t="array" ref="A4898">IFERROR(
  INDEX('Starlink Launches'!$A:$A, MATCH($E4898, 'Starlink Launches'!$B:$B, 0)),
  ""
)
</f>
        <v>12-7</v>
      </c>
      <c r="B4898" s="3" t="s">
        <v>25</v>
      </c>
      <c r="C4898" s="12" t="s">
        <v>4920</v>
      </c>
      <c r="D4898" s="13">
        <v>62834.0</v>
      </c>
      <c r="E4898" s="4">
        <v>45684.0</v>
      </c>
      <c r="F4898" s="4" t="str">
        <f>IF(D4898="","", IFNA(VLOOKUP(D4898, SATCAT_DECAY!A:B, 2, FALSE), ""))
</f>
        <v/>
      </c>
      <c r="G4898" s="3" t="str">
        <f t="shared" si="1"/>
        <v>ACTIVE</v>
      </c>
    </row>
    <row r="4899" ht="22.5" customHeight="1">
      <c r="A4899" s="11" t="str">
        <f t="array" ref="A4899">IFERROR(
  INDEX('Starlink Launches'!$A:$A, MATCH($E4899, 'Starlink Launches'!$B:$B, 0)),
  ""
)
</f>
        <v>12-7</v>
      </c>
      <c r="B4899" s="3" t="s">
        <v>25</v>
      </c>
      <c r="C4899" s="12" t="s">
        <v>4921</v>
      </c>
      <c r="D4899" s="13">
        <v>62835.0</v>
      </c>
      <c r="E4899" s="4">
        <v>45684.0</v>
      </c>
      <c r="F4899" s="4" t="str">
        <f>IF(D4899="","", IFNA(VLOOKUP(D4899, SATCAT_DECAY!A:B, 2, FALSE), ""))
</f>
        <v/>
      </c>
      <c r="G4899" s="3" t="str">
        <f t="shared" si="1"/>
        <v>ACTIVE</v>
      </c>
    </row>
    <row r="4900" ht="22.5" customHeight="1">
      <c r="A4900" s="11" t="str">
        <f t="array" ref="A4900">IFERROR(
  INDEX('Starlink Launches'!$A:$A, MATCH($E4900, 'Starlink Launches'!$B:$B, 0)),
  ""
)
</f>
        <v>12-7</v>
      </c>
      <c r="B4900" s="3" t="s">
        <v>25</v>
      </c>
      <c r="C4900" s="12" t="s">
        <v>4922</v>
      </c>
      <c r="D4900" s="13">
        <v>62836.0</v>
      </c>
      <c r="E4900" s="4">
        <v>45684.0</v>
      </c>
      <c r="F4900" s="4" t="str">
        <f>IF(D4900="","", IFNA(VLOOKUP(D4900, SATCAT_DECAY!A:B, 2, FALSE), ""))
</f>
        <v/>
      </c>
      <c r="G4900" s="3" t="str">
        <f t="shared" si="1"/>
        <v>ACTIVE</v>
      </c>
    </row>
    <row r="4901" ht="22.5" customHeight="1">
      <c r="A4901" s="11" t="str">
        <f t="array" ref="A4901">IFERROR(
  INDEX('Starlink Launches'!$A:$A, MATCH($E4901, 'Starlink Launches'!$B:$B, 0)),
  ""
)
</f>
        <v>12-7</v>
      </c>
      <c r="B4901" s="3" t="s">
        <v>25</v>
      </c>
      <c r="C4901" s="12" t="s">
        <v>4923</v>
      </c>
      <c r="D4901" s="13">
        <v>62837.0</v>
      </c>
      <c r="E4901" s="4">
        <v>45684.0</v>
      </c>
      <c r="F4901" s="4" t="str">
        <f>IF(D4901="","", IFNA(VLOOKUP(D4901, SATCAT_DECAY!A:B, 2, FALSE), ""))
</f>
        <v/>
      </c>
      <c r="G4901" s="3" t="str">
        <f t="shared" si="1"/>
        <v>ACTIVE</v>
      </c>
    </row>
    <row r="4902" ht="22.5" customHeight="1">
      <c r="A4902" s="11" t="str">
        <f t="array" ref="A4902">IFERROR(
  INDEX('Starlink Launches'!$A:$A, MATCH($E4902, 'Starlink Launches'!$B:$B, 0)),
  ""
)
</f>
        <v>12-7</v>
      </c>
      <c r="B4902" s="3" t="s">
        <v>25</v>
      </c>
      <c r="C4902" s="12" t="s">
        <v>4924</v>
      </c>
      <c r="D4902" s="13">
        <v>62838.0</v>
      </c>
      <c r="E4902" s="4">
        <v>45684.0</v>
      </c>
      <c r="F4902" s="4" t="str">
        <f>IF(D4902="","", IFNA(VLOOKUP(D4902, SATCAT_DECAY!A:B, 2, FALSE), ""))
</f>
        <v/>
      </c>
      <c r="G4902" s="3" t="str">
        <f t="shared" si="1"/>
        <v>ACTIVE</v>
      </c>
    </row>
    <row r="4903" ht="22.5" customHeight="1">
      <c r="A4903" s="11" t="str">
        <f t="array" ref="A4903">IFERROR(
  INDEX('Starlink Launches'!$A:$A, MATCH($E4903, 'Starlink Launches'!$B:$B, 0)),
  ""
)
</f>
        <v>12-7</v>
      </c>
      <c r="B4903" s="3" t="s">
        <v>25</v>
      </c>
      <c r="C4903" s="12" t="s">
        <v>4925</v>
      </c>
      <c r="D4903" s="13">
        <v>62839.0</v>
      </c>
      <c r="E4903" s="4">
        <v>45684.0</v>
      </c>
      <c r="F4903" s="4" t="str">
        <f>IF(D4903="","", IFNA(VLOOKUP(D4903, SATCAT_DECAY!A:B, 2, FALSE), ""))
</f>
        <v/>
      </c>
      <c r="G4903" s="3" t="str">
        <f t="shared" si="1"/>
        <v>ACTIVE</v>
      </c>
    </row>
    <row r="4904" ht="22.5" customHeight="1">
      <c r="A4904" s="11" t="str">
        <f t="array" ref="A4904">IFERROR(
  INDEX('Starlink Launches'!$A:$A, MATCH($E4904, 'Starlink Launches'!$B:$B, 0)),
  ""
)
</f>
        <v>12-7</v>
      </c>
      <c r="B4904" s="3" t="s">
        <v>25</v>
      </c>
      <c r="C4904" s="12" t="s">
        <v>4926</v>
      </c>
      <c r="D4904" s="13">
        <v>62840.0</v>
      </c>
      <c r="E4904" s="4">
        <v>45684.0</v>
      </c>
      <c r="F4904" s="4" t="str">
        <f>IF(D4904="","", IFNA(VLOOKUP(D4904, SATCAT_DECAY!A:B, 2, FALSE), ""))
</f>
        <v/>
      </c>
      <c r="G4904" s="3" t="str">
        <f t="shared" si="1"/>
        <v>ACTIVE</v>
      </c>
    </row>
    <row r="4905" ht="22.5" customHeight="1">
      <c r="A4905" s="11" t="str">
        <f t="array" ref="A4905">IFERROR(
  INDEX('Starlink Launches'!$A:$A, MATCH($E4905, 'Starlink Launches'!$B:$B, 0)),
  ""
)
</f>
        <v>12-7</v>
      </c>
      <c r="B4905" s="3" t="s">
        <v>25</v>
      </c>
      <c r="C4905" s="12" t="s">
        <v>4927</v>
      </c>
      <c r="D4905" s="13">
        <v>62841.0</v>
      </c>
      <c r="E4905" s="4">
        <v>45684.0</v>
      </c>
      <c r="F4905" s="4" t="str">
        <f>IF(D4905="","", IFNA(VLOOKUP(D4905, SATCAT_DECAY!A:B, 2, FALSE), ""))
</f>
        <v/>
      </c>
      <c r="G4905" s="3" t="str">
        <f t="shared" si="1"/>
        <v>ACTIVE</v>
      </c>
    </row>
    <row r="4906" ht="22.5" customHeight="1">
      <c r="A4906" s="11" t="str">
        <f t="array" ref="A4906">IFERROR(
  INDEX('Starlink Launches'!$A:$A, MATCH($E4906, 'Starlink Launches'!$B:$B, 0)),
  ""
)
</f>
        <v>12-7</v>
      </c>
      <c r="B4906" s="3" t="s">
        <v>25</v>
      </c>
      <c r="C4906" s="12" t="s">
        <v>4928</v>
      </c>
      <c r="D4906" s="13">
        <v>62842.0</v>
      </c>
      <c r="E4906" s="4">
        <v>45684.0</v>
      </c>
      <c r="F4906" s="4" t="str">
        <f>IF(D4906="","", IFNA(VLOOKUP(D4906, SATCAT_DECAY!A:B, 2, FALSE), ""))
</f>
        <v/>
      </c>
      <c r="G4906" s="3" t="str">
        <f t="shared" si="1"/>
        <v>ACTIVE</v>
      </c>
    </row>
    <row r="4907" ht="22.5" customHeight="1">
      <c r="A4907" s="11" t="str">
        <f t="array" ref="A4907">IFERROR(
  INDEX('Starlink Launches'!$A:$A, MATCH($E4907, 'Starlink Launches'!$B:$B, 0)),
  ""
)
</f>
        <v>12-7</v>
      </c>
      <c r="B4907" s="3" t="s">
        <v>25</v>
      </c>
      <c r="C4907" s="12" t="s">
        <v>4929</v>
      </c>
      <c r="D4907" s="13">
        <v>62843.0</v>
      </c>
      <c r="E4907" s="4">
        <v>45684.0</v>
      </c>
      <c r="F4907" s="4" t="str">
        <f>IF(D4907="","", IFNA(VLOOKUP(D4907, SATCAT_DECAY!A:B, 2, FALSE), ""))
</f>
        <v/>
      </c>
      <c r="G4907" s="3" t="str">
        <f t="shared" si="1"/>
        <v>ACTIVE</v>
      </c>
    </row>
    <row r="4908" ht="22.5" customHeight="1">
      <c r="A4908" s="11" t="str">
        <f t="array" ref="A4908">IFERROR(
  INDEX('Starlink Launches'!$A:$A, MATCH($E4908, 'Starlink Launches'!$B:$B, 0)),
  ""
)
</f>
        <v>12-7</v>
      </c>
      <c r="B4908" s="3" t="s">
        <v>25</v>
      </c>
      <c r="C4908" s="12" t="s">
        <v>4930</v>
      </c>
      <c r="D4908" s="13">
        <v>62844.0</v>
      </c>
      <c r="E4908" s="4">
        <v>45684.0</v>
      </c>
      <c r="F4908" s="4" t="str">
        <f>IF(D4908="","", IFNA(VLOOKUP(D4908, SATCAT_DECAY!A:B, 2, FALSE), ""))
</f>
        <v/>
      </c>
      <c r="G4908" s="3" t="str">
        <f t="shared" si="1"/>
        <v>ACTIVE</v>
      </c>
    </row>
    <row r="4909" ht="22.5" customHeight="1">
      <c r="A4909" s="11" t="str">
        <f t="array" ref="A4909">IFERROR(
  INDEX('Starlink Launches'!$A:$A, MATCH($E4909, 'Starlink Launches'!$B:$B, 0)),
  ""
)
</f>
        <v>12-7</v>
      </c>
      <c r="B4909" s="3" t="s">
        <v>25</v>
      </c>
      <c r="C4909" s="12" t="s">
        <v>4931</v>
      </c>
      <c r="D4909" s="13">
        <v>62845.0</v>
      </c>
      <c r="E4909" s="4">
        <v>45684.0</v>
      </c>
      <c r="F4909" s="4" t="str">
        <f>IF(D4909="","", IFNA(VLOOKUP(D4909, SATCAT_DECAY!A:B, 2, FALSE), ""))
</f>
        <v/>
      </c>
      <c r="G4909" s="3" t="str">
        <f t="shared" si="1"/>
        <v>ACTIVE</v>
      </c>
    </row>
    <row r="4910" ht="22.5" customHeight="1">
      <c r="A4910" s="11" t="str">
        <f t="array" ref="A4910">IFERROR(
  INDEX('Starlink Launches'!$A:$A, MATCH($E4910, 'Starlink Launches'!$B:$B, 0)),
  ""
)
</f>
        <v>12-7</v>
      </c>
      <c r="B4910" s="3" t="s">
        <v>25</v>
      </c>
      <c r="C4910" s="12" t="s">
        <v>4932</v>
      </c>
      <c r="D4910" s="13">
        <v>62846.0</v>
      </c>
      <c r="E4910" s="4">
        <v>45684.0</v>
      </c>
      <c r="F4910" s="4" t="str">
        <f>IF(D4910="","", IFNA(VLOOKUP(D4910, SATCAT_DECAY!A:B, 2, FALSE), ""))
</f>
        <v/>
      </c>
      <c r="G4910" s="3" t="str">
        <f t="shared" si="1"/>
        <v>ACTIVE</v>
      </c>
    </row>
    <row r="4911" ht="22.5" customHeight="1">
      <c r="A4911" s="11" t="str">
        <f t="array" ref="A4911">IFERROR(
  INDEX('Starlink Launches'!$A:$A, MATCH($E4911, 'Starlink Launches'!$B:$B, 0)),
  ""
)
</f>
        <v>12-7</v>
      </c>
      <c r="B4911" s="3" t="s">
        <v>25</v>
      </c>
      <c r="C4911" s="12" t="s">
        <v>4933</v>
      </c>
      <c r="D4911" s="13">
        <v>62847.0</v>
      </c>
      <c r="E4911" s="4">
        <v>45684.0</v>
      </c>
      <c r="F4911" s="4" t="str">
        <f>IF(D4911="","", IFNA(VLOOKUP(D4911, SATCAT_DECAY!A:B, 2, FALSE), ""))
</f>
        <v/>
      </c>
      <c r="G4911" s="3" t="str">
        <f t="shared" si="1"/>
        <v>ACTIVE</v>
      </c>
    </row>
    <row r="4912" ht="22.5" customHeight="1">
      <c r="A4912" s="11" t="str">
        <f t="array" ref="A4912">IFERROR(
  INDEX('Starlink Launches'!$A:$A, MATCH($E4912, 'Starlink Launches'!$B:$B, 0)),
  ""
)
</f>
        <v>12-7</v>
      </c>
      <c r="B4912" s="3" t="s">
        <v>25</v>
      </c>
      <c r="C4912" s="12" t="s">
        <v>4934</v>
      </c>
      <c r="D4912" s="13">
        <v>62848.0</v>
      </c>
      <c r="E4912" s="4">
        <v>45684.0</v>
      </c>
      <c r="F4912" s="4" t="str">
        <f>IF(D4912="","", IFNA(VLOOKUP(D4912, SATCAT_DECAY!A:B, 2, FALSE), ""))
</f>
        <v/>
      </c>
      <c r="G4912" s="3" t="str">
        <f t="shared" si="1"/>
        <v>ACTIVE</v>
      </c>
    </row>
    <row r="4913" ht="22.5" customHeight="1">
      <c r="A4913" s="11" t="str">
        <f t="array" ref="A4913">IFERROR(
  INDEX('Starlink Launches'!$A:$A, MATCH($E4913, 'Starlink Launches'!$B:$B, 0)),
  ""
)
</f>
        <v>12-7</v>
      </c>
      <c r="B4913" s="3" t="s">
        <v>25</v>
      </c>
      <c r="C4913" s="12" t="s">
        <v>4935</v>
      </c>
      <c r="D4913" s="13">
        <v>62849.0</v>
      </c>
      <c r="E4913" s="4">
        <v>45684.0</v>
      </c>
      <c r="F4913" s="4" t="str">
        <f>IF(D4913="","", IFNA(VLOOKUP(D4913, SATCAT_DECAY!A:B, 2, FALSE), ""))
</f>
        <v/>
      </c>
      <c r="G4913" s="3" t="str">
        <f t="shared" si="1"/>
        <v>ACTIVE</v>
      </c>
    </row>
    <row r="4914" ht="22.5" customHeight="1">
      <c r="A4914" s="11" t="str">
        <f t="array" ref="A4914">IFERROR(
  INDEX('Starlink Launches'!$A:$A, MATCH($E4914, 'Starlink Launches'!$B:$B, 0)),
  ""
)
</f>
        <v>12-9</v>
      </c>
      <c r="B4914" s="3" t="s">
        <v>25</v>
      </c>
      <c r="C4914" s="12" t="s">
        <v>4936</v>
      </c>
      <c r="D4914" s="13">
        <v>62879.0</v>
      </c>
      <c r="E4914" s="4">
        <v>45692.0</v>
      </c>
      <c r="F4914" s="4" t="str">
        <f>IF(D4914="","", IFNA(VLOOKUP(D4914, SATCAT_DECAY!A:B, 2, FALSE), ""))
</f>
        <v/>
      </c>
      <c r="G4914" s="3" t="str">
        <f t="shared" si="1"/>
        <v>ACTIVE</v>
      </c>
    </row>
    <row r="4915" ht="22.5" customHeight="1">
      <c r="A4915" s="11" t="str">
        <f t="array" ref="A4915">IFERROR(
  INDEX('Starlink Launches'!$A:$A, MATCH($E4915, 'Starlink Launches'!$B:$B, 0)),
  ""
)
</f>
        <v>12-9</v>
      </c>
      <c r="B4915" s="3" t="s">
        <v>25</v>
      </c>
      <c r="C4915" s="12" t="s">
        <v>4937</v>
      </c>
      <c r="D4915" s="13">
        <v>62880.0</v>
      </c>
      <c r="E4915" s="4">
        <v>45692.0</v>
      </c>
      <c r="F4915" s="4" t="str">
        <f>IF(D4915="","", IFNA(VLOOKUP(D4915, SATCAT_DECAY!A:B, 2, FALSE), ""))
</f>
        <v/>
      </c>
      <c r="G4915" s="3" t="str">
        <f t="shared" si="1"/>
        <v>ACTIVE</v>
      </c>
    </row>
    <row r="4916" ht="22.5" customHeight="1">
      <c r="A4916" s="11" t="str">
        <f t="array" ref="A4916">IFERROR(
  INDEX('Starlink Launches'!$A:$A, MATCH($E4916, 'Starlink Launches'!$B:$B, 0)),
  ""
)
</f>
        <v>12-9</v>
      </c>
      <c r="B4916" s="3" t="s">
        <v>25</v>
      </c>
      <c r="C4916" s="12" t="s">
        <v>4938</v>
      </c>
      <c r="D4916" s="13">
        <v>62881.0</v>
      </c>
      <c r="E4916" s="4">
        <v>45692.0</v>
      </c>
      <c r="F4916" s="4" t="str">
        <f>IF(D4916="","", IFNA(VLOOKUP(D4916, SATCAT_DECAY!A:B, 2, FALSE), ""))
</f>
        <v/>
      </c>
      <c r="G4916" s="3" t="str">
        <f t="shared" si="1"/>
        <v>ACTIVE</v>
      </c>
    </row>
    <row r="4917" ht="22.5" customHeight="1">
      <c r="A4917" s="11" t="str">
        <f t="array" ref="A4917">IFERROR(
  INDEX('Starlink Launches'!$A:$A, MATCH($E4917, 'Starlink Launches'!$B:$B, 0)),
  ""
)
</f>
        <v>12-9</v>
      </c>
      <c r="B4917" s="3" t="s">
        <v>25</v>
      </c>
      <c r="C4917" s="12" t="s">
        <v>4939</v>
      </c>
      <c r="D4917" s="13">
        <v>62882.0</v>
      </c>
      <c r="E4917" s="4">
        <v>45692.0</v>
      </c>
      <c r="F4917" s="4" t="str">
        <f>IF(D4917="","", IFNA(VLOOKUP(D4917, SATCAT_DECAY!A:B, 2, FALSE), ""))
</f>
        <v/>
      </c>
      <c r="G4917" s="3" t="str">
        <f t="shared" si="1"/>
        <v>ACTIVE</v>
      </c>
    </row>
    <row r="4918" ht="22.5" customHeight="1">
      <c r="A4918" s="11" t="str">
        <f t="array" ref="A4918">IFERROR(
  INDEX('Starlink Launches'!$A:$A, MATCH($E4918, 'Starlink Launches'!$B:$B, 0)),
  ""
)
</f>
        <v>12-9</v>
      </c>
      <c r="B4918" s="3" t="s">
        <v>25</v>
      </c>
      <c r="C4918" s="12" t="s">
        <v>4940</v>
      </c>
      <c r="D4918" s="13">
        <v>62883.0</v>
      </c>
      <c r="E4918" s="4">
        <v>45692.0</v>
      </c>
      <c r="F4918" s="4" t="str">
        <f>IF(D4918="","", IFNA(VLOOKUP(D4918, SATCAT_DECAY!A:B, 2, FALSE), ""))
</f>
        <v/>
      </c>
      <c r="G4918" s="3" t="str">
        <f t="shared" si="1"/>
        <v>ACTIVE</v>
      </c>
    </row>
    <row r="4919" ht="22.5" customHeight="1">
      <c r="A4919" s="11" t="str">
        <f t="array" ref="A4919">IFERROR(
  INDEX('Starlink Launches'!$A:$A, MATCH($E4919, 'Starlink Launches'!$B:$B, 0)),
  ""
)
</f>
        <v>12-9</v>
      </c>
      <c r="B4919" s="3" t="s">
        <v>25</v>
      </c>
      <c r="C4919" s="12" t="s">
        <v>4941</v>
      </c>
      <c r="D4919" s="13">
        <v>62884.0</v>
      </c>
      <c r="E4919" s="4">
        <v>45692.0</v>
      </c>
      <c r="F4919" s="4" t="str">
        <f>IF(D4919="","", IFNA(VLOOKUP(D4919, SATCAT_DECAY!A:B, 2, FALSE), ""))
</f>
        <v/>
      </c>
      <c r="G4919" s="3" t="str">
        <f t="shared" si="1"/>
        <v>ACTIVE</v>
      </c>
    </row>
    <row r="4920" ht="22.5" customHeight="1">
      <c r="A4920" s="11" t="str">
        <f t="array" ref="A4920">IFERROR(
  INDEX('Starlink Launches'!$A:$A, MATCH($E4920, 'Starlink Launches'!$B:$B, 0)),
  ""
)
</f>
        <v>12-9</v>
      </c>
      <c r="B4920" s="3" t="s">
        <v>25</v>
      </c>
      <c r="C4920" s="12" t="s">
        <v>4942</v>
      </c>
      <c r="D4920" s="13">
        <v>62885.0</v>
      </c>
      <c r="E4920" s="4">
        <v>45692.0</v>
      </c>
      <c r="F4920" s="4" t="str">
        <f>IF(D4920="","", IFNA(VLOOKUP(D4920, SATCAT_DECAY!A:B, 2, FALSE), ""))
</f>
        <v/>
      </c>
      <c r="G4920" s="3" t="str">
        <f t="shared" si="1"/>
        <v>ACTIVE</v>
      </c>
    </row>
    <row r="4921" ht="22.5" customHeight="1">
      <c r="A4921" s="11" t="str">
        <f t="array" ref="A4921">IFERROR(
  INDEX('Starlink Launches'!$A:$A, MATCH($E4921, 'Starlink Launches'!$B:$B, 0)),
  ""
)
</f>
        <v>12-9</v>
      </c>
      <c r="B4921" s="3" t="s">
        <v>25</v>
      </c>
      <c r="C4921" s="12" t="s">
        <v>4943</v>
      </c>
      <c r="D4921" s="13">
        <v>62886.0</v>
      </c>
      <c r="E4921" s="4">
        <v>45692.0</v>
      </c>
      <c r="F4921" s="4" t="str">
        <f>IF(D4921="","", IFNA(VLOOKUP(D4921, SATCAT_DECAY!A:B, 2, FALSE), ""))
</f>
        <v/>
      </c>
      <c r="G4921" s="3" t="str">
        <f t="shared" si="1"/>
        <v>ACTIVE</v>
      </c>
    </row>
    <row r="4922" ht="22.5" customHeight="1">
      <c r="A4922" s="11" t="str">
        <f t="array" ref="A4922">IFERROR(
  INDEX('Starlink Launches'!$A:$A, MATCH($E4922, 'Starlink Launches'!$B:$B, 0)),
  ""
)
</f>
        <v>12-9</v>
      </c>
      <c r="B4922" s="3" t="s">
        <v>25</v>
      </c>
      <c r="C4922" s="12" t="s">
        <v>4944</v>
      </c>
      <c r="D4922" s="13">
        <v>62887.0</v>
      </c>
      <c r="E4922" s="4">
        <v>45692.0</v>
      </c>
      <c r="F4922" s="4" t="str">
        <f>IF(D4922="","", IFNA(VLOOKUP(D4922, SATCAT_DECAY!A:B, 2, FALSE), ""))
</f>
        <v/>
      </c>
      <c r="G4922" s="3" t="str">
        <f t="shared" si="1"/>
        <v>ACTIVE</v>
      </c>
    </row>
    <row r="4923" ht="22.5" customHeight="1">
      <c r="A4923" s="11" t="str">
        <f t="array" ref="A4923">IFERROR(
  INDEX('Starlink Launches'!$A:$A, MATCH($E4923, 'Starlink Launches'!$B:$B, 0)),
  ""
)
</f>
        <v>12-9</v>
      </c>
      <c r="B4923" s="3" t="s">
        <v>25</v>
      </c>
      <c r="C4923" s="12" t="s">
        <v>4945</v>
      </c>
      <c r="D4923" s="13">
        <v>62888.0</v>
      </c>
      <c r="E4923" s="4">
        <v>45692.0</v>
      </c>
      <c r="F4923" s="4" t="str">
        <f>IF(D4923="","", IFNA(VLOOKUP(D4923, SATCAT_DECAY!A:B, 2, FALSE), ""))
</f>
        <v/>
      </c>
      <c r="G4923" s="3" t="str">
        <f t="shared" si="1"/>
        <v>ACTIVE</v>
      </c>
    </row>
    <row r="4924" ht="22.5" customHeight="1">
      <c r="A4924" s="11" t="str">
        <f t="array" ref="A4924">IFERROR(
  INDEX('Starlink Launches'!$A:$A, MATCH($E4924, 'Starlink Launches'!$B:$B, 0)),
  ""
)
</f>
        <v>12-9</v>
      </c>
      <c r="B4924" s="3" t="s">
        <v>25</v>
      </c>
      <c r="C4924" s="12" t="s">
        <v>4946</v>
      </c>
      <c r="D4924" s="13">
        <v>62889.0</v>
      </c>
      <c r="E4924" s="4">
        <v>45692.0</v>
      </c>
      <c r="F4924" s="4" t="str">
        <f>IF(D4924="","", IFNA(VLOOKUP(D4924, SATCAT_DECAY!A:B, 2, FALSE), ""))
</f>
        <v/>
      </c>
      <c r="G4924" s="3" t="str">
        <f t="shared" si="1"/>
        <v>ACTIVE</v>
      </c>
    </row>
    <row r="4925" ht="22.5" customHeight="1">
      <c r="A4925" s="11" t="str">
        <f t="array" ref="A4925">IFERROR(
  INDEX('Starlink Launches'!$A:$A, MATCH($E4925, 'Starlink Launches'!$B:$B, 0)),
  ""
)
</f>
        <v>12-9</v>
      </c>
      <c r="B4925" s="3" t="s">
        <v>25</v>
      </c>
      <c r="C4925" s="12" t="s">
        <v>4947</v>
      </c>
      <c r="D4925" s="13">
        <v>62890.0</v>
      </c>
      <c r="E4925" s="4">
        <v>45692.0</v>
      </c>
      <c r="F4925" s="4" t="str">
        <f>IF(D4925="","", IFNA(VLOOKUP(D4925, SATCAT_DECAY!A:B, 2, FALSE), ""))
</f>
        <v/>
      </c>
      <c r="G4925" s="3" t="str">
        <f t="shared" si="1"/>
        <v>ACTIVE</v>
      </c>
    </row>
    <row r="4926" ht="22.5" customHeight="1">
      <c r="A4926" s="11" t="str">
        <f t="array" ref="A4926">IFERROR(
  INDEX('Starlink Launches'!$A:$A, MATCH($E4926, 'Starlink Launches'!$B:$B, 0)),
  ""
)
</f>
        <v>12-9</v>
      </c>
      <c r="B4926" s="3" t="s">
        <v>25</v>
      </c>
      <c r="C4926" s="12" t="s">
        <v>4948</v>
      </c>
      <c r="D4926" s="13">
        <v>62891.0</v>
      </c>
      <c r="E4926" s="4">
        <v>45692.0</v>
      </c>
      <c r="F4926" s="4" t="str">
        <f>IF(D4926="","", IFNA(VLOOKUP(D4926, SATCAT_DECAY!A:B, 2, FALSE), ""))
</f>
        <v/>
      </c>
      <c r="G4926" s="3" t="str">
        <f t="shared" si="1"/>
        <v>ACTIVE</v>
      </c>
    </row>
    <row r="4927" ht="22.5" customHeight="1">
      <c r="A4927" s="11" t="str">
        <f t="array" ref="A4927">IFERROR(
  INDEX('Starlink Launches'!$A:$A, MATCH($E4927, 'Starlink Launches'!$B:$B, 0)),
  ""
)
</f>
        <v>12-9</v>
      </c>
      <c r="B4927" s="3" t="s">
        <v>25</v>
      </c>
      <c r="C4927" s="12" t="s">
        <v>4949</v>
      </c>
      <c r="D4927" s="13">
        <v>62892.0</v>
      </c>
      <c r="E4927" s="4">
        <v>45692.0</v>
      </c>
      <c r="F4927" s="4" t="str">
        <f>IF(D4927="","", IFNA(VLOOKUP(D4927, SATCAT_DECAY!A:B, 2, FALSE), ""))
</f>
        <v/>
      </c>
      <c r="G4927" s="3" t="str">
        <f t="shared" si="1"/>
        <v>ACTIVE</v>
      </c>
    </row>
    <row r="4928" ht="22.5" customHeight="1">
      <c r="A4928" s="11" t="str">
        <f t="array" ref="A4928">IFERROR(
  INDEX('Starlink Launches'!$A:$A, MATCH($E4928, 'Starlink Launches'!$B:$B, 0)),
  ""
)
</f>
        <v>12-9</v>
      </c>
      <c r="B4928" s="3" t="s">
        <v>25</v>
      </c>
      <c r="C4928" s="12" t="s">
        <v>4950</v>
      </c>
      <c r="D4928" s="13">
        <v>62893.0</v>
      </c>
      <c r="E4928" s="4">
        <v>45692.0</v>
      </c>
      <c r="F4928" s="4" t="str">
        <f>IF(D4928="","", IFNA(VLOOKUP(D4928, SATCAT_DECAY!A:B, 2, FALSE), ""))
</f>
        <v/>
      </c>
      <c r="G4928" s="3" t="str">
        <f t="shared" si="1"/>
        <v>ACTIVE</v>
      </c>
    </row>
    <row r="4929" ht="22.5" customHeight="1">
      <c r="A4929" s="11" t="str">
        <f t="array" ref="A4929">IFERROR(
  INDEX('Starlink Launches'!$A:$A, MATCH($E4929, 'Starlink Launches'!$B:$B, 0)),
  ""
)
</f>
        <v>12-9</v>
      </c>
      <c r="B4929" s="3" t="s">
        <v>25</v>
      </c>
      <c r="C4929" s="12" t="s">
        <v>4951</v>
      </c>
      <c r="D4929" s="13">
        <v>62894.0</v>
      </c>
      <c r="E4929" s="4">
        <v>45692.0</v>
      </c>
      <c r="F4929" s="4" t="str">
        <f>IF(D4929="","", IFNA(VLOOKUP(D4929, SATCAT_DECAY!A:B, 2, FALSE), ""))
</f>
        <v/>
      </c>
      <c r="G4929" s="3" t="str">
        <f t="shared" si="1"/>
        <v>ACTIVE</v>
      </c>
    </row>
    <row r="4930" ht="22.5" customHeight="1">
      <c r="A4930" s="11" t="str">
        <f t="array" ref="A4930">IFERROR(
  INDEX('Starlink Launches'!$A:$A, MATCH($E4930, 'Starlink Launches'!$B:$B, 0)),
  ""
)
</f>
        <v>12-9</v>
      </c>
      <c r="B4930" s="3" t="s">
        <v>25</v>
      </c>
      <c r="C4930" s="12" t="s">
        <v>4952</v>
      </c>
      <c r="D4930" s="13">
        <v>62895.0</v>
      </c>
      <c r="E4930" s="4">
        <v>45692.0</v>
      </c>
      <c r="F4930" s="4" t="str">
        <f>IF(D4930="","", IFNA(VLOOKUP(D4930, SATCAT_DECAY!A:B, 2, FALSE), ""))
</f>
        <v/>
      </c>
      <c r="G4930" s="3" t="str">
        <f t="shared" si="1"/>
        <v>ACTIVE</v>
      </c>
    </row>
    <row r="4931" ht="22.5" customHeight="1">
      <c r="A4931" s="11" t="str">
        <f t="array" ref="A4931">IFERROR(
  INDEX('Starlink Launches'!$A:$A, MATCH($E4931, 'Starlink Launches'!$B:$B, 0)),
  ""
)
</f>
        <v>12-9</v>
      </c>
      <c r="B4931" s="3" t="s">
        <v>25</v>
      </c>
      <c r="C4931" s="12" t="s">
        <v>4953</v>
      </c>
      <c r="D4931" s="13">
        <v>62896.0</v>
      </c>
      <c r="E4931" s="4">
        <v>45692.0</v>
      </c>
      <c r="F4931" s="4" t="str">
        <f>IF(D4931="","", IFNA(VLOOKUP(D4931, SATCAT_DECAY!A:B, 2, FALSE), ""))
</f>
        <v/>
      </c>
      <c r="G4931" s="3" t="str">
        <f t="shared" si="1"/>
        <v>ACTIVE</v>
      </c>
    </row>
    <row r="4932" ht="22.5" customHeight="1">
      <c r="A4932" s="11" t="str">
        <f t="array" ref="A4932">IFERROR(
  INDEX('Starlink Launches'!$A:$A, MATCH($E4932, 'Starlink Launches'!$B:$B, 0)),
  ""
)
</f>
        <v>12-9</v>
      </c>
      <c r="B4932" s="3" t="s">
        <v>25</v>
      </c>
      <c r="C4932" s="12" t="s">
        <v>4954</v>
      </c>
      <c r="D4932" s="13">
        <v>62897.0</v>
      </c>
      <c r="E4932" s="4">
        <v>45692.0</v>
      </c>
      <c r="F4932" s="4" t="str">
        <f>IF(D4932="","", IFNA(VLOOKUP(D4932, SATCAT_DECAY!A:B, 2, FALSE), ""))
</f>
        <v/>
      </c>
      <c r="G4932" s="3" t="str">
        <f t="shared" si="1"/>
        <v>ACTIVE</v>
      </c>
    </row>
    <row r="4933" ht="22.5" customHeight="1">
      <c r="A4933" s="11" t="str">
        <f t="array" ref="A4933">IFERROR(
  INDEX('Starlink Launches'!$A:$A, MATCH($E4933, 'Starlink Launches'!$B:$B, 0)),
  ""
)
</f>
        <v>12-9</v>
      </c>
      <c r="B4933" s="3" t="s">
        <v>25</v>
      </c>
      <c r="C4933" s="12" t="s">
        <v>4955</v>
      </c>
      <c r="D4933" s="13">
        <v>62898.0</v>
      </c>
      <c r="E4933" s="4">
        <v>45692.0</v>
      </c>
      <c r="F4933" s="4" t="str">
        <f>IF(D4933="","", IFNA(VLOOKUP(D4933, SATCAT_DECAY!A:B, 2, FALSE), ""))
</f>
        <v/>
      </c>
      <c r="G4933" s="3" t="str">
        <f t="shared" si="1"/>
        <v>ACTIVE</v>
      </c>
    </row>
    <row r="4934" ht="22.5" customHeight="1">
      <c r="A4934" s="11" t="str">
        <f t="array" ref="A4934">IFERROR(
  INDEX('Starlink Launches'!$A:$A, MATCH($E4934, 'Starlink Launches'!$B:$B, 0)),
  ""
)
</f>
        <v>12-9</v>
      </c>
      <c r="B4934" s="3" t="s">
        <v>25</v>
      </c>
      <c r="C4934" s="12" t="s">
        <v>4956</v>
      </c>
      <c r="D4934" s="13">
        <v>62899.0</v>
      </c>
      <c r="E4934" s="4">
        <v>45692.0</v>
      </c>
      <c r="F4934" s="4" t="str">
        <f>IF(D4934="","", IFNA(VLOOKUP(D4934, SATCAT_DECAY!A:B, 2, FALSE), ""))
</f>
        <v/>
      </c>
      <c r="G4934" s="3" t="str">
        <f t="shared" si="1"/>
        <v>ACTIVE</v>
      </c>
    </row>
    <row r="4935" ht="22.5" customHeight="1">
      <c r="A4935" s="20" t="s">
        <v>4957</v>
      </c>
      <c r="B4935" s="3" t="s">
        <v>25</v>
      </c>
      <c r="C4935" s="12" t="s">
        <v>4958</v>
      </c>
      <c r="D4935" s="13">
        <v>62981.0</v>
      </c>
      <c r="E4935" s="4">
        <v>45699.0</v>
      </c>
      <c r="F4935" s="4" t="str">
        <f>IF(D4935="","", IFNA(VLOOKUP(D4935, SATCAT_DECAY!A:B, 2, FALSE), ""))
</f>
        <v/>
      </c>
      <c r="G4935" s="3" t="str">
        <f t="shared" si="1"/>
        <v>ACTIVE</v>
      </c>
    </row>
    <row r="4936" ht="22.5" customHeight="1">
      <c r="A4936" s="20" t="s">
        <v>4957</v>
      </c>
      <c r="B4936" s="3" t="s">
        <v>25</v>
      </c>
      <c r="C4936" s="12" t="s">
        <v>4959</v>
      </c>
      <c r="D4936" s="13">
        <v>62982.0</v>
      </c>
      <c r="E4936" s="4">
        <v>45699.0</v>
      </c>
      <c r="F4936" s="4" t="str">
        <f>IF(D4936="","", IFNA(VLOOKUP(D4936, SATCAT_DECAY!A:B, 2, FALSE), ""))
</f>
        <v/>
      </c>
      <c r="G4936" s="3" t="str">
        <f t="shared" si="1"/>
        <v>ACTIVE</v>
      </c>
    </row>
    <row r="4937" ht="22.5" customHeight="1">
      <c r="A4937" s="20" t="s">
        <v>4957</v>
      </c>
      <c r="B4937" s="3" t="s">
        <v>25</v>
      </c>
      <c r="C4937" s="12" t="s">
        <v>4960</v>
      </c>
      <c r="D4937" s="13">
        <v>62983.0</v>
      </c>
      <c r="E4937" s="4">
        <v>45699.0</v>
      </c>
      <c r="F4937" s="4" t="str">
        <f>IF(D4937="","", IFNA(VLOOKUP(D4937, SATCAT_DECAY!A:B, 2, FALSE), ""))
</f>
        <v/>
      </c>
      <c r="G4937" s="3" t="str">
        <f t="shared" si="1"/>
        <v>ACTIVE</v>
      </c>
    </row>
    <row r="4938" ht="22.5" customHeight="1">
      <c r="A4938" s="20" t="s">
        <v>4957</v>
      </c>
      <c r="B4938" s="3" t="s">
        <v>25</v>
      </c>
      <c r="C4938" s="12" t="s">
        <v>4961</v>
      </c>
      <c r="D4938" s="13">
        <v>62984.0</v>
      </c>
      <c r="E4938" s="4">
        <v>45699.0</v>
      </c>
      <c r="F4938" s="4" t="str">
        <f>IF(D4938="","", IFNA(VLOOKUP(D4938, SATCAT_DECAY!A:B, 2, FALSE), ""))
</f>
        <v/>
      </c>
      <c r="G4938" s="3" t="str">
        <f t="shared" si="1"/>
        <v>ACTIVE</v>
      </c>
    </row>
    <row r="4939" ht="22.5" customHeight="1">
      <c r="A4939" s="20" t="s">
        <v>4957</v>
      </c>
      <c r="B4939" s="3" t="s">
        <v>25</v>
      </c>
      <c r="C4939" s="12" t="s">
        <v>4962</v>
      </c>
      <c r="D4939" s="13">
        <v>62985.0</v>
      </c>
      <c r="E4939" s="4">
        <v>45699.0</v>
      </c>
      <c r="F4939" s="4" t="str">
        <f>IF(D4939="","", IFNA(VLOOKUP(D4939, SATCAT_DECAY!A:B, 2, FALSE), ""))
</f>
        <v/>
      </c>
      <c r="G4939" s="3" t="str">
        <f t="shared" si="1"/>
        <v>ACTIVE</v>
      </c>
    </row>
    <row r="4940" ht="22.5" customHeight="1">
      <c r="A4940" s="20" t="s">
        <v>4957</v>
      </c>
      <c r="B4940" s="3" t="s">
        <v>25</v>
      </c>
      <c r="C4940" s="12" t="s">
        <v>4963</v>
      </c>
      <c r="D4940" s="13">
        <v>62986.0</v>
      </c>
      <c r="E4940" s="4">
        <v>45699.0</v>
      </c>
      <c r="F4940" s="4" t="str">
        <f>IF(D4940="","", IFNA(VLOOKUP(D4940, SATCAT_DECAY!A:B, 2, FALSE), ""))
</f>
        <v/>
      </c>
      <c r="G4940" s="3" t="str">
        <f t="shared" si="1"/>
        <v>ACTIVE</v>
      </c>
    </row>
    <row r="4941" ht="22.5" customHeight="1">
      <c r="A4941" s="20" t="s">
        <v>4957</v>
      </c>
      <c r="B4941" s="3" t="s">
        <v>25</v>
      </c>
      <c r="C4941" s="12" t="s">
        <v>4964</v>
      </c>
      <c r="D4941" s="13">
        <v>62987.0</v>
      </c>
      <c r="E4941" s="4">
        <v>45699.0</v>
      </c>
      <c r="F4941" s="4" t="str">
        <f>IF(D4941="","", IFNA(VLOOKUP(D4941, SATCAT_DECAY!A:B, 2, FALSE), ""))
</f>
        <v/>
      </c>
      <c r="G4941" s="3" t="str">
        <f t="shared" si="1"/>
        <v>ACTIVE</v>
      </c>
    </row>
    <row r="4942" ht="22.5" customHeight="1">
      <c r="A4942" s="20" t="s">
        <v>4957</v>
      </c>
      <c r="B4942" s="3" t="s">
        <v>25</v>
      </c>
      <c r="C4942" s="12" t="s">
        <v>4965</v>
      </c>
      <c r="D4942" s="13">
        <v>62988.0</v>
      </c>
      <c r="E4942" s="4">
        <v>45699.0</v>
      </c>
      <c r="F4942" s="4" t="str">
        <f>IF(D4942="","", IFNA(VLOOKUP(D4942, SATCAT_DECAY!A:B, 2, FALSE), ""))
</f>
        <v/>
      </c>
      <c r="G4942" s="3" t="str">
        <f t="shared" si="1"/>
        <v>ACTIVE</v>
      </c>
    </row>
    <row r="4943" ht="22.5" customHeight="1">
      <c r="A4943" s="20" t="s">
        <v>4957</v>
      </c>
      <c r="B4943" s="3" t="s">
        <v>25</v>
      </c>
      <c r="C4943" s="12" t="s">
        <v>4966</v>
      </c>
      <c r="D4943" s="13">
        <v>62989.0</v>
      </c>
      <c r="E4943" s="4">
        <v>45699.0</v>
      </c>
      <c r="F4943" s="4" t="str">
        <f>IF(D4943="","", IFNA(VLOOKUP(D4943, SATCAT_DECAY!A:B, 2, FALSE), ""))
</f>
        <v/>
      </c>
      <c r="G4943" s="3" t="str">
        <f t="shared" si="1"/>
        <v>ACTIVE</v>
      </c>
    </row>
    <row r="4944" ht="22.5" customHeight="1">
      <c r="A4944" s="20" t="s">
        <v>4957</v>
      </c>
      <c r="B4944" s="3" t="s">
        <v>25</v>
      </c>
      <c r="C4944" s="12" t="s">
        <v>4967</v>
      </c>
      <c r="D4944" s="13">
        <v>62990.0</v>
      </c>
      <c r="E4944" s="4">
        <v>45699.0</v>
      </c>
      <c r="F4944" s="4" t="str">
        <f>IF(D4944="","", IFNA(VLOOKUP(D4944, SATCAT_DECAY!A:B, 2, FALSE), ""))
</f>
        <v/>
      </c>
      <c r="G4944" s="3" t="str">
        <f t="shared" si="1"/>
        <v>ACTIVE</v>
      </c>
    </row>
    <row r="4945" ht="22.5" customHeight="1">
      <c r="A4945" s="20" t="s">
        <v>4957</v>
      </c>
      <c r="B4945" s="3" t="s">
        <v>25</v>
      </c>
      <c r="C4945" s="12" t="s">
        <v>4968</v>
      </c>
      <c r="D4945" s="13">
        <v>62991.0</v>
      </c>
      <c r="E4945" s="4">
        <v>45699.0</v>
      </c>
      <c r="F4945" s="4" t="str">
        <f>IF(D4945="","", IFNA(VLOOKUP(D4945, SATCAT_DECAY!A:B, 2, FALSE), ""))
</f>
        <v/>
      </c>
      <c r="G4945" s="3" t="str">
        <f t="shared" si="1"/>
        <v>ACTIVE</v>
      </c>
    </row>
    <row r="4946" ht="22.5" customHeight="1">
      <c r="A4946" s="20" t="s">
        <v>4957</v>
      </c>
      <c r="B4946" s="3" t="s">
        <v>25</v>
      </c>
      <c r="C4946" s="12" t="s">
        <v>4969</v>
      </c>
      <c r="D4946" s="13">
        <v>62992.0</v>
      </c>
      <c r="E4946" s="4">
        <v>45699.0</v>
      </c>
      <c r="F4946" s="4" t="str">
        <f>IF(D4946="","", IFNA(VLOOKUP(D4946, SATCAT_DECAY!A:B, 2, FALSE), ""))
</f>
        <v/>
      </c>
      <c r="G4946" s="3" t="str">
        <f t="shared" si="1"/>
        <v>ACTIVE</v>
      </c>
    </row>
    <row r="4947" ht="22.5" customHeight="1">
      <c r="A4947" s="20" t="s">
        <v>4957</v>
      </c>
      <c r="B4947" s="3" t="s">
        <v>25</v>
      </c>
      <c r="C4947" s="12" t="s">
        <v>4970</v>
      </c>
      <c r="D4947" s="13">
        <v>62993.0</v>
      </c>
      <c r="E4947" s="4">
        <v>45699.0</v>
      </c>
      <c r="F4947" s="4" t="str">
        <f>IF(D4947="","", IFNA(VLOOKUP(D4947, SATCAT_DECAY!A:B, 2, FALSE), ""))
</f>
        <v/>
      </c>
      <c r="G4947" s="3" t="str">
        <f t="shared" si="1"/>
        <v>ACTIVE</v>
      </c>
    </row>
    <row r="4948" ht="22.5" customHeight="1">
      <c r="A4948" s="20" t="s">
        <v>4957</v>
      </c>
      <c r="B4948" s="3" t="s">
        <v>25</v>
      </c>
      <c r="C4948" s="12" t="s">
        <v>4971</v>
      </c>
      <c r="D4948" s="13">
        <v>62994.0</v>
      </c>
      <c r="E4948" s="4">
        <v>45699.0</v>
      </c>
      <c r="F4948" s="4" t="str">
        <f>IF(D4948="","", IFNA(VLOOKUP(D4948, SATCAT_DECAY!A:B, 2, FALSE), ""))
</f>
        <v/>
      </c>
      <c r="G4948" s="3" t="str">
        <f t="shared" si="1"/>
        <v>ACTIVE</v>
      </c>
    </row>
    <row r="4949" ht="22.5" customHeight="1">
      <c r="A4949" s="20" t="s">
        <v>4957</v>
      </c>
      <c r="B4949" s="3" t="s">
        <v>25</v>
      </c>
      <c r="C4949" s="12" t="s">
        <v>4972</v>
      </c>
      <c r="D4949" s="13">
        <v>62995.0</v>
      </c>
      <c r="E4949" s="4">
        <v>45699.0</v>
      </c>
      <c r="F4949" s="4" t="str">
        <f>IF(D4949="","", IFNA(VLOOKUP(D4949, SATCAT_DECAY!A:B, 2, FALSE), ""))
</f>
        <v/>
      </c>
      <c r="G4949" s="3" t="str">
        <f t="shared" si="1"/>
        <v>ACTIVE</v>
      </c>
    </row>
    <row r="4950" ht="22.5" customHeight="1">
      <c r="A4950" s="20" t="s">
        <v>4957</v>
      </c>
      <c r="B4950" s="3" t="s">
        <v>25</v>
      </c>
      <c r="C4950" s="12" t="s">
        <v>4973</v>
      </c>
      <c r="D4950" s="13">
        <v>62996.0</v>
      </c>
      <c r="E4950" s="4">
        <v>45699.0</v>
      </c>
      <c r="F4950" s="4" t="str">
        <f>IF(D4950="","", IFNA(VLOOKUP(D4950, SATCAT_DECAY!A:B, 2, FALSE), ""))
</f>
        <v/>
      </c>
      <c r="G4950" s="3" t="str">
        <f t="shared" si="1"/>
        <v>ACTIVE</v>
      </c>
    </row>
    <row r="4951" ht="22.5" customHeight="1">
      <c r="A4951" s="20" t="s">
        <v>4957</v>
      </c>
      <c r="B4951" s="3" t="s">
        <v>25</v>
      </c>
      <c r="C4951" s="12" t="s">
        <v>4974</v>
      </c>
      <c r="D4951" s="13">
        <v>62997.0</v>
      </c>
      <c r="E4951" s="4">
        <v>45699.0</v>
      </c>
      <c r="F4951" s="4" t="str">
        <f>IF(D4951="","", IFNA(VLOOKUP(D4951, SATCAT_DECAY!A:B, 2, FALSE), ""))
</f>
        <v/>
      </c>
      <c r="G4951" s="3" t="str">
        <f t="shared" si="1"/>
        <v>ACTIVE</v>
      </c>
    </row>
    <row r="4952" ht="22.5" customHeight="1">
      <c r="A4952" s="20" t="s">
        <v>4957</v>
      </c>
      <c r="B4952" s="3" t="s">
        <v>25</v>
      </c>
      <c r="C4952" s="12" t="s">
        <v>4975</v>
      </c>
      <c r="D4952" s="13">
        <v>62998.0</v>
      </c>
      <c r="E4952" s="4">
        <v>45699.0</v>
      </c>
      <c r="F4952" s="4" t="str">
        <f>IF(D4952="","", IFNA(VLOOKUP(D4952, SATCAT_DECAY!A:B, 2, FALSE), ""))
</f>
        <v/>
      </c>
      <c r="G4952" s="3" t="str">
        <f t="shared" si="1"/>
        <v>ACTIVE</v>
      </c>
    </row>
    <row r="4953" ht="22.5" customHeight="1">
      <c r="A4953" s="20" t="s">
        <v>4957</v>
      </c>
      <c r="B4953" s="3" t="s">
        <v>25</v>
      </c>
      <c r="C4953" s="12" t="s">
        <v>4976</v>
      </c>
      <c r="D4953" s="13">
        <v>62999.0</v>
      </c>
      <c r="E4953" s="4">
        <v>45699.0</v>
      </c>
      <c r="F4953" s="4" t="str">
        <f>IF(D4953="","", IFNA(VLOOKUP(D4953, SATCAT_DECAY!A:B, 2, FALSE), ""))
</f>
        <v/>
      </c>
      <c r="G4953" s="3" t="str">
        <f t="shared" si="1"/>
        <v>ACTIVE</v>
      </c>
    </row>
    <row r="4954" ht="22.5" customHeight="1">
      <c r="A4954" s="20" t="s">
        <v>4957</v>
      </c>
      <c r="B4954" s="3" t="s">
        <v>25</v>
      </c>
      <c r="C4954" s="12" t="s">
        <v>4977</v>
      </c>
      <c r="D4954" s="13">
        <v>63000.0</v>
      </c>
      <c r="E4954" s="4">
        <v>45699.0</v>
      </c>
      <c r="F4954" s="4" t="str">
        <f>IF(D4954="","", IFNA(VLOOKUP(D4954, SATCAT_DECAY!A:B, 2, FALSE), ""))
</f>
        <v/>
      </c>
      <c r="G4954" s="3" t="str">
        <f t="shared" si="1"/>
        <v>ACTIVE</v>
      </c>
    </row>
    <row r="4955" ht="22.5" customHeight="1">
      <c r="A4955" s="20" t="s">
        <v>4957</v>
      </c>
      <c r="B4955" s="3" t="s">
        <v>25</v>
      </c>
      <c r="C4955" s="12" t="s">
        <v>4978</v>
      </c>
      <c r="D4955" s="13">
        <v>63001.0</v>
      </c>
      <c r="E4955" s="4">
        <v>45699.0</v>
      </c>
      <c r="F4955" s="4" t="str">
        <f>IF(D4955="","", IFNA(VLOOKUP(D4955, SATCAT_DECAY!A:B, 2, FALSE), ""))
</f>
        <v/>
      </c>
      <c r="G4955" s="3" t="str">
        <f t="shared" si="1"/>
        <v>ACTIVE</v>
      </c>
    </row>
    <row r="4956" ht="22.5" customHeight="1">
      <c r="A4956" s="11" t="str">
        <f t="array" ref="A4956">IFERROR(
  INDEX('Starlink Launches'!$A:$A, MATCH($E4956, 'Starlink Launches'!$B:$B, 0)),
  ""
)
</f>
        <v>12-8</v>
      </c>
      <c r="B4956" s="3" t="s">
        <v>25</v>
      </c>
      <c r="C4956" s="12" t="s">
        <v>4979</v>
      </c>
      <c r="D4956" s="13">
        <v>63005.0</v>
      </c>
      <c r="E4956" s="4">
        <v>45703.0</v>
      </c>
      <c r="F4956" s="4" t="str">
        <f>IF(D4956="","", IFNA(VLOOKUP(D4956, SATCAT_DECAY!A:B, 2, FALSE), ""))
</f>
        <v/>
      </c>
      <c r="G4956" s="3" t="str">
        <f t="shared" si="1"/>
        <v>ACTIVE</v>
      </c>
    </row>
    <row r="4957" ht="22.5" customHeight="1">
      <c r="A4957" s="11" t="str">
        <f t="array" ref="A4957">IFERROR(
  INDEX('Starlink Launches'!$A:$A, MATCH($E4957, 'Starlink Launches'!$B:$B, 0)),
  ""
)
</f>
        <v>12-8</v>
      </c>
      <c r="B4957" s="3" t="s">
        <v>25</v>
      </c>
      <c r="C4957" s="12" t="s">
        <v>4980</v>
      </c>
      <c r="D4957" s="13">
        <v>63006.0</v>
      </c>
      <c r="E4957" s="4">
        <v>45703.0</v>
      </c>
      <c r="F4957" s="4" t="str">
        <f>IF(D4957="","", IFNA(VLOOKUP(D4957, SATCAT_DECAY!A:B, 2, FALSE), ""))
</f>
        <v/>
      </c>
      <c r="G4957" s="3" t="str">
        <f t="shared" si="1"/>
        <v>ACTIVE</v>
      </c>
    </row>
    <row r="4958" ht="22.5" customHeight="1">
      <c r="A4958" s="11" t="str">
        <f t="array" ref="A4958">IFERROR(
  INDEX('Starlink Launches'!$A:$A, MATCH($E4958, 'Starlink Launches'!$B:$B, 0)),
  ""
)
</f>
        <v>12-8</v>
      </c>
      <c r="B4958" s="3" t="s">
        <v>25</v>
      </c>
      <c r="C4958" s="12" t="s">
        <v>4981</v>
      </c>
      <c r="D4958" s="13">
        <v>63007.0</v>
      </c>
      <c r="E4958" s="4">
        <v>45703.0</v>
      </c>
      <c r="F4958" s="4" t="str">
        <f>IF(D4958="","", IFNA(VLOOKUP(D4958, SATCAT_DECAY!A:B, 2, FALSE), ""))
</f>
        <v/>
      </c>
      <c r="G4958" s="3" t="str">
        <f t="shared" si="1"/>
        <v>ACTIVE</v>
      </c>
    </row>
    <row r="4959" ht="22.5" customHeight="1">
      <c r="A4959" s="11" t="str">
        <f t="array" ref="A4959">IFERROR(
  INDEX('Starlink Launches'!$A:$A, MATCH($E4959, 'Starlink Launches'!$B:$B, 0)),
  ""
)
</f>
        <v>12-8</v>
      </c>
      <c r="B4959" s="3" t="s">
        <v>25</v>
      </c>
      <c r="C4959" s="12" t="s">
        <v>4982</v>
      </c>
      <c r="D4959" s="13">
        <v>63008.0</v>
      </c>
      <c r="E4959" s="4">
        <v>45703.0</v>
      </c>
      <c r="F4959" s="4" t="str">
        <f>IF(D4959="","", IFNA(VLOOKUP(D4959, SATCAT_DECAY!A:B, 2, FALSE), ""))
</f>
        <v/>
      </c>
      <c r="G4959" s="3" t="str">
        <f t="shared" si="1"/>
        <v>ACTIVE</v>
      </c>
    </row>
    <row r="4960" ht="22.5" customHeight="1">
      <c r="A4960" s="11" t="str">
        <f t="array" ref="A4960">IFERROR(
  INDEX('Starlink Launches'!$A:$A, MATCH($E4960, 'Starlink Launches'!$B:$B, 0)),
  ""
)
</f>
        <v>12-8</v>
      </c>
      <c r="B4960" s="3" t="s">
        <v>25</v>
      </c>
      <c r="C4960" s="12" t="s">
        <v>4983</v>
      </c>
      <c r="D4960" s="13">
        <v>63009.0</v>
      </c>
      <c r="E4960" s="4">
        <v>45703.0</v>
      </c>
      <c r="F4960" s="4" t="str">
        <f>IF(D4960="","", IFNA(VLOOKUP(D4960, SATCAT_DECAY!A:B, 2, FALSE), ""))
</f>
        <v/>
      </c>
      <c r="G4960" s="3" t="str">
        <f t="shared" si="1"/>
        <v>ACTIVE</v>
      </c>
    </row>
    <row r="4961" ht="22.5" customHeight="1">
      <c r="A4961" s="11" t="str">
        <f t="array" ref="A4961">IFERROR(
  INDEX('Starlink Launches'!$A:$A, MATCH($E4961, 'Starlink Launches'!$B:$B, 0)),
  ""
)
</f>
        <v>12-8</v>
      </c>
      <c r="B4961" s="3" t="s">
        <v>25</v>
      </c>
      <c r="C4961" s="12" t="s">
        <v>4984</v>
      </c>
      <c r="D4961" s="13">
        <v>63010.0</v>
      </c>
      <c r="E4961" s="4">
        <v>45703.0</v>
      </c>
      <c r="F4961" s="4" t="str">
        <f>IF(D4961="","", IFNA(VLOOKUP(D4961, SATCAT_DECAY!A:B, 2, FALSE), ""))
</f>
        <v/>
      </c>
      <c r="G4961" s="3" t="str">
        <f t="shared" si="1"/>
        <v>ACTIVE</v>
      </c>
    </row>
    <row r="4962" ht="22.5" customHeight="1">
      <c r="A4962" s="11" t="str">
        <f t="array" ref="A4962">IFERROR(
  INDEX('Starlink Launches'!$A:$A, MATCH($E4962, 'Starlink Launches'!$B:$B, 0)),
  ""
)
</f>
        <v>12-8</v>
      </c>
      <c r="B4962" s="3" t="s">
        <v>25</v>
      </c>
      <c r="C4962" s="12" t="s">
        <v>4985</v>
      </c>
      <c r="D4962" s="13">
        <v>63011.0</v>
      </c>
      <c r="E4962" s="4">
        <v>45703.0</v>
      </c>
      <c r="F4962" s="4" t="str">
        <f>IF(D4962="","", IFNA(VLOOKUP(D4962, SATCAT_DECAY!A:B, 2, FALSE), ""))
</f>
        <v/>
      </c>
      <c r="G4962" s="3" t="str">
        <f t="shared" si="1"/>
        <v>ACTIVE</v>
      </c>
    </row>
    <row r="4963" ht="22.5" customHeight="1">
      <c r="A4963" s="11" t="str">
        <f t="array" ref="A4963">IFERROR(
  INDEX('Starlink Launches'!$A:$A, MATCH($E4963, 'Starlink Launches'!$B:$B, 0)),
  ""
)
</f>
        <v>12-8</v>
      </c>
      <c r="B4963" s="3" t="s">
        <v>25</v>
      </c>
      <c r="C4963" s="12" t="s">
        <v>4986</v>
      </c>
      <c r="D4963" s="13">
        <v>63012.0</v>
      </c>
      <c r="E4963" s="4">
        <v>45703.0</v>
      </c>
      <c r="F4963" s="4" t="str">
        <f>IF(D4963="","", IFNA(VLOOKUP(D4963, SATCAT_DECAY!A:B, 2, FALSE), ""))
</f>
        <v/>
      </c>
      <c r="G4963" s="3" t="str">
        <f t="shared" si="1"/>
        <v>ACTIVE</v>
      </c>
    </row>
    <row r="4964" ht="22.5" customHeight="1">
      <c r="A4964" s="11" t="str">
        <f t="array" ref="A4964">IFERROR(
  INDEX('Starlink Launches'!$A:$A, MATCH($E4964, 'Starlink Launches'!$B:$B, 0)),
  ""
)
</f>
        <v>12-8</v>
      </c>
      <c r="B4964" s="3" t="s">
        <v>25</v>
      </c>
      <c r="C4964" s="12" t="s">
        <v>4987</v>
      </c>
      <c r="D4964" s="13">
        <v>63013.0</v>
      </c>
      <c r="E4964" s="4">
        <v>45703.0</v>
      </c>
      <c r="F4964" s="4" t="str">
        <f>IF(D4964="","", IFNA(VLOOKUP(D4964, SATCAT_DECAY!A:B, 2, FALSE), ""))
</f>
        <v/>
      </c>
      <c r="G4964" s="3" t="str">
        <f t="shared" si="1"/>
        <v>ACTIVE</v>
      </c>
    </row>
    <row r="4965" ht="22.5" customHeight="1">
      <c r="A4965" s="11" t="str">
        <f t="array" ref="A4965">IFERROR(
  INDEX('Starlink Launches'!$A:$A, MATCH($E4965, 'Starlink Launches'!$B:$B, 0)),
  ""
)
</f>
        <v>12-8</v>
      </c>
      <c r="B4965" s="3" t="s">
        <v>25</v>
      </c>
      <c r="C4965" s="12" t="s">
        <v>4988</v>
      </c>
      <c r="D4965" s="13">
        <v>63014.0</v>
      </c>
      <c r="E4965" s="4">
        <v>45703.0</v>
      </c>
      <c r="F4965" s="4" t="str">
        <f>IF(D4965="","", IFNA(VLOOKUP(D4965, SATCAT_DECAY!A:B, 2, FALSE), ""))
</f>
        <v/>
      </c>
      <c r="G4965" s="3" t="str">
        <f t="shared" si="1"/>
        <v>ACTIVE</v>
      </c>
    </row>
    <row r="4966" ht="22.5" customHeight="1">
      <c r="A4966" s="11" t="str">
        <f t="array" ref="A4966">IFERROR(
  INDEX('Starlink Launches'!$A:$A, MATCH($E4966, 'Starlink Launches'!$B:$B, 0)),
  ""
)
</f>
        <v>12-8</v>
      </c>
      <c r="B4966" s="3" t="s">
        <v>25</v>
      </c>
      <c r="C4966" s="12" t="s">
        <v>4989</v>
      </c>
      <c r="D4966" s="13">
        <v>63015.0</v>
      </c>
      <c r="E4966" s="4">
        <v>45703.0</v>
      </c>
      <c r="F4966" s="4" t="str">
        <f>IF(D4966="","", IFNA(VLOOKUP(D4966, SATCAT_DECAY!A:B, 2, FALSE), ""))
</f>
        <v/>
      </c>
      <c r="G4966" s="3" t="str">
        <f t="shared" si="1"/>
        <v>ACTIVE</v>
      </c>
    </row>
    <row r="4967" ht="22.5" customHeight="1">
      <c r="A4967" s="11" t="str">
        <f t="array" ref="A4967">IFERROR(
  INDEX('Starlink Launches'!$A:$A, MATCH($E4967, 'Starlink Launches'!$B:$B, 0)),
  ""
)
</f>
        <v>12-8</v>
      </c>
      <c r="B4967" s="3" t="s">
        <v>25</v>
      </c>
      <c r="C4967" s="12" t="s">
        <v>4990</v>
      </c>
      <c r="D4967" s="13">
        <v>63016.0</v>
      </c>
      <c r="E4967" s="4">
        <v>45703.0</v>
      </c>
      <c r="F4967" s="4" t="str">
        <f>IF(D4967="","", IFNA(VLOOKUP(D4967, SATCAT_DECAY!A:B, 2, FALSE), ""))
</f>
        <v/>
      </c>
      <c r="G4967" s="3" t="str">
        <f t="shared" si="1"/>
        <v>ACTIVE</v>
      </c>
    </row>
    <row r="4968" ht="22.5" customHeight="1">
      <c r="A4968" s="11" t="str">
        <f t="array" ref="A4968">IFERROR(
  INDEX('Starlink Launches'!$A:$A, MATCH($E4968, 'Starlink Launches'!$B:$B, 0)),
  ""
)
</f>
        <v>12-8</v>
      </c>
      <c r="B4968" s="3" t="s">
        <v>25</v>
      </c>
      <c r="C4968" s="12" t="s">
        <v>4991</v>
      </c>
      <c r="D4968" s="13">
        <v>63017.0</v>
      </c>
      <c r="E4968" s="4">
        <v>45703.0</v>
      </c>
      <c r="F4968" s="4" t="str">
        <f>IF(D4968="","", IFNA(VLOOKUP(D4968, SATCAT_DECAY!A:B, 2, FALSE), ""))
</f>
        <v/>
      </c>
      <c r="G4968" s="3" t="str">
        <f t="shared" si="1"/>
        <v>ACTIVE</v>
      </c>
    </row>
    <row r="4969" ht="22.5" customHeight="1">
      <c r="A4969" s="11" t="str">
        <f t="array" ref="A4969">IFERROR(
  INDEX('Starlink Launches'!$A:$A, MATCH($E4969, 'Starlink Launches'!$B:$B, 0)),
  ""
)
</f>
        <v>12-8</v>
      </c>
      <c r="B4969" s="3" t="s">
        <v>25</v>
      </c>
      <c r="C4969" s="12" t="s">
        <v>4992</v>
      </c>
      <c r="D4969" s="13">
        <v>63018.0</v>
      </c>
      <c r="E4969" s="4">
        <v>45703.0</v>
      </c>
      <c r="F4969" s="4" t="str">
        <f>IF(D4969="","", IFNA(VLOOKUP(D4969, SATCAT_DECAY!A:B, 2, FALSE), ""))
</f>
        <v/>
      </c>
      <c r="G4969" s="3" t="str">
        <f t="shared" si="1"/>
        <v>ACTIVE</v>
      </c>
    </row>
    <row r="4970" ht="22.5" customHeight="1">
      <c r="A4970" s="11" t="str">
        <f t="array" ref="A4970">IFERROR(
  INDEX('Starlink Launches'!$A:$A, MATCH($E4970, 'Starlink Launches'!$B:$B, 0)),
  ""
)
</f>
        <v>12-8</v>
      </c>
      <c r="B4970" s="3" t="s">
        <v>25</v>
      </c>
      <c r="C4970" s="12" t="s">
        <v>4993</v>
      </c>
      <c r="D4970" s="13">
        <v>63019.0</v>
      </c>
      <c r="E4970" s="4">
        <v>45703.0</v>
      </c>
      <c r="F4970" s="4" t="str">
        <f>IF(D4970="","", IFNA(VLOOKUP(D4970, SATCAT_DECAY!A:B, 2, FALSE), ""))
</f>
        <v/>
      </c>
      <c r="G4970" s="3" t="str">
        <f t="shared" si="1"/>
        <v>ACTIVE</v>
      </c>
    </row>
    <row r="4971" ht="22.5" customHeight="1">
      <c r="A4971" s="11" t="str">
        <f t="array" ref="A4971">IFERROR(
  INDEX('Starlink Launches'!$A:$A, MATCH($E4971, 'Starlink Launches'!$B:$B, 0)),
  ""
)
</f>
        <v>12-8</v>
      </c>
      <c r="B4971" s="3" t="s">
        <v>25</v>
      </c>
      <c r="C4971" s="12" t="s">
        <v>4994</v>
      </c>
      <c r="D4971" s="13">
        <v>63020.0</v>
      </c>
      <c r="E4971" s="4">
        <v>45703.0</v>
      </c>
      <c r="F4971" s="4" t="str">
        <f>IF(D4971="","", IFNA(VLOOKUP(D4971, SATCAT_DECAY!A:B, 2, FALSE), ""))
</f>
        <v/>
      </c>
      <c r="G4971" s="3" t="str">
        <f t="shared" si="1"/>
        <v>ACTIVE</v>
      </c>
    </row>
    <row r="4972" ht="22.5" customHeight="1">
      <c r="A4972" s="11" t="str">
        <f t="array" ref="A4972">IFERROR(
  INDEX('Starlink Launches'!$A:$A, MATCH($E4972, 'Starlink Launches'!$B:$B, 0)),
  ""
)
</f>
        <v>12-8</v>
      </c>
      <c r="B4972" s="3" t="s">
        <v>25</v>
      </c>
      <c r="C4972" s="12" t="s">
        <v>4995</v>
      </c>
      <c r="D4972" s="13">
        <v>63021.0</v>
      </c>
      <c r="E4972" s="4">
        <v>45703.0</v>
      </c>
      <c r="F4972" s="4" t="str">
        <f>IF(D4972="","", IFNA(VLOOKUP(D4972, SATCAT_DECAY!A:B, 2, FALSE), ""))
</f>
        <v/>
      </c>
      <c r="G4972" s="3" t="str">
        <f t="shared" si="1"/>
        <v>ACTIVE</v>
      </c>
    </row>
    <row r="4973" ht="22.5" customHeight="1">
      <c r="A4973" s="11" t="str">
        <f t="array" ref="A4973">IFERROR(
  INDEX('Starlink Launches'!$A:$A, MATCH($E4973, 'Starlink Launches'!$B:$B, 0)),
  ""
)
</f>
        <v>12-8</v>
      </c>
      <c r="B4973" s="3" t="s">
        <v>25</v>
      </c>
      <c r="C4973" s="12" t="s">
        <v>4996</v>
      </c>
      <c r="D4973" s="13">
        <v>63022.0</v>
      </c>
      <c r="E4973" s="4">
        <v>45703.0</v>
      </c>
      <c r="F4973" s="4" t="str">
        <f>IF(D4973="","", IFNA(VLOOKUP(D4973, SATCAT_DECAY!A:B, 2, FALSE), ""))
</f>
        <v/>
      </c>
      <c r="G4973" s="3" t="str">
        <f t="shared" si="1"/>
        <v>ACTIVE</v>
      </c>
    </row>
    <row r="4974" ht="22.5" customHeight="1">
      <c r="A4974" s="11" t="str">
        <f t="array" ref="A4974">IFERROR(
  INDEX('Starlink Launches'!$A:$A, MATCH($E4974, 'Starlink Launches'!$B:$B, 0)),
  ""
)
</f>
        <v>12-8</v>
      </c>
      <c r="B4974" s="3" t="s">
        <v>25</v>
      </c>
      <c r="C4974" s="12" t="s">
        <v>4997</v>
      </c>
      <c r="D4974" s="13">
        <v>63023.0</v>
      </c>
      <c r="E4974" s="4">
        <v>45703.0</v>
      </c>
      <c r="F4974" s="4" t="str">
        <f>IF(D4974="","", IFNA(VLOOKUP(D4974, SATCAT_DECAY!A:B, 2, FALSE), ""))
</f>
        <v/>
      </c>
      <c r="G4974" s="3" t="str">
        <f t="shared" si="1"/>
        <v>ACTIVE</v>
      </c>
    </row>
    <row r="4975" ht="22.5" customHeight="1">
      <c r="A4975" s="11" t="str">
        <f t="array" ref="A4975">IFERROR(
  INDEX('Starlink Launches'!$A:$A, MATCH($E4975, 'Starlink Launches'!$B:$B, 0)),
  ""
)
</f>
        <v>12-8</v>
      </c>
      <c r="B4975" s="3" t="s">
        <v>25</v>
      </c>
      <c r="C4975" s="12" t="s">
        <v>4998</v>
      </c>
      <c r="D4975" s="13">
        <v>63024.0</v>
      </c>
      <c r="E4975" s="4">
        <v>45703.0</v>
      </c>
      <c r="F4975" s="4" t="str">
        <f>IF(D4975="","", IFNA(VLOOKUP(D4975, SATCAT_DECAY!A:B, 2, FALSE), ""))
</f>
        <v/>
      </c>
      <c r="G4975" s="3" t="str">
        <f t="shared" si="1"/>
        <v>ACTIVE</v>
      </c>
    </row>
    <row r="4976" ht="22.5" customHeight="1">
      <c r="A4976" s="11" t="str">
        <f t="array" ref="A4976">IFERROR(
  INDEX('Starlink Launches'!$A:$A, MATCH($E4976, 'Starlink Launches'!$B:$B, 0)),
  ""
)
</f>
        <v>12-8</v>
      </c>
      <c r="B4976" s="3" t="s">
        <v>25</v>
      </c>
      <c r="C4976" s="12" t="s">
        <v>4999</v>
      </c>
      <c r="D4976" s="13">
        <v>63025.0</v>
      </c>
      <c r="E4976" s="4">
        <v>45703.0</v>
      </c>
      <c r="F4976" s="4" t="str">
        <f>IF(D4976="","", IFNA(VLOOKUP(D4976, SATCAT_DECAY!A:B, 2, FALSE), ""))
</f>
        <v/>
      </c>
      <c r="G4976" s="3" t="str">
        <f t="shared" si="1"/>
        <v>ACTIVE</v>
      </c>
    </row>
    <row r="4977" ht="22.5" customHeight="1">
      <c r="A4977" s="11" t="str">
        <f t="array" ref="A4977">IFERROR(
  INDEX('Starlink Launches'!$A:$A, MATCH($E4977, 'Starlink Launches'!$B:$B, 0)),
  ""
)
</f>
        <v>12-14</v>
      </c>
      <c r="B4977" s="3" t="s">
        <v>25</v>
      </c>
      <c r="C4977" s="12" t="s">
        <v>5000</v>
      </c>
      <c r="D4977" s="13">
        <v>63052.0</v>
      </c>
      <c r="E4977" s="4">
        <v>45709.0</v>
      </c>
      <c r="F4977" s="4" t="str">
        <f>IF(D4977="","", IFNA(VLOOKUP(D4977, SATCAT_DECAY!A:B, 2, FALSE), ""))
</f>
        <v/>
      </c>
      <c r="G4977" s="3" t="str">
        <f t="shared" si="1"/>
        <v>ACTIVE</v>
      </c>
    </row>
    <row r="4978" ht="22.5" customHeight="1">
      <c r="A4978" s="11" t="str">
        <f t="array" ref="A4978">IFERROR(
  INDEX('Starlink Launches'!$A:$A, MATCH($E4978, 'Starlink Launches'!$B:$B, 0)),
  ""
)
</f>
        <v>12-14</v>
      </c>
      <c r="B4978" s="3" t="s">
        <v>25</v>
      </c>
      <c r="C4978" s="12" t="s">
        <v>5001</v>
      </c>
      <c r="D4978" s="13">
        <v>63053.0</v>
      </c>
      <c r="E4978" s="4">
        <v>45709.0</v>
      </c>
      <c r="F4978" s="4" t="str">
        <f>IF(D4978="","", IFNA(VLOOKUP(D4978, SATCAT_DECAY!A:B, 2, FALSE), ""))
</f>
        <v/>
      </c>
      <c r="G4978" s="3" t="str">
        <f t="shared" si="1"/>
        <v>ACTIVE</v>
      </c>
    </row>
    <row r="4979" ht="22.5" customHeight="1">
      <c r="A4979" s="11" t="str">
        <f t="array" ref="A4979">IFERROR(
  INDEX('Starlink Launches'!$A:$A, MATCH($E4979, 'Starlink Launches'!$B:$B, 0)),
  ""
)
</f>
        <v>12-14</v>
      </c>
      <c r="B4979" s="3" t="s">
        <v>25</v>
      </c>
      <c r="C4979" s="12" t="s">
        <v>5002</v>
      </c>
      <c r="D4979" s="13">
        <v>63054.0</v>
      </c>
      <c r="E4979" s="4">
        <v>45709.0</v>
      </c>
      <c r="F4979" s="4" t="str">
        <f>IF(D4979="","", IFNA(VLOOKUP(D4979, SATCAT_DECAY!A:B, 2, FALSE), ""))
</f>
        <v/>
      </c>
      <c r="G4979" s="3" t="str">
        <f t="shared" si="1"/>
        <v>ACTIVE</v>
      </c>
    </row>
    <row r="4980" ht="22.5" customHeight="1">
      <c r="A4980" s="11" t="str">
        <f t="array" ref="A4980">IFERROR(
  INDEX('Starlink Launches'!$A:$A, MATCH($E4980, 'Starlink Launches'!$B:$B, 0)),
  ""
)
</f>
        <v>12-14</v>
      </c>
      <c r="B4980" s="3" t="s">
        <v>25</v>
      </c>
      <c r="C4980" s="12" t="s">
        <v>5003</v>
      </c>
      <c r="D4980" s="13">
        <v>63055.0</v>
      </c>
      <c r="E4980" s="4">
        <v>45709.0</v>
      </c>
      <c r="F4980" s="4" t="str">
        <f>IF(D4980="","", IFNA(VLOOKUP(D4980, SATCAT_DECAY!A:B, 2, FALSE), ""))
</f>
        <v/>
      </c>
      <c r="G4980" s="3" t="str">
        <f t="shared" si="1"/>
        <v>ACTIVE</v>
      </c>
    </row>
    <row r="4981" ht="22.5" customHeight="1">
      <c r="A4981" s="11" t="str">
        <f t="array" ref="A4981">IFERROR(
  INDEX('Starlink Launches'!$A:$A, MATCH($E4981, 'Starlink Launches'!$B:$B, 0)),
  ""
)
</f>
        <v>12-14</v>
      </c>
      <c r="B4981" s="3" t="s">
        <v>25</v>
      </c>
      <c r="C4981" s="12" t="s">
        <v>5004</v>
      </c>
      <c r="D4981" s="13">
        <v>63056.0</v>
      </c>
      <c r="E4981" s="4">
        <v>45709.0</v>
      </c>
      <c r="F4981" s="4" t="str">
        <f>IF(D4981="","", IFNA(VLOOKUP(D4981, SATCAT_DECAY!A:B, 2, FALSE), ""))
</f>
        <v/>
      </c>
      <c r="G4981" s="3" t="str">
        <f t="shared" si="1"/>
        <v>ACTIVE</v>
      </c>
    </row>
    <row r="4982" ht="22.5" customHeight="1">
      <c r="A4982" s="11" t="str">
        <f t="array" ref="A4982">IFERROR(
  INDEX('Starlink Launches'!$A:$A, MATCH($E4982, 'Starlink Launches'!$B:$B, 0)),
  ""
)
</f>
        <v>12-14</v>
      </c>
      <c r="B4982" s="3" t="s">
        <v>25</v>
      </c>
      <c r="C4982" s="12" t="s">
        <v>5005</v>
      </c>
      <c r="D4982" s="13">
        <v>63057.0</v>
      </c>
      <c r="E4982" s="4">
        <v>45709.0</v>
      </c>
      <c r="F4982" s="4" t="str">
        <f>IF(D4982="","", IFNA(VLOOKUP(D4982, SATCAT_DECAY!A:B, 2, FALSE), ""))
</f>
        <v/>
      </c>
      <c r="G4982" s="3" t="str">
        <f t="shared" si="1"/>
        <v>ACTIVE</v>
      </c>
    </row>
    <row r="4983" ht="22.5" customHeight="1">
      <c r="A4983" s="11" t="str">
        <f t="array" ref="A4983">IFERROR(
  INDEX('Starlink Launches'!$A:$A, MATCH($E4983, 'Starlink Launches'!$B:$B, 0)),
  ""
)
</f>
        <v>12-14</v>
      </c>
      <c r="B4983" s="3" t="s">
        <v>25</v>
      </c>
      <c r="C4983" s="12" t="s">
        <v>5006</v>
      </c>
      <c r="D4983" s="13">
        <v>63058.0</v>
      </c>
      <c r="E4983" s="4">
        <v>45709.0</v>
      </c>
      <c r="F4983" s="4" t="str">
        <f>IF(D4983="","", IFNA(VLOOKUP(D4983, SATCAT_DECAY!A:B, 2, FALSE), ""))
</f>
        <v/>
      </c>
      <c r="G4983" s="3" t="str">
        <f t="shared" si="1"/>
        <v>ACTIVE</v>
      </c>
    </row>
    <row r="4984" ht="22.5" customHeight="1">
      <c r="A4984" s="11" t="str">
        <f t="array" ref="A4984">IFERROR(
  INDEX('Starlink Launches'!$A:$A, MATCH($E4984, 'Starlink Launches'!$B:$B, 0)),
  ""
)
</f>
        <v>12-14</v>
      </c>
      <c r="B4984" s="3" t="s">
        <v>25</v>
      </c>
      <c r="C4984" s="12" t="s">
        <v>5007</v>
      </c>
      <c r="D4984" s="13">
        <v>63059.0</v>
      </c>
      <c r="E4984" s="4">
        <v>45709.0</v>
      </c>
      <c r="F4984" s="4" t="str">
        <f>IF(D4984="","", IFNA(VLOOKUP(D4984, SATCAT_DECAY!A:B, 2, FALSE), ""))
</f>
        <v/>
      </c>
      <c r="G4984" s="3" t="str">
        <f t="shared" si="1"/>
        <v>ACTIVE</v>
      </c>
    </row>
    <row r="4985" ht="22.5" customHeight="1">
      <c r="A4985" s="11" t="str">
        <f t="array" ref="A4985">IFERROR(
  INDEX('Starlink Launches'!$A:$A, MATCH($E4985, 'Starlink Launches'!$B:$B, 0)),
  ""
)
</f>
        <v>12-14</v>
      </c>
      <c r="B4985" s="3" t="s">
        <v>25</v>
      </c>
      <c r="C4985" s="12" t="s">
        <v>5008</v>
      </c>
      <c r="D4985" s="13">
        <v>63060.0</v>
      </c>
      <c r="E4985" s="4">
        <v>45709.0</v>
      </c>
      <c r="F4985" s="4" t="str">
        <f>IF(D4985="","", IFNA(VLOOKUP(D4985, SATCAT_DECAY!A:B, 2, FALSE), ""))
</f>
        <v/>
      </c>
      <c r="G4985" s="3" t="str">
        <f t="shared" si="1"/>
        <v>ACTIVE</v>
      </c>
    </row>
    <row r="4986" ht="22.5" customHeight="1">
      <c r="A4986" s="11" t="str">
        <f t="array" ref="A4986">IFERROR(
  INDEX('Starlink Launches'!$A:$A, MATCH($E4986, 'Starlink Launches'!$B:$B, 0)),
  ""
)
</f>
        <v>12-14</v>
      </c>
      <c r="B4986" s="3" t="s">
        <v>25</v>
      </c>
      <c r="C4986" s="12" t="s">
        <v>5009</v>
      </c>
      <c r="D4986" s="13">
        <v>63061.0</v>
      </c>
      <c r="E4986" s="4">
        <v>45709.0</v>
      </c>
      <c r="F4986" s="4" t="str">
        <f>IF(D4986="","", IFNA(VLOOKUP(D4986, SATCAT_DECAY!A:B, 2, FALSE), ""))
</f>
        <v/>
      </c>
      <c r="G4986" s="3" t="str">
        <f t="shared" si="1"/>
        <v>ACTIVE</v>
      </c>
    </row>
    <row r="4987" ht="22.5" customHeight="1">
      <c r="A4987" s="11" t="str">
        <f t="array" ref="A4987">IFERROR(
  INDEX('Starlink Launches'!$A:$A, MATCH($E4987, 'Starlink Launches'!$B:$B, 0)),
  ""
)
</f>
        <v>12-14</v>
      </c>
      <c r="B4987" s="3" t="s">
        <v>25</v>
      </c>
      <c r="C4987" s="12" t="s">
        <v>5010</v>
      </c>
      <c r="D4987" s="13">
        <v>63062.0</v>
      </c>
      <c r="E4987" s="4">
        <v>45709.0</v>
      </c>
      <c r="F4987" s="4" t="str">
        <f>IF(D4987="","", IFNA(VLOOKUP(D4987, SATCAT_DECAY!A:B, 2, FALSE), ""))
</f>
        <v/>
      </c>
      <c r="G4987" s="3" t="str">
        <f t="shared" si="1"/>
        <v>ACTIVE</v>
      </c>
    </row>
    <row r="4988" ht="22.5" customHeight="1">
      <c r="A4988" s="11" t="str">
        <f t="array" ref="A4988">IFERROR(
  INDEX('Starlink Launches'!$A:$A, MATCH($E4988, 'Starlink Launches'!$B:$B, 0)),
  ""
)
</f>
        <v>12-14</v>
      </c>
      <c r="B4988" s="3" t="s">
        <v>25</v>
      </c>
      <c r="C4988" s="12" t="s">
        <v>5011</v>
      </c>
      <c r="D4988" s="13">
        <v>63063.0</v>
      </c>
      <c r="E4988" s="4">
        <v>45709.0</v>
      </c>
      <c r="F4988" s="4" t="str">
        <f>IF(D4988="","", IFNA(VLOOKUP(D4988, SATCAT_DECAY!A:B, 2, FALSE), ""))
</f>
        <v/>
      </c>
      <c r="G4988" s="3" t="str">
        <f t="shared" si="1"/>
        <v>ACTIVE</v>
      </c>
    </row>
    <row r="4989" ht="22.5" customHeight="1">
      <c r="A4989" s="11" t="str">
        <f t="array" ref="A4989">IFERROR(
  INDEX('Starlink Launches'!$A:$A, MATCH($E4989, 'Starlink Launches'!$B:$B, 0)),
  ""
)
</f>
        <v>12-14</v>
      </c>
      <c r="B4989" s="3" t="s">
        <v>25</v>
      </c>
      <c r="C4989" s="12" t="s">
        <v>5012</v>
      </c>
      <c r="D4989" s="13">
        <v>63064.0</v>
      </c>
      <c r="E4989" s="4">
        <v>45709.0</v>
      </c>
      <c r="F4989" s="4" t="str">
        <f>IF(D4989="","", IFNA(VLOOKUP(D4989, SATCAT_DECAY!A:B, 2, FALSE), ""))
</f>
        <v/>
      </c>
      <c r="G4989" s="3" t="str">
        <f t="shared" si="1"/>
        <v>ACTIVE</v>
      </c>
    </row>
    <row r="4990" ht="22.5" customHeight="1">
      <c r="A4990" s="11" t="str">
        <f t="array" ref="A4990">IFERROR(
  INDEX('Starlink Launches'!$A:$A, MATCH($E4990, 'Starlink Launches'!$B:$B, 0)),
  ""
)
</f>
        <v>12-14</v>
      </c>
      <c r="B4990" s="3" t="s">
        <v>25</v>
      </c>
      <c r="C4990" s="12" t="s">
        <v>5013</v>
      </c>
      <c r="D4990" s="13">
        <v>63065.0</v>
      </c>
      <c r="E4990" s="4">
        <v>45709.0</v>
      </c>
      <c r="F4990" s="4" t="str">
        <f>IF(D4990="","", IFNA(VLOOKUP(D4990, SATCAT_DECAY!A:B, 2, FALSE), ""))
</f>
        <v/>
      </c>
      <c r="G4990" s="3" t="str">
        <f t="shared" si="1"/>
        <v>ACTIVE</v>
      </c>
    </row>
    <row r="4991" ht="22.5" customHeight="1">
      <c r="A4991" s="11" t="str">
        <f t="array" ref="A4991">IFERROR(
  INDEX('Starlink Launches'!$A:$A, MATCH($E4991, 'Starlink Launches'!$B:$B, 0)),
  ""
)
</f>
        <v>12-14</v>
      </c>
      <c r="B4991" s="3" t="s">
        <v>25</v>
      </c>
      <c r="C4991" s="12" t="s">
        <v>5014</v>
      </c>
      <c r="D4991" s="13">
        <v>63066.0</v>
      </c>
      <c r="E4991" s="4">
        <v>45709.0</v>
      </c>
      <c r="F4991" s="4" t="str">
        <f>IF(D4991="","", IFNA(VLOOKUP(D4991, SATCAT_DECAY!A:B, 2, FALSE), ""))
</f>
        <v/>
      </c>
      <c r="G4991" s="3" t="str">
        <f t="shared" si="1"/>
        <v>ACTIVE</v>
      </c>
    </row>
    <row r="4992" ht="22.5" customHeight="1">
      <c r="A4992" s="11" t="str">
        <f t="array" ref="A4992">IFERROR(
  INDEX('Starlink Launches'!$A:$A, MATCH($E4992, 'Starlink Launches'!$B:$B, 0)),
  ""
)
</f>
        <v>12-14</v>
      </c>
      <c r="B4992" s="3" t="s">
        <v>25</v>
      </c>
      <c r="C4992" s="12" t="s">
        <v>5015</v>
      </c>
      <c r="D4992" s="13">
        <v>63067.0</v>
      </c>
      <c r="E4992" s="4">
        <v>45709.0</v>
      </c>
      <c r="F4992" s="4" t="str">
        <f>IF(D4992="","", IFNA(VLOOKUP(D4992, SATCAT_DECAY!A:B, 2, FALSE), ""))
</f>
        <v/>
      </c>
      <c r="G4992" s="3" t="str">
        <f t="shared" si="1"/>
        <v>ACTIVE</v>
      </c>
    </row>
    <row r="4993" ht="22.5" customHeight="1">
      <c r="A4993" s="11" t="str">
        <f t="array" ref="A4993">IFERROR(
  INDEX('Starlink Launches'!$A:$A, MATCH($E4993, 'Starlink Launches'!$B:$B, 0)),
  ""
)
</f>
        <v>12-14</v>
      </c>
      <c r="B4993" s="3" t="s">
        <v>25</v>
      </c>
      <c r="C4993" s="12" t="s">
        <v>5016</v>
      </c>
      <c r="D4993" s="13">
        <v>63068.0</v>
      </c>
      <c r="E4993" s="4">
        <v>45709.0</v>
      </c>
      <c r="F4993" s="4" t="str">
        <f>IF(D4993="","", IFNA(VLOOKUP(D4993, SATCAT_DECAY!A:B, 2, FALSE), ""))
</f>
        <v/>
      </c>
      <c r="G4993" s="3" t="str">
        <f t="shared" si="1"/>
        <v>ACTIVE</v>
      </c>
    </row>
    <row r="4994" ht="22.5" customHeight="1">
      <c r="A4994" s="11" t="str">
        <f t="array" ref="A4994">IFERROR(
  INDEX('Starlink Launches'!$A:$A, MATCH($E4994, 'Starlink Launches'!$B:$B, 0)),
  ""
)
</f>
        <v>12-14</v>
      </c>
      <c r="B4994" s="3" t="s">
        <v>25</v>
      </c>
      <c r="C4994" s="12" t="s">
        <v>5017</v>
      </c>
      <c r="D4994" s="13">
        <v>63069.0</v>
      </c>
      <c r="E4994" s="4">
        <v>45709.0</v>
      </c>
      <c r="F4994" s="4" t="str">
        <f>IF(D4994="","", IFNA(VLOOKUP(D4994, SATCAT_DECAY!A:B, 2, FALSE), ""))
</f>
        <v/>
      </c>
      <c r="G4994" s="3" t="str">
        <f t="shared" si="1"/>
        <v>ACTIVE</v>
      </c>
    </row>
    <row r="4995" ht="22.5" customHeight="1">
      <c r="A4995" s="11" t="str">
        <f t="array" ref="A4995">IFERROR(
  INDEX('Starlink Launches'!$A:$A, MATCH($E4995, 'Starlink Launches'!$B:$B, 0)),
  ""
)
</f>
        <v>12-14</v>
      </c>
      <c r="B4995" s="3" t="s">
        <v>25</v>
      </c>
      <c r="C4995" s="12" t="s">
        <v>5018</v>
      </c>
      <c r="D4995" s="13">
        <v>63070.0</v>
      </c>
      <c r="E4995" s="4">
        <v>45709.0</v>
      </c>
      <c r="F4995" s="4" t="str">
        <f>IF(D4995="","", IFNA(VLOOKUP(D4995, SATCAT_DECAY!A:B, 2, FALSE), ""))
</f>
        <v/>
      </c>
      <c r="G4995" s="3" t="str">
        <f t="shared" si="1"/>
        <v>ACTIVE</v>
      </c>
    </row>
    <row r="4996" ht="22.5" customHeight="1">
      <c r="A4996" s="11" t="str">
        <f t="array" ref="A4996">IFERROR(
  INDEX('Starlink Launches'!$A:$A, MATCH($E4996, 'Starlink Launches'!$B:$B, 0)),
  ""
)
</f>
        <v>12-14</v>
      </c>
      <c r="B4996" s="3" t="s">
        <v>25</v>
      </c>
      <c r="C4996" s="12" t="s">
        <v>5019</v>
      </c>
      <c r="D4996" s="13">
        <v>63071.0</v>
      </c>
      <c r="E4996" s="4">
        <v>45709.0</v>
      </c>
      <c r="F4996" s="4" t="str">
        <f>IF(D4996="","", IFNA(VLOOKUP(D4996, SATCAT_DECAY!A:B, 2, FALSE), ""))
</f>
        <v/>
      </c>
      <c r="G4996" s="3" t="str">
        <f t="shared" si="1"/>
        <v>ACTIVE</v>
      </c>
    </row>
    <row r="4997" ht="22.5" customHeight="1">
      <c r="A4997" s="11" t="str">
        <f t="array" ref="A4997">IFERROR(
  INDEX('Starlink Launches'!$A:$A, MATCH($E4997, 'Starlink Launches'!$B:$B, 0)),
  ""
)
</f>
        <v>12-14</v>
      </c>
      <c r="B4997" s="3" t="s">
        <v>25</v>
      </c>
      <c r="C4997" s="12" t="s">
        <v>5020</v>
      </c>
      <c r="D4997" s="13">
        <v>63072.0</v>
      </c>
      <c r="E4997" s="4">
        <v>45709.0</v>
      </c>
      <c r="F4997" s="4" t="str">
        <f>IF(D4997="","", IFNA(VLOOKUP(D4997, SATCAT_DECAY!A:B, 2, FALSE), ""))
</f>
        <v/>
      </c>
      <c r="G4997" s="3" t="str">
        <f t="shared" si="1"/>
        <v>ACTIVE</v>
      </c>
    </row>
    <row r="4998" ht="22.5" customHeight="1">
      <c r="A4998" s="11" t="str">
        <f t="array" ref="A4998">IFERROR(
  INDEX('Starlink Launches'!$A:$A, MATCH($E4998, 'Starlink Launches'!$B:$B, 0)),
  ""
)
</f>
        <v>12-14</v>
      </c>
      <c r="B4998" s="3" t="s">
        <v>25</v>
      </c>
      <c r="C4998" s="12" t="s">
        <v>5021</v>
      </c>
      <c r="D4998" s="13">
        <v>63073.0</v>
      </c>
      <c r="E4998" s="4">
        <v>45709.0</v>
      </c>
      <c r="F4998" s="4" t="str">
        <f>IF(D4998="","", IFNA(VLOOKUP(D4998, SATCAT_DECAY!A:B, 2, FALSE), ""))
</f>
        <v/>
      </c>
      <c r="G4998" s="3" t="str">
        <f t="shared" si="1"/>
        <v>ACTIVE</v>
      </c>
    </row>
    <row r="4999" ht="22.5" customHeight="1">
      <c r="A4999" s="11" t="str">
        <f t="array" ref="A4999">IFERROR(
  INDEX('Starlink Launches'!$A:$A, MATCH($E4999, 'Starlink Launches'!$B:$B, 0)),
  ""
)
</f>
        <v>12-14</v>
      </c>
      <c r="B4999" s="3" t="s">
        <v>25</v>
      </c>
      <c r="C4999" s="12" t="s">
        <v>5022</v>
      </c>
      <c r="D4999" s="13">
        <v>63074.0</v>
      </c>
      <c r="E4999" s="4">
        <v>45709.0</v>
      </c>
      <c r="F4999" s="4" t="str">
        <f>IF(D4999="","", IFNA(VLOOKUP(D4999, SATCAT_DECAY!A:B, 2, FALSE), ""))
</f>
        <v/>
      </c>
      <c r="G4999" s="3" t="str">
        <f t="shared" si="1"/>
        <v>ACTIVE</v>
      </c>
    </row>
    <row r="5000" ht="22.5" customHeight="1">
      <c r="A5000" s="11" t="str">
        <f t="array" ref="A5000">IFERROR(
  INDEX('Starlink Launches'!$A:$A, MATCH($E5000, 'Starlink Launches'!$B:$B, 0)),
  ""
)
</f>
        <v>12-13</v>
      </c>
      <c r="B5000" s="3" t="s">
        <v>25</v>
      </c>
      <c r="C5000" s="12" t="s">
        <v>5023</v>
      </c>
      <c r="D5000" s="13">
        <v>63104.0</v>
      </c>
      <c r="E5000" s="4">
        <v>45715.0</v>
      </c>
      <c r="F5000" s="4" t="str">
        <f>IF(D5000="","", IFNA(VLOOKUP(D5000, SATCAT_DECAY!A:B, 2, FALSE), ""))
</f>
        <v/>
      </c>
      <c r="G5000" s="3" t="str">
        <f t="shared" si="1"/>
        <v>ACTIVE</v>
      </c>
    </row>
    <row r="5001" ht="22.5" customHeight="1">
      <c r="A5001" s="11" t="str">
        <f t="array" ref="A5001">IFERROR(
  INDEX('Starlink Launches'!$A:$A, MATCH($E5001, 'Starlink Launches'!$B:$B, 0)),
  ""
)
</f>
        <v>12-13</v>
      </c>
      <c r="B5001" s="3" t="s">
        <v>25</v>
      </c>
      <c r="C5001" s="12" t="s">
        <v>5024</v>
      </c>
      <c r="D5001" s="13">
        <v>63105.0</v>
      </c>
      <c r="E5001" s="4">
        <v>45715.0</v>
      </c>
      <c r="F5001" s="4" t="str">
        <f>IF(D5001="","", IFNA(VLOOKUP(D5001, SATCAT_DECAY!A:B, 2, FALSE), ""))
</f>
        <v/>
      </c>
      <c r="G5001" s="3" t="str">
        <f t="shared" si="1"/>
        <v>ACTIVE</v>
      </c>
    </row>
    <row r="5002" ht="22.5" customHeight="1">
      <c r="A5002" s="11" t="str">
        <f t="array" ref="A5002">IFERROR(
  INDEX('Starlink Launches'!$A:$A, MATCH($E5002, 'Starlink Launches'!$B:$B, 0)),
  ""
)
</f>
        <v>12-13</v>
      </c>
      <c r="B5002" s="3" t="s">
        <v>25</v>
      </c>
      <c r="C5002" s="12" t="s">
        <v>5025</v>
      </c>
      <c r="D5002" s="13">
        <v>63106.0</v>
      </c>
      <c r="E5002" s="4">
        <v>45715.0</v>
      </c>
      <c r="F5002" s="4" t="str">
        <f>IF(D5002="","", IFNA(VLOOKUP(D5002, SATCAT_DECAY!A:B, 2, FALSE), ""))
</f>
        <v/>
      </c>
      <c r="G5002" s="3" t="str">
        <f t="shared" si="1"/>
        <v>ACTIVE</v>
      </c>
    </row>
    <row r="5003" ht="22.5" customHeight="1">
      <c r="A5003" s="11" t="str">
        <f t="array" ref="A5003">IFERROR(
  INDEX('Starlink Launches'!$A:$A, MATCH($E5003, 'Starlink Launches'!$B:$B, 0)),
  ""
)
</f>
        <v>12-13</v>
      </c>
      <c r="B5003" s="3" t="s">
        <v>25</v>
      </c>
      <c r="C5003" s="12" t="s">
        <v>5026</v>
      </c>
      <c r="D5003" s="13">
        <v>63107.0</v>
      </c>
      <c r="E5003" s="4">
        <v>45715.0</v>
      </c>
      <c r="F5003" s="4" t="str">
        <f>IF(D5003="","", IFNA(VLOOKUP(D5003, SATCAT_DECAY!A:B, 2, FALSE), ""))
</f>
        <v/>
      </c>
      <c r="G5003" s="3" t="str">
        <f t="shared" si="1"/>
        <v>ACTIVE</v>
      </c>
    </row>
    <row r="5004" ht="22.5" customHeight="1">
      <c r="A5004" s="11" t="str">
        <f t="array" ref="A5004">IFERROR(
  INDEX('Starlink Launches'!$A:$A, MATCH($E5004, 'Starlink Launches'!$B:$B, 0)),
  ""
)
</f>
        <v>12-13</v>
      </c>
      <c r="B5004" s="3" t="s">
        <v>25</v>
      </c>
      <c r="C5004" s="12" t="s">
        <v>5027</v>
      </c>
      <c r="D5004" s="13">
        <v>63108.0</v>
      </c>
      <c r="E5004" s="4">
        <v>45715.0</v>
      </c>
      <c r="F5004" s="4" t="str">
        <f>IF(D5004="","", IFNA(VLOOKUP(D5004, SATCAT_DECAY!A:B, 2, FALSE), ""))
</f>
        <v/>
      </c>
      <c r="G5004" s="3" t="str">
        <f t="shared" si="1"/>
        <v>ACTIVE</v>
      </c>
    </row>
    <row r="5005" ht="22.5" customHeight="1">
      <c r="A5005" s="11" t="str">
        <f t="array" ref="A5005">IFERROR(
  INDEX('Starlink Launches'!$A:$A, MATCH($E5005, 'Starlink Launches'!$B:$B, 0)),
  ""
)
</f>
        <v>12-13</v>
      </c>
      <c r="B5005" s="3" t="s">
        <v>25</v>
      </c>
      <c r="C5005" s="12" t="s">
        <v>5028</v>
      </c>
      <c r="D5005" s="13">
        <v>63109.0</v>
      </c>
      <c r="E5005" s="4">
        <v>45715.0</v>
      </c>
      <c r="F5005" s="4" t="str">
        <f>IF(D5005="","", IFNA(VLOOKUP(D5005, SATCAT_DECAY!A:B, 2, FALSE), ""))
</f>
        <v/>
      </c>
      <c r="G5005" s="3" t="str">
        <f t="shared" si="1"/>
        <v>ACTIVE</v>
      </c>
    </row>
    <row r="5006" ht="22.5" customHeight="1">
      <c r="A5006" s="11" t="str">
        <f t="array" ref="A5006">IFERROR(
  INDEX('Starlink Launches'!$A:$A, MATCH($E5006, 'Starlink Launches'!$B:$B, 0)),
  ""
)
</f>
        <v>12-13</v>
      </c>
      <c r="B5006" s="3" t="s">
        <v>25</v>
      </c>
      <c r="C5006" s="12" t="s">
        <v>5029</v>
      </c>
      <c r="D5006" s="13">
        <v>63110.0</v>
      </c>
      <c r="E5006" s="4">
        <v>45715.0</v>
      </c>
      <c r="F5006" s="4" t="str">
        <f>IF(D5006="","", IFNA(VLOOKUP(D5006, SATCAT_DECAY!A:B, 2, FALSE), ""))
</f>
        <v/>
      </c>
      <c r="G5006" s="3" t="str">
        <f t="shared" si="1"/>
        <v>ACTIVE</v>
      </c>
    </row>
    <row r="5007" ht="22.5" customHeight="1">
      <c r="A5007" s="11" t="str">
        <f t="array" ref="A5007">IFERROR(
  INDEX('Starlink Launches'!$A:$A, MATCH($E5007, 'Starlink Launches'!$B:$B, 0)),
  ""
)
</f>
        <v>12-13</v>
      </c>
      <c r="B5007" s="3" t="s">
        <v>25</v>
      </c>
      <c r="C5007" s="12" t="s">
        <v>5030</v>
      </c>
      <c r="D5007" s="13">
        <v>63111.0</v>
      </c>
      <c r="E5007" s="4">
        <v>45715.0</v>
      </c>
      <c r="F5007" s="4" t="str">
        <f>IF(D5007="","", IFNA(VLOOKUP(D5007, SATCAT_DECAY!A:B, 2, FALSE), ""))
</f>
        <v/>
      </c>
      <c r="G5007" s="3" t="str">
        <f t="shared" si="1"/>
        <v>ACTIVE</v>
      </c>
    </row>
    <row r="5008" ht="22.5" customHeight="1">
      <c r="A5008" s="11" t="str">
        <f t="array" ref="A5008">IFERROR(
  INDEX('Starlink Launches'!$A:$A, MATCH($E5008, 'Starlink Launches'!$B:$B, 0)),
  ""
)
</f>
        <v>12-13</v>
      </c>
      <c r="B5008" s="3" t="s">
        <v>25</v>
      </c>
      <c r="C5008" s="12" t="s">
        <v>5031</v>
      </c>
      <c r="D5008" s="13">
        <v>63112.0</v>
      </c>
      <c r="E5008" s="4">
        <v>45715.0</v>
      </c>
      <c r="F5008" s="4" t="str">
        <f>IF(D5008="","", IFNA(VLOOKUP(D5008, SATCAT_DECAY!A:B, 2, FALSE), ""))
</f>
        <v/>
      </c>
      <c r="G5008" s="3" t="str">
        <f t="shared" si="1"/>
        <v>ACTIVE</v>
      </c>
    </row>
    <row r="5009" ht="22.5" customHeight="1">
      <c r="A5009" s="11" t="str">
        <f t="array" ref="A5009">IFERROR(
  INDEX('Starlink Launches'!$A:$A, MATCH($E5009, 'Starlink Launches'!$B:$B, 0)),
  ""
)
</f>
        <v>12-13</v>
      </c>
      <c r="B5009" s="3" t="s">
        <v>25</v>
      </c>
      <c r="C5009" s="12" t="s">
        <v>5032</v>
      </c>
      <c r="D5009" s="13">
        <v>63113.0</v>
      </c>
      <c r="E5009" s="4">
        <v>45715.0</v>
      </c>
      <c r="F5009" s="4" t="str">
        <f>IF(D5009="","", IFNA(VLOOKUP(D5009, SATCAT_DECAY!A:B, 2, FALSE), ""))
</f>
        <v/>
      </c>
      <c r="G5009" s="3" t="str">
        <f t="shared" si="1"/>
        <v>ACTIVE</v>
      </c>
    </row>
    <row r="5010" ht="22.5" customHeight="1">
      <c r="A5010" s="11" t="str">
        <f t="array" ref="A5010">IFERROR(
  INDEX('Starlink Launches'!$A:$A, MATCH($E5010, 'Starlink Launches'!$B:$B, 0)),
  ""
)
</f>
        <v>12-13</v>
      </c>
      <c r="B5010" s="3" t="s">
        <v>25</v>
      </c>
      <c r="C5010" s="12" t="s">
        <v>5033</v>
      </c>
      <c r="D5010" s="13">
        <v>63114.0</v>
      </c>
      <c r="E5010" s="4">
        <v>45715.0</v>
      </c>
      <c r="F5010" s="4" t="str">
        <f>IF(D5010="","", IFNA(VLOOKUP(D5010, SATCAT_DECAY!A:B, 2, FALSE), ""))
</f>
        <v/>
      </c>
      <c r="G5010" s="3" t="str">
        <f t="shared" si="1"/>
        <v>ACTIVE</v>
      </c>
    </row>
    <row r="5011" ht="22.5" customHeight="1">
      <c r="A5011" s="11" t="str">
        <f t="array" ref="A5011">IFERROR(
  INDEX('Starlink Launches'!$A:$A, MATCH($E5011, 'Starlink Launches'!$B:$B, 0)),
  ""
)
</f>
        <v>12-13</v>
      </c>
      <c r="B5011" s="3" t="s">
        <v>25</v>
      </c>
      <c r="C5011" s="12" t="s">
        <v>5034</v>
      </c>
      <c r="D5011" s="13">
        <v>63115.0</v>
      </c>
      <c r="E5011" s="4">
        <v>45715.0</v>
      </c>
      <c r="F5011" s="4" t="str">
        <f>IF(D5011="","", IFNA(VLOOKUP(D5011, SATCAT_DECAY!A:B, 2, FALSE), ""))
</f>
        <v/>
      </c>
      <c r="G5011" s="3" t="str">
        <f t="shared" si="1"/>
        <v>ACTIVE</v>
      </c>
    </row>
    <row r="5012" ht="22.5" customHeight="1">
      <c r="A5012" s="11" t="str">
        <f t="array" ref="A5012">IFERROR(
  INDEX('Starlink Launches'!$A:$A, MATCH($E5012, 'Starlink Launches'!$B:$B, 0)),
  ""
)
</f>
        <v>12-13</v>
      </c>
      <c r="B5012" s="3" t="s">
        <v>25</v>
      </c>
      <c r="C5012" s="12" t="s">
        <v>5035</v>
      </c>
      <c r="D5012" s="13">
        <v>63116.0</v>
      </c>
      <c r="E5012" s="4">
        <v>45715.0</v>
      </c>
      <c r="F5012" s="4" t="str">
        <f>IF(D5012="","", IFNA(VLOOKUP(D5012, SATCAT_DECAY!A:B, 2, FALSE), ""))
</f>
        <v/>
      </c>
      <c r="G5012" s="3" t="str">
        <f t="shared" si="1"/>
        <v>ACTIVE</v>
      </c>
    </row>
    <row r="5013" ht="22.5" customHeight="1">
      <c r="A5013" s="11" t="str">
        <f t="array" ref="A5013">IFERROR(
  INDEX('Starlink Launches'!$A:$A, MATCH($E5013, 'Starlink Launches'!$B:$B, 0)),
  ""
)
</f>
        <v>12-13</v>
      </c>
      <c r="B5013" s="3" t="s">
        <v>25</v>
      </c>
      <c r="C5013" s="12" t="s">
        <v>5036</v>
      </c>
      <c r="D5013" s="13">
        <v>63117.0</v>
      </c>
      <c r="E5013" s="4">
        <v>45715.0</v>
      </c>
      <c r="F5013" s="4" t="str">
        <f>IF(D5013="","", IFNA(VLOOKUP(D5013, SATCAT_DECAY!A:B, 2, FALSE), ""))
</f>
        <v/>
      </c>
      <c r="G5013" s="3" t="str">
        <f t="shared" si="1"/>
        <v>ACTIVE</v>
      </c>
    </row>
    <row r="5014" ht="22.5" customHeight="1">
      <c r="A5014" s="11" t="str">
        <f t="array" ref="A5014">IFERROR(
  INDEX('Starlink Launches'!$A:$A, MATCH($E5014, 'Starlink Launches'!$B:$B, 0)),
  ""
)
</f>
        <v>12-13</v>
      </c>
      <c r="B5014" s="3" t="s">
        <v>25</v>
      </c>
      <c r="C5014" s="12" t="s">
        <v>5037</v>
      </c>
      <c r="D5014" s="13">
        <v>63118.0</v>
      </c>
      <c r="E5014" s="4">
        <v>45715.0</v>
      </c>
      <c r="F5014" s="4" t="str">
        <f>IF(D5014="","", IFNA(VLOOKUP(D5014, SATCAT_DECAY!A:B, 2, FALSE), ""))
</f>
        <v/>
      </c>
      <c r="G5014" s="3" t="str">
        <f t="shared" si="1"/>
        <v>ACTIVE</v>
      </c>
    </row>
    <row r="5015" ht="22.5" customHeight="1">
      <c r="A5015" s="11" t="str">
        <f t="array" ref="A5015">IFERROR(
  INDEX('Starlink Launches'!$A:$A, MATCH($E5015, 'Starlink Launches'!$B:$B, 0)),
  ""
)
</f>
        <v>12-13</v>
      </c>
      <c r="B5015" s="3" t="s">
        <v>25</v>
      </c>
      <c r="C5015" s="12" t="s">
        <v>5038</v>
      </c>
      <c r="D5015" s="13">
        <v>63119.0</v>
      </c>
      <c r="E5015" s="4">
        <v>45715.0</v>
      </c>
      <c r="F5015" s="4" t="str">
        <f>IF(D5015="","", IFNA(VLOOKUP(D5015, SATCAT_DECAY!A:B, 2, FALSE), ""))
</f>
        <v/>
      </c>
      <c r="G5015" s="3" t="str">
        <f t="shared" si="1"/>
        <v>ACTIVE</v>
      </c>
    </row>
    <row r="5016" ht="22.5" customHeight="1">
      <c r="A5016" s="11" t="str">
        <f t="array" ref="A5016">IFERROR(
  INDEX('Starlink Launches'!$A:$A, MATCH($E5016, 'Starlink Launches'!$B:$B, 0)),
  ""
)
</f>
        <v>12-13</v>
      </c>
      <c r="B5016" s="3" t="s">
        <v>25</v>
      </c>
      <c r="C5016" s="12" t="s">
        <v>5039</v>
      </c>
      <c r="D5016" s="13">
        <v>63120.0</v>
      </c>
      <c r="E5016" s="4">
        <v>45715.0</v>
      </c>
      <c r="F5016" s="4" t="str">
        <f>IF(D5016="","", IFNA(VLOOKUP(D5016, SATCAT_DECAY!A:B, 2, FALSE), ""))
</f>
        <v/>
      </c>
      <c r="G5016" s="3" t="str">
        <f t="shared" si="1"/>
        <v>ACTIVE</v>
      </c>
    </row>
    <row r="5017" ht="22.5" customHeight="1">
      <c r="A5017" s="11" t="str">
        <f t="array" ref="A5017">IFERROR(
  INDEX('Starlink Launches'!$A:$A, MATCH($E5017, 'Starlink Launches'!$B:$B, 0)),
  ""
)
</f>
        <v>12-13</v>
      </c>
      <c r="B5017" s="3" t="s">
        <v>25</v>
      </c>
      <c r="C5017" s="12" t="s">
        <v>5040</v>
      </c>
      <c r="D5017" s="13">
        <v>63121.0</v>
      </c>
      <c r="E5017" s="4">
        <v>45715.0</v>
      </c>
      <c r="F5017" s="4" t="str">
        <f>IF(D5017="","", IFNA(VLOOKUP(D5017, SATCAT_DECAY!A:B, 2, FALSE), ""))
</f>
        <v/>
      </c>
      <c r="G5017" s="3" t="str">
        <f t="shared" si="1"/>
        <v>ACTIVE</v>
      </c>
    </row>
    <row r="5018" ht="22.5" customHeight="1">
      <c r="A5018" s="11" t="str">
        <f t="array" ref="A5018">IFERROR(
  INDEX('Starlink Launches'!$A:$A, MATCH($E5018, 'Starlink Launches'!$B:$B, 0)),
  ""
)
</f>
        <v>12-13</v>
      </c>
      <c r="B5018" s="3" t="s">
        <v>25</v>
      </c>
      <c r="C5018" s="12" t="s">
        <v>5041</v>
      </c>
      <c r="D5018" s="13">
        <v>63122.0</v>
      </c>
      <c r="E5018" s="4">
        <v>45715.0</v>
      </c>
      <c r="F5018" s="4" t="str">
        <f>IF(D5018="","", IFNA(VLOOKUP(D5018, SATCAT_DECAY!A:B, 2, FALSE), ""))
</f>
        <v/>
      </c>
      <c r="G5018" s="3" t="str">
        <f t="shared" si="1"/>
        <v>ACTIVE</v>
      </c>
    </row>
    <row r="5019" ht="22.5" customHeight="1">
      <c r="A5019" s="11" t="str">
        <f t="array" ref="A5019">IFERROR(
  INDEX('Starlink Launches'!$A:$A, MATCH($E5019, 'Starlink Launches'!$B:$B, 0)),
  ""
)
</f>
        <v>12-13</v>
      </c>
      <c r="B5019" s="3" t="s">
        <v>25</v>
      </c>
      <c r="C5019" s="12" t="s">
        <v>5042</v>
      </c>
      <c r="D5019" s="13">
        <v>63123.0</v>
      </c>
      <c r="E5019" s="4">
        <v>45715.0</v>
      </c>
      <c r="F5019" s="4" t="str">
        <f>IF(D5019="","", IFNA(VLOOKUP(D5019, SATCAT_DECAY!A:B, 2, FALSE), ""))
</f>
        <v/>
      </c>
      <c r="G5019" s="3" t="str">
        <f t="shared" si="1"/>
        <v>ACTIVE</v>
      </c>
    </row>
    <row r="5020" ht="22.5" customHeight="1">
      <c r="A5020" s="11" t="str">
        <f t="array" ref="A5020">IFERROR(
  INDEX('Starlink Launches'!$A:$A, MATCH($E5020, 'Starlink Launches'!$B:$B, 0)),
  ""
)
</f>
        <v>12-13</v>
      </c>
      <c r="B5020" s="3" t="s">
        <v>25</v>
      </c>
      <c r="C5020" s="12" t="s">
        <v>5043</v>
      </c>
      <c r="D5020" s="13">
        <v>63124.0</v>
      </c>
      <c r="E5020" s="4">
        <v>45715.0</v>
      </c>
      <c r="F5020" s="4" t="str">
        <f>IF(D5020="","", IFNA(VLOOKUP(D5020, SATCAT_DECAY!A:B, 2, FALSE), ""))
</f>
        <v/>
      </c>
      <c r="G5020" s="3" t="str">
        <f t="shared" si="1"/>
        <v>ACTIVE</v>
      </c>
    </row>
    <row r="5021" ht="22.5" customHeight="1">
      <c r="A5021" s="11" t="str">
        <f t="array" ref="A5021">IFERROR(
  INDEX('Starlink Launches'!$A:$A, MATCH($E5021, 'Starlink Launches'!$B:$B, 0)),
  ""
)
</f>
        <v>12-20</v>
      </c>
      <c r="B5021" s="3" t="s">
        <v>25</v>
      </c>
      <c r="C5021" s="12" t="s">
        <v>5044</v>
      </c>
      <c r="D5021" s="13">
        <v>63132.0</v>
      </c>
      <c r="E5021" s="4">
        <v>45719.0</v>
      </c>
      <c r="F5021" s="4" t="str">
        <f>IF(D5021="","", IFNA(VLOOKUP(D5021, SATCAT_DECAY!A:B, 2, FALSE), ""))
</f>
        <v/>
      </c>
      <c r="G5021" s="3" t="str">
        <f t="shared" si="1"/>
        <v>ACTIVE</v>
      </c>
    </row>
    <row r="5022" ht="22.5" customHeight="1">
      <c r="A5022" s="11" t="str">
        <f t="array" ref="A5022">IFERROR(
  INDEX('Starlink Launches'!$A:$A, MATCH($E5022, 'Starlink Launches'!$B:$B, 0)),
  ""
)
</f>
        <v>12-20</v>
      </c>
      <c r="B5022" s="3" t="s">
        <v>25</v>
      </c>
      <c r="C5022" s="12" t="s">
        <v>5045</v>
      </c>
      <c r="D5022" s="13">
        <v>63133.0</v>
      </c>
      <c r="E5022" s="4">
        <v>45719.0</v>
      </c>
      <c r="F5022" s="4" t="str">
        <f>IF(D5022="","", IFNA(VLOOKUP(D5022, SATCAT_DECAY!A:B, 2, FALSE), ""))
</f>
        <v/>
      </c>
      <c r="G5022" s="3" t="str">
        <f t="shared" si="1"/>
        <v>ACTIVE</v>
      </c>
    </row>
    <row r="5023" ht="22.5" customHeight="1">
      <c r="A5023" s="11" t="str">
        <f t="array" ref="A5023">IFERROR(
  INDEX('Starlink Launches'!$A:$A, MATCH($E5023, 'Starlink Launches'!$B:$B, 0)),
  ""
)
</f>
        <v>12-20</v>
      </c>
      <c r="B5023" s="3" t="s">
        <v>25</v>
      </c>
      <c r="C5023" s="12" t="s">
        <v>5046</v>
      </c>
      <c r="D5023" s="13">
        <v>63134.0</v>
      </c>
      <c r="E5023" s="4">
        <v>45719.0</v>
      </c>
      <c r="F5023" s="4" t="str">
        <f>IF(D5023="","", IFNA(VLOOKUP(D5023, SATCAT_DECAY!A:B, 2, FALSE), ""))
</f>
        <v/>
      </c>
      <c r="G5023" s="3" t="str">
        <f t="shared" si="1"/>
        <v>ACTIVE</v>
      </c>
    </row>
    <row r="5024" ht="22.5" customHeight="1">
      <c r="A5024" s="11" t="str">
        <f t="array" ref="A5024">IFERROR(
  INDEX('Starlink Launches'!$A:$A, MATCH($E5024, 'Starlink Launches'!$B:$B, 0)),
  ""
)
</f>
        <v>12-20</v>
      </c>
      <c r="B5024" s="3" t="s">
        <v>25</v>
      </c>
      <c r="C5024" s="12" t="s">
        <v>5047</v>
      </c>
      <c r="D5024" s="13">
        <v>63135.0</v>
      </c>
      <c r="E5024" s="4">
        <v>45719.0</v>
      </c>
      <c r="F5024" s="4" t="str">
        <f>IF(D5024="","", IFNA(VLOOKUP(D5024, SATCAT_DECAY!A:B, 2, FALSE), ""))
</f>
        <v/>
      </c>
      <c r="G5024" s="3" t="str">
        <f t="shared" si="1"/>
        <v>ACTIVE</v>
      </c>
    </row>
    <row r="5025" ht="22.5" customHeight="1">
      <c r="A5025" s="11" t="str">
        <f t="array" ref="A5025">IFERROR(
  INDEX('Starlink Launches'!$A:$A, MATCH($E5025, 'Starlink Launches'!$B:$B, 0)),
  ""
)
</f>
        <v>12-20</v>
      </c>
      <c r="B5025" s="3" t="s">
        <v>25</v>
      </c>
      <c r="C5025" s="12" t="s">
        <v>5048</v>
      </c>
      <c r="D5025" s="13">
        <v>63136.0</v>
      </c>
      <c r="E5025" s="4">
        <v>45719.0</v>
      </c>
      <c r="F5025" s="4" t="str">
        <f>IF(D5025="","", IFNA(VLOOKUP(D5025, SATCAT_DECAY!A:B, 2, FALSE), ""))
</f>
        <v/>
      </c>
      <c r="G5025" s="3" t="str">
        <f t="shared" si="1"/>
        <v>ACTIVE</v>
      </c>
    </row>
    <row r="5026" ht="22.5" customHeight="1">
      <c r="A5026" s="11" t="str">
        <f t="array" ref="A5026">IFERROR(
  INDEX('Starlink Launches'!$A:$A, MATCH($E5026, 'Starlink Launches'!$B:$B, 0)),
  ""
)
</f>
        <v>12-20</v>
      </c>
      <c r="B5026" s="3" t="s">
        <v>25</v>
      </c>
      <c r="C5026" s="12" t="s">
        <v>5049</v>
      </c>
      <c r="D5026" s="13">
        <v>63137.0</v>
      </c>
      <c r="E5026" s="4">
        <v>45719.0</v>
      </c>
      <c r="F5026" s="4" t="str">
        <f>IF(D5026="","", IFNA(VLOOKUP(D5026, SATCAT_DECAY!A:B, 2, FALSE), ""))
</f>
        <v/>
      </c>
      <c r="G5026" s="3" t="str">
        <f t="shared" si="1"/>
        <v>ACTIVE</v>
      </c>
    </row>
    <row r="5027" ht="22.5" customHeight="1">
      <c r="A5027" s="11" t="str">
        <f t="array" ref="A5027">IFERROR(
  INDEX('Starlink Launches'!$A:$A, MATCH($E5027, 'Starlink Launches'!$B:$B, 0)),
  ""
)
</f>
        <v>12-20</v>
      </c>
      <c r="B5027" s="3" t="s">
        <v>25</v>
      </c>
      <c r="C5027" s="12" t="s">
        <v>5050</v>
      </c>
      <c r="D5027" s="13">
        <v>63138.0</v>
      </c>
      <c r="E5027" s="4">
        <v>45719.0</v>
      </c>
      <c r="F5027" s="4" t="str">
        <f>IF(D5027="","", IFNA(VLOOKUP(D5027, SATCAT_DECAY!A:B, 2, FALSE), ""))
</f>
        <v/>
      </c>
      <c r="G5027" s="3" t="str">
        <f t="shared" si="1"/>
        <v>ACTIVE</v>
      </c>
    </row>
    <row r="5028" ht="22.5" customHeight="1">
      <c r="A5028" s="11" t="str">
        <f t="array" ref="A5028">IFERROR(
  INDEX('Starlink Launches'!$A:$A, MATCH($E5028, 'Starlink Launches'!$B:$B, 0)),
  ""
)
</f>
        <v>12-20</v>
      </c>
      <c r="B5028" s="3" t="s">
        <v>25</v>
      </c>
      <c r="C5028" s="12" t="s">
        <v>5051</v>
      </c>
      <c r="D5028" s="13">
        <v>63139.0</v>
      </c>
      <c r="E5028" s="4">
        <v>45719.0</v>
      </c>
      <c r="F5028" s="4" t="str">
        <f>IF(D5028="","", IFNA(VLOOKUP(D5028, SATCAT_DECAY!A:B, 2, FALSE), ""))
</f>
        <v/>
      </c>
      <c r="G5028" s="3" t="str">
        <f t="shared" si="1"/>
        <v>ACTIVE</v>
      </c>
    </row>
    <row r="5029" ht="22.5" customHeight="1">
      <c r="A5029" s="11" t="str">
        <f t="array" ref="A5029">IFERROR(
  INDEX('Starlink Launches'!$A:$A, MATCH($E5029, 'Starlink Launches'!$B:$B, 0)),
  ""
)
</f>
        <v>12-20</v>
      </c>
      <c r="B5029" s="3" t="s">
        <v>25</v>
      </c>
      <c r="C5029" s="12" t="s">
        <v>5052</v>
      </c>
      <c r="D5029" s="13">
        <v>63140.0</v>
      </c>
      <c r="E5029" s="4">
        <v>45719.0</v>
      </c>
      <c r="F5029" s="4" t="str">
        <f>IF(D5029="","", IFNA(VLOOKUP(D5029, SATCAT_DECAY!A:B, 2, FALSE), ""))
</f>
        <v/>
      </c>
      <c r="G5029" s="3" t="str">
        <f t="shared" si="1"/>
        <v>ACTIVE</v>
      </c>
    </row>
    <row r="5030" ht="22.5" customHeight="1">
      <c r="A5030" s="11" t="str">
        <f t="array" ref="A5030">IFERROR(
  INDEX('Starlink Launches'!$A:$A, MATCH($E5030, 'Starlink Launches'!$B:$B, 0)),
  ""
)
</f>
        <v>12-20</v>
      </c>
      <c r="B5030" s="3" t="s">
        <v>25</v>
      </c>
      <c r="C5030" s="12" t="s">
        <v>5053</v>
      </c>
      <c r="D5030" s="13">
        <v>63141.0</v>
      </c>
      <c r="E5030" s="4">
        <v>45719.0</v>
      </c>
      <c r="F5030" s="4" t="str">
        <f>IF(D5030="","", IFNA(VLOOKUP(D5030, SATCAT_DECAY!A:B, 2, FALSE), ""))
</f>
        <v/>
      </c>
      <c r="G5030" s="3" t="str">
        <f t="shared" si="1"/>
        <v>ACTIVE</v>
      </c>
    </row>
    <row r="5031" ht="22.5" customHeight="1">
      <c r="A5031" s="11" t="str">
        <f t="array" ref="A5031">IFERROR(
  INDEX('Starlink Launches'!$A:$A, MATCH($E5031, 'Starlink Launches'!$B:$B, 0)),
  ""
)
</f>
        <v>12-20</v>
      </c>
      <c r="B5031" s="3" t="s">
        <v>25</v>
      </c>
      <c r="C5031" s="12" t="s">
        <v>5054</v>
      </c>
      <c r="D5031" s="13">
        <v>63142.0</v>
      </c>
      <c r="E5031" s="4">
        <v>45719.0</v>
      </c>
      <c r="F5031" s="4" t="str">
        <f>IF(D5031="","", IFNA(VLOOKUP(D5031, SATCAT_DECAY!A:B, 2, FALSE), ""))
</f>
        <v/>
      </c>
      <c r="G5031" s="3" t="str">
        <f t="shared" si="1"/>
        <v>ACTIVE</v>
      </c>
    </row>
    <row r="5032" ht="22.5" customHeight="1">
      <c r="A5032" s="11" t="str">
        <f t="array" ref="A5032">IFERROR(
  INDEX('Starlink Launches'!$A:$A, MATCH($E5032, 'Starlink Launches'!$B:$B, 0)),
  ""
)
</f>
        <v>12-20</v>
      </c>
      <c r="B5032" s="3" t="s">
        <v>25</v>
      </c>
      <c r="C5032" s="12" t="s">
        <v>5055</v>
      </c>
      <c r="D5032" s="13">
        <v>63143.0</v>
      </c>
      <c r="E5032" s="4">
        <v>45719.0</v>
      </c>
      <c r="F5032" s="4" t="str">
        <f>IF(D5032="","", IFNA(VLOOKUP(D5032, SATCAT_DECAY!A:B, 2, FALSE), ""))
</f>
        <v/>
      </c>
      <c r="G5032" s="3" t="str">
        <f t="shared" si="1"/>
        <v>ACTIVE</v>
      </c>
    </row>
    <row r="5033" ht="22.5" customHeight="1">
      <c r="A5033" s="11" t="str">
        <f t="array" ref="A5033">IFERROR(
  INDEX('Starlink Launches'!$A:$A, MATCH($E5033, 'Starlink Launches'!$B:$B, 0)),
  ""
)
</f>
        <v>12-20</v>
      </c>
      <c r="B5033" s="3" t="s">
        <v>25</v>
      </c>
      <c r="C5033" s="12" t="s">
        <v>5056</v>
      </c>
      <c r="D5033" s="13">
        <v>63144.0</v>
      </c>
      <c r="E5033" s="4">
        <v>45719.0</v>
      </c>
      <c r="F5033" s="4" t="str">
        <f>IF(D5033="","", IFNA(VLOOKUP(D5033, SATCAT_DECAY!A:B, 2, FALSE), ""))
</f>
        <v/>
      </c>
      <c r="G5033" s="3" t="str">
        <f t="shared" si="1"/>
        <v>ACTIVE</v>
      </c>
    </row>
    <row r="5034" ht="22.5" customHeight="1">
      <c r="A5034" s="11" t="str">
        <f t="array" ref="A5034">IFERROR(
  INDEX('Starlink Launches'!$A:$A, MATCH($E5034, 'Starlink Launches'!$B:$B, 0)),
  ""
)
</f>
        <v>12-20</v>
      </c>
      <c r="B5034" s="3" t="s">
        <v>25</v>
      </c>
      <c r="C5034" s="12" t="s">
        <v>5057</v>
      </c>
      <c r="D5034" s="13">
        <v>63145.0</v>
      </c>
      <c r="E5034" s="4">
        <v>45719.0</v>
      </c>
      <c r="F5034" s="4" t="str">
        <f>IF(D5034="","", IFNA(VLOOKUP(D5034, SATCAT_DECAY!A:B, 2, FALSE), ""))
</f>
        <v/>
      </c>
      <c r="G5034" s="3" t="str">
        <f t="shared" si="1"/>
        <v>ACTIVE</v>
      </c>
    </row>
    <row r="5035" ht="22.5" customHeight="1">
      <c r="A5035" s="11" t="str">
        <f t="array" ref="A5035">IFERROR(
  INDEX('Starlink Launches'!$A:$A, MATCH($E5035, 'Starlink Launches'!$B:$B, 0)),
  ""
)
</f>
        <v>12-20</v>
      </c>
      <c r="B5035" s="3" t="s">
        <v>25</v>
      </c>
      <c r="C5035" s="12" t="s">
        <v>5058</v>
      </c>
      <c r="D5035" s="13">
        <v>63146.0</v>
      </c>
      <c r="E5035" s="4">
        <v>45719.0</v>
      </c>
      <c r="F5035" s="4" t="str">
        <f>IF(D5035="","", IFNA(VLOOKUP(D5035, SATCAT_DECAY!A:B, 2, FALSE), ""))
</f>
        <v/>
      </c>
      <c r="G5035" s="3" t="str">
        <f t="shared" si="1"/>
        <v>ACTIVE</v>
      </c>
    </row>
    <row r="5036" ht="22.5" customHeight="1">
      <c r="A5036" s="11" t="str">
        <f t="array" ref="A5036">IFERROR(
  INDEX('Starlink Launches'!$A:$A, MATCH($E5036, 'Starlink Launches'!$B:$B, 0)),
  ""
)
</f>
        <v>12-20</v>
      </c>
      <c r="B5036" s="3" t="s">
        <v>25</v>
      </c>
      <c r="C5036" s="12" t="s">
        <v>5059</v>
      </c>
      <c r="D5036" s="13">
        <v>63147.0</v>
      </c>
      <c r="E5036" s="4">
        <v>45719.0</v>
      </c>
      <c r="F5036" s="4" t="str">
        <f>IF(D5036="","", IFNA(VLOOKUP(D5036, SATCAT_DECAY!A:B, 2, FALSE), ""))
</f>
        <v/>
      </c>
      <c r="G5036" s="3" t="str">
        <f t="shared" si="1"/>
        <v>ACTIVE</v>
      </c>
    </row>
    <row r="5037" ht="22.5" customHeight="1">
      <c r="A5037" s="11" t="str">
        <f t="array" ref="A5037">IFERROR(
  INDEX('Starlink Launches'!$A:$A, MATCH($E5037, 'Starlink Launches'!$B:$B, 0)),
  ""
)
</f>
        <v>12-20</v>
      </c>
      <c r="B5037" s="3" t="s">
        <v>25</v>
      </c>
      <c r="C5037" s="12" t="s">
        <v>5060</v>
      </c>
      <c r="D5037" s="13">
        <v>63148.0</v>
      </c>
      <c r="E5037" s="4">
        <v>45719.0</v>
      </c>
      <c r="F5037" s="4" t="str">
        <f>IF(D5037="","", IFNA(VLOOKUP(D5037, SATCAT_DECAY!A:B, 2, FALSE), ""))
</f>
        <v/>
      </c>
      <c r="G5037" s="3" t="str">
        <f t="shared" si="1"/>
        <v>ACTIVE</v>
      </c>
    </row>
    <row r="5038" ht="22.5" customHeight="1">
      <c r="A5038" s="11" t="str">
        <f t="array" ref="A5038">IFERROR(
  INDEX('Starlink Launches'!$A:$A, MATCH($E5038, 'Starlink Launches'!$B:$B, 0)),
  ""
)
</f>
        <v>12-20</v>
      </c>
      <c r="B5038" s="3" t="s">
        <v>25</v>
      </c>
      <c r="C5038" s="12" t="s">
        <v>5061</v>
      </c>
      <c r="D5038" s="13">
        <v>63149.0</v>
      </c>
      <c r="E5038" s="4">
        <v>45719.0</v>
      </c>
      <c r="F5038" s="4" t="str">
        <f>IF(D5038="","", IFNA(VLOOKUP(D5038, SATCAT_DECAY!A:B, 2, FALSE), ""))
</f>
        <v/>
      </c>
      <c r="G5038" s="3" t="str">
        <f t="shared" si="1"/>
        <v>ACTIVE</v>
      </c>
    </row>
    <row r="5039" ht="22.5" customHeight="1">
      <c r="A5039" s="11" t="str">
        <f t="array" ref="A5039">IFERROR(
  INDEX('Starlink Launches'!$A:$A, MATCH($E5039, 'Starlink Launches'!$B:$B, 0)),
  ""
)
</f>
        <v>12-20</v>
      </c>
      <c r="B5039" s="3" t="s">
        <v>25</v>
      </c>
      <c r="C5039" s="12" t="s">
        <v>5062</v>
      </c>
      <c r="D5039" s="13">
        <v>63150.0</v>
      </c>
      <c r="E5039" s="4">
        <v>45719.0</v>
      </c>
      <c r="F5039" s="4" t="str">
        <f>IF(D5039="","", IFNA(VLOOKUP(D5039, SATCAT_DECAY!A:B, 2, FALSE), ""))
</f>
        <v/>
      </c>
      <c r="G5039" s="3" t="str">
        <f t="shared" si="1"/>
        <v>ACTIVE</v>
      </c>
    </row>
    <row r="5040" ht="22.5" customHeight="1">
      <c r="A5040" s="11" t="str">
        <f t="array" ref="A5040">IFERROR(
  INDEX('Starlink Launches'!$A:$A, MATCH($E5040, 'Starlink Launches'!$B:$B, 0)),
  ""
)
</f>
        <v>12-20</v>
      </c>
      <c r="B5040" s="3" t="s">
        <v>25</v>
      </c>
      <c r="C5040" s="12" t="s">
        <v>5063</v>
      </c>
      <c r="D5040" s="13">
        <v>63151.0</v>
      </c>
      <c r="E5040" s="4">
        <v>45719.0</v>
      </c>
      <c r="F5040" s="4" t="str">
        <f>IF(D5040="","", IFNA(VLOOKUP(D5040, SATCAT_DECAY!A:B, 2, FALSE), ""))
</f>
        <v/>
      </c>
      <c r="G5040" s="3" t="str">
        <f t="shared" si="1"/>
        <v>ACTIVE</v>
      </c>
    </row>
    <row r="5041" ht="22.5" customHeight="1">
      <c r="A5041" s="11" t="str">
        <f t="array" ref="A5041">IFERROR(
  INDEX('Starlink Launches'!$A:$A, MATCH($E5041, 'Starlink Launches'!$B:$B, 0)),
  ""
)
</f>
        <v>12-20</v>
      </c>
      <c r="B5041" s="3" t="s">
        <v>25</v>
      </c>
      <c r="C5041" s="12" t="s">
        <v>5064</v>
      </c>
      <c r="D5041" s="13">
        <v>63152.0</v>
      </c>
      <c r="E5041" s="4">
        <v>45719.0</v>
      </c>
      <c r="F5041" s="4" t="str">
        <f>IF(D5041="","", IFNA(VLOOKUP(D5041, SATCAT_DECAY!A:B, 2, FALSE), ""))
</f>
        <v/>
      </c>
      <c r="G5041" s="3" t="str">
        <f t="shared" si="1"/>
        <v>ACTIVE</v>
      </c>
    </row>
    <row r="5042" ht="22.5" customHeight="1">
      <c r="A5042" s="11" t="str">
        <f t="array" ref="A5042">IFERROR(
  INDEX('Starlink Launches'!$A:$A, MATCH($E5042, 'Starlink Launches'!$B:$B, 0)),
  ""
)
</f>
        <v>12-10</v>
      </c>
      <c r="B5042" s="3" t="s">
        <v>25</v>
      </c>
      <c r="C5042" s="12" t="s">
        <v>5065</v>
      </c>
      <c r="D5042" s="13">
        <v>63751.0</v>
      </c>
      <c r="E5042" s="4">
        <v>45776.0</v>
      </c>
      <c r="F5042" s="4" t="str">
        <f>IF(D5042="","", IFNA(VLOOKUP(D5042, SATCAT_DECAY!A:B, 2, FALSE), ""))
</f>
        <v/>
      </c>
      <c r="G5042" s="3" t="str">
        <f t="shared" si="1"/>
        <v>ACTIVE</v>
      </c>
    </row>
    <row r="5043" ht="22.5" customHeight="1">
      <c r="A5043" s="11" t="str">
        <f t="array" ref="A5043">IFERROR(
  INDEX('Starlink Launches'!$A:$A, MATCH($E5043, 'Starlink Launches'!$B:$B, 0)),
  ""
)
</f>
        <v>12-10</v>
      </c>
      <c r="B5043" s="3" t="s">
        <v>25</v>
      </c>
      <c r="C5043" s="12" t="s">
        <v>5066</v>
      </c>
      <c r="D5043" s="13">
        <v>63752.0</v>
      </c>
      <c r="E5043" s="4">
        <v>45776.0</v>
      </c>
      <c r="F5043" s="4" t="str">
        <f>IF(D5043="","", IFNA(VLOOKUP(D5043, SATCAT_DECAY!A:B, 2, FALSE), ""))
</f>
        <v/>
      </c>
      <c r="G5043" s="3" t="str">
        <f t="shared" si="1"/>
        <v>ACTIVE</v>
      </c>
    </row>
    <row r="5044" ht="22.5" customHeight="1">
      <c r="A5044" s="11" t="str">
        <f t="array" ref="A5044">IFERROR(
  INDEX('Starlink Launches'!$A:$A, MATCH($E5044, 'Starlink Launches'!$B:$B, 0)),
  ""
)
</f>
        <v>12-10</v>
      </c>
      <c r="B5044" s="3" t="s">
        <v>25</v>
      </c>
      <c r="C5044" s="12" t="s">
        <v>5067</v>
      </c>
      <c r="D5044" s="13">
        <v>63753.0</v>
      </c>
      <c r="E5044" s="4">
        <v>45776.0</v>
      </c>
      <c r="F5044" s="4" t="str">
        <f>IF(D5044="","", IFNA(VLOOKUP(D5044, SATCAT_DECAY!A:B, 2, FALSE), ""))
</f>
        <v/>
      </c>
      <c r="G5044" s="3" t="str">
        <f t="shared" si="1"/>
        <v>ACTIVE</v>
      </c>
    </row>
    <row r="5045" ht="22.5" customHeight="1">
      <c r="A5045" s="11" t="str">
        <f t="array" ref="A5045">IFERROR(
  INDEX('Starlink Launches'!$A:$A, MATCH($E5045, 'Starlink Launches'!$B:$B, 0)),
  ""
)
</f>
        <v>12-10</v>
      </c>
      <c r="B5045" s="3" t="s">
        <v>25</v>
      </c>
      <c r="C5045" s="12" t="s">
        <v>5068</v>
      </c>
      <c r="D5045" s="13">
        <v>63754.0</v>
      </c>
      <c r="E5045" s="4">
        <v>45776.0</v>
      </c>
      <c r="F5045" s="4" t="str">
        <f>IF(D5045="","", IFNA(VLOOKUP(D5045, SATCAT_DECAY!A:B, 2, FALSE), ""))
</f>
        <v/>
      </c>
      <c r="G5045" s="3" t="str">
        <f t="shared" si="1"/>
        <v>ACTIVE</v>
      </c>
    </row>
    <row r="5046" ht="22.5" customHeight="1">
      <c r="A5046" s="11" t="str">
        <f t="array" ref="A5046">IFERROR(
  INDEX('Starlink Launches'!$A:$A, MATCH($E5046, 'Starlink Launches'!$B:$B, 0)),
  ""
)
</f>
        <v>12-10</v>
      </c>
      <c r="B5046" s="3" t="s">
        <v>25</v>
      </c>
      <c r="C5046" s="12" t="s">
        <v>5069</v>
      </c>
      <c r="D5046" s="13">
        <v>63755.0</v>
      </c>
      <c r="E5046" s="4">
        <v>45776.0</v>
      </c>
      <c r="F5046" s="4" t="str">
        <f>IF(D5046="","", IFNA(VLOOKUP(D5046, SATCAT_DECAY!A:B, 2, FALSE), ""))
</f>
        <v/>
      </c>
      <c r="G5046" s="3" t="str">
        <f t="shared" si="1"/>
        <v>ACTIVE</v>
      </c>
    </row>
    <row r="5047" ht="22.5" customHeight="1">
      <c r="A5047" s="11" t="str">
        <f t="array" ref="A5047">IFERROR(
  INDEX('Starlink Launches'!$A:$A, MATCH($E5047, 'Starlink Launches'!$B:$B, 0)),
  ""
)
</f>
        <v>12-10</v>
      </c>
      <c r="B5047" s="3" t="s">
        <v>25</v>
      </c>
      <c r="C5047" s="12" t="s">
        <v>5070</v>
      </c>
      <c r="D5047" s="13">
        <v>63756.0</v>
      </c>
      <c r="E5047" s="4">
        <v>45776.0</v>
      </c>
      <c r="F5047" s="4" t="str">
        <f>IF(D5047="","", IFNA(VLOOKUP(D5047, SATCAT_DECAY!A:B, 2, FALSE), ""))
</f>
        <v/>
      </c>
      <c r="G5047" s="3" t="str">
        <f t="shared" si="1"/>
        <v>ACTIVE</v>
      </c>
    </row>
    <row r="5048" ht="22.5" customHeight="1">
      <c r="A5048" s="11" t="str">
        <f t="array" ref="A5048">IFERROR(
  INDEX('Starlink Launches'!$A:$A, MATCH($E5048, 'Starlink Launches'!$B:$B, 0)),
  ""
)
</f>
        <v>12-10</v>
      </c>
      <c r="B5048" s="3" t="s">
        <v>25</v>
      </c>
      <c r="C5048" s="12" t="s">
        <v>5071</v>
      </c>
      <c r="D5048" s="13">
        <v>63757.0</v>
      </c>
      <c r="E5048" s="4">
        <v>45776.0</v>
      </c>
      <c r="F5048" s="4" t="str">
        <f>IF(D5048="","", IFNA(VLOOKUP(D5048, SATCAT_DECAY!A:B, 2, FALSE), ""))
</f>
        <v/>
      </c>
      <c r="G5048" s="3" t="str">
        <f t="shared" si="1"/>
        <v>ACTIVE</v>
      </c>
    </row>
    <row r="5049" ht="22.5" customHeight="1">
      <c r="A5049" s="11" t="str">
        <f t="array" ref="A5049">IFERROR(
  INDEX('Starlink Launches'!$A:$A, MATCH($E5049, 'Starlink Launches'!$B:$B, 0)),
  ""
)
</f>
        <v>12-10</v>
      </c>
      <c r="B5049" s="3" t="s">
        <v>25</v>
      </c>
      <c r="C5049" s="12" t="s">
        <v>5072</v>
      </c>
      <c r="D5049" s="13">
        <v>63758.0</v>
      </c>
      <c r="E5049" s="4">
        <v>45776.0</v>
      </c>
      <c r="F5049" s="4" t="str">
        <f>IF(D5049="","", IFNA(VLOOKUP(D5049, SATCAT_DECAY!A:B, 2, FALSE), ""))
</f>
        <v/>
      </c>
      <c r="G5049" s="3" t="str">
        <f t="shared" si="1"/>
        <v>ACTIVE</v>
      </c>
    </row>
    <row r="5050" ht="22.5" customHeight="1">
      <c r="A5050" s="11" t="str">
        <f t="array" ref="A5050">IFERROR(
  INDEX('Starlink Launches'!$A:$A, MATCH($E5050, 'Starlink Launches'!$B:$B, 0)),
  ""
)
</f>
        <v>12-10</v>
      </c>
      <c r="B5050" s="3" t="s">
        <v>25</v>
      </c>
      <c r="C5050" s="12" t="s">
        <v>5073</v>
      </c>
      <c r="D5050" s="13">
        <v>63759.0</v>
      </c>
      <c r="E5050" s="4">
        <v>45776.0</v>
      </c>
      <c r="F5050" s="4" t="str">
        <f>IF(D5050="","", IFNA(VLOOKUP(D5050, SATCAT_DECAY!A:B, 2, FALSE), ""))
</f>
        <v/>
      </c>
      <c r="G5050" s="3" t="str">
        <f t="shared" si="1"/>
        <v>ACTIVE</v>
      </c>
    </row>
    <row r="5051" ht="22.5" customHeight="1">
      <c r="A5051" s="11" t="str">
        <f t="array" ref="A5051">IFERROR(
  INDEX('Starlink Launches'!$A:$A, MATCH($E5051, 'Starlink Launches'!$B:$B, 0)),
  ""
)
</f>
        <v>12-10</v>
      </c>
      <c r="B5051" s="3" t="s">
        <v>25</v>
      </c>
      <c r="C5051" s="12" t="s">
        <v>5074</v>
      </c>
      <c r="D5051" s="13">
        <v>63760.0</v>
      </c>
      <c r="E5051" s="4">
        <v>45776.0</v>
      </c>
      <c r="F5051" s="4" t="str">
        <f>IF(D5051="","", IFNA(VLOOKUP(D5051, SATCAT_DECAY!A:B, 2, FALSE), ""))
</f>
        <v/>
      </c>
      <c r="G5051" s="3" t="str">
        <f t="shared" si="1"/>
        <v>ACTIVE</v>
      </c>
    </row>
    <row r="5052" ht="22.5" customHeight="1">
      <c r="A5052" s="11" t="str">
        <f t="array" ref="A5052">IFERROR(
  INDEX('Starlink Launches'!$A:$A, MATCH($E5052, 'Starlink Launches'!$B:$B, 0)),
  ""
)
</f>
        <v>12-10</v>
      </c>
      <c r="B5052" s="3" t="s">
        <v>25</v>
      </c>
      <c r="C5052" s="12" t="s">
        <v>5075</v>
      </c>
      <c r="D5052" s="13">
        <v>63761.0</v>
      </c>
      <c r="E5052" s="4">
        <v>45776.0</v>
      </c>
      <c r="F5052" s="4" t="str">
        <f>IF(D5052="","", IFNA(VLOOKUP(D5052, SATCAT_DECAY!A:B, 2, FALSE), ""))
</f>
        <v/>
      </c>
      <c r="G5052" s="3" t="str">
        <f t="shared" si="1"/>
        <v>ACTIVE</v>
      </c>
    </row>
    <row r="5053" ht="22.5" customHeight="1">
      <c r="A5053" s="11" t="str">
        <f t="array" ref="A5053">IFERROR(
  INDEX('Starlink Launches'!$A:$A, MATCH($E5053, 'Starlink Launches'!$B:$B, 0)),
  ""
)
</f>
        <v>12-10</v>
      </c>
      <c r="B5053" s="3" t="s">
        <v>25</v>
      </c>
      <c r="C5053" s="12" t="s">
        <v>5076</v>
      </c>
      <c r="D5053" s="13">
        <v>63762.0</v>
      </c>
      <c r="E5053" s="4">
        <v>45776.0</v>
      </c>
      <c r="F5053" s="4" t="str">
        <f>IF(D5053="","", IFNA(VLOOKUP(D5053, SATCAT_DECAY!A:B, 2, FALSE), ""))
</f>
        <v/>
      </c>
      <c r="G5053" s="3" t="str">
        <f t="shared" si="1"/>
        <v>ACTIVE</v>
      </c>
    </row>
    <row r="5054" ht="22.5" customHeight="1">
      <c r="A5054" s="11" t="str">
        <f t="array" ref="A5054">IFERROR(
  INDEX('Starlink Launches'!$A:$A, MATCH($E5054, 'Starlink Launches'!$B:$B, 0)),
  ""
)
</f>
        <v>12-10</v>
      </c>
      <c r="B5054" s="3" t="s">
        <v>25</v>
      </c>
      <c r="C5054" s="12" t="s">
        <v>5077</v>
      </c>
      <c r="D5054" s="13">
        <v>63763.0</v>
      </c>
      <c r="E5054" s="4">
        <v>45776.0</v>
      </c>
      <c r="F5054" s="4" t="str">
        <f>IF(D5054="","", IFNA(VLOOKUP(D5054, SATCAT_DECAY!A:B, 2, FALSE), ""))
</f>
        <v/>
      </c>
      <c r="G5054" s="3" t="str">
        <f t="shared" si="1"/>
        <v>ACTIVE</v>
      </c>
    </row>
    <row r="5055" ht="22.5" customHeight="1">
      <c r="A5055" s="11" t="str">
        <f t="array" ref="A5055">IFERROR(
  INDEX('Starlink Launches'!$A:$A, MATCH($E5055, 'Starlink Launches'!$B:$B, 0)),
  ""
)
</f>
        <v>12-10</v>
      </c>
      <c r="B5055" s="3" t="s">
        <v>25</v>
      </c>
      <c r="C5055" s="12" t="s">
        <v>5078</v>
      </c>
      <c r="D5055" s="13">
        <v>63764.0</v>
      </c>
      <c r="E5055" s="4">
        <v>45776.0</v>
      </c>
      <c r="F5055" s="4" t="str">
        <f>IF(D5055="","", IFNA(VLOOKUP(D5055, SATCAT_DECAY!A:B, 2, FALSE), ""))
</f>
        <v/>
      </c>
      <c r="G5055" s="3" t="str">
        <f t="shared" si="1"/>
        <v>ACTIVE</v>
      </c>
    </row>
    <row r="5056" ht="22.5" customHeight="1">
      <c r="A5056" s="11" t="str">
        <f t="array" ref="A5056">IFERROR(
  INDEX('Starlink Launches'!$A:$A, MATCH($E5056, 'Starlink Launches'!$B:$B, 0)),
  ""
)
</f>
        <v>12-10</v>
      </c>
      <c r="B5056" s="3" t="s">
        <v>25</v>
      </c>
      <c r="C5056" s="12" t="s">
        <v>5079</v>
      </c>
      <c r="D5056" s="13">
        <v>63765.0</v>
      </c>
      <c r="E5056" s="4">
        <v>45776.0</v>
      </c>
      <c r="F5056" s="4" t="str">
        <f>IF(D5056="","", IFNA(VLOOKUP(D5056, SATCAT_DECAY!A:B, 2, FALSE), ""))
</f>
        <v/>
      </c>
      <c r="G5056" s="3" t="str">
        <f t="shared" si="1"/>
        <v>ACTIVE</v>
      </c>
    </row>
    <row r="5057" ht="22.5" customHeight="1">
      <c r="A5057" s="11" t="str">
        <f t="array" ref="A5057">IFERROR(
  INDEX('Starlink Launches'!$A:$A, MATCH($E5057, 'Starlink Launches'!$B:$B, 0)),
  ""
)
</f>
        <v>12-10</v>
      </c>
      <c r="B5057" s="3" t="s">
        <v>25</v>
      </c>
      <c r="C5057" s="12" t="s">
        <v>5080</v>
      </c>
      <c r="D5057" s="13">
        <v>63766.0</v>
      </c>
      <c r="E5057" s="4">
        <v>45776.0</v>
      </c>
      <c r="F5057" s="4" t="str">
        <f>IF(D5057="","", IFNA(VLOOKUP(D5057, SATCAT_DECAY!A:B, 2, FALSE), ""))
</f>
        <v/>
      </c>
      <c r="G5057" s="3" t="str">
        <f t="shared" si="1"/>
        <v>ACTIVE</v>
      </c>
    </row>
    <row r="5058" ht="22.5" customHeight="1">
      <c r="A5058" s="11" t="str">
        <f t="array" ref="A5058">IFERROR(
  INDEX('Starlink Launches'!$A:$A, MATCH($E5058, 'Starlink Launches'!$B:$B, 0)),
  ""
)
</f>
        <v>12-10</v>
      </c>
      <c r="B5058" s="3" t="s">
        <v>25</v>
      </c>
      <c r="C5058" s="12" t="s">
        <v>5081</v>
      </c>
      <c r="D5058" s="13">
        <v>63767.0</v>
      </c>
      <c r="E5058" s="4">
        <v>45776.0</v>
      </c>
      <c r="F5058" s="4" t="str">
        <f>IF(D5058="","", IFNA(VLOOKUP(D5058, SATCAT_DECAY!A:B, 2, FALSE), ""))
</f>
        <v/>
      </c>
      <c r="G5058" s="3" t="str">
        <f t="shared" si="1"/>
        <v>ACTIVE</v>
      </c>
    </row>
    <row r="5059" ht="22.5" customHeight="1">
      <c r="A5059" s="11" t="str">
        <f t="array" ref="A5059">IFERROR(
  INDEX('Starlink Launches'!$A:$A, MATCH($E5059, 'Starlink Launches'!$B:$B, 0)),
  ""
)
</f>
        <v>12-10</v>
      </c>
      <c r="B5059" s="3" t="s">
        <v>25</v>
      </c>
      <c r="C5059" s="12" t="s">
        <v>5082</v>
      </c>
      <c r="D5059" s="13">
        <v>63768.0</v>
      </c>
      <c r="E5059" s="4">
        <v>45776.0</v>
      </c>
      <c r="F5059" s="4" t="str">
        <f>IF(D5059="","", IFNA(VLOOKUP(D5059, SATCAT_DECAY!A:B, 2, FALSE), ""))
</f>
        <v/>
      </c>
      <c r="G5059" s="3" t="str">
        <f t="shared" si="1"/>
        <v>ACTIVE</v>
      </c>
    </row>
    <row r="5060" ht="22.5" customHeight="1">
      <c r="A5060" s="11" t="str">
        <f t="array" ref="A5060">IFERROR(
  INDEX('Starlink Launches'!$A:$A, MATCH($E5060, 'Starlink Launches'!$B:$B, 0)),
  ""
)
</f>
        <v>12-10</v>
      </c>
      <c r="B5060" s="3" t="s">
        <v>25</v>
      </c>
      <c r="C5060" s="12" t="s">
        <v>5083</v>
      </c>
      <c r="D5060" s="13">
        <v>63769.0</v>
      </c>
      <c r="E5060" s="4">
        <v>45776.0</v>
      </c>
      <c r="F5060" s="4" t="str">
        <f>IF(D5060="","", IFNA(VLOOKUP(D5060, SATCAT_DECAY!A:B, 2, FALSE), ""))
</f>
        <v/>
      </c>
      <c r="G5060" s="3" t="str">
        <f t="shared" si="1"/>
        <v>ACTIVE</v>
      </c>
    </row>
    <row r="5061" ht="22.5" customHeight="1">
      <c r="A5061" s="11" t="str">
        <f t="array" ref="A5061">IFERROR(
  INDEX('Starlink Launches'!$A:$A, MATCH($E5061, 'Starlink Launches'!$B:$B, 0)),
  ""
)
</f>
        <v>12-10</v>
      </c>
      <c r="B5061" s="3" t="s">
        <v>25</v>
      </c>
      <c r="C5061" s="12" t="s">
        <v>5084</v>
      </c>
      <c r="D5061" s="13">
        <v>63770.0</v>
      </c>
      <c r="E5061" s="4">
        <v>45776.0</v>
      </c>
      <c r="F5061" s="4" t="str">
        <f>IF(D5061="","", IFNA(VLOOKUP(D5061, SATCAT_DECAY!A:B, 2, FALSE), ""))
</f>
        <v/>
      </c>
      <c r="G5061" s="3" t="str">
        <f t="shared" si="1"/>
        <v>ACTIVE</v>
      </c>
    </row>
    <row r="5062" ht="22.5" customHeight="1">
      <c r="A5062" s="11" t="str">
        <f t="array" ref="A5062">IFERROR(
  INDEX('Starlink Launches'!$A:$A, MATCH($E5062, 'Starlink Launches'!$B:$B, 0)),
  ""
)
</f>
        <v>12-10</v>
      </c>
      <c r="B5062" s="3" t="s">
        <v>25</v>
      </c>
      <c r="C5062" s="12" t="s">
        <v>5085</v>
      </c>
      <c r="D5062" s="13">
        <v>63771.0</v>
      </c>
      <c r="E5062" s="4">
        <v>45776.0</v>
      </c>
      <c r="F5062" s="4" t="str">
        <f>IF(D5062="","", IFNA(VLOOKUP(D5062, SATCAT_DECAY!A:B, 2, FALSE), ""))
</f>
        <v/>
      </c>
      <c r="G5062" s="3" t="str">
        <f t="shared" si="1"/>
        <v>ACTIVE</v>
      </c>
    </row>
    <row r="5063" ht="22.5" customHeight="1">
      <c r="A5063" s="11" t="str">
        <f t="array" ref="A5063">IFERROR(
  INDEX('Starlink Launches'!$A:$A, MATCH($E5063, 'Starlink Launches'!$B:$B, 0)),
  ""
)
</f>
        <v>12-10</v>
      </c>
      <c r="B5063" s="3" t="s">
        <v>25</v>
      </c>
      <c r="C5063" s="12" t="s">
        <v>5086</v>
      </c>
      <c r="D5063" s="13">
        <v>63773.0</v>
      </c>
      <c r="E5063" s="4">
        <v>45776.0</v>
      </c>
      <c r="F5063" s="4" t="str">
        <f>IF(D5063="","", IFNA(VLOOKUP(D5063, SATCAT_DECAY!A:B, 2, FALSE), ""))
</f>
        <v/>
      </c>
      <c r="G5063" s="3" t="str">
        <f t="shared" si="1"/>
        <v>ACTIVE</v>
      </c>
    </row>
    <row r="5064" ht="22.5" customHeight="1">
      <c r="A5064" s="11" t="str">
        <f t="array" ref="A5064">IFERROR(
  INDEX('Starlink Launches'!$A:$A, MATCH($E5064, 'Starlink Launches'!$B:$B, 0)),
  ""
)
</f>
        <v>12-10</v>
      </c>
      <c r="B5064" s="3" t="s">
        <v>25</v>
      </c>
      <c r="C5064" s="12" t="s">
        <v>5087</v>
      </c>
      <c r="D5064" s="13">
        <v>63774.0</v>
      </c>
      <c r="E5064" s="4">
        <v>45776.0</v>
      </c>
      <c r="F5064" s="4" t="str">
        <f>IF(D5064="","", IFNA(VLOOKUP(D5064, SATCAT_DECAY!A:B, 2, FALSE), ""))
</f>
        <v/>
      </c>
      <c r="G5064" s="3" t="str">
        <f t="shared" si="1"/>
        <v>ACTIVE</v>
      </c>
    </row>
    <row r="5065" ht="22.5" customHeight="1">
      <c r="A5065" s="11" t="str">
        <f t="array" ref="A5065">IFERROR(
  INDEX('Starlink Launches'!$A:$A, MATCH($E5065, 'Starlink Launches'!$B:$B, 0)),
  ""
)
</f>
        <v>12-15</v>
      </c>
      <c r="B5065" s="3" t="s">
        <v>25</v>
      </c>
      <c r="C5065" s="12" t="s">
        <v>5088</v>
      </c>
      <c r="D5065" s="13">
        <v>64064.0</v>
      </c>
      <c r="E5065" s="4">
        <v>45798.0</v>
      </c>
      <c r="F5065" s="4" t="str">
        <f>IF(D5065="","", IFNA(VLOOKUP(D5065, SATCAT_DECAY!A:B, 2, FALSE), ""))
</f>
        <v/>
      </c>
      <c r="G5065" s="3" t="str">
        <f t="shared" si="1"/>
        <v>ACTIVE</v>
      </c>
    </row>
    <row r="5066" ht="22.5" customHeight="1">
      <c r="A5066" s="11" t="str">
        <f t="array" ref="A5066">IFERROR(
  INDEX('Starlink Launches'!$A:$A, MATCH($E5066, 'Starlink Launches'!$B:$B, 0)),
  ""
)
</f>
        <v>12-15</v>
      </c>
      <c r="B5066" s="3" t="s">
        <v>25</v>
      </c>
      <c r="C5066" s="12" t="s">
        <v>5089</v>
      </c>
      <c r="D5066" s="13">
        <v>64065.0</v>
      </c>
      <c r="E5066" s="4">
        <v>45798.0</v>
      </c>
      <c r="F5066" s="4" t="str">
        <f>IF(D5066="","", IFNA(VLOOKUP(D5066, SATCAT_DECAY!A:B, 2, FALSE), ""))
</f>
        <v/>
      </c>
      <c r="G5066" s="3" t="str">
        <f t="shared" si="1"/>
        <v>ACTIVE</v>
      </c>
    </row>
    <row r="5067" ht="22.5" customHeight="1">
      <c r="A5067" s="11" t="str">
        <f t="array" ref="A5067">IFERROR(
  INDEX('Starlink Launches'!$A:$A, MATCH($E5067, 'Starlink Launches'!$B:$B, 0)),
  ""
)
</f>
        <v>12-15</v>
      </c>
      <c r="B5067" s="3" t="s">
        <v>25</v>
      </c>
      <c r="C5067" s="12" t="s">
        <v>5090</v>
      </c>
      <c r="D5067" s="13">
        <v>64066.0</v>
      </c>
      <c r="E5067" s="4">
        <v>45798.0</v>
      </c>
      <c r="F5067" s="4" t="str">
        <f>IF(D5067="","", IFNA(VLOOKUP(D5067, SATCAT_DECAY!A:B, 2, FALSE), ""))
</f>
        <v/>
      </c>
      <c r="G5067" s="3" t="str">
        <f t="shared" si="1"/>
        <v>ACTIVE</v>
      </c>
    </row>
    <row r="5068" ht="22.5" customHeight="1">
      <c r="A5068" s="11" t="str">
        <f t="array" ref="A5068">IFERROR(
  INDEX('Starlink Launches'!$A:$A, MATCH($E5068, 'Starlink Launches'!$B:$B, 0)),
  ""
)
</f>
        <v>12-15</v>
      </c>
      <c r="B5068" s="3" t="s">
        <v>25</v>
      </c>
      <c r="C5068" s="12" t="s">
        <v>5091</v>
      </c>
      <c r="D5068" s="13">
        <v>64067.0</v>
      </c>
      <c r="E5068" s="4">
        <v>45798.0</v>
      </c>
      <c r="F5068" s="4" t="str">
        <f>IF(D5068="","", IFNA(VLOOKUP(D5068, SATCAT_DECAY!A:B, 2, FALSE), ""))
</f>
        <v/>
      </c>
      <c r="G5068" s="3" t="str">
        <f t="shared" si="1"/>
        <v>ACTIVE</v>
      </c>
    </row>
    <row r="5069" ht="22.5" customHeight="1">
      <c r="A5069" s="11" t="str">
        <f t="array" ref="A5069">IFERROR(
  INDEX('Starlink Launches'!$A:$A, MATCH($E5069, 'Starlink Launches'!$B:$B, 0)),
  ""
)
</f>
        <v>12-15</v>
      </c>
      <c r="B5069" s="3" t="s">
        <v>25</v>
      </c>
      <c r="C5069" s="12" t="s">
        <v>5092</v>
      </c>
      <c r="D5069" s="13">
        <v>64068.0</v>
      </c>
      <c r="E5069" s="4">
        <v>45798.0</v>
      </c>
      <c r="F5069" s="4" t="str">
        <f>IF(D5069="","", IFNA(VLOOKUP(D5069, SATCAT_DECAY!A:B, 2, FALSE), ""))
</f>
        <v/>
      </c>
      <c r="G5069" s="3" t="str">
        <f t="shared" si="1"/>
        <v>ACTIVE</v>
      </c>
    </row>
    <row r="5070" ht="22.5" customHeight="1">
      <c r="A5070" s="11" t="str">
        <f t="array" ref="A5070">IFERROR(
  INDEX('Starlink Launches'!$A:$A, MATCH($E5070, 'Starlink Launches'!$B:$B, 0)),
  ""
)
</f>
        <v>12-15</v>
      </c>
      <c r="B5070" s="3" t="s">
        <v>25</v>
      </c>
      <c r="C5070" s="12" t="s">
        <v>5093</v>
      </c>
      <c r="D5070" s="13">
        <v>64069.0</v>
      </c>
      <c r="E5070" s="4">
        <v>45798.0</v>
      </c>
      <c r="F5070" s="4" t="str">
        <f>IF(D5070="","", IFNA(VLOOKUP(D5070, SATCAT_DECAY!A:B, 2, FALSE), ""))
</f>
        <v/>
      </c>
      <c r="G5070" s="3" t="str">
        <f t="shared" si="1"/>
        <v>ACTIVE</v>
      </c>
    </row>
    <row r="5071" ht="22.5" customHeight="1">
      <c r="A5071" s="11" t="str">
        <f t="array" ref="A5071">IFERROR(
  INDEX('Starlink Launches'!$A:$A, MATCH($E5071, 'Starlink Launches'!$B:$B, 0)),
  ""
)
</f>
        <v>12-15</v>
      </c>
      <c r="B5071" s="3" t="s">
        <v>25</v>
      </c>
      <c r="C5071" s="12" t="s">
        <v>5094</v>
      </c>
      <c r="D5071" s="13">
        <v>64070.0</v>
      </c>
      <c r="E5071" s="4">
        <v>45798.0</v>
      </c>
      <c r="F5071" s="4" t="str">
        <f>IF(D5071="","", IFNA(VLOOKUP(D5071, SATCAT_DECAY!A:B, 2, FALSE), ""))
</f>
        <v/>
      </c>
      <c r="G5071" s="3" t="str">
        <f t="shared" si="1"/>
        <v>ACTIVE</v>
      </c>
    </row>
    <row r="5072" ht="22.5" customHeight="1">
      <c r="A5072" s="11" t="str">
        <f t="array" ref="A5072">IFERROR(
  INDEX('Starlink Launches'!$A:$A, MATCH($E5072, 'Starlink Launches'!$B:$B, 0)),
  ""
)
</f>
        <v>12-15</v>
      </c>
      <c r="B5072" s="3" t="s">
        <v>25</v>
      </c>
      <c r="C5072" s="12" t="s">
        <v>5095</v>
      </c>
      <c r="D5072" s="13">
        <v>64071.0</v>
      </c>
      <c r="E5072" s="4">
        <v>45798.0</v>
      </c>
      <c r="F5072" s="4" t="str">
        <f>IF(D5072="","", IFNA(VLOOKUP(D5072, SATCAT_DECAY!A:B, 2, FALSE), ""))
</f>
        <v/>
      </c>
      <c r="G5072" s="3" t="str">
        <f t="shared" si="1"/>
        <v>ACTIVE</v>
      </c>
    </row>
    <row r="5073" ht="22.5" customHeight="1">
      <c r="A5073" s="11" t="str">
        <f t="array" ref="A5073">IFERROR(
  INDEX('Starlink Launches'!$A:$A, MATCH($E5073, 'Starlink Launches'!$B:$B, 0)),
  ""
)
</f>
        <v>12-15</v>
      </c>
      <c r="B5073" s="3" t="s">
        <v>25</v>
      </c>
      <c r="C5073" s="12" t="s">
        <v>5096</v>
      </c>
      <c r="D5073" s="13">
        <v>64072.0</v>
      </c>
      <c r="E5073" s="4">
        <v>45798.0</v>
      </c>
      <c r="F5073" s="4" t="str">
        <f>IF(D5073="","", IFNA(VLOOKUP(D5073, SATCAT_DECAY!A:B, 2, FALSE), ""))
</f>
        <v/>
      </c>
      <c r="G5073" s="3" t="str">
        <f t="shared" si="1"/>
        <v>ACTIVE</v>
      </c>
    </row>
    <row r="5074" ht="22.5" customHeight="1">
      <c r="A5074" s="11" t="str">
        <f t="array" ref="A5074">IFERROR(
  INDEX('Starlink Launches'!$A:$A, MATCH($E5074, 'Starlink Launches'!$B:$B, 0)),
  ""
)
</f>
        <v>12-15</v>
      </c>
      <c r="B5074" s="3" t="s">
        <v>25</v>
      </c>
      <c r="C5074" s="12" t="s">
        <v>5097</v>
      </c>
      <c r="D5074" s="13">
        <v>64073.0</v>
      </c>
      <c r="E5074" s="4">
        <v>45798.0</v>
      </c>
      <c r="F5074" s="4" t="str">
        <f>IF(D5074="","", IFNA(VLOOKUP(D5074, SATCAT_DECAY!A:B, 2, FALSE), ""))
</f>
        <v/>
      </c>
      <c r="G5074" s="3" t="str">
        <f t="shared" si="1"/>
        <v>ACTIVE</v>
      </c>
    </row>
    <row r="5075" ht="22.5" customHeight="1">
      <c r="A5075" s="11" t="str">
        <f t="array" ref="A5075">IFERROR(
  INDEX('Starlink Launches'!$A:$A, MATCH($E5075, 'Starlink Launches'!$B:$B, 0)),
  ""
)
</f>
        <v>12-15</v>
      </c>
      <c r="B5075" s="3" t="s">
        <v>25</v>
      </c>
      <c r="C5075" s="12" t="s">
        <v>5098</v>
      </c>
      <c r="D5075" s="13">
        <v>64074.0</v>
      </c>
      <c r="E5075" s="4">
        <v>45798.0</v>
      </c>
      <c r="F5075" s="4" t="str">
        <f>IF(D5075="","", IFNA(VLOOKUP(D5075, SATCAT_DECAY!A:B, 2, FALSE), ""))
</f>
        <v/>
      </c>
      <c r="G5075" s="3" t="str">
        <f t="shared" si="1"/>
        <v>ACTIVE</v>
      </c>
    </row>
    <row r="5076" ht="22.5" customHeight="1">
      <c r="A5076" s="11" t="str">
        <f t="array" ref="A5076">IFERROR(
  INDEX('Starlink Launches'!$A:$A, MATCH($E5076, 'Starlink Launches'!$B:$B, 0)),
  ""
)
</f>
        <v>12-15</v>
      </c>
      <c r="B5076" s="3" t="s">
        <v>25</v>
      </c>
      <c r="C5076" s="12" t="s">
        <v>5099</v>
      </c>
      <c r="D5076" s="13">
        <v>64075.0</v>
      </c>
      <c r="E5076" s="4">
        <v>45798.0</v>
      </c>
      <c r="F5076" s="4" t="str">
        <f>IF(D5076="","", IFNA(VLOOKUP(D5076, SATCAT_DECAY!A:B, 2, FALSE), ""))
</f>
        <v/>
      </c>
      <c r="G5076" s="3" t="str">
        <f t="shared" si="1"/>
        <v>ACTIVE</v>
      </c>
    </row>
    <row r="5077" ht="22.5" customHeight="1">
      <c r="A5077" s="11" t="str">
        <f t="array" ref="A5077">IFERROR(
  INDEX('Starlink Launches'!$A:$A, MATCH($E5077, 'Starlink Launches'!$B:$B, 0)),
  ""
)
</f>
        <v>12-15</v>
      </c>
      <c r="B5077" s="3" t="s">
        <v>25</v>
      </c>
      <c r="C5077" s="12" t="s">
        <v>5100</v>
      </c>
      <c r="D5077" s="13">
        <v>64076.0</v>
      </c>
      <c r="E5077" s="4">
        <v>45798.0</v>
      </c>
      <c r="F5077" s="4" t="str">
        <f>IF(D5077="","", IFNA(VLOOKUP(D5077, SATCAT_DECAY!A:B, 2, FALSE), ""))
</f>
        <v/>
      </c>
      <c r="G5077" s="3" t="str">
        <f t="shared" si="1"/>
        <v>ACTIVE</v>
      </c>
    </row>
    <row r="5078" ht="22.5" customHeight="1">
      <c r="A5078" s="11" t="str">
        <f t="array" ref="A5078">IFERROR(
  INDEX('Starlink Launches'!$A:$A, MATCH($E5078, 'Starlink Launches'!$B:$B, 0)),
  ""
)
</f>
        <v>12-15</v>
      </c>
      <c r="B5078" s="3" t="s">
        <v>25</v>
      </c>
      <c r="C5078" s="12" t="s">
        <v>5101</v>
      </c>
      <c r="D5078" s="13">
        <v>64077.0</v>
      </c>
      <c r="E5078" s="4">
        <v>45798.0</v>
      </c>
      <c r="F5078" s="4" t="str">
        <f>IF(D5078="","", IFNA(VLOOKUP(D5078, SATCAT_DECAY!A:B, 2, FALSE), ""))
</f>
        <v/>
      </c>
      <c r="G5078" s="3" t="str">
        <f t="shared" si="1"/>
        <v>ACTIVE</v>
      </c>
    </row>
    <row r="5079" ht="22.5" customHeight="1">
      <c r="A5079" s="11" t="str">
        <f t="array" ref="A5079">IFERROR(
  INDEX('Starlink Launches'!$A:$A, MATCH($E5079, 'Starlink Launches'!$B:$B, 0)),
  ""
)
</f>
        <v>12-15</v>
      </c>
      <c r="B5079" s="3" t="s">
        <v>25</v>
      </c>
      <c r="C5079" s="12" t="s">
        <v>5102</v>
      </c>
      <c r="D5079" s="13">
        <v>64078.0</v>
      </c>
      <c r="E5079" s="4">
        <v>45798.0</v>
      </c>
      <c r="F5079" s="4" t="str">
        <f>IF(D5079="","", IFNA(VLOOKUP(D5079, SATCAT_DECAY!A:B, 2, FALSE), ""))
</f>
        <v/>
      </c>
      <c r="G5079" s="3" t="str">
        <f t="shared" si="1"/>
        <v>ACTIVE</v>
      </c>
    </row>
    <row r="5080" ht="22.5" customHeight="1">
      <c r="A5080" s="11" t="str">
        <f t="array" ref="A5080">IFERROR(
  INDEX('Starlink Launches'!$A:$A, MATCH($E5080, 'Starlink Launches'!$B:$B, 0)),
  ""
)
</f>
        <v>12-15</v>
      </c>
      <c r="B5080" s="3" t="s">
        <v>25</v>
      </c>
      <c r="C5080" s="12" t="s">
        <v>5103</v>
      </c>
      <c r="D5080" s="13">
        <v>64079.0</v>
      </c>
      <c r="E5080" s="4">
        <v>45798.0</v>
      </c>
      <c r="F5080" s="4" t="str">
        <f>IF(D5080="","", IFNA(VLOOKUP(D5080, SATCAT_DECAY!A:B, 2, FALSE), ""))
</f>
        <v/>
      </c>
      <c r="G5080" s="3" t="str">
        <f t="shared" si="1"/>
        <v>ACTIVE</v>
      </c>
    </row>
    <row r="5081" ht="22.5" customHeight="1">
      <c r="A5081" s="11" t="str">
        <f t="array" ref="A5081">IFERROR(
  INDEX('Starlink Launches'!$A:$A, MATCH($E5081, 'Starlink Launches'!$B:$B, 0)),
  ""
)
</f>
        <v>12-15</v>
      </c>
      <c r="B5081" s="3" t="s">
        <v>25</v>
      </c>
      <c r="C5081" s="12" t="s">
        <v>5104</v>
      </c>
      <c r="D5081" s="13">
        <v>64080.0</v>
      </c>
      <c r="E5081" s="4">
        <v>45798.0</v>
      </c>
      <c r="F5081" s="4" t="str">
        <f>IF(D5081="","", IFNA(VLOOKUP(D5081, SATCAT_DECAY!A:B, 2, FALSE), ""))
</f>
        <v/>
      </c>
      <c r="G5081" s="3" t="str">
        <f t="shared" si="1"/>
        <v>ACTIVE</v>
      </c>
    </row>
    <row r="5082" ht="22.5" customHeight="1">
      <c r="A5082" s="11" t="str">
        <f t="array" ref="A5082">IFERROR(
  INDEX('Starlink Launches'!$A:$A, MATCH($E5082, 'Starlink Launches'!$B:$B, 0)),
  ""
)
</f>
        <v>12-15</v>
      </c>
      <c r="B5082" s="3" t="s">
        <v>25</v>
      </c>
      <c r="C5082" s="12" t="s">
        <v>5105</v>
      </c>
      <c r="D5082" s="13">
        <v>64081.0</v>
      </c>
      <c r="E5082" s="4">
        <v>45798.0</v>
      </c>
      <c r="F5082" s="4" t="str">
        <f>IF(D5082="","", IFNA(VLOOKUP(D5082, SATCAT_DECAY!A:B, 2, FALSE), ""))
</f>
        <v/>
      </c>
      <c r="G5082" s="3" t="str">
        <f t="shared" si="1"/>
        <v>ACTIVE</v>
      </c>
    </row>
    <row r="5083" ht="22.5" customHeight="1">
      <c r="A5083" s="11" t="str">
        <f t="array" ref="A5083">IFERROR(
  INDEX('Starlink Launches'!$A:$A, MATCH($E5083, 'Starlink Launches'!$B:$B, 0)),
  ""
)
</f>
        <v>12-15</v>
      </c>
      <c r="B5083" s="3" t="s">
        <v>25</v>
      </c>
      <c r="C5083" s="12" t="s">
        <v>5106</v>
      </c>
      <c r="D5083" s="13">
        <v>64082.0</v>
      </c>
      <c r="E5083" s="4">
        <v>45798.0</v>
      </c>
      <c r="F5083" s="4" t="str">
        <f>IF(D5083="","", IFNA(VLOOKUP(D5083, SATCAT_DECAY!A:B, 2, FALSE), ""))
</f>
        <v/>
      </c>
      <c r="G5083" s="3" t="str">
        <f t="shared" si="1"/>
        <v>ACTIVE</v>
      </c>
    </row>
    <row r="5084" ht="22.5" customHeight="1">
      <c r="A5084" s="11" t="str">
        <f t="array" ref="A5084">IFERROR(
  INDEX('Starlink Launches'!$A:$A, MATCH($E5084, 'Starlink Launches'!$B:$B, 0)),
  ""
)
</f>
        <v>12-15</v>
      </c>
      <c r="B5084" s="3" t="s">
        <v>25</v>
      </c>
      <c r="C5084" s="12" t="s">
        <v>5107</v>
      </c>
      <c r="D5084" s="13">
        <v>64083.0</v>
      </c>
      <c r="E5084" s="4">
        <v>45798.0</v>
      </c>
      <c r="F5084" s="4" t="str">
        <f>IF(D5084="","", IFNA(VLOOKUP(D5084, SATCAT_DECAY!A:B, 2, FALSE), ""))
</f>
        <v/>
      </c>
      <c r="G5084" s="3" t="str">
        <f t="shared" si="1"/>
        <v>ACTIVE</v>
      </c>
    </row>
    <row r="5085" ht="22.5" customHeight="1">
      <c r="A5085" s="11" t="str">
        <f t="array" ref="A5085">IFERROR(
  INDEX('Starlink Launches'!$A:$A, MATCH($E5085, 'Starlink Launches'!$B:$B, 0)),
  ""
)
</f>
        <v>12-15</v>
      </c>
      <c r="B5085" s="3" t="s">
        <v>25</v>
      </c>
      <c r="C5085" s="12" t="s">
        <v>5108</v>
      </c>
      <c r="D5085" s="13">
        <v>64084.0</v>
      </c>
      <c r="E5085" s="4">
        <v>45798.0</v>
      </c>
      <c r="F5085" s="4" t="str">
        <f>IF(D5085="","", IFNA(VLOOKUP(D5085, SATCAT_DECAY!A:B, 2, FALSE), ""))
</f>
        <v/>
      </c>
      <c r="G5085" s="3" t="str">
        <f t="shared" si="1"/>
        <v>ACTIVE</v>
      </c>
    </row>
    <row r="5086" ht="22.5" customHeight="1">
      <c r="A5086" s="11" t="str">
        <f t="array" ref="A5086">IFERROR(
  INDEX('Starlink Launches'!$A:$A, MATCH($E5086, 'Starlink Launches'!$B:$B, 0)),
  ""
)
</f>
        <v>12-15</v>
      </c>
      <c r="B5086" s="3" t="s">
        <v>25</v>
      </c>
      <c r="C5086" s="12" t="s">
        <v>5109</v>
      </c>
      <c r="D5086" s="13">
        <v>64085.0</v>
      </c>
      <c r="E5086" s="4">
        <v>45798.0</v>
      </c>
      <c r="F5086" s="4" t="str">
        <f>IF(D5086="","", IFNA(VLOOKUP(D5086, SATCAT_DECAY!A:B, 2, FALSE), ""))
</f>
        <v/>
      </c>
      <c r="G5086" s="3" t="str">
        <f t="shared" si="1"/>
        <v>ACTIVE</v>
      </c>
    </row>
    <row r="5087" ht="22.5" customHeight="1">
      <c r="A5087" s="11" t="str">
        <f t="array" ref="A5087">IFERROR(
  INDEX('Starlink Launches'!$A:$A, MATCH($E5087, 'Starlink Launches'!$B:$B, 0)),
  ""
)
</f>
        <v>12-15</v>
      </c>
      <c r="B5087" s="3" t="s">
        <v>25</v>
      </c>
      <c r="C5087" s="12" t="s">
        <v>5110</v>
      </c>
      <c r="D5087" s="13">
        <v>64086.0</v>
      </c>
      <c r="E5087" s="4">
        <v>45798.0</v>
      </c>
      <c r="F5087" s="4" t="str">
        <f>IF(D5087="","", IFNA(VLOOKUP(D5087, SATCAT_DECAY!A:B, 2, FALSE), ""))
</f>
        <v/>
      </c>
      <c r="G5087" s="3" t="str">
        <f t="shared" si="1"/>
        <v>ACTIVE</v>
      </c>
    </row>
    <row r="5088" ht="22.5" customHeight="1">
      <c r="A5088" s="11" t="str">
        <f t="array" ref="A5088">IFERROR(
  INDEX('Starlink Launches'!$A:$A, MATCH($E5088, 'Starlink Launches'!$B:$B, 0)),
  ""
)
</f>
        <v>12-22</v>
      </c>
      <c r="B5088" s="3" t="s">
        <v>25</v>
      </c>
      <c r="C5088" s="12" t="s">
        <v>5111</v>
      </c>
      <c r="D5088" s="13">
        <v>64123.0</v>
      </c>
      <c r="E5088" s="4">
        <v>45801.0</v>
      </c>
      <c r="F5088" s="4" t="str">
        <f>IF(D5088="","", IFNA(VLOOKUP(D5088, SATCAT_DECAY!A:B, 2, FALSE), ""))
</f>
        <v/>
      </c>
      <c r="G5088" s="3" t="str">
        <f t="shared" si="1"/>
        <v>ACTIVE</v>
      </c>
    </row>
    <row r="5089" ht="22.5" customHeight="1">
      <c r="A5089" s="11" t="str">
        <f t="array" ref="A5089">IFERROR(
  INDEX('Starlink Launches'!$A:$A, MATCH($E5089, 'Starlink Launches'!$B:$B, 0)),
  ""
)
</f>
        <v>12-22</v>
      </c>
      <c r="B5089" s="3" t="s">
        <v>25</v>
      </c>
      <c r="C5089" s="12" t="s">
        <v>5112</v>
      </c>
      <c r="D5089" s="13">
        <v>64124.0</v>
      </c>
      <c r="E5089" s="4">
        <v>45801.0</v>
      </c>
      <c r="F5089" s="4" t="str">
        <f>IF(D5089="","", IFNA(VLOOKUP(D5089, SATCAT_DECAY!A:B, 2, FALSE), ""))
</f>
        <v/>
      </c>
      <c r="G5089" s="3" t="str">
        <f t="shared" si="1"/>
        <v>ACTIVE</v>
      </c>
    </row>
    <row r="5090" ht="22.5" customHeight="1">
      <c r="A5090" s="11" t="str">
        <f t="array" ref="A5090">IFERROR(
  INDEX('Starlink Launches'!$A:$A, MATCH($E5090, 'Starlink Launches'!$B:$B, 0)),
  ""
)
</f>
        <v>12-22</v>
      </c>
      <c r="B5090" s="3" t="s">
        <v>25</v>
      </c>
      <c r="C5090" s="12" t="s">
        <v>5113</v>
      </c>
      <c r="D5090" s="13">
        <v>64125.0</v>
      </c>
      <c r="E5090" s="4">
        <v>45801.0</v>
      </c>
      <c r="F5090" s="4" t="str">
        <f>IF(D5090="","", IFNA(VLOOKUP(D5090, SATCAT_DECAY!A:B, 2, FALSE), ""))
</f>
        <v/>
      </c>
      <c r="G5090" s="3" t="str">
        <f t="shared" si="1"/>
        <v>ACTIVE</v>
      </c>
    </row>
    <row r="5091" ht="22.5" customHeight="1">
      <c r="A5091" s="11" t="str">
        <f t="array" ref="A5091">IFERROR(
  INDEX('Starlink Launches'!$A:$A, MATCH($E5091, 'Starlink Launches'!$B:$B, 0)),
  ""
)
</f>
        <v>12-22</v>
      </c>
      <c r="B5091" s="3" t="s">
        <v>25</v>
      </c>
      <c r="C5091" s="12" t="s">
        <v>5114</v>
      </c>
      <c r="D5091" s="13">
        <v>64126.0</v>
      </c>
      <c r="E5091" s="4">
        <v>45801.0</v>
      </c>
      <c r="F5091" s="4" t="str">
        <f>IF(D5091="","", IFNA(VLOOKUP(D5091, SATCAT_DECAY!A:B, 2, FALSE), ""))
</f>
        <v/>
      </c>
      <c r="G5091" s="3" t="str">
        <f t="shared" si="1"/>
        <v>ACTIVE</v>
      </c>
    </row>
    <row r="5092" ht="22.5" customHeight="1">
      <c r="A5092" s="11" t="str">
        <f t="array" ref="A5092">IFERROR(
  INDEX('Starlink Launches'!$A:$A, MATCH($E5092, 'Starlink Launches'!$B:$B, 0)),
  ""
)
</f>
        <v>12-22</v>
      </c>
      <c r="B5092" s="3" t="s">
        <v>25</v>
      </c>
      <c r="C5092" s="12" t="s">
        <v>5115</v>
      </c>
      <c r="D5092" s="13">
        <v>64127.0</v>
      </c>
      <c r="E5092" s="4">
        <v>45801.0</v>
      </c>
      <c r="F5092" s="4" t="str">
        <f>IF(D5092="","", IFNA(VLOOKUP(D5092, SATCAT_DECAY!A:B, 2, FALSE), ""))
</f>
        <v/>
      </c>
      <c r="G5092" s="3" t="str">
        <f t="shared" si="1"/>
        <v>ACTIVE</v>
      </c>
    </row>
    <row r="5093" ht="22.5" customHeight="1">
      <c r="A5093" s="11" t="str">
        <f t="array" ref="A5093">IFERROR(
  INDEX('Starlink Launches'!$A:$A, MATCH($E5093, 'Starlink Launches'!$B:$B, 0)),
  ""
)
</f>
        <v>12-22</v>
      </c>
      <c r="B5093" s="3" t="s">
        <v>25</v>
      </c>
      <c r="C5093" s="12" t="s">
        <v>5116</v>
      </c>
      <c r="D5093" s="13">
        <v>64128.0</v>
      </c>
      <c r="E5093" s="4">
        <v>45801.0</v>
      </c>
      <c r="F5093" s="4" t="str">
        <f>IF(D5093="","", IFNA(VLOOKUP(D5093, SATCAT_DECAY!A:B, 2, FALSE), ""))
</f>
        <v/>
      </c>
      <c r="G5093" s="3" t="str">
        <f t="shared" si="1"/>
        <v>ACTIVE</v>
      </c>
    </row>
    <row r="5094" ht="22.5" customHeight="1">
      <c r="A5094" s="11" t="str">
        <f t="array" ref="A5094">IFERROR(
  INDEX('Starlink Launches'!$A:$A, MATCH($E5094, 'Starlink Launches'!$B:$B, 0)),
  ""
)
</f>
        <v>12-22</v>
      </c>
      <c r="B5094" s="3" t="s">
        <v>25</v>
      </c>
      <c r="C5094" s="12" t="s">
        <v>5117</v>
      </c>
      <c r="D5094" s="13">
        <v>64129.0</v>
      </c>
      <c r="E5094" s="4">
        <v>45801.0</v>
      </c>
      <c r="F5094" s="4" t="str">
        <f>IF(D5094="","", IFNA(VLOOKUP(D5094, SATCAT_DECAY!A:B, 2, FALSE), ""))
</f>
        <v/>
      </c>
      <c r="G5094" s="3" t="str">
        <f t="shared" si="1"/>
        <v>ACTIVE</v>
      </c>
    </row>
    <row r="5095" ht="22.5" customHeight="1">
      <c r="A5095" s="11" t="str">
        <f t="array" ref="A5095">IFERROR(
  INDEX('Starlink Launches'!$A:$A, MATCH($E5095, 'Starlink Launches'!$B:$B, 0)),
  ""
)
</f>
        <v>12-22</v>
      </c>
      <c r="B5095" s="3" t="s">
        <v>25</v>
      </c>
      <c r="C5095" s="12" t="s">
        <v>5118</v>
      </c>
      <c r="D5095" s="13">
        <v>64130.0</v>
      </c>
      <c r="E5095" s="4">
        <v>45801.0</v>
      </c>
      <c r="F5095" s="4" t="str">
        <f>IF(D5095="","", IFNA(VLOOKUP(D5095, SATCAT_DECAY!A:B, 2, FALSE), ""))
</f>
        <v/>
      </c>
      <c r="G5095" s="3" t="str">
        <f t="shared" si="1"/>
        <v>ACTIVE</v>
      </c>
    </row>
    <row r="5096" ht="22.5" customHeight="1">
      <c r="A5096" s="11" t="str">
        <f t="array" ref="A5096">IFERROR(
  INDEX('Starlink Launches'!$A:$A, MATCH($E5096, 'Starlink Launches'!$B:$B, 0)),
  ""
)
</f>
        <v>12-22</v>
      </c>
      <c r="B5096" s="3" t="s">
        <v>25</v>
      </c>
      <c r="C5096" s="12" t="s">
        <v>5119</v>
      </c>
      <c r="D5096" s="13">
        <v>64131.0</v>
      </c>
      <c r="E5096" s="4">
        <v>45801.0</v>
      </c>
      <c r="F5096" s="4" t="str">
        <f>IF(D5096="","", IFNA(VLOOKUP(D5096, SATCAT_DECAY!A:B, 2, FALSE), ""))
</f>
        <v/>
      </c>
      <c r="G5096" s="3" t="str">
        <f t="shared" si="1"/>
        <v>ACTIVE</v>
      </c>
    </row>
    <row r="5097" ht="22.5" customHeight="1">
      <c r="A5097" s="11" t="str">
        <f t="array" ref="A5097">IFERROR(
  INDEX('Starlink Launches'!$A:$A, MATCH($E5097, 'Starlink Launches'!$B:$B, 0)),
  ""
)
</f>
        <v>12-22</v>
      </c>
      <c r="B5097" s="3" t="s">
        <v>25</v>
      </c>
      <c r="C5097" s="12" t="s">
        <v>5120</v>
      </c>
      <c r="D5097" s="13">
        <v>64132.0</v>
      </c>
      <c r="E5097" s="4">
        <v>45801.0</v>
      </c>
      <c r="F5097" s="4" t="str">
        <f>IF(D5097="","", IFNA(VLOOKUP(D5097, SATCAT_DECAY!A:B, 2, FALSE), ""))
</f>
        <v/>
      </c>
      <c r="G5097" s="3" t="str">
        <f t="shared" si="1"/>
        <v>ACTIVE</v>
      </c>
    </row>
    <row r="5098" ht="22.5" customHeight="1">
      <c r="A5098" s="11" t="str">
        <f t="array" ref="A5098">IFERROR(
  INDEX('Starlink Launches'!$A:$A, MATCH($E5098, 'Starlink Launches'!$B:$B, 0)),
  ""
)
</f>
        <v>12-22</v>
      </c>
      <c r="B5098" s="3" t="s">
        <v>25</v>
      </c>
      <c r="C5098" s="12" t="s">
        <v>5121</v>
      </c>
      <c r="D5098" s="13">
        <v>64133.0</v>
      </c>
      <c r="E5098" s="4">
        <v>45801.0</v>
      </c>
      <c r="F5098" s="4" t="str">
        <f>IF(D5098="","", IFNA(VLOOKUP(D5098, SATCAT_DECAY!A:B, 2, FALSE), ""))
</f>
        <v/>
      </c>
      <c r="G5098" s="3" t="str">
        <f t="shared" si="1"/>
        <v>ACTIVE</v>
      </c>
    </row>
    <row r="5099" ht="22.5" customHeight="1">
      <c r="A5099" s="11" t="str">
        <f t="array" ref="A5099">IFERROR(
  INDEX('Starlink Launches'!$A:$A, MATCH($E5099, 'Starlink Launches'!$B:$B, 0)),
  ""
)
</f>
        <v>12-22</v>
      </c>
      <c r="B5099" s="3" t="s">
        <v>25</v>
      </c>
      <c r="C5099" s="12" t="s">
        <v>5122</v>
      </c>
      <c r="D5099" s="13">
        <v>64134.0</v>
      </c>
      <c r="E5099" s="4">
        <v>45801.0</v>
      </c>
      <c r="F5099" s="4" t="str">
        <f>IF(D5099="","", IFNA(VLOOKUP(D5099, SATCAT_DECAY!A:B, 2, FALSE), ""))
</f>
        <v/>
      </c>
      <c r="G5099" s="3" t="str">
        <f t="shared" si="1"/>
        <v>ACTIVE</v>
      </c>
    </row>
    <row r="5100" ht="22.5" customHeight="1">
      <c r="A5100" s="11" t="str">
        <f t="array" ref="A5100">IFERROR(
  INDEX('Starlink Launches'!$A:$A, MATCH($E5100, 'Starlink Launches'!$B:$B, 0)),
  ""
)
</f>
        <v>12-22</v>
      </c>
      <c r="B5100" s="3" t="s">
        <v>25</v>
      </c>
      <c r="C5100" s="12" t="s">
        <v>5123</v>
      </c>
      <c r="D5100" s="13">
        <v>64135.0</v>
      </c>
      <c r="E5100" s="4">
        <v>45801.0</v>
      </c>
      <c r="F5100" s="4" t="str">
        <f>IF(D5100="","", IFNA(VLOOKUP(D5100, SATCAT_DECAY!A:B, 2, FALSE), ""))
</f>
        <v/>
      </c>
      <c r="G5100" s="3" t="str">
        <f t="shared" si="1"/>
        <v>ACTIVE</v>
      </c>
    </row>
    <row r="5101" ht="22.5" customHeight="1">
      <c r="A5101" s="11" t="str">
        <f t="array" ref="A5101">IFERROR(
  INDEX('Starlink Launches'!$A:$A, MATCH($E5101, 'Starlink Launches'!$B:$B, 0)),
  ""
)
</f>
        <v>12-22</v>
      </c>
      <c r="B5101" s="3" t="s">
        <v>25</v>
      </c>
      <c r="C5101" s="12" t="s">
        <v>5124</v>
      </c>
      <c r="D5101" s="13">
        <v>64136.0</v>
      </c>
      <c r="E5101" s="4">
        <v>45801.0</v>
      </c>
      <c r="F5101" s="4" t="str">
        <f>IF(D5101="","", IFNA(VLOOKUP(D5101, SATCAT_DECAY!A:B, 2, FALSE), ""))
</f>
        <v/>
      </c>
      <c r="G5101" s="3" t="str">
        <f t="shared" si="1"/>
        <v>ACTIVE</v>
      </c>
    </row>
    <row r="5102" ht="22.5" customHeight="1">
      <c r="A5102" s="11" t="str">
        <f t="array" ref="A5102">IFERROR(
  INDEX('Starlink Launches'!$A:$A, MATCH($E5102, 'Starlink Launches'!$B:$B, 0)),
  ""
)
</f>
        <v>12-22</v>
      </c>
      <c r="B5102" s="3" t="s">
        <v>25</v>
      </c>
      <c r="C5102" s="12" t="s">
        <v>5125</v>
      </c>
      <c r="D5102" s="13">
        <v>64137.0</v>
      </c>
      <c r="E5102" s="4">
        <v>45801.0</v>
      </c>
      <c r="F5102" s="4" t="str">
        <f>IF(D5102="","", IFNA(VLOOKUP(D5102, SATCAT_DECAY!A:B, 2, FALSE), ""))
</f>
        <v/>
      </c>
      <c r="G5102" s="3" t="str">
        <f t="shared" si="1"/>
        <v>ACTIVE</v>
      </c>
    </row>
    <row r="5103" ht="22.5" customHeight="1">
      <c r="A5103" s="11" t="str">
        <f t="array" ref="A5103">IFERROR(
  INDEX('Starlink Launches'!$A:$A, MATCH($E5103, 'Starlink Launches'!$B:$B, 0)),
  ""
)
</f>
        <v>12-22</v>
      </c>
      <c r="B5103" s="3" t="s">
        <v>25</v>
      </c>
      <c r="C5103" s="12" t="s">
        <v>5126</v>
      </c>
      <c r="D5103" s="13">
        <v>64138.0</v>
      </c>
      <c r="E5103" s="4">
        <v>45801.0</v>
      </c>
      <c r="F5103" s="4" t="str">
        <f>IF(D5103="","", IFNA(VLOOKUP(D5103, SATCAT_DECAY!A:B, 2, FALSE), ""))
</f>
        <v/>
      </c>
      <c r="G5103" s="3" t="str">
        <f t="shared" si="1"/>
        <v>ACTIVE</v>
      </c>
    </row>
    <row r="5104" ht="22.5" customHeight="1">
      <c r="A5104" s="11" t="str">
        <f t="array" ref="A5104">IFERROR(
  INDEX('Starlink Launches'!$A:$A, MATCH($E5104, 'Starlink Launches'!$B:$B, 0)),
  ""
)
</f>
        <v>12-22</v>
      </c>
      <c r="B5104" s="3" t="s">
        <v>25</v>
      </c>
      <c r="C5104" s="12" t="s">
        <v>5127</v>
      </c>
      <c r="D5104" s="13">
        <v>64139.0</v>
      </c>
      <c r="E5104" s="4">
        <v>45801.0</v>
      </c>
      <c r="F5104" s="4" t="str">
        <f>IF(D5104="","", IFNA(VLOOKUP(D5104, SATCAT_DECAY!A:B, 2, FALSE), ""))
</f>
        <v/>
      </c>
      <c r="G5104" s="3" t="str">
        <f t="shared" si="1"/>
        <v>ACTIVE</v>
      </c>
    </row>
    <row r="5105" ht="22.5" customHeight="1">
      <c r="A5105" s="11" t="str">
        <f t="array" ref="A5105">IFERROR(
  INDEX('Starlink Launches'!$A:$A, MATCH($E5105, 'Starlink Launches'!$B:$B, 0)),
  ""
)
</f>
        <v>12-22</v>
      </c>
      <c r="B5105" s="3" t="s">
        <v>25</v>
      </c>
      <c r="C5105" s="12" t="s">
        <v>5128</v>
      </c>
      <c r="D5105" s="13">
        <v>64140.0</v>
      </c>
      <c r="E5105" s="4">
        <v>45801.0</v>
      </c>
      <c r="F5105" s="4" t="str">
        <f>IF(D5105="","", IFNA(VLOOKUP(D5105, SATCAT_DECAY!A:B, 2, FALSE), ""))
</f>
        <v/>
      </c>
      <c r="G5105" s="3" t="str">
        <f t="shared" si="1"/>
        <v>ACTIVE</v>
      </c>
    </row>
    <row r="5106" ht="22.5" customHeight="1">
      <c r="A5106" s="11" t="str">
        <f t="array" ref="A5106">IFERROR(
  INDEX('Starlink Launches'!$A:$A, MATCH($E5106, 'Starlink Launches'!$B:$B, 0)),
  ""
)
</f>
        <v>12-22</v>
      </c>
      <c r="B5106" s="3" t="s">
        <v>25</v>
      </c>
      <c r="C5106" s="12" t="s">
        <v>5129</v>
      </c>
      <c r="D5106" s="13">
        <v>64141.0</v>
      </c>
      <c r="E5106" s="4">
        <v>45801.0</v>
      </c>
      <c r="F5106" s="4" t="str">
        <f>IF(D5106="","", IFNA(VLOOKUP(D5106, SATCAT_DECAY!A:B, 2, FALSE), ""))
</f>
        <v/>
      </c>
      <c r="G5106" s="3" t="str">
        <f t="shared" si="1"/>
        <v>ACTIVE</v>
      </c>
    </row>
    <row r="5107" ht="22.5" customHeight="1">
      <c r="A5107" s="11" t="str">
        <f t="array" ref="A5107">IFERROR(
  INDEX('Starlink Launches'!$A:$A, MATCH($E5107, 'Starlink Launches'!$B:$B, 0)),
  ""
)
</f>
        <v>12-22</v>
      </c>
      <c r="B5107" s="3" t="s">
        <v>25</v>
      </c>
      <c r="C5107" s="12" t="s">
        <v>5130</v>
      </c>
      <c r="D5107" s="13">
        <v>64142.0</v>
      </c>
      <c r="E5107" s="4">
        <v>45801.0</v>
      </c>
      <c r="F5107" s="4" t="str">
        <f>IF(D5107="","", IFNA(VLOOKUP(D5107, SATCAT_DECAY!A:B, 2, FALSE), ""))
</f>
        <v/>
      </c>
      <c r="G5107" s="3" t="str">
        <f t="shared" si="1"/>
        <v>ACTIVE</v>
      </c>
    </row>
    <row r="5108" ht="22.5" customHeight="1">
      <c r="A5108" s="11" t="str">
        <f t="array" ref="A5108">IFERROR(
  INDEX('Starlink Launches'!$A:$A, MATCH($E5108, 'Starlink Launches'!$B:$B, 0)),
  ""
)
</f>
        <v>12-22</v>
      </c>
      <c r="B5108" s="3" t="s">
        <v>25</v>
      </c>
      <c r="C5108" s="12" t="s">
        <v>5131</v>
      </c>
      <c r="D5108" s="13">
        <v>64143.0</v>
      </c>
      <c r="E5108" s="4">
        <v>45801.0</v>
      </c>
      <c r="F5108" s="4" t="str">
        <f>IF(D5108="","", IFNA(VLOOKUP(D5108, SATCAT_DECAY!A:B, 2, FALSE), ""))
</f>
        <v/>
      </c>
      <c r="G5108" s="3" t="str">
        <f t="shared" si="1"/>
        <v>ACTIVE</v>
      </c>
    </row>
    <row r="5109" ht="22.5" customHeight="1">
      <c r="A5109" s="11" t="str">
        <f t="array" ref="A5109">IFERROR(
  INDEX('Starlink Launches'!$A:$A, MATCH($E5109, 'Starlink Launches'!$B:$B, 0)),
  ""
)
</f>
        <v>12-22</v>
      </c>
      <c r="B5109" s="3" t="s">
        <v>25</v>
      </c>
      <c r="C5109" s="12" t="s">
        <v>5132</v>
      </c>
      <c r="D5109" s="13">
        <v>64144.0</v>
      </c>
      <c r="E5109" s="4">
        <v>45801.0</v>
      </c>
      <c r="F5109" s="4" t="str">
        <f>IF(D5109="","", IFNA(VLOOKUP(D5109, SATCAT_DECAY!A:B, 2, FALSE), ""))
</f>
        <v/>
      </c>
      <c r="G5109" s="3" t="str">
        <f t="shared" si="1"/>
        <v>ACTIVE</v>
      </c>
    </row>
    <row r="5110" ht="22.5" customHeight="1">
      <c r="A5110" s="11" t="str">
        <f t="array" ref="A5110">IFERROR(
  INDEX('Starlink Launches'!$A:$A, MATCH($E5110, 'Starlink Launches'!$B:$B, 0)),
  ""
)
</f>
        <v>12-22</v>
      </c>
      <c r="B5110" s="3" t="s">
        <v>25</v>
      </c>
      <c r="C5110" s="12" t="s">
        <v>5133</v>
      </c>
      <c r="D5110" s="13">
        <v>64145.0</v>
      </c>
      <c r="E5110" s="4">
        <v>45801.0</v>
      </c>
      <c r="F5110" s="4" t="str">
        <f>IF(D5110="","", IFNA(VLOOKUP(D5110, SATCAT_DECAY!A:B, 2, FALSE), ""))
</f>
        <v/>
      </c>
      <c r="G5110" s="3" t="str">
        <f t="shared" si="1"/>
        <v>ACTIVE</v>
      </c>
    </row>
    <row r="5111" ht="22.5" customHeight="1">
      <c r="A5111" s="11" t="str">
        <f t="array" ref="A5111">IFERROR(
  INDEX('Starlink Launches'!$A:$A, MATCH($E5111, 'Starlink Launches'!$B:$B, 0)),
  ""
)
</f>
        <v>12-24</v>
      </c>
      <c r="B5111" s="3" t="s">
        <v>25</v>
      </c>
      <c r="C5111" s="12" t="s">
        <v>5134</v>
      </c>
      <c r="D5111" s="13">
        <v>64317.0</v>
      </c>
      <c r="E5111" s="4">
        <v>45818.0</v>
      </c>
      <c r="F5111" s="4" t="str">
        <f>IF(D5111="","", IFNA(VLOOKUP(D5111, SATCAT_DECAY!A:B, 2, FALSE), ""))
</f>
        <v/>
      </c>
      <c r="G5111" s="3" t="str">
        <f t="shared" si="1"/>
        <v>ACTIVE</v>
      </c>
    </row>
    <row r="5112" ht="22.5" customHeight="1">
      <c r="A5112" s="11" t="str">
        <f t="array" ref="A5112">IFERROR(
  INDEX('Starlink Launches'!$A:$A, MATCH($E5112, 'Starlink Launches'!$B:$B, 0)),
  ""
)
</f>
        <v>12-24</v>
      </c>
      <c r="B5112" s="3" t="s">
        <v>25</v>
      </c>
      <c r="C5112" s="12" t="s">
        <v>5135</v>
      </c>
      <c r="D5112" s="13">
        <v>64318.0</v>
      </c>
      <c r="E5112" s="4">
        <v>45818.0</v>
      </c>
      <c r="F5112" s="4" t="str">
        <f>IF(D5112="","", IFNA(VLOOKUP(D5112, SATCAT_DECAY!A:B, 2, FALSE), ""))
</f>
        <v/>
      </c>
      <c r="G5112" s="3" t="str">
        <f t="shared" si="1"/>
        <v>ACTIVE</v>
      </c>
    </row>
    <row r="5113" ht="22.5" customHeight="1">
      <c r="A5113" s="11" t="str">
        <f t="array" ref="A5113">IFERROR(
  INDEX('Starlink Launches'!$A:$A, MATCH($E5113, 'Starlink Launches'!$B:$B, 0)),
  ""
)
</f>
        <v>12-24</v>
      </c>
      <c r="B5113" s="3" t="s">
        <v>25</v>
      </c>
      <c r="C5113" s="12" t="s">
        <v>5136</v>
      </c>
      <c r="D5113" s="13">
        <v>64319.0</v>
      </c>
      <c r="E5113" s="4">
        <v>45818.0</v>
      </c>
      <c r="F5113" s="4" t="str">
        <f>IF(D5113="","", IFNA(VLOOKUP(D5113, SATCAT_DECAY!A:B, 2, FALSE), ""))
</f>
        <v/>
      </c>
      <c r="G5113" s="3" t="str">
        <f t="shared" si="1"/>
        <v>ACTIVE</v>
      </c>
    </row>
    <row r="5114" ht="22.5" customHeight="1">
      <c r="A5114" s="11" t="str">
        <f t="array" ref="A5114">IFERROR(
  INDEX('Starlink Launches'!$A:$A, MATCH($E5114, 'Starlink Launches'!$B:$B, 0)),
  ""
)
</f>
        <v>12-24</v>
      </c>
      <c r="B5114" s="3" t="s">
        <v>25</v>
      </c>
      <c r="C5114" s="12" t="s">
        <v>5137</v>
      </c>
      <c r="D5114" s="13">
        <v>64320.0</v>
      </c>
      <c r="E5114" s="4">
        <v>45818.0</v>
      </c>
      <c r="F5114" s="4" t="str">
        <f>IF(D5114="","", IFNA(VLOOKUP(D5114, SATCAT_DECAY!A:B, 2, FALSE), ""))
</f>
        <v/>
      </c>
      <c r="G5114" s="3" t="str">
        <f t="shared" si="1"/>
        <v>ACTIVE</v>
      </c>
    </row>
    <row r="5115" ht="22.5" customHeight="1">
      <c r="A5115" s="11" t="str">
        <f t="array" ref="A5115">IFERROR(
  INDEX('Starlink Launches'!$A:$A, MATCH($E5115, 'Starlink Launches'!$B:$B, 0)),
  ""
)
</f>
        <v>12-24</v>
      </c>
      <c r="B5115" s="3" t="s">
        <v>25</v>
      </c>
      <c r="C5115" s="12" t="s">
        <v>5138</v>
      </c>
      <c r="D5115" s="13">
        <v>64321.0</v>
      </c>
      <c r="E5115" s="4">
        <v>45818.0</v>
      </c>
      <c r="F5115" s="4" t="str">
        <f>IF(D5115="","", IFNA(VLOOKUP(D5115, SATCAT_DECAY!A:B, 2, FALSE), ""))
</f>
        <v/>
      </c>
      <c r="G5115" s="3" t="str">
        <f t="shared" si="1"/>
        <v>ACTIVE</v>
      </c>
    </row>
    <row r="5116" ht="22.5" customHeight="1">
      <c r="A5116" s="11" t="str">
        <f t="array" ref="A5116">IFERROR(
  INDEX('Starlink Launches'!$A:$A, MATCH($E5116, 'Starlink Launches'!$B:$B, 0)),
  ""
)
</f>
        <v>12-24</v>
      </c>
      <c r="B5116" s="3" t="s">
        <v>25</v>
      </c>
      <c r="C5116" s="12" t="s">
        <v>5139</v>
      </c>
      <c r="D5116" s="13">
        <v>64322.0</v>
      </c>
      <c r="E5116" s="4">
        <v>45818.0</v>
      </c>
      <c r="F5116" s="4" t="str">
        <f>IF(D5116="","", IFNA(VLOOKUP(D5116, SATCAT_DECAY!A:B, 2, FALSE), ""))
</f>
        <v/>
      </c>
      <c r="G5116" s="3" t="str">
        <f t="shared" si="1"/>
        <v>ACTIVE</v>
      </c>
    </row>
    <row r="5117" ht="22.5" customHeight="1">
      <c r="A5117" s="11" t="str">
        <f t="array" ref="A5117">IFERROR(
  INDEX('Starlink Launches'!$A:$A, MATCH($E5117, 'Starlink Launches'!$B:$B, 0)),
  ""
)
</f>
        <v>12-24</v>
      </c>
      <c r="B5117" s="3" t="s">
        <v>25</v>
      </c>
      <c r="C5117" s="12" t="s">
        <v>5140</v>
      </c>
      <c r="D5117" s="13">
        <v>64323.0</v>
      </c>
      <c r="E5117" s="4">
        <v>45818.0</v>
      </c>
      <c r="F5117" s="4" t="str">
        <f>IF(D5117="","", IFNA(VLOOKUP(D5117, SATCAT_DECAY!A:B, 2, FALSE), ""))
</f>
        <v/>
      </c>
      <c r="G5117" s="3" t="str">
        <f t="shared" si="1"/>
        <v>ACTIVE</v>
      </c>
    </row>
    <row r="5118" ht="22.5" customHeight="1">
      <c r="A5118" s="11" t="str">
        <f t="array" ref="A5118">IFERROR(
  INDEX('Starlink Launches'!$A:$A, MATCH($E5118, 'Starlink Launches'!$B:$B, 0)),
  ""
)
</f>
        <v>12-24</v>
      </c>
      <c r="B5118" s="3" t="s">
        <v>25</v>
      </c>
      <c r="C5118" s="12" t="s">
        <v>5141</v>
      </c>
      <c r="D5118" s="13">
        <v>64324.0</v>
      </c>
      <c r="E5118" s="4">
        <v>45818.0</v>
      </c>
      <c r="F5118" s="4" t="str">
        <f>IF(D5118="","", IFNA(VLOOKUP(D5118, SATCAT_DECAY!A:B, 2, FALSE), ""))
</f>
        <v/>
      </c>
      <c r="G5118" s="3" t="str">
        <f t="shared" si="1"/>
        <v>ACTIVE</v>
      </c>
    </row>
    <row r="5119" ht="22.5" customHeight="1">
      <c r="A5119" s="11" t="str">
        <f t="array" ref="A5119">IFERROR(
  INDEX('Starlink Launches'!$A:$A, MATCH($E5119, 'Starlink Launches'!$B:$B, 0)),
  ""
)
</f>
        <v>12-24</v>
      </c>
      <c r="B5119" s="3" t="s">
        <v>25</v>
      </c>
      <c r="C5119" s="12" t="s">
        <v>5142</v>
      </c>
      <c r="D5119" s="13">
        <v>64325.0</v>
      </c>
      <c r="E5119" s="4">
        <v>45818.0</v>
      </c>
      <c r="F5119" s="4" t="str">
        <f>IF(D5119="","", IFNA(VLOOKUP(D5119, SATCAT_DECAY!A:B, 2, FALSE), ""))
</f>
        <v/>
      </c>
      <c r="G5119" s="3" t="str">
        <f t="shared" si="1"/>
        <v>ACTIVE</v>
      </c>
    </row>
    <row r="5120" ht="22.5" customHeight="1">
      <c r="A5120" s="11" t="str">
        <f t="array" ref="A5120">IFERROR(
  INDEX('Starlink Launches'!$A:$A, MATCH($E5120, 'Starlink Launches'!$B:$B, 0)),
  ""
)
</f>
        <v>12-24</v>
      </c>
      <c r="B5120" s="3" t="s">
        <v>25</v>
      </c>
      <c r="C5120" s="12" t="s">
        <v>5143</v>
      </c>
      <c r="D5120" s="13">
        <v>64326.0</v>
      </c>
      <c r="E5120" s="4">
        <v>45818.0</v>
      </c>
      <c r="F5120" s="4" t="str">
        <f>IF(D5120="","", IFNA(VLOOKUP(D5120, SATCAT_DECAY!A:B, 2, FALSE), ""))
</f>
        <v/>
      </c>
      <c r="G5120" s="3" t="str">
        <f t="shared" si="1"/>
        <v>ACTIVE</v>
      </c>
    </row>
    <row r="5121" ht="22.5" customHeight="1">
      <c r="A5121" s="11" t="str">
        <f t="array" ref="A5121">IFERROR(
  INDEX('Starlink Launches'!$A:$A, MATCH($E5121, 'Starlink Launches'!$B:$B, 0)),
  ""
)
</f>
        <v>12-24</v>
      </c>
      <c r="B5121" s="3" t="s">
        <v>25</v>
      </c>
      <c r="C5121" s="12" t="s">
        <v>5144</v>
      </c>
      <c r="D5121" s="13">
        <v>64327.0</v>
      </c>
      <c r="E5121" s="4">
        <v>45818.0</v>
      </c>
      <c r="F5121" s="4" t="str">
        <f>IF(D5121="","", IFNA(VLOOKUP(D5121, SATCAT_DECAY!A:B, 2, FALSE), ""))
</f>
        <v/>
      </c>
      <c r="G5121" s="3" t="str">
        <f t="shared" si="1"/>
        <v>ACTIVE</v>
      </c>
    </row>
    <row r="5122" ht="22.5" customHeight="1">
      <c r="A5122" s="11" t="str">
        <f t="array" ref="A5122">IFERROR(
  INDEX('Starlink Launches'!$A:$A, MATCH($E5122, 'Starlink Launches'!$B:$B, 0)),
  ""
)
</f>
        <v>12-24</v>
      </c>
      <c r="B5122" s="3" t="s">
        <v>25</v>
      </c>
      <c r="C5122" s="12" t="s">
        <v>5145</v>
      </c>
      <c r="D5122" s="13">
        <v>64328.0</v>
      </c>
      <c r="E5122" s="4">
        <v>45818.0</v>
      </c>
      <c r="F5122" s="4" t="str">
        <f>IF(D5122="","", IFNA(VLOOKUP(D5122, SATCAT_DECAY!A:B, 2, FALSE), ""))
</f>
        <v/>
      </c>
      <c r="G5122" s="3" t="str">
        <f t="shared" si="1"/>
        <v>ACTIVE</v>
      </c>
    </row>
    <row r="5123" ht="22.5" customHeight="1">
      <c r="A5123" s="11" t="str">
        <f t="array" ref="A5123">IFERROR(
  INDEX('Starlink Launches'!$A:$A, MATCH($E5123, 'Starlink Launches'!$B:$B, 0)),
  ""
)
</f>
        <v>12-24</v>
      </c>
      <c r="B5123" s="3" t="s">
        <v>25</v>
      </c>
      <c r="C5123" s="12" t="s">
        <v>5146</v>
      </c>
      <c r="D5123" s="13">
        <v>64329.0</v>
      </c>
      <c r="E5123" s="4">
        <v>45818.0</v>
      </c>
      <c r="F5123" s="4" t="str">
        <f>IF(D5123="","", IFNA(VLOOKUP(D5123, SATCAT_DECAY!A:B, 2, FALSE), ""))
</f>
        <v/>
      </c>
      <c r="G5123" s="3" t="str">
        <f t="shared" si="1"/>
        <v>ACTIVE</v>
      </c>
    </row>
    <row r="5124" ht="22.5" customHeight="1">
      <c r="A5124" s="11" t="str">
        <f t="array" ref="A5124">IFERROR(
  INDEX('Starlink Launches'!$A:$A, MATCH($E5124, 'Starlink Launches'!$B:$B, 0)),
  ""
)
</f>
        <v>12-24</v>
      </c>
      <c r="B5124" s="3" t="s">
        <v>25</v>
      </c>
      <c r="C5124" s="12" t="s">
        <v>5147</v>
      </c>
      <c r="D5124" s="13">
        <v>64330.0</v>
      </c>
      <c r="E5124" s="4">
        <v>45818.0</v>
      </c>
      <c r="F5124" s="4" t="str">
        <f>IF(D5124="","", IFNA(VLOOKUP(D5124, SATCAT_DECAY!A:B, 2, FALSE), ""))
</f>
        <v/>
      </c>
      <c r="G5124" s="3" t="str">
        <f t="shared" si="1"/>
        <v>ACTIVE</v>
      </c>
    </row>
    <row r="5125" ht="22.5" customHeight="1">
      <c r="A5125" s="11" t="str">
        <f t="array" ref="A5125">IFERROR(
  INDEX('Starlink Launches'!$A:$A, MATCH($E5125, 'Starlink Launches'!$B:$B, 0)),
  ""
)
</f>
        <v>12-24</v>
      </c>
      <c r="B5125" s="3" t="s">
        <v>25</v>
      </c>
      <c r="C5125" s="12" t="s">
        <v>5148</v>
      </c>
      <c r="D5125" s="13">
        <v>64331.0</v>
      </c>
      <c r="E5125" s="4">
        <v>45818.0</v>
      </c>
      <c r="F5125" s="4" t="str">
        <f>IF(D5125="","", IFNA(VLOOKUP(D5125, SATCAT_DECAY!A:B, 2, FALSE), ""))
</f>
        <v/>
      </c>
      <c r="G5125" s="3" t="str">
        <f t="shared" si="1"/>
        <v>ACTIVE</v>
      </c>
    </row>
    <row r="5126" ht="22.5" customHeight="1">
      <c r="A5126" s="11" t="str">
        <f t="array" ref="A5126">IFERROR(
  INDEX('Starlink Launches'!$A:$A, MATCH($E5126, 'Starlink Launches'!$B:$B, 0)),
  ""
)
</f>
        <v>12-24</v>
      </c>
      <c r="B5126" s="3" t="s">
        <v>25</v>
      </c>
      <c r="C5126" s="12" t="s">
        <v>5149</v>
      </c>
      <c r="D5126" s="13">
        <v>64332.0</v>
      </c>
      <c r="E5126" s="4">
        <v>45818.0</v>
      </c>
      <c r="F5126" s="4" t="str">
        <f>IF(D5126="","", IFNA(VLOOKUP(D5126, SATCAT_DECAY!A:B, 2, FALSE), ""))
</f>
        <v/>
      </c>
      <c r="G5126" s="3" t="str">
        <f t="shared" si="1"/>
        <v>ACTIVE</v>
      </c>
    </row>
    <row r="5127" ht="22.5" customHeight="1">
      <c r="A5127" s="11" t="str">
        <f t="array" ref="A5127">IFERROR(
  INDEX('Starlink Launches'!$A:$A, MATCH($E5127, 'Starlink Launches'!$B:$B, 0)),
  ""
)
</f>
        <v>12-24</v>
      </c>
      <c r="B5127" s="3" t="s">
        <v>25</v>
      </c>
      <c r="C5127" s="12" t="s">
        <v>5150</v>
      </c>
      <c r="D5127" s="13">
        <v>64333.0</v>
      </c>
      <c r="E5127" s="4">
        <v>45818.0</v>
      </c>
      <c r="F5127" s="4" t="str">
        <f>IF(D5127="","", IFNA(VLOOKUP(D5127, SATCAT_DECAY!A:B, 2, FALSE), ""))
</f>
        <v/>
      </c>
      <c r="G5127" s="3" t="str">
        <f t="shared" si="1"/>
        <v>ACTIVE</v>
      </c>
    </row>
    <row r="5128" ht="22.5" customHeight="1">
      <c r="A5128" s="11" t="str">
        <f t="array" ref="A5128">IFERROR(
  INDEX('Starlink Launches'!$A:$A, MATCH($E5128, 'Starlink Launches'!$B:$B, 0)),
  ""
)
</f>
        <v>12-24</v>
      </c>
      <c r="B5128" s="3" t="s">
        <v>25</v>
      </c>
      <c r="C5128" s="12" t="s">
        <v>5151</v>
      </c>
      <c r="D5128" s="13">
        <v>64334.0</v>
      </c>
      <c r="E5128" s="4">
        <v>45818.0</v>
      </c>
      <c r="F5128" s="4" t="str">
        <f>IF(D5128="","", IFNA(VLOOKUP(D5128, SATCAT_DECAY!A:B, 2, FALSE), ""))
</f>
        <v/>
      </c>
      <c r="G5128" s="3" t="str">
        <f t="shared" si="1"/>
        <v>ACTIVE</v>
      </c>
    </row>
    <row r="5129" ht="22.5" customHeight="1">
      <c r="A5129" s="11" t="str">
        <f t="array" ref="A5129">IFERROR(
  INDEX('Starlink Launches'!$A:$A, MATCH($E5129, 'Starlink Launches'!$B:$B, 0)),
  ""
)
</f>
        <v>12-24</v>
      </c>
      <c r="B5129" s="3" t="s">
        <v>25</v>
      </c>
      <c r="C5129" s="12" t="s">
        <v>5152</v>
      </c>
      <c r="D5129" s="13">
        <v>64335.0</v>
      </c>
      <c r="E5129" s="4">
        <v>45818.0</v>
      </c>
      <c r="F5129" s="4" t="str">
        <f>IF(D5129="","", IFNA(VLOOKUP(D5129, SATCAT_DECAY!A:B, 2, FALSE), ""))
</f>
        <v/>
      </c>
      <c r="G5129" s="3" t="str">
        <f t="shared" si="1"/>
        <v>ACTIVE</v>
      </c>
    </row>
    <row r="5130" ht="22.5" customHeight="1">
      <c r="A5130" s="11" t="str">
        <f t="array" ref="A5130">IFERROR(
  INDEX('Starlink Launches'!$A:$A, MATCH($E5130, 'Starlink Launches'!$B:$B, 0)),
  ""
)
</f>
        <v>12-24</v>
      </c>
      <c r="B5130" s="3" t="s">
        <v>25</v>
      </c>
      <c r="C5130" s="12" t="s">
        <v>5153</v>
      </c>
      <c r="D5130" s="13">
        <v>64336.0</v>
      </c>
      <c r="E5130" s="4">
        <v>45818.0</v>
      </c>
      <c r="F5130" s="4" t="str">
        <f>IF(D5130="","", IFNA(VLOOKUP(D5130, SATCAT_DECAY!A:B, 2, FALSE), ""))
</f>
        <v/>
      </c>
      <c r="G5130" s="3" t="str">
        <f t="shared" si="1"/>
        <v>ACTIVE</v>
      </c>
    </row>
    <row r="5131" ht="22.5" customHeight="1">
      <c r="A5131" s="11" t="str">
        <f t="array" ref="A5131">IFERROR(
  INDEX('Starlink Launches'!$A:$A, MATCH($E5131, 'Starlink Launches'!$B:$B, 0)),
  ""
)
</f>
        <v>12-24</v>
      </c>
      <c r="B5131" s="3" t="s">
        <v>25</v>
      </c>
      <c r="C5131" s="12" t="s">
        <v>5154</v>
      </c>
      <c r="D5131" s="13">
        <v>64337.0</v>
      </c>
      <c r="E5131" s="4">
        <v>45818.0</v>
      </c>
      <c r="F5131" s="4" t="str">
        <f>IF(D5131="","", IFNA(VLOOKUP(D5131, SATCAT_DECAY!A:B, 2, FALSE), ""))
</f>
        <v/>
      </c>
      <c r="G5131" s="3" t="str">
        <f t="shared" si="1"/>
        <v>ACTIVE</v>
      </c>
    </row>
    <row r="5132" ht="22.5" customHeight="1">
      <c r="A5132" s="11" t="str">
        <f t="array" ref="A5132">IFERROR(
  INDEX('Starlink Launches'!$A:$A, MATCH($E5132, 'Starlink Launches'!$B:$B, 0)),
  ""
)
</f>
        <v>12-24</v>
      </c>
      <c r="B5132" s="3" t="s">
        <v>25</v>
      </c>
      <c r="C5132" s="12" t="s">
        <v>5155</v>
      </c>
      <c r="D5132" s="13">
        <v>64338.0</v>
      </c>
      <c r="E5132" s="4">
        <v>45818.0</v>
      </c>
      <c r="F5132" s="4" t="str">
        <f>IF(D5132="","", IFNA(VLOOKUP(D5132, SATCAT_DECAY!A:B, 2, FALSE), ""))
</f>
        <v/>
      </c>
      <c r="G5132" s="3" t="str">
        <f t="shared" si="1"/>
        <v>ACTIVE</v>
      </c>
    </row>
    <row r="5133" ht="22.5" customHeight="1">
      <c r="A5133" s="11" t="str">
        <f t="array" ref="A5133">IFERROR(
  INDEX('Starlink Launches'!$A:$A, MATCH($E5133, 'Starlink Launches'!$B:$B, 0)),
  ""
)
</f>
        <v>12-24</v>
      </c>
      <c r="B5133" s="3" t="s">
        <v>25</v>
      </c>
      <c r="C5133" s="12" t="s">
        <v>5156</v>
      </c>
      <c r="D5133" s="13">
        <v>64339.0</v>
      </c>
      <c r="E5133" s="4">
        <v>45818.0</v>
      </c>
      <c r="F5133" s="4" t="str">
        <f>IF(D5133="","", IFNA(VLOOKUP(D5133, SATCAT_DECAY!A:B, 2, FALSE), ""))
</f>
        <v/>
      </c>
      <c r="G5133" s="3" t="str">
        <f t="shared" si="1"/>
        <v>ACTIVE</v>
      </c>
    </row>
    <row r="5134" ht="22.5" customHeight="1">
      <c r="A5134" s="11" t="str">
        <f t="array" ref="A5134">IFERROR(
  INDEX('Starlink Launches'!$A:$A, MATCH($E5134, 'Starlink Launches'!$B:$B, 0)),
  ""
)
</f>
        <v>12-26</v>
      </c>
      <c r="B5134" s="3" t="s">
        <v>25</v>
      </c>
      <c r="C5134" s="12" t="s">
        <v>5157</v>
      </c>
      <c r="D5134" s="13">
        <v>64370.0</v>
      </c>
      <c r="E5134" s="4">
        <v>45821.0</v>
      </c>
      <c r="F5134" s="4" t="str">
        <f>IF(D5134="","", IFNA(VLOOKUP(D5134, SATCAT_DECAY!A:B, 2, FALSE), ""))
</f>
        <v/>
      </c>
      <c r="G5134" s="3" t="str">
        <f t="shared" si="1"/>
        <v>ACTIVE</v>
      </c>
    </row>
    <row r="5135" ht="22.5" customHeight="1">
      <c r="A5135" s="11" t="str">
        <f t="array" ref="A5135">IFERROR(
  INDEX('Starlink Launches'!$A:$A, MATCH($E5135, 'Starlink Launches'!$B:$B, 0)),
  ""
)
</f>
        <v>12-26</v>
      </c>
      <c r="B5135" s="3" t="s">
        <v>25</v>
      </c>
      <c r="C5135" s="12" t="s">
        <v>5158</v>
      </c>
      <c r="D5135" s="13">
        <v>64371.0</v>
      </c>
      <c r="E5135" s="4">
        <v>45821.0</v>
      </c>
      <c r="F5135" s="4" t="str">
        <f>IF(D5135="","", IFNA(VLOOKUP(D5135, SATCAT_DECAY!A:B, 2, FALSE), ""))
</f>
        <v/>
      </c>
      <c r="G5135" s="3" t="str">
        <f t="shared" si="1"/>
        <v>ACTIVE</v>
      </c>
    </row>
    <row r="5136" ht="22.5" customHeight="1">
      <c r="A5136" s="11" t="str">
        <f t="array" ref="A5136">IFERROR(
  INDEX('Starlink Launches'!$A:$A, MATCH($E5136, 'Starlink Launches'!$B:$B, 0)),
  ""
)
</f>
        <v>12-26</v>
      </c>
      <c r="B5136" s="3" t="s">
        <v>25</v>
      </c>
      <c r="C5136" s="12" t="s">
        <v>5159</v>
      </c>
      <c r="D5136" s="13">
        <v>64372.0</v>
      </c>
      <c r="E5136" s="4">
        <v>45821.0</v>
      </c>
      <c r="F5136" s="4" t="str">
        <f>IF(D5136="","", IFNA(VLOOKUP(D5136, SATCAT_DECAY!A:B, 2, FALSE), ""))
</f>
        <v/>
      </c>
      <c r="G5136" s="3" t="str">
        <f t="shared" si="1"/>
        <v>ACTIVE</v>
      </c>
    </row>
    <row r="5137" ht="22.5" customHeight="1">
      <c r="A5137" s="11" t="str">
        <f t="array" ref="A5137">IFERROR(
  INDEX('Starlink Launches'!$A:$A, MATCH($E5137, 'Starlink Launches'!$B:$B, 0)),
  ""
)
</f>
        <v>12-26</v>
      </c>
      <c r="B5137" s="3" t="s">
        <v>25</v>
      </c>
      <c r="C5137" s="12" t="s">
        <v>5160</v>
      </c>
      <c r="D5137" s="13">
        <v>64373.0</v>
      </c>
      <c r="E5137" s="4">
        <v>45821.0</v>
      </c>
      <c r="F5137" s="4" t="str">
        <f>IF(D5137="","", IFNA(VLOOKUP(D5137, SATCAT_DECAY!A:B, 2, FALSE), ""))
</f>
        <v/>
      </c>
      <c r="G5137" s="3" t="str">
        <f t="shared" si="1"/>
        <v>ACTIVE</v>
      </c>
    </row>
    <row r="5138" ht="22.5" customHeight="1">
      <c r="A5138" s="11" t="str">
        <f t="array" ref="A5138">IFERROR(
  INDEX('Starlink Launches'!$A:$A, MATCH($E5138, 'Starlink Launches'!$B:$B, 0)),
  ""
)
</f>
        <v>12-26</v>
      </c>
      <c r="B5138" s="3" t="s">
        <v>25</v>
      </c>
      <c r="C5138" s="12" t="s">
        <v>5161</v>
      </c>
      <c r="D5138" s="13">
        <v>64374.0</v>
      </c>
      <c r="E5138" s="4">
        <v>45821.0</v>
      </c>
      <c r="F5138" s="4" t="str">
        <f>IF(D5138="","", IFNA(VLOOKUP(D5138, SATCAT_DECAY!A:B, 2, FALSE), ""))
</f>
        <v/>
      </c>
      <c r="G5138" s="3" t="str">
        <f t="shared" si="1"/>
        <v>ACTIVE</v>
      </c>
    </row>
    <row r="5139" ht="22.5" customHeight="1">
      <c r="A5139" s="11" t="str">
        <f t="array" ref="A5139">IFERROR(
  INDEX('Starlink Launches'!$A:$A, MATCH($E5139, 'Starlink Launches'!$B:$B, 0)),
  ""
)
</f>
        <v>12-26</v>
      </c>
      <c r="B5139" s="3" t="s">
        <v>25</v>
      </c>
      <c r="C5139" s="12" t="s">
        <v>5162</v>
      </c>
      <c r="D5139" s="13">
        <v>64375.0</v>
      </c>
      <c r="E5139" s="4">
        <v>45821.0</v>
      </c>
      <c r="F5139" s="4" t="str">
        <f>IF(D5139="","", IFNA(VLOOKUP(D5139, SATCAT_DECAY!A:B, 2, FALSE), ""))
</f>
        <v/>
      </c>
      <c r="G5139" s="3" t="str">
        <f t="shared" si="1"/>
        <v>ACTIVE</v>
      </c>
    </row>
    <row r="5140" ht="22.5" customHeight="1">
      <c r="A5140" s="11" t="str">
        <f t="array" ref="A5140">IFERROR(
  INDEX('Starlink Launches'!$A:$A, MATCH($E5140, 'Starlink Launches'!$B:$B, 0)),
  ""
)
</f>
        <v>12-26</v>
      </c>
      <c r="B5140" s="3" t="s">
        <v>25</v>
      </c>
      <c r="C5140" s="12" t="s">
        <v>5163</v>
      </c>
      <c r="D5140" s="13">
        <v>64376.0</v>
      </c>
      <c r="E5140" s="4">
        <v>45821.0</v>
      </c>
      <c r="F5140" s="4" t="str">
        <f>IF(D5140="","", IFNA(VLOOKUP(D5140, SATCAT_DECAY!A:B, 2, FALSE), ""))
</f>
        <v/>
      </c>
      <c r="G5140" s="3" t="str">
        <f t="shared" si="1"/>
        <v>ACTIVE</v>
      </c>
    </row>
    <row r="5141" ht="22.5" customHeight="1">
      <c r="A5141" s="11" t="str">
        <f t="array" ref="A5141">IFERROR(
  INDEX('Starlink Launches'!$A:$A, MATCH($E5141, 'Starlink Launches'!$B:$B, 0)),
  ""
)
</f>
        <v>12-26</v>
      </c>
      <c r="B5141" s="3" t="s">
        <v>25</v>
      </c>
      <c r="C5141" s="12" t="s">
        <v>5164</v>
      </c>
      <c r="D5141" s="13">
        <v>64377.0</v>
      </c>
      <c r="E5141" s="4">
        <v>45821.0</v>
      </c>
      <c r="F5141" s="4" t="str">
        <f>IF(D5141="","", IFNA(VLOOKUP(D5141, SATCAT_DECAY!A:B, 2, FALSE), ""))
</f>
        <v/>
      </c>
      <c r="G5141" s="3" t="str">
        <f t="shared" si="1"/>
        <v>ACTIVE</v>
      </c>
    </row>
    <row r="5142" ht="22.5" customHeight="1">
      <c r="A5142" s="11" t="str">
        <f t="array" ref="A5142">IFERROR(
  INDEX('Starlink Launches'!$A:$A, MATCH($E5142, 'Starlink Launches'!$B:$B, 0)),
  ""
)
</f>
        <v>12-26</v>
      </c>
      <c r="B5142" s="3" t="s">
        <v>25</v>
      </c>
      <c r="C5142" s="12" t="s">
        <v>5165</v>
      </c>
      <c r="D5142" s="13">
        <v>64378.0</v>
      </c>
      <c r="E5142" s="4">
        <v>45821.0</v>
      </c>
      <c r="F5142" s="4" t="str">
        <f>IF(D5142="","", IFNA(VLOOKUP(D5142, SATCAT_DECAY!A:B, 2, FALSE), ""))
</f>
        <v/>
      </c>
      <c r="G5142" s="3" t="str">
        <f t="shared" si="1"/>
        <v>ACTIVE</v>
      </c>
    </row>
    <row r="5143" ht="22.5" customHeight="1">
      <c r="A5143" s="11" t="str">
        <f t="array" ref="A5143">IFERROR(
  INDEX('Starlink Launches'!$A:$A, MATCH($E5143, 'Starlink Launches'!$B:$B, 0)),
  ""
)
</f>
        <v>12-26</v>
      </c>
      <c r="B5143" s="3" t="s">
        <v>25</v>
      </c>
      <c r="C5143" s="12" t="s">
        <v>5166</v>
      </c>
      <c r="D5143" s="13">
        <v>64379.0</v>
      </c>
      <c r="E5143" s="4">
        <v>45821.0</v>
      </c>
      <c r="F5143" s="4" t="str">
        <f>IF(D5143="","", IFNA(VLOOKUP(D5143, SATCAT_DECAY!A:B, 2, FALSE), ""))
</f>
        <v/>
      </c>
      <c r="G5143" s="3" t="str">
        <f t="shared" si="1"/>
        <v>ACTIVE</v>
      </c>
    </row>
    <row r="5144" ht="22.5" customHeight="1">
      <c r="A5144" s="11" t="str">
        <f t="array" ref="A5144">IFERROR(
  INDEX('Starlink Launches'!$A:$A, MATCH($E5144, 'Starlink Launches'!$B:$B, 0)),
  ""
)
</f>
        <v>12-26</v>
      </c>
      <c r="B5144" s="3" t="s">
        <v>25</v>
      </c>
      <c r="C5144" s="12" t="s">
        <v>5167</v>
      </c>
      <c r="D5144" s="13">
        <v>64380.0</v>
      </c>
      <c r="E5144" s="4">
        <v>45821.0</v>
      </c>
      <c r="F5144" s="4" t="str">
        <f>IF(D5144="","", IFNA(VLOOKUP(D5144, SATCAT_DECAY!A:B, 2, FALSE), ""))
</f>
        <v/>
      </c>
      <c r="G5144" s="3" t="str">
        <f t="shared" si="1"/>
        <v>ACTIVE</v>
      </c>
    </row>
    <row r="5145" ht="22.5" customHeight="1">
      <c r="A5145" s="11" t="str">
        <f t="array" ref="A5145">IFERROR(
  INDEX('Starlink Launches'!$A:$A, MATCH($E5145, 'Starlink Launches'!$B:$B, 0)),
  ""
)
</f>
        <v>12-26</v>
      </c>
      <c r="B5145" s="3" t="s">
        <v>25</v>
      </c>
      <c r="C5145" s="12" t="s">
        <v>5168</v>
      </c>
      <c r="D5145" s="13">
        <v>64381.0</v>
      </c>
      <c r="E5145" s="4">
        <v>45821.0</v>
      </c>
      <c r="F5145" s="4" t="str">
        <f>IF(D5145="","", IFNA(VLOOKUP(D5145, SATCAT_DECAY!A:B, 2, FALSE), ""))
</f>
        <v/>
      </c>
      <c r="G5145" s="3" t="str">
        <f t="shared" si="1"/>
        <v>ACTIVE</v>
      </c>
    </row>
    <row r="5146" ht="22.5" customHeight="1">
      <c r="A5146" s="11" t="str">
        <f t="array" ref="A5146">IFERROR(
  INDEX('Starlink Launches'!$A:$A, MATCH($E5146, 'Starlink Launches'!$B:$B, 0)),
  ""
)
</f>
        <v>12-26</v>
      </c>
      <c r="B5146" s="3" t="s">
        <v>25</v>
      </c>
      <c r="C5146" s="12" t="s">
        <v>5169</v>
      </c>
      <c r="D5146" s="13">
        <v>64382.0</v>
      </c>
      <c r="E5146" s="4">
        <v>45821.0</v>
      </c>
      <c r="F5146" s="4" t="str">
        <f>IF(D5146="","", IFNA(VLOOKUP(D5146, SATCAT_DECAY!A:B, 2, FALSE), ""))
</f>
        <v/>
      </c>
      <c r="G5146" s="3" t="str">
        <f t="shared" si="1"/>
        <v>ACTIVE</v>
      </c>
    </row>
    <row r="5147" ht="22.5" customHeight="1">
      <c r="A5147" s="11" t="str">
        <f t="array" ref="A5147">IFERROR(
  INDEX('Starlink Launches'!$A:$A, MATCH($E5147, 'Starlink Launches'!$B:$B, 0)),
  ""
)
</f>
        <v>12-26</v>
      </c>
      <c r="B5147" s="3" t="s">
        <v>25</v>
      </c>
      <c r="C5147" s="12" t="s">
        <v>5170</v>
      </c>
      <c r="D5147" s="13">
        <v>64383.0</v>
      </c>
      <c r="E5147" s="4">
        <v>45821.0</v>
      </c>
      <c r="F5147" s="4" t="str">
        <f>IF(D5147="","", IFNA(VLOOKUP(D5147, SATCAT_DECAY!A:B, 2, FALSE), ""))
</f>
        <v/>
      </c>
      <c r="G5147" s="3" t="str">
        <f t="shared" si="1"/>
        <v>ACTIVE</v>
      </c>
    </row>
    <row r="5148" ht="22.5" customHeight="1">
      <c r="A5148" s="11" t="str">
        <f t="array" ref="A5148">IFERROR(
  INDEX('Starlink Launches'!$A:$A, MATCH($E5148, 'Starlink Launches'!$B:$B, 0)),
  ""
)
</f>
        <v>12-26</v>
      </c>
      <c r="B5148" s="3" t="s">
        <v>25</v>
      </c>
      <c r="C5148" s="12" t="s">
        <v>5171</v>
      </c>
      <c r="D5148" s="13">
        <v>64384.0</v>
      </c>
      <c r="E5148" s="4">
        <v>45821.0</v>
      </c>
      <c r="F5148" s="4" t="str">
        <f>IF(D5148="","", IFNA(VLOOKUP(D5148, SATCAT_DECAY!A:B, 2, FALSE), ""))
</f>
        <v/>
      </c>
      <c r="G5148" s="3" t="str">
        <f t="shared" si="1"/>
        <v>ACTIVE</v>
      </c>
    </row>
    <row r="5149" ht="22.5" customHeight="1">
      <c r="A5149" s="11" t="str">
        <f t="array" ref="A5149">IFERROR(
  INDEX('Starlink Launches'!$A:$A, MATCH($E5149, 'Starlink Launches'!$B:$B, 0)),
  ""
)
</f>
        <v>12-26</v>
      </c>
      <c r="B5149" s="3" t="s">
        <v>25</v>
      </c>
      <c r="C5149" s="12" t="s">
        <v>5172</v>
      </c>
      <c r="D5149" s="13">
        <v>64385.0</v>
      </c>
      <c r="E5149" s="4">
        <v>45821.0</v>
      </c>
      <c r="F5149" s="4" t="str">
        <f>IF(D5149="","", IFNA(VLOOKUP(D5149, SATCAT_DECAY!A:B, 2, FALSE), ""))
</f>
        <v/>
      </c>
      <c r="G5149" s="3" t="str">
        <f t="shared" si="1"/>
        <v>ACTIVE</v>
      </c>
    </row>
    <row r="5150" ht="22.5" customHeight="1">
      <c r="A5150" s="11" t="str">
        <f t="array" ref="A5150">IFERROR(
  INDEX('Starlink Launches'!$A:$A, MATCH($E5150, 'Starlink Launches'!$B:$B, 0)),
  ""
)
</f>
        <v>12-26</v>
      </c>
      <c r="B5150" s="3" t="s">
        <v>25</v>
      </c>
      <c r="C5150" s="12" t="s">
        <v>5173</v>
      </c>
      <c r="D5150" s="13">
        <v>64386.0</v>
      </c>
      <c r="E5150" s="4">
        <v>45821.0</v>
      </c>
      <c r="F5150" s="4" t="str">
        <f>IF(D5150="","", IFNA(VLOOKUP(D5150, SATCAT_DECAY!A:B, 2, FALSE), ""))
</f>
        <v/>
      </c>
      <c r="G5150" s="3" t="str">
        <f t="shared" si="1"/>
        <v>ACTIVE</v>
      </c>
    </row>
    <row r="5151" ht="22.5" customHeight="1">
      <c r="A5151" s="11" t="str">
        <f t="array" ref="A5151">IFERROR(
  INDEX('Starlink Launches'!$A:$A, MATCH($E5151, 'Starlink Launches'!$B:$B, 0)),
  ""
)
</f>
        <v>12-26</v>
      </c>
      <c r="B5151" s="3" t="s">
        <v>25</v>
      </c>
      <c r="C5151" s="12" t="s">
        <v>5174</v>
      </c>
      <c r="D5151" s="13">
        <v>64387.0</v>
      </c>
      <c r="E5151" s="4">
        <v>45821.0</v>
      </c>
      <c r="F5151" s="4" t="str">
        <f>IF(D5151="","", IFNA(VLOOKUP(D5151, SATCAT_DECAY!A:B, 2, FALSE), ""))
</f>
        <v/>
      </c>
      <c r="G5151" s="3" t="str">
        <f t="shared" si="1"/>
        <v>ACTIVE</v>
      </c>
    </row>
    <row r="5152" ht="22.5" customHeight="1">
      <c r="A5152" s="11" t="str">
        <f t="array" ref="A5152">IFERROR(
  INDEX('Starlink Launches'!$A:$A, MATCH($E5152, 'Starlink Launches'!$B:$B, 0)),
  ""
)
</f>
        <v>12-26</v>
      </c>
      <c r="B5152" s="3" t="s">
        <v>25</v>
      </c>
      <c r="C5152" s="12" t="s">
        <v>5175</v>
      </c>
      <c r="D5152" s="13">
        <v>64388.0</v>
      </c>
      <c r="E5152" s="4">
        <v>45821.0</v>
      </c>
      <c r="F5152" s="4" t="str">
        <f>IF(D5152="","", IFNA(VLOOKUP(D5152, SATCAT_DECAY!A:B, 2, FALSE), ""))
</f>
        <v/>
      </c>
      <c r="G5152" s="3" t="str">
        <f t="shared" si="1"/>
        <v>ACTIVE</v>
      </c>
    </row>
    <row r="5153" ht="22.5" customHeight="1">
      <c r="A5153" s="11" t="str">
        <f t="array" ref="A5153">IFERROR(
  INDEX('Starlink Launches'!$A:$A, MATCH($E5153, 'Starlink Launches'!$B:$B, 0)),
  ""
)
</f>
        <v>12-26</v>
      </c>
      <c r="B5153" s="3" t="s">
        <v>25</v>
      </c>
      <c r="C5153" s="12" t="s">
        <v>5176</v>
      </c>
      <c r="D5153" s="13">
        <v>64389.0</v>
      </c>
      <c r="E5153" s="4">
        <v>45821.0</v>
      </c>
      <c r="F5153" s="4" t="str">
        <f>IF(D5153="","", IFNA(VLOOKUP(D5153, SATCAT_DECAY!A:B, 2, FALSE), ""))
</f>
        <v/>
      </c>
      <c r="G5153" s="3" t="str">
        <f t="shared" si="1"/>
        <v>ACTIVE</v>
      </c>
    </row>
    <row r="5154" ht="22.5" customHeight="1">
      <c r="A5154" s="11" t="str">
        <f t="array" ref="A5154">IFERROR(
  INDEX('Starlink Launches'!$A:$A, MATCH($E5154, 'Starlink Launches'!$B:$B, 0)),
  ""
)
</f>
        <v>12-26</v>
      </c>
      <c r="B5154" s="3" t="s">
        <v>25</v>
      </c>
      <c r="C5154" s="12" t="s">
        <v>5177</v>
      </c>
      <c r="D5154" s="13">
        <v>64390.0</v>
      </c>
      <c r="E5154" s="4">
        <v>45821.0</v>
      </c>
      <c r="F5154" s="4" t="str">
        <f>IF(D5154="","", IFNA(VLOOKUP(D5154, SATCAT_DECAY!A:B, 2, FALSE), ""))
</f>
        <v/>
      </c>
      <c r="G5154" s="3" t="str">
        <f t="shared" si="1"/>
        <v>ACTIVE</v>
      </c>
    </row>
    <row r="5155" ht="22.5" customHeight="1">
      <c r="A5155" s="11" t="str">
        <f t="array" ref="A5155">IFERROR(
  INDEX('Starlink Launches'!$A:$A, MATCH($E5155, 'Starlink Launches'!$B:$B, 0)),
  ""
)
</f>
        <v>12-26</v>
      </c>
      <c r="B5155" s="3" t="s">
        <v>25</v>
      </c>
      <c r="C5155" s="12" t="s">
        <v>5178</v>
      </c>
      <c r="D5155" s="13">
        <v>64391.0</v>
      </c>
      <c r="E5155" s="4">
        <v>45821.0</v>
      </c>
      <c r="F5155" s="4" t="str">
        <f>IF(D5155="","", IFNA(VLOOKUP(D5155, SATCAT_DECAY!A:B, 2, FALSE), ""))
</f>
        <v/>
      </c>
      <c r="G5155" s="3" t="str">
        <f t="shared" si="1"/>
        <v>ACTIVE</v>
      </c>
    </row>
    <row r="5156" ht="22.5" customHeight="1">
      <c r="A5156" s="17" t="str">
        <f t="array" ref="A5156">IFERROR(
  INDEX('Starlink Launches'!$A:$A, MATCH($E5156, 'Starlink Launches'!$B:$B, 0)),
  ""
)
</f>
        <v>12-26</v>
      </c>
      <c r="B5156" s="9" t="s">
        <v>25</v>
      </c>
      <c r="C5156" s="18" t="s">
        <v>5179</v>
      </c>
      <c r="D5156" s="19">
        <v>64392.0</v>
      </c>
      <c r="E5156" s="10">
        <v>45821.0</v>
      </c>
      <c r="F5156" s="4" t="str">
        <f>IF(D5156="","", IFNA(VLOOKUP(D5156, SATCAT_DECAY!A:B, 2, FALSE), ""))
</f>
        <v/>
      </c>
      <c r="G5156" s="9" t="str">
        <f t="shared" si="1"/>
        <v>ACTIVE</v>
      </c>
    </row>
    <row r="5157" ht="22.5" customHeight="1">
      <c r="A5157" s="3" t="s">
        <v>5180</v>
      </c>
      <c r="B5157" s="3" t="s">
        <v>25</v>
      </c>
      <c r="C5157" s="12" t="s">
        <v>5181</v>
      </c>
      <c r="D5157" s="13">
        <v>62735.0</v>
      </c>
      <c r="E5157" s="4">
        <v>45678.0</v>
      </c>
      <c r="F5157" s="4" t="str">
        <f>IF(D5157="","", IFNA(VLOOKUP(D5157, SATCAT_DECAY!A:B, 2, FALSE), ""))
</f>
        <v/>
      </c>
      <c r="G5157" s="3" t="str">
        <f t="shared" si="1"/>
        <v>ACTIVE</v>
      </c>
    </row>
    <row r="5158" ht="22.5" customHeight="1">
      <c r="A5158" s="3" t="s">
        <v>5180</v>
      </c>
      <c r="B5158" s="3" t="s">
        <v>25</v>
      </c>
      <c r="C5158" s="12" t="s">
        <v>5182</v>
      </c>
      <c r="D5158" s="13">
        <v>62736.0</v>
      </c>
      <c r="E5158" s="4">
        <v>45678.0</v>
      </c>
      <c r="F5158" s="4" t="str">
        <f>IF(D5158="","", IFNA(VLOOKUP(D5158, SATCAT_DECAY!A:B, 2, FALSE), ""))
</f>
        <v/>
      </c>
      <c r="G5158" s="3" t="str">
        <f t="shared" si="1"/>
        <v>ACTIVE</v>
      </c>
    </row>
    <row r="5159" ht="22.5" customHeight="1">
      <c r="A5159" s="3" t="s">
        <v>5180</v>
      </c>
      <c r="B5159" s="3" t="s">
        <v>25</v>
      </c>
      <c r="C5159" s="12" t="s">
        <v>5183</v>
      </c>
      <c r="D5159" s="13">
        <v>62737.0</v>
      </c>
      <c r="E5159" s="4">
        <v>45678.0</v>
      </c>
      <c r="F5159" s="4" t="str">
        <f>IF(D5159="","", IFNA(VLOOKUP(D5159, SATCAT_DECAY!A:B, 2, FALSE), ""))
</f>
        <v/>
      </c>
      <c r="G5159" s="3" t="str">
        <f t="shared" si="1"/>
        <v>ACTIVE</v>
      </c>
    </row>
    <row r="5160" ht="22.5" customHeight="1">
      <c r="A5160" s="3" t="s">
        <v>5180</v>
      </c>
      <c r="B5160" s="3" t="s">
        <v>25</v>
      </c>
      <c r="C5160" s="12" t="s">
        <v>5184</v>
      </c>
      <c r="D5160" s="13">
        <v>62738.0</v>
      </c>
      <c r="E5160" s="4">
        <v>45678.0</v>
      </c>
      <c r="F5160" s="4" t="str">
        <f>IF(D5160="","", IFNA(VLOOKUP(D5160, SATCAT_DECAY!A:B, 2, FALSE), ""))
</f>
        <v/>
      </c>
      <c r="G5160" s="3" t="str">
        <f t="shared" si="1"/>
        <v>ACTIVE</v>
      </c>
    </row>
    <row r="5161" ht="22.5" customHeight="1">
      <c r="A5161" s="3" t="s">
        <v>5180</v>
      </c>
      <c r="B5161" s="3" t="s">
        <v>25</v>
      </c>
      <c r="C5161" s="12" t="s">
        <v>5185</v>
      </c>
      <c r="D5161" s="13">
        <v>62739.0</v>
      </c>
      <c r="E5161" s="4">
        <v>45678.0</v>
      </c>
      <c r="F5161" s="4" t="str">
        <f>IF(D5161="","", IFNA(VLOOKUP(D5161, SATCAT_DECAY!A:B, 2, FALSE), ""))
</f>
        <v/>
      </c>
      <c r="G5161" s="3" t="str">
        <f t="shared" si="1"/>
        <v>ACTIVE</v>
      </c>
    </row>
    <row r="5162" ht="22.5" customHeight="1">
      <c r="A5162" s="3" t="s">
        <v>5180</v>
      </c>
      <c r="B5162" s="3" t="s">
        <v>25</v>
      </c>
      <c r="C5162" s="12" t="s">
        <v>5186</v>
      </c>
      <c r="D5162" s="13">
        <v>62740.0</v>
      </c>
      <c r="E5162" s="4">
        <v>45678.0</v>
      </c>
      <c r="F5162" s="4" t="str">
        <f>IF(D5162="","", IFNA(VLOOKUP(D5162, SATCAT_DECAY!A:B, 2, FALSE), ""))
</f>
        <v/>
      </c>
      <c r="G5162" s="3" t="str">
        <f t="shared" si="1"/>
        <v>ACTIVE</v>
      </c>
    </row>
    <row r="5163" ht="22.5" customHeight="1">
      <c r="A5163" s="3" t="s">
        <v>5180</v>
      </c>
      <c r="B5163" s="3" t="s">
        <v>25</v>
      </c>
      <c r="C5163" s="12" t="s">
        <v>5187</v>
      </c>
      <c r="D5163" s="13">
        <v>62741.0</v>
      </c>
      <c r="E5163" s="4">
        <v>45678.0</v>
      </c>
      <c r="F5163" s="4" t="str">
        <f>IF(D5163="","", IFNA(VLOOKUP(D5163, SATCAT_DECAY!A:B, 2, FALSE), ""))
</f>
        <v/>
      </c>
      <c r="G5163" s="3" t="str">
        <f t="shared" si="1"/>
        <v>ACTIVE</v>
      </c>
    </row>
    <row r="5164" ht="22.5" customHeight="1">
      <c r="A5164" s="3" t="s">
        <v>5180</v>
      </c>
      <c r="B5164" s="3" t="s">
        <v>25</v>
      </c>
      <c r="C5164" s="12" t="s">
        <v>5188</v>
      </c>
      <c r="D5164" s="13">
        <v>62742.0</v>
      </c>
      <c r="E5164" s="4">
        <v>45678.0</v>
      </c>
      <c r="F5164" s="4" t="str">
        <f>IF(D5164="","", IFNA(VLOOKUP(D5164, SATCAT_DECAY!A:B, 2, FALSE), ""))
</f>
        <v/>
      </c>
      <c r="G5164" s="3" t="str">
        <f t="shared" si="1"/>
        <v>ACTIVE</v>
      </c>
    </row>
    <row r="5165" ht="22.5" customHeight="1">
      <c r="A5165" s="3" t="s">
        <v>5180</v>
      </c>
      <c r="B5165" s="3" t="s">
        <v>25</v>
      </c>
      <c r="C5165" s="12" t="s">
        <v>5189</v>
      </c>
      <c r="D5165" s="13">
        <v>62743.0</v>
      </c>
      <c r="E5165" s="4">
        <v>45678.0</v>
      </c>
      <c r="F5165" s="4" t="str">
        <f>IF(D5165="","", IFNA(VLOOKUP(D5165, SATCAT_DECAY!A:B, 2, FALSE), ""))
</f>
        <v/>
      </c>
      <c r="G5165" s="3" t="str">
        <f t="shared" si="1"/>
        <v>ACTIVE</v>
      </c>
    </row>
    <row r="5166" ht="22.5" customHeight="1">
      <c r="A5166" s="3" t="s">
        <v>5180</v>
      </c>
      <c r="B5166" s="3" t="s">
        <v>25</v>
      </c>
      <c r="C5166" s="12" t="s">
        <v>5190</v>
      </c>
      <c r="D5166" s="13">
        <v>62744.0</v>
      </c>
      <c r="E5166" s="4">
        <v>45678.0</v>
      </c>
      <c r="F5166" s="4" t="str">
        <f>IF(D5166="","", IFNA(VLOOKUP(D5166, SATCAT_DECAY!A:B, 2, FALSE), ""))
</f>
        <v/>
      </c>
      <c r="G5166" s="3" t="str">
        <f t="shared" si="1"/>
        <v>ACTIVE</v>
      </c>
    </row>
    <row r="5167" ht="22.5" customHeight="1">
      <c r="A5167" s="3" t="s">
        <v>5180</v>
      </c>
      <c r="B5167" s="3" t="s">
        <v>25</v>
      </c>
      <c r="C5167" s="12" t="s">
        <v>5191</v>
      </c>
      <c r="D5167" s="13">
        <v>62745.0</v>
      </c>
      <c r="E5167" s="4">
        <v>45678.0</v>
      </c>
      <c r="F5167" s="4" t="str">
        <f>IF(D5167="","", IFNA(VLOOKUP(D5167, SATCAT_DECAY!A:B, 2, FALSE), ""))
</f>
        <v/>
      </c>
      <c r="G5167" s="3" t="str">
        <f t="shared" si="1"/>
        <v>ACTIVE</v>
      </c>
    </row>
    <row r="5168" ht="22.5" customHeight="1">
      <c r="A5168" s="3" t="s">
        <v>5180</v>
      </c>
      <c r="B5168" s="3" t="s">
        <v>25</v>
      </c>
      <c r="C5168" s="12" t="s">
        <v>5192</v>
      </c>
      <c r="D5168" s="13">
        <v>62746.0</v>
      </c>
      <c r="E5168" s="4">
        <v>45678.0</v>
      </c>
      <c r="F5168" s="4" t="str">
        <f>IF(D5168="","", IFNA(VLOOKUP(D5168, SATCAT_DECAY!A:B, 2, FALSE), ""))
</f>
        <v/>
      </c>
      <c r="G5168" s="3" t="str">
        <f t="shared" si="1"/>
        <v>ACTIVE</v>
      </c>
    </row>
    <row r="5169" ht="22.5" customHeight="1">
      <c r="A5169" s="3" t="s">
        <v>5180</v>
      </c>
      <c r="B5169" s="3" t="s">
        <v>25</v>
      </c>
      <c r="C5169" s="12" t="s">
        <v>5193</v>
      </c>
      <c r="D5169" s="13">
        <v>62747.0</v>
      </c>
      <c r="E5169" s="4">
        <v>45678.0</v>
      </c>
      <c r="F5169" s="4" t="str">
        <f>IF(D5169="","", IFNA(VLOOKUP(D5169, SATCAT_DECAY!A:B, 2, FALSE), ""))
</f>
        <v/>
      </c>
      <c r="G5169" s="3" t="str">
        <f t="shared" si="1"/>
        <v>ACTIVE</v>
      </c>
    </row>
    <row r="5170" ht="22.5" customHeight="1">
      <c r="A5170" s="3" t="s">
        <v>5180</v>
      </c>
      <c r="B5170" s="3" t="s">
        <v>25</v>
      </c>
      <c r="C5170" s="12" t="s">
        <v>5194</v>
      </c>
      <c r="D5170" s="13">
        <v>62748.0</v>
      </c>
      <c r="E5170" s="4">
        <v>45678.0</v>
      </c>
      <c r="F5170" s="4" t="str">
        <f>IF(D5170="","", IFNA(VLOOKUP(D5170, SATCAT_DECAY!A:B, 2, FALSE), ""))
</f>
        <v/>
      </c>
      <c r="G5170" s="3" t="str">
        <f t="shared" si="1"/>
        <v>ACTIVE</v>
      </c>
    </row>
    <row r="5171" ht="22.5" customHeight="1">
      <c r="A5171" s="3" t="s">
        <v>5180</v>
      </c>
      <c r="B5171" s="3" t="s">
        <v>25</v>
      </c>
      <c r="C5171" s="12" t="s">
        <v>5195</v>
      </c>
      <c r="D5171" s="13">
        <v>62749.0</v>
      </c>
      <c r="E5171" s="4">
        <v>45678.0</v>
      </c>
      <c r="F5171" s="4" t="str">
        <f>IF(D5171="","", IFNA(VLOOKUP(D5171, SATCAT_DECAY!A:B, 2, FALSE), ""))
</f>
        <v/>
      </c>
      <c r="G5171" s="3" t="str">
        <f t="shared" si="1"/>
        <v>ACTIVE</v>
      </c>
    </row>
    <row r="5172" ht="22.5" customHeight="1">
      <c r="A5172" s="3" t="s">
        <v>5180</v>
      </c>
      <c r="B5172" s="3" t="s">
        <v>25</v>
      </c>
      <c r="C5172" s="12" t="s">
        <v>5196</v>
      </c>
      <c r="D5172" s="13">
        <v>62750.0</v>
      </c>
      <c r="E5172" s="4">
        <v>45678.0</v>
      </c>
      <c r="F5172" s="4" t="str">
        <f>IF(D5172="","", IFNA(VLOOKUP(D5172, SATCAT_DECAY!A:B, 2, FALSE), ""))
</f>
        <v/>
      </c>
      <c r="G5172" s="3" t="str">
        <f t="shared" si="1"/>
        <v>ACTIVE</v>
      </c>
    </row>
    <row r="5173" ht="22.5" customHeight="1">
      <c r="A5173" s="3" t="s">
        <v>5180</v>
      </c>
      <c r="B5173" s="3" t="s">
        <v>25</v>
      </c>
      <c r="C5173" s="12" t="s">
        <v>5197</v>
      </c>
      <c r="D5173" s="13">
        <v>62751.0</v>
      </c>
      <c r="E5173" s="4">
        <v>45678.0</v>
      </c>
      <c r="F5173" s="4" t="str">
        <f>IF(D5173="","", IFNA(VLOOKUP(D5173, SATCAT_DECAY!A:B, 2, FALSE), ""))
</f>
        <v/>
      </c>
      <c r="G5173" s="3" t="str">
        <f t="shared" si="1"/>
        <v>ACTIVE</v>
      </c>
    </row>
    <row r="5174" ht="22.5" customHeight="1">
      <c r="A5174" s="3" t="s">
        <v>5180</v>
      </c>
      <c r="B5174" s="3" t="s">
        <v>25</v>
      </c>
      <c r="C5174" s="12" t="s">
        <v>5198</v>
      </c>
      <c r="D5174" s="13">
        <v>62752.0</v>
      </c>
      <c r="E5174" s="4">
        <v>45678.0</v>
      </c>
      <c r="F5174" s="4" t="str">
        <f>IF(D5174="","", IFNA(VLOOKUP(D5174, SATCAT_DECAY!A:B, 2, FALSE), ""))
</f>
        <v/>
      </c>
      <c r="G5174" s="3" t="str">
        <f t="shared" si="1"/>
        <v>ACTIVE</v>
      </c>
    </row>
    <row r="5175" ht="22.5" customHeight="1">
      <c r="A5175" s="3" t="s">
        <v>5180</v>
      </c>
      <c r="B5175" s="3" t="s">
        <v>25</v>
      </c>
      <c r="C5175" s="12" t="s">
        <v>5199</v>
      </c>
      <c r="D5175" s="13">
        <v>62753.0</v>
      </c>
      <c r="E5175" s="4">
        <v>45678.0</v>
      </c>
      <c r="F5175" s="4" t="str">
        <f>IF(D5175="","", IFNA(VLOOKUP(D5175, SATCAT_DECAY!A:B, 2, FALSE), ""))
</f>
        <v/>
      </c>
      <c r="G5175" s="3" t="str">
        <f t="shared" si="1"/>
        <v>ACTIVE</v>
      </c>
    </row>
    <row r="5176" ht="22.5" customHeight="1">
      <c r="A5176" s="3" t="s">
        <v>5180</v>
      </c>
      <c r="B5176" s="3" t="s">
        <v>25</v>
      </c>
      <c r="C5176" s="12" t="s">
        <v>5200</v>
      </c>
      <c r="D5176" s="13">
        <v>62754.0</v>
      </c>
      <c r="E5176" s="4">
        <v>45678.0</v>
      </c>
      <c r="F5176" s="4" t="str">
        <f>IF(D5176="","", IFNA(VLOOKUP(D5176, SATCAT_DECAY!A:B, 2, FALSE), ""))
</f>
        <v/>
      </c>
      <c r="G5176" s="3" t="str">
        <f t="shared" si="1"/>
        <v>ACTIVE</v>
      </c>
    </row>
    <row r="5177" ht="22.5" customHeight="1">
      <c r="A5177" s="9" t="s">
        <v>5180</v>
      </c>
      <c r="B5177" s="3" t="s">
        <v>25</v>
      </c>
      <c r="C5177" s="12" t="s">
        <v>5201</v>
      </c>
      <c r="D5177" s="13">
        <v>62755.0</v>
      </c>
      <c r="E5177" s="4">
        <v>45678.0</v>
      </c>
      <c r="F5177" s="4" t="str">
        <f>IF(D5177="","", IFNA(VLOOKUP(D5177, SATCAT_DECAY!A:B, 2, FALSE), ""))
</f>
        <v/>
      </c>
      <c r="G5177" s="3" t="str">
        <f t="shared" si="1"/>
        <v>ACTIVE</v>
      </c>
    </row>
    <row r="5178" ht="22.5" customHeight="1">
      <c r="A5178" s="11" t="str">
        <f t="array" ref="A5178">IFERROR(
  INDEX('Starlink Launches'!$A:$A, MATCH($E5178, 'Starlink Launches'!$B:$B, 0)),
  ""
)
</f>
        <v>15-1</v>
      </c>
      <c r="B5178" s="22" t="s">
        <v>25</v>
      </c>
      <c r="C5178" s="23" t="s">
        <v>5202</v>
      </c>
      <c r="D5178" s="24">
        <v>63077.0</v>
      </c>
      <c r="E5178" s="25">
        <v>45711.0</v>
      </c>
      <c r="F5178" s="25" t="str">
        <f>IF(D5178="","", IFNA(VLOOKUP(D5178, SATCAT_DECAY!A:B, 2, FALSE), ""))
</f>
        <v/>
      </c>
      <c r="G5178" s="22" t="str">
        <f t="shared" si="1"/>
        <v>ACTIVE</v>
      </c>
    </row>
    <row r="5179" ht="22.5" customHeight="1">
      <c r="A5179" s="11" t="str">
        <f t="array" ref="A5179">IFERROR(
  INDEX('Starlink Launches'!$A:$A, MATCH($E5179, 'Starlink Launches'!$B:$B, 0)),
  ""
)
</f>
        <v>15-1</v>
      </c>
      <c r="B5179" s="3" t="s">
        <v>25</v>
      </c>
      <c r="C5179" s="12" t="s">
        <v>5203</v>
      </c>
      <c r="D5179" s="13">
        <v>63078.0</v>
      </c>
      <c r="E5179" s="4">
        <v>45711.0</v>
      </c>
      <c r="F5179" s="4" t="str">
        <f>IF(D5179="","", IFNA(VLOOKUP(D5179, SATCAT_DECAY!A:B, 2, FALSE), ""))
</f>
        <v/>
      </c>
      <c r="G5179" s="3" t="str">
        <f t="shared" si="1"/>
        <v>ACTIVE</v>
      </c>
    </row>
    <row r="5180" ht="22.5" customHeight="1">
      <c r="A5180" s="11" t="str">
        <f t="array" ref="A5180">IFERROR(
  INDEX('Starlink Launches'!$A:$A, MATCH($E5180, 'Starlink Launches'!$B:$B, 0)),
  ""
)
</f>
        <v>15-1</v>
      </c>
      <c r="B5180" s="3" t="s">
        <v>25</v>
      </c>
      <c r="C5180" s="12" t="s">
        <v>5204</v>
      </c>
      <c r="D5180" s="13">
        <v>63079.0</v>
      </c>
      <c r="E5180" s="4">
        <v>45711.0</v>
      </c>
      <c r="F5180" s="4" t="str">
        <f>IF(D5180="","", IFNA(VLOOKUP(D5180, SATCAT_DECAY!A:B, 2, FALSE), ""))
</f>
        <v/>
      </c>
      <c r="G5180" s="3" t="str">
        <f t="shared" si="1"/>
        <v>ACTIVE</v>
      </c>
    </row>
    <row r="5181" ht="22.5" customHeight="1">
      <c r="A5181" s="11" t="str">
        <f t="array" ref="A5181">IFERROR(
  INDEX('Starlink Launches'!$A:$A, MATCH($E5181, 'Starlink Launches'!$B:$B, 0)),
  ""
)
</f>
        <v>15-1</v>
      </c>
      <c r="B5181" s="3" t="s">
        <v>25</v>
      </c>
      <c r="C5181" s="12" t="s">
        <v>5205</v>
      </c>
      <c r="D5181" s="13">
        <v>63080.0</v>
      </c>
      <c r="E5181" s="4">
        <v>45711.0</v>
      </c>
      <c r="F5181" s="4" t="str">
        <f>IF(D5181="","", IFNA(VLOOKUP(D5181, SATCAT_DECAY!A:B, 2, FALSE), ""))
</f>
        <v/>
      </c>
      <c r="G5181" s="3" t="str">
        <f t="shared" si="1"/>
        <v>ACTIVE</v>
      </c>
    </row>
    <row r="5182" ht="22.5" customHeight="1">
      <c r="A5182" s="11" t="str">
        <f t="array" ref="A5182">IFERROR(
  INDEX('Starlink Launches'!$A:$A, MATCH($E5182, 'Starlink Launches'!$B:$B, 0)),
  ""
)
</f>
        <v>15-1</v>
      </c>
      <c r="B5182" s="3" t="s">
        <v>25</v>
      </c>
      <c r="C5182" s="12" t="s">
        <v>5206</v>
      </c>
      <c r="D5182" s="13">
        <v>63081.0</v>
      </c>
      <c r="E5182" s="4">
        <v>45711.0</v>
      </c>
      <c r="F5182" s="4" t="str">
        <f>IF(D5182="","", IFNA(VLOOKUP(D5182, SATCAT_DECAY!A:B, 2, FALSE), ""))
</f>
        <v/>
      </c>
      <c r="G5182" s="3" t="str">
        <f t="shared" si="1"/>
        <v>ACTIVE</v>
      </c>
    </row>
    <row r="5183" ht="22.5" customHeight="1">
      <c r="A5183" s="11" t="str">
        <f t="array" ref="A5183">IFERROR(
  INDEX('Starlink Launches'!$A:$A, MATCH($E5183, 'Starlink Launches'!$B:$B, 0)),
  ""
)
</f>
        <v>15-1</v>
      </c>
      <c r="B5183" s="3" t="s">
        <v>25</v>
      </c>
      <c r="C5183" s="12" t="s">
        <v>5207</v>
      </c>
      <c r="D5183" s="13">
        <v>63082.0</v>
      </c>
      <c r="E5183" s="4">
        <v>45711.0</v>
      </c>
      <c r="F5183" s="4" t="str">
        <f>IF(D5183="","", IFNA(VLOOKUP(D5183, SATCAT_DECAY!A:B, 2, FALSE), ""))
</f>
        <v/>
      </c>
      <c r="G5183" s="3" t="str">
        <f t="shared" si="1"/>
        <v>ACTIVE</v>
      </c>
    </row>
    <row r="5184" ht="22.5" customHeight="1">
      <c r="A5184" s="11" t="str">
        <f t="array" ref="A5184">IFERROR(
  INDEX('Starlink Launches'!$A:$A, MATCH($E5184, 'Starlink Launches'!$B:$B, 0)),
  ""
)
</f>
        <v>15-1</v>
      </c>
      <c r="B5184" s="3" t="s">
        <v>25</v>
      </c>
      <c r="C5184" s="12" t="s">
        <v>5208</v>
      </c>
      <c r="D5184" s="13">
        <v>63083.0</v>
      </c>
      <c r="E5184" s="4">
        <v>45711.0</v>
      </c>
      <c r="F5184" s="4" t="str">
        <f>IF(D5184="","", IFNA(VLOOKUP(D5184, SATCAT_DECAY!A:B, 2, FALSE), ""))
</f>
        <v/>
      </c>
      <c r="G5184" s="3" t="str">
        <f t="shared" si="1"/>
        <v>ACTIVE</v>
      </c>
    </row>
    <row r="5185" ht="22.5" customHeight="1">
      <c r="A5185" s="11" t="str">
        <f t="array" ref="A5185">IFERROR(
  INDEX('Starlink Launches'!$A:$A, MATCH($E5185, 'Starlink Launches'!$B:$B, 0)),
  ""
)
</f>
        <v>15-1</v>
      </c>
      <c r="B5185" s="3" t="s">
        <v>25</v>
      </c>
      <c r="C5185" s="12" t="s">
        <v>5209</v>
      </c>
      <c r="D5185" s="13">
        <v>63084.0</v>
      </c>
      <c r="E5185" s="4">
        <v>45711.0</v>
      </c>
      <c r="F5185" s="4" t="str">
        <f>IF(D5185="","", IFNA(VLOOKUP(D5185, SATCAT_DECAY!A:B, 2, FALSE), ""))
</f>
        <v/>
      </c>
      <c r="G5185" s="3" t="str">
        <f t="shared" si="1"/>
        <v>ACTIVE</v>
      </c>
    </row>
    <row r="5186" ht="22.5" customHeight="1">
      <c r="A5186" s="11" t="str">
        <f t="array" ref="A5186">IFERROR(
  INDEX('Starlink Launches'!$A:$A, MATCH($E5186, 'Starlink Launches'!$B:$B, 0)),
  ""
)
</f>
        <v>15-1</v>
      </c>
      <c r="B5186" s="3" t="s">
        <v>25</v>
      </c>
      <c r="C5186" s="12" t="s">
        <v>5210</v>
      </c>
      <c r="D5186" s="13">
        <v>63085.0</v>
      </c>
      <c r="E5186" s="4">
        <v>45711.0</v>
      </c>
      <c r="F5186" s="4" t="str">
        <f>IF(D5186="","", IFNA(VLOOKUP(D5186, SATCAT_DECAY!A:B, 2, FALSE), ""))
</f>
        <v/>
      </c>
      <c r="G5186" s="3" t="str">
        <f t="shared" si="1"/>
        <v>ACTIVE</v>
      </c>
    </row>
    <row r="5187" ht="22.5" customHeight="1">
      <c r="A5187" s="11" t="str">
        <f t="array" ref="A5187">IFERROR(
  INDEX('Starlink Launches'!$A:$A, MATCH($E5187, 'Starlink Launches'!$B:$B, 0)),
  ""
)
</f>
        <v>15-1</v>
      </c>
      <c r="B5187" s="3" t="s">
        <v>25</v>
      </c>
      <c r="C5187" s="12" t="s">
        <v>5211</v>
      </c>
      <c r="D5187" s="13">
        <v>63086.0</v>
      </c>
      <c r="E5187" s="4">
        <v>45711.0</v>
      </c>
      <c r="F5187" s="4" t="str">
        <f>IF(D5187="","", IFNA(VLOOKUP(D5187, SATCAT_DECAY!A:B, 2, FALSE), ""))
</f>
        <v/>
      </c>
      <c r="G5187" s="3" t="str">
        <f t="shared" si="1"/>
        <v>ACTIVE</v>
      </c>
    </row>
    <row r="5188" ht="22.5" customHeight="1">
      <c r="A5188" s="11" t="str">
        <f t="array" ref="A5188">IFERROR(
  INDEX('Starlink Launches'!$A:$A, MATCH($E5188, 'Starlink Launches'!$B:$B, 0)),
  ""
)
</f>
        <v>15-1</v>
      </c>
      <c r="B5188" s="3" t="s">
        <v>25</v>
      </c>
      <c r="C5188" s="12" t="s">
        <v>5212</v>
      </c>
      <c r="D5188" s="13">
        <v>63087.0</v>
      </c>
      <c r="E5188" s="4">
        <v>45711.0</v>
      </c>
      <c r="F5188" s="4" t="str">
        <f>IF(D5188="","", IFNA(VLOOKUP(D5188, SATCAT_DECAY!A:B, 2, FALSE), ""))
</f>
        <v/>
      </c>
      <c r="G5188" s="3" t="str">
        <f t="shared" si="1"/>
        <v>ACTIVE</v>
      </c>
    </row>
    <row r="5189" ht="22.5" customHeight="1">
      <c r="A5189" s="11" t="str">
        <f t="array" ref="A5189">IFERROR(
  INDEX('Starlink Launches'!$A:$A, MATCH($E5189, 'Starlink Launches'!$B:$B, 0)),
  ""
)
</f>
        <v>15-1</v>
      </c>
      <c r="B5189" s="3" t="s">
        <v>25</v>
      </c>
      <c r="C5189" s="12" t="s">
        <v>5213</v>
      </c>
      <c r="D5189" s="13">
        <v>63088.0</v>
      </c>
      <c r="E5189" s="4">
        <v>45711.0</v>
      </c>
      <c r="F5189" s="4" t="str">
        <f>IF(D5189="","", IFNA(VLOOKUP(D5189, SATCAT_DECAY!A:B, 2, FALSE), ""))
</f>
        <v/>
      </c>
      <c r="G5189" s="3" t="str">
        <f t="shared" si="1"/>
        <v>ACTIVE</v>
      </c>
    </row>
    <row r="5190" ht="22.5" customHeight="1">
      <c r="A5190" s="11" t="str">
        <f t="array" ref="A5190">IFERROR(
  INDEX('Starlink Launches'!$A:$A, MATCH($E5190, 'Starlink Launches'!$B:$B, 0)),
  ""
)
</f>
        <v>15-1</v>
      </c>
      <c r="B5190" s="3" t="s">
        <v>25</v>
      </c>
      <c r="C5190" s="12" t="s">
        <v>5214</v>
      </c>
      <c r="D5190" s="13">
        <v>63089.0</v>
      </c>
      <c r="E5190" s="4">
        <v>45711.0</v>
      </c>
      <c r="F5190" s="4" t="str">
        <f>IF(D5190="","", IFNA(VLOOKUP(D5190, SATCAT_DECAY!A:B, 2, FALSE), ""))
</f>
        <v/>
      </c>
      <c r="G5190" s="3" t="str">
        <f t="shared" si="1"/>
        <v>ACTIVE</v>
      </c>
    </row>
    <row r="5191" ht="22.5" customHeight="1">
      <c r="A5191" s="11" t="str">
        <f t="array" ref="A5191">IFERROR(
  INDEX('Starlink Launches'!$A:$A, MATCH($E5191, 'Starlink Launches'!$B:$B, 0)),
  ""
)
</f>
        <v>15-1</v>
      </c>
      <c r="B5191" s="3" t="s">
        <v>25</v>
      </c>
      <c r="C5191" s="12" t="s">
        <v>5215</v>
      </c>
      <c r="D5191" s="13">
        <v>63090.0</v>
      </c>
      <c r="E5191" s="4">
        <v>45711.0</v>
      </c>
      <c r="F5191" s="4" t="str">
        <f>IF(D5191="","", IFNA(VLOOKUP(D5191, SATCAT_DECAY!A:B, 2, FALSE), ""))
</f>
        <v/>
      </c>
      <c r="G5191" s="3" t="str">
        <f t="shared" si="1"/>
        <v>ACTIVE</v>
      </c>
    </row>
    <row r="5192" ht="22.5" customHeight="1">
      <c r="A5192" s="11" t="str">
        <f t="array" ref="A5192">IFERROR(
  INDEX('Starlink Launches'!$A:$A, MATCH($E5192, 'Starlink Launches'!$B:$B, 0)),
  ""
)
</f>
        <v>15-1</v>
      </c>
      <c r="B5192" s="3" t="s">
        <v>25</v>
      </c>
      <c r="C5192" s="12" t="s">
        <v>5216</v>
      </c>
      <c r="D5192" s="13">
        <v>63091.0</v>
      </c>
      <c r="E5192" s="4">
        <v>45711.0</v>
      </c>
      <c r="F5192" s="4" t="str">
        <f>IF(D5192="","", IFNA(VLOOKUP(D5192, SATCAT_DECAY!A:B, 2, FALSE), ""))
</f>
        <v/>
      </c>
      <c r="G5192" s="3" t="str">
        <f t="shared" si="1"/>
        <v>ACTIVE</v>
      </c>
    </row>
    <row r="5193" ht="22.5" customHeight="1">
      <c r="A5193" s="11" t="str">
        <f t="array" ref="A5193">IFERROR(
  INDEX('Starlink Launches'!$A:$A, MATCH($E5193, 'Starlink Launches'!$B:$B, 0)),
  ""
)
</f>
        <v>15-1</v>
      </c>
      <c r="B5193" s="3" t="s">
        <v>25</v>
      </c>
      <c r="C5193" s="12" t="s">
        <v>5217</v>
      </c>
      <c r="D5193" s="13">
        <v>63092.0</v>
      </c>
      <c r="E5193" s="4">
        <v>45711.0</v>
      </c>
      <c r="F5193" s="4" t="str">
        <f>IF(D5193="","", IFNA(VLOOKUP(D5193, SATCAT_DECAY!A:B, 2, FALSE), ""))
</f>
        <v/>
      </c>
      <c r="G5193" s="3" t="str">
        <f t="shared" si="1"/>
        <v>ACTIVE</v>
      </c>
    </row>
    <row r="5194" ht="22.5" customHeight="1">
      <c r="A5194" s="11" t="str">
        <f t="array" ref="A5194">IFERROR(
  INDEX('Starlink Launches'!$A:$A, MATCH($E5194, 'Starlink Launches'!$B:$B, 0)),
  ""
)
</f>
        <v>15-1</v>
      </c>
      <c r="B5194" s="3" t="s">
        <v>25</v>
      </c>
      <c r="C5194" s="12" t="s">
        <v>5218</v>
      </c>
      <c r="D5194" s="13">
        <v>63093.0</v>
      </c>
      <c r="E5194" s="4">
        <v>45711.0</v>
      </c>
      <c r="F5194" s="4" t="str">
        <f>IF(D5194="","", IFNA(VLOOKUP(D5194, SATCAT_DECAY!A:B, 2, FALSE), ""))
</f>
        <v/>
      </c>
      <c r="G5194" s="3" t="str">
        <f t="shared" si="1"/>
        <v>ACTIVE</v>
      </c>
    </row>
    <row r="5195" ht="22.5" customHeight="1">
      <c r="A5195" s="11" t="str">
        <f t="array" ref="A5195">IFERROR(
  INDEX('Starlink Launches'!$A:$A, MATCH($E5195, 'Starlink Launches'!$B:$B, 0)),
  ""
)
</f>
        <v>15-1</v>
      </c>
      <c r="B5195" s="3" t="s">
        <v>25</v>
      </c>
      <c r="C5195" s="12" t="s">
        <v>5219</v>
      </c>
      <c r="D5195" s="13">
        <v>63094.0</v>
      </c>
      <c r="E5195" s="4">
        <v>45711.0</v>
      </c>
      <c r="F5195" s="4" t="str">
        <f>IF(D5195="","", IFNA(VLOOKUP(D5195, SATCAT_DECAY!A:B, 2, FALSE), ""))
</f>
        <v/>
      </c>
      <c r="G5195" s="3" t="str">
        <f t="shared" si="1"/>
        <v>ACTIVE</v>
      </c>
    </row>
    <row r="5196" ht="22.5" customHeight="1">
      <c r="A5196" s="11" t="str">
        <f t="array" ref="A5196">IFERROR(
  INDEX('Starlink Launches'!$A:$A, MATCH($E5196, 'Starlink Launches'!$B:$B, 0)),
  ""
)
</f>
        <v>15-1</v>
      </c>
      <c r="B5196" s="3" t="s">
        <v>25</v>
      </c>
      <c r="C5196" s="12" t="s">
        <v>5220</v>
      </c>
      <c r="D5196" s="13">
        <v>63095.0</v>
      </c>
      <c r="E5196" s="4">
        <v>45711.0</v>
      </c>
      <c r="F5196" s="4" t="str">
        <f>IF(D5196="","", IFNA(VLOOKUP(D5196, SATCAT_DECAY!A:B, 2, FALSE), ""))
</f>
        <v/>
      </c>
      <c r="G5196" s="3" t="str">
        <f t="shared" si="1"/>
        <v>ACTIVE</v>
      </c>
    </row>
    <row r="5197" ht="22.5" customHeight="1">
      <c r="A5197" s="11" t="str">
        <f t="array" ref="A5197">IFERROR(
  INDEX('Starlink Launches'!$A:$A, MATCH($E5197, 'Starlink Launches'!$B:$B, 0)),
  ""
)
</f>
        <v>15-1</v>
      </c>
      <c r="B5197" s="3" t="s">
        <v>25</v>
      </c>
      <c r="C5197" s="12" t="s">
        <v>5221</v>
      </c>
      <c r="D5197" s="13">
        <v>63096.0</v>
      </c>
      <c r="E5197" s="4">
        <v>45711.0</v>
      </c>
      <c r="F5197" s="4" t="str">
        <f>IF(D5197="","", IFNA(VLOOKUP(D5197, SATCAT_DECAY!A:B, 2, FALSE), ""))
</f>
        <v/>
      </c>
      <c r="G5197" s="3" t="str">
        <f t="shared" si="1"/>
        <v>ACTIVE</v>
      </c>
    </row>
    <row r="5198" ht="22.5" customHeight="1">
      <c r="A5198" s="11" t="str">
        <f t="array" ref="A5198">IFERROR(
  INDEX('Starlink Launches'!$A:$A, MATCH($E5198, 'Starlink Launches'!$B:$B, 0)),
  ""
)
</f>
        <v>15-1</v>
      </c>
      <c r="B5198" s="3" t="s">
        <v>25</v>
      </c>
      <c r="C5198" s="12" t="s">
        <v>5222</v>
      </c>
      <c r="D5198" s="13">
        <v>63097.0</v>
      </c>
      <c r="E5198" s="4">
        <v>45711.0</v>
      </c>
      <c r="F5198" s="4" t="str">
        <f>IF(D5198="","", IFNA(VLOOKUP(D5198, SATCAT_DECAY!A:B, 2, FALSE), ""))
</f>
        <v/>
      </c>
      <c r="G5198" s="3" t="str">
        <f t="shared" si="1"/>
        <v>ACTIVE</v>
      </c>
    </row>
    <row r="5199" ht="22.5" customHeight="1">
      <c r="A5199" s="11" t="str">
        <f t="array" ref="A5199">IFERROR(
  INDEX('Starlink Launches'!$A:$A, MATCH($E5199, 'Starlink Launches'!$B:$B, 0)),
  ""
)
</f>
        <v>15-1</v>
      </c>
      <c r="B5199" s="3" t="s">
        <v>25</v>
      </c>
      <c r="C5199" s="12" t="s">
        <v>5223</v>
      </c>
      <c r="D5199" s="13">
        <v>63098.0</v>
      </c>
      <c r="E5199" s="4">
        <v>45711.0</v>
      </c>
      <c r="F5199" s="4" t="str">
        <f>IF(D5199="","", IFNA(VLOOKUP(D5199, SATCAT_DECAY!A:B, 2, FALSE), ""))
</f>
        <v/>
      </c>
      <c r="G5199" s="3" t="str">
        <f t="shared" si="1"/>
        <v>ACTIVE</v>
      </c>
    </row>
    <row r="5200" ht="22.5" customHeight="1">
      <c r="A5200" s="3" t="s">
        <v>5224</v>
      </c>
      <c r="B5200" s="3" t="s">
        <v>25</v>
      </c>
      <c r="C5200" s="12" t="s">
        <v>5225</v>
      </c>
      <c r="D5200" s="13">
        <v>63864.0</v>
      </c>
      <c r="E5200" s="4">
        <v>45787.0</v>
      </c>
      <c r="F5200" s="4" t="str">
        <f>IF(D5200="","", IFNA(VLOOKUP(D5200, SATCAT_DECAY!A:B, 2, FALSE), ""))
</f>
        <v/>
      </c>
      <c r="G5200" s="3" t="str">
        <f t="shared" si="1"/>
        <v>ACTIVE</v>
      </c>
    </row>
    <row r="5201" ht="22.5" customHeight="1">
      <c r="A5201" s="3" t="s">
        <v>5224</v>
      </c>
      <c r="B5201" s="3" t="s">
        <v>25</v>
      </c>
      <c r="C5201" s="12" t="s">
        <v>5226</v>
      </c>
      <c r="D5201" s="13">
        <v>63865.0</v>
      </c>
      <c r="E5201" s="4">
        <v>45787.0</v>
      </c>
      <c r="F5201" s="4" t="str">
        <f>IF(D5201="","", IFNA(VLOOKUP(D5201, SATCAT_DECAY!A:B, 2, FALSE), ""))
</f>
        <v/>
      </c>
      <c r="G5201" s="3" t="str">
        <f t="shared" si="1"/>
        <v>ACTIVE</v>
      </c>
    </row>
    <row r="5202" ht="22.5" customHeight="1">
      <c r="A5202" s="3" t="s">
        <v>5224</v>
      </c>
      <c r="B5202" s="3" t="s">
        <v>25</v>
      </c>
      <c r="C5202" s="12" t="s">
        <v>5227</v>
      </c>
      <c r="D5202" s="13">
        <v>63866.0</v>
      </c>
      <c r="E5202" s="4">
        <v>45787.0</v>
      </c>
      <c r="F5202" s="4" t="str">
        <f>IF(D5202="","", IFNA(VLOOKUP(D5202, SATCAT_DECAY!A:B, 2, FALSE), ""))
</f>
        <v/>
      </c>
      <c r="G5202" s="3" t="str">
        <f t="shared" si="1"/>
        <v>ACTIVE</v>
      </c>
    </row>
    <row r="5203" ht="22.5" customHeight="1">
      <c r="A5203" s="3" t="s">
        <v>5224</v>
      </c>
      <c r="B5203" s="3" t="s">
        <v>25</v>
      </c>
      <c r="C5203" s="12" t="s">
        <v>5228</v>
      </c>
      <c r="D5203" s="13">
        <v>63867.0</v>
      </c>
      <c r="E5203" s="4">
        <v>45787.0</v>
      </c>
      <c r="F5203" s="4" t="str">
        <f>IF(D5203="","", IFNA(VLOOKUP(D5203, SATCAT_DECAY!A:B, 2, FALSE), ""))
</f>
        <v/>
      </c>
      <c r="G5203" s="3" t="str">
        <f t="shared" si="1"/>
        <v>ACTIVE</v>
      </c>
    </row>
    <row r="5204" ht="22.5" customHeight="1">
      <c r="A5204" s="3" t="s">
        <v>5224</v>
      </c>
      <c r="B5204" s="3" t="s">
        <v>25</v>
      </c>
      <c r="C5204" s="12" t="s">
        <v>5229</v>
      </c>
      <c r="D5204" s="13">
        <v>63868.0</v>
      </c>
      <c r="E5204" s="4">
        <v>45787.0</v>
      </c>
      <c r="F5204" s="4" t="str">
        <f>IF(D5204="","", IFNA(VLOOKUP(D5204, SATCAT_DECAY!A:B, 2, FALSE), ""))
</f>
        <v/>
      </c>
      <c r="G5204" s="3" t="str">
        <f t="shared" si="1"/>
        <v>ACTIVE</v>
      </c>
    </row>
    <row r="5205" ht="22.5" customHeight="1">
      <c r="A5205" s="3" t="s">
        <v>5224</v>
      </c>
      <c r="B5205" s="3" t="s">
        <v>25</v>
      </c>
      <c r="C5205" s="12" t="s">
        <v>5230</v>
      </c>
      <c r="D5205" s="13">
        <v>63869.0</v>
      </c>
      <c r="E5205" s="4">
        <v>45787.0</v>
      </c>
      <c r="F5205" s="4" t="str">
        <f>IF(D5205="","", IFNA(VLOOKUP(D5205, SATCAT_DECAY!A:B, 2, FALSE), ""))
</f>
        <v/>
      </c>
      <c r="G5205" s="3" t="str">
        <f t="shared" si="1"/>
        <v>ACTIVE</v>
      </c>
    </row>
    <row r="5206" ht="22.5" customHeight="1">
      <c r="A5206" s="3" t="s">
        <v>5224</v>
      </c>
      <c r="B5206" s="3" t="s">
        <v>25</v>
      </c>
      <c r="C5206" s="12" t="s">
        <v>5231</v>
      </c>
      <c r="D5206" s="13">
        <v>63870.0</v>
      </c>
      <c r="E5206" s="4">
        <v>45787.0</v>
      </c>
      <c r="F5206" s="4" t="str">
        <f>IF(D5206="","", IFNA(VLOOKUP(D5206, SATCAT_DECAY!A:B, 2, FALSE), ""))
</f>
        <v/>
      </c>
      <c r="G5206" s="3" t="str">
        <f t="shared" si="1"/>
        <v>ACTIVE</v>
      </c>
    </row>
    <row r="5207" ht="22.5" customHeight="1">
      <c r="A5207" s="3" t="s">
        <v>5224</v>
      </c>
      <c r="B5207" s="3" t="s">
        <v>25</v>
      </c>
      <c r="C5207" s="12" t="s">
        <v>5232</v>
      </c>
      <c r="D5207" s="13">
        <v>63871.0</v>
      </c>
      <c r="E5207" s="4">
        <v>45787.0</v>
      </c>
      <c r="F5207" s="4" t="str">
        <f>IF(D5207="","", IFNA(VLOOKUP(D5207, SATCAT_DECAY!A:B, 2, FALSE), ""))
</f>
        <v/>
      </c>
      <c r="G5207" s="3" t="str">
        <f t="shared" si="1"/>
        <v>ACTIVE</v>
      </c>
    </row>
    <row r="5208" ht="22.5" customHeight="1">
      <c r="A5208" s="3" t="s">
        <v>5224</v>
      </c>
      <c r="B5208" s="3" t="s">
        <v>25</v>
      </c>
      <c r="C5208" s="12" t="s">
        <v>5233</v>
      </c>
      <c r="D5208" s="13">
        <v>63872.0</v>
      </c>
      <c r="E5208" s="4">
        <v>45787.0</v>
      </c>
      <c r="F5208" s="4" t="str">
        <f>IF(D5208="","", IFNA(VLOOKUP(D5208, SATCAT_DECAY!A:B, 2, FALSE), ""))
</f>
        <v/>
      </c>
      <c r="G5208" s="3" t="str">
        <f t="shared" si="1"/>
        <v>ACTIVE</v>
      </c>
    </row>
    <row r="5209" ht="22.5" customHeight="1">
      <c r="A5209" s="3" t="s">
        <v>5224</v>
      </c>
      <c r="B5209" s="3" t="s">
        <v>25</v>
      </c>
      <c r="C5209" s="12" t="s">
        <v>5234</v>
      </c>
      <c r="D5209" s="13">
        <v>63873.0</v>
      </c>
      <c r="E5209" s="4">
        <v>45787.0</v>
      </c>
      <c r="F5209" s="4" t="str">
        <f>IF(D5209="","", IFNA(VLOOKUP(D5209, SATCAT_DECAY!A:B, 2, FALSE), ""))
</f>
        <v/>
      </c>
      <c r="G5209" s="3" t="str">
        <f t="shared" si="1"/>
        <v>ACTIVE</v>
      </c>
    </row>
    <row r="5210" ht="22.5" customHeight="1">
      <c r="A5210" s="3" t="s">
        <v>5224</v>
      </c>
      <c r="B5210" s="3" t="s">
        <v>25</v>
      </c>
      <c r="C5210" s="12" t="s">
        <v>5235</v>
      </c>
      <c r="D5210" s="13">
        <v>63874.0</v>
      </c>
      <c r="E5210" s="4">
        <v>45787.0</v>
      </c>
      <c r="F5210" s="4" t="str">
        <f>IF(D5210="","", IFNA(VLOOKUP(D5210, SATCAT_DECAY!A:B, 2, FALSE), ""))
</f>
        <v/>
      </c>
      <c r="G5210" s="3" t="str">
        <f t="shared" si="1"/>
        <v>ACTIVE</v>
      </c>
    </row>
    <row r="5211" ht="22.5" customHeight="1">
      <c r="A5211" s="3" t="s">
        <v>5224</v>
      </c>
      <c r="B5211" s="3" t="s">
        <v>25</v>
      </c>
      <c r="C5211" s="12" t="s">
        <v>5236</v>
      </c>
      <c r="D5211" s="13">
        <v>63875.0</v>
      </c>
      <c r="E5211" s="4">
        <v>45787.0</v>
      </c>
      <c r="F5211" s="4" t="str">
        <f>IF(D5211="","", IFNA(VLOOKUP(D5211, SATCAT_DECAY!A:B, 2, FALSE), ""))
</f>
        <v/>
      </c>
      <c r="G5211" s="3" t="str">
        <f t="shared" si="1"/>
        <v>ACTIVE</v>
      </c>
    </row>
    <row r="5212" ht="22.5" customHeight="1">
      <c r="A5212" s="3" t="s">
        <v>5224</v>
      </c>
      <c r="B5212" s="3" t="s">
        <v>25</v>
      </c>
      <c r="C5212" s="12" t="s">
        <v>5237</v>
      </c>
      <c r="D5212" s="13">
        <v>63876.0</v>
      </c>
      <c r="E5212" s="4">
        <v>45787.0</v>
      </c>
      <c r="F5212" s="4" t="str">
        <f>IF(D5212="","", IFNA(VLOOKUP(D5212, SATCAT_DECAY!A:B, 2, FALSE), ""))
</f>
        <v/>
      </c>
      <c r="G5212" s="3" t="str">
        <f t="shared" si="1"/>
        <v>ACTIVE</v>
      </c>
    </row>
    <row r="5213" ht="22.5" customHeight="1">
      <c r="A5213" s="3" t="s">
        <v>5224</v>
      </c>
      <c r="B5213" s="3" t="s">
        <v>25</v>
      </c>
      <c r="C5213" s="12" t="s">
        <v>5238</v>
      </c>
      <c r="D5213" s="13">
        <v>63877.0</v>
      </c>
      <c r="E5213" s="4">
        <v>45787.0</v>
      </c>
      <c r="F5213" s="4" t="str">
        <f>IF(D5213="","", IFNA(VLOOKUP(D5213, SATCAT_DECAY!A:B, 2, FALSE), ""))
</f>
        <v/>
      </c>
      <c r="G5213" s="3" t="str">
        <f t="shared" si="1"/>
        <v>ACTIVE</v>
      </c>
    </row>
    <row r="5214" ht="22.5" customHeight="1">
      <c r="A5214" s="3" t="s">
        <v>5224</v>
      </c>
      <c r="B5214" s="3" t="s">
        <v>25</v>
      </c>
      <c r="C5214" s="12" t="s">
        <v>5239</v>
      </c>
      <c r="D5214" s="13">
        <v>63878.0</v>
      </c>
      <c r="E5214" s="4">
        <v>45787.0</v>
      </c>
      <c r="F5214" s="4" t="str">
        <f>IF(D5214="","", IFNA(VLOOKUP(D5214, SATCAT_DECAY!A:B, 2, FALSE), ""))
</f>
        <v/>
      </c>
      <c r="G5214" s="3" t="str">
        <f t="shared" si="1"/>
        <v>ACTIVE</v>
      </c>
    </row>
    <row r="5215" ht="22.5" customHeight="1">
      <c r="A5215" s="3" t="s">
        <v>5224</v>
      </c>
      <c r="B5215" s="3" t="s">
        <v>25</v>
      </c>
      <c r="C5215" s="12" t="s">
        <v>5240</v>
      </c>
      <c r="D5215" s="13">
        <v>63879.0</v>
      </c>
      <c r="E5215" s="4">
        <v>45787.0</v>
      </c>
      <c r="F5215" s="4" t="str">
        <f>IF(D5215="","", IFNA(VLOOKUP(D5215, SATCAT_DECAY!A:B, 2, FALSE), ""))
</f>
        <v/>
      </c>
      <c r="G5215" s="3" t="str">
        <f t="shared" si="1"/>
        <v>ACTIVE</v>
      </c>
    </row>
    <row r="5216" ht="22.5" customHeight="1">
      <c r="A5216" s="3" t="s">
        <v>5224</v>
      </c>
      <c r="B5216" s="3" t="s">
        <v>25</v>
      </c>
      <c r="C5216" s="12" t="s">
        <v>5241</v>
      </c>
      <c r="D5216" s="13">
        <v>63880.0</v>
      </c>
      <c r="E5216" s="4">
        <v>45787.0</v>
      </c>
      <c r="F5216" s="4" t="str">
        <f>IF(D5216="","", IFNA(VLOOKUP(D5216, SATCAT_DECAY!A:B, 2, FALSE), ""))
</f>
        <v/>
      </c>
      <c r="G5216" s="3" t="str">
        <f t="shared" si="1"/>
        <v>ACTIVE</v>
      </c>
    </row>
    <row r="5217" ht="22.5" customHeight="1">
      <c r="A5217" s="3" t="s">
        <v>5224</v>
      </c>
      <c r="B5217" s="3" t="s">
        <v>25</v>
      </c>
      <c r="C5217" s="12" t="s">
        <v>5242</v>
      </c>
      <c r="D5217" s="13">
        <v>63881.0</v>
      </c>
      <c r="E5217" s="4">
        <v>45787.0</v>
      </c>
      <c r="F5217" s="4" t="str">
        <f>IF(D5217="","", IFNA(VLOOKUP(D5217, SATCAT_DECAY!A:B, 2, FALSE), ""))
</f>
        <v/>
      </c>
      <c r="G5217" s="3" t="str">
        <f t="shared" si="1"/>
        <v>ACTIVE</v>
      </c>
    </row>
    <row r="5218" ht="22.5" customHeight="1">
      <c r="A5218" s="3" t="s">
        <v>5224</v>
      </c>
      <c r="B5218" s="3" t="s">
        <v>25</v>
      </c>
      <c r="C5218" s="12" t="s">
        <v>5243</v>
      </c>
      <c r="D5218" s="13">
        <v>63882.0</v>
      </c>
      <c r="E5218" s="4">
        <v>45787.0</v>
      </c>
      <c r="F5218" s="4" t="str">
        <f>IF(D5218="","", IFNA(VLOOKUP(D5218, SATCAT_DECAY!A:B, 2, FALSE), ""))
</f>
        <v/>
      </c>
      <c r="G5218" s="3" t="str">
        <f t="shared" si="1"/>
        <v>ACTIVE</v>
      </c>
    </row>
    <row r="5219" ht="22.5" customHeight="1">
      <c r="A5219" s="3" t="s">
        <v>5224</v>
      </c>
      <c r="B5219" s="3" t="s">
        <v>25</v>
      </c>
      <c r="C5219" s="12" t="s">
        <v>5244</v>
      </c>
      <c r="D5219" s="13">
        <v>63883.0</v>
      </c>
      <c r="E5219" s="4">
        <v>45787.0</v>
      </c>
      <c r="F5219" s="4" t="str">
        <f>IF(D5219="","", IFNA(VLOOKUP(D5219, SATCAT_DECAY!A:B, 2, FALSE), ""))
</f>
        <v/>
      </c>
      <c r="G5219" s="3" t="str">
        <f t="shared" si="1"/>
        <v>ACTIVE</v>
      </c>
    </row>
    <row r="5220" ht="22.5" customHeight="1">
      <c r="A5220" s="3" t="s">
        <v>5224</v>
      </c>
      <c r="B5220" s="3" t="s">
        <v>25</v>
      </c>
      <c r="C5220" s="12" t="s">
        <v>5245</v>
      </c>
      <c r="D5220" s="13">
        <v>63884.0</v>
      </c>
      <c r="E5220" s="4">
        <v>45787.0</v>
      </c>
      <c r="F5220" s="4" t="str">
        <f>IF(D5220="","", IFNA(VLOOKUP(D5220, SATCAT_DECAY!A:B, 2, FALSE), ""))
</f>
        <v/>
      </c>
      <c r="G5220" s="3" t="str">
        <f t="shared" si="1"/>
        <v>ACTIVE</v>
      </c>
    </row>
    <row r="5221" ht="22.5" customHeight="1">
      <c r="A5221" s="3" t="s">
        <v>5224</v>
      </c>
      <c r="B5221" s="3" t="s">
        <v>25</v>
      </c>
      <c r="C5221" s="12" t="s">
        <v>5246</v>
      </c>
      <c r="D5221" s="13">
        <v>63885.0</v>
      </c>
      <c r="E5221" s="4">
        <v>45787.0</v>
      </c>
      <c r="F5221" s="4" t="str">
        <f>IF(D5221="","", IFNA(VLOOKUP(D5221, SATCAT_DECAY!A:B, 2, FALSE), ""))
</f>
        <v/>
      </c>
      <c r="G5221" s="3" t="str">
        <f t="shared" si="1"/>
        <v>ACTIVE</v>
      </c>
    </row>
    <row r="5222" ht="22.5" customHeight="1">
      <c r="A5222" s="3" t="s">
        <v>5224</v>
      </c>
      <c r="B5222" s="3" t="s">
        <v>25</v>
      </c>
      <c r="C5222" s="12" t="s">
        <v>5247</v>
      </c>
      <c r="D5222" s="13">
        <v>63886.0</v>
      </c>
      <c r="E5222" s="4">
        <v>45787.0</v>
      </c>
      <c r="F5222" s="4" t="str">
        <f>IF(D5222="","", IFNA(VLOOKUP(D5222, SATCAT_DECAY!A:B, 2, FALSE), ""))
</f>
        <v/>
      </c>
      <c r="G5222" s="3" t="str">
        <f t="shared" si="1"/>
        <v>ACTIVE</v>
      </c>
    </row>
    <row r="5223" ht="22.5" customHeight="1">
      <c r="A5223" s="3" t="s">
        <v>5224</v>
      </c>
      <c r="B5223" s="3" t="s">
        <v>25</v>
      </c>
      <c r="C5223" s="12" t="s">
        <v>5248</v>
      </c>
      <c r="D5223" s="13">
        <v>63887.0</v>
      </c>
      <c r="E5223" s="4">
        <v>45787.0</v>
      </c>
      <c r="F5223" s="4" t="str">
        <f>IF(D5223="","", IFNA(VLOOKUP(D5223, SATCAT_DECAY!A:B, 2, FALSE), ""))
</f>
        <v/>
      </c>
      <c r="G5223" s="3" t="str">
        <f t="shared" si="1"/>
        <v>ACTIVE</v>
      </c>
    </row>
    <row r="5224" ht="22.5" customHeight="1">
      <c r="A5224" s="3" t="s">
        <v>5224</v>
      </c>
      <c r="B5224" s="3" t="s">
        <v>25</v>
      </c>
      <c r="C5224" s="12" t="s">
        <v>5249</v>
      </c>
      <c r="D5224" s="13">
        <v>63888.0</v>
      </c>
      <c r="E5224" s="4">
        <v>45787.0</v>
      </c>
      <c r="F5224" s="4" t="str">
        <f>IF(D5224="","", IFNA(VLOOKUP(D5224, SATCAT_DECAY!A:B, 2, FALSE), ""))
</f>
        <v/>
      </c>
      <c r="G5224" s="3" t="str">
        <f t="shared" si="1"/>
        <v>ACTIVE</v>
      </c>
    </row>
    <row r="5225" ht="22.5" customHeight="1">
      <c r="A5225" s="3" t="s">
        <v>5224</v>
      </c>
      <c r="B5225" s="3" t="s">
        <v>25</v>
      </c>
      <c r="C5225" s="12" t="s">
        <v>5250</v>
      </c>
      <c r="D5225" s="13">
        <v>63889.0</v>
      </c>
      <c r="E5225" s="4">
        <v>45787.0</v>
      </c>
      <c r="F5225" s="4" t="str">
        <f>IF(D5225="","", IFNA(VLOOKUP(D5225, SATCAT_DECAY!A:B, 2, FALSE), ""))
</f>
        <v/>
      </c>
      <c r="G5225" s="3" t="str">
        <f t="shared" si="1"/>
        <v>ACTIVE</v>
      </c>
    </row>
    <row r="5226" ht="22.5" customHeight="1">
      <c r="A5226" s="3" t="s">
        <v>5251</v>
      </c>
      <c r="B5226" s="3" t="s">
        <v>25</v>
      </c>
      <c r="C5226" s="12" t="s">
        <v>5252</v>
      </c>
      <c r="D5226" s="13">
        <v>63926.0</v>
      </c>
      <c r="E5226" s="4">
        <v>45790.0</v>
      </c>
      <c r="F5226" s="4" t="str">
        <f>IF(D5226="","", IFNA(VLOOKUP(D5226, SATCAT_DECAY!A:B, 2, FALSE), ""))
</f>
        <v/>
      </c>
      <c r="G5226" s="3" t="str">
        <f t="shared" si="1"/>
        <v>ACTIVE</v>
      </c>
    </row>
    <row r="5227" ht="22.5" customHeight="1">
      <c r="A5227" s="3" t="s">
        <v>5251</v>
      </c>
      <c r="B5227" s="3" t="s">
        <v>25</v>
      </c>
      <c r="C5227" s="12" t="s">
        <v>5253</v>
      </c>
      <c r="D5227" s="13">
        <v>63927.0</v>
      </c>
      <c r="E5227" s="4">
        <v>45790.0</v>
      </c>
      <c r="F5227" s="4" t="str">
        <f>IF(D5227="","", IFNA(VLOOKUP(D5227, SATCAT_DECAY!A:B, 2, FALSE), ""))
</f>
        <v/>
      </c>
      <c r="G5227" s="3" t="str">
        <f t="shared" si="1"/>
        <v>ACTIVE</v>
      </c>
    </row>
    <row r="5228" ht="22.5" customHeight="1">
      <c r="A5228" s="3" t="s">
        <v>5251</v>
      </c>
      <c r="B5228" s="3" t="s">
        <v>25</v>
      </c>
      <c r="C5228" s="12" t="s">
        <v>5254</v>
      </c>
      <c r="D5228" s="13">
        <v>63928.0</v>
      </c>
      <c r="E5228" s="4">
        <v>45790.0</v>
      </c>
      <c r="F5228" s="4" t="str">
        <f>IF(D5228="","", IFNA(VLOOKUP(D5228, SATCAT_DECAY!A:B, 2, FALSE), ""))
</f>
        <v/>
      </c>
      <c r="G5228" s="3" t="str">
        <f t="shared" si="1"/>
        <v>ACTIVE</v>
      </c>
    </row>
    <row r="5229" ht="22.5" customHeight="1">
      <c r="A5229" s="3" t="s">
        <v>5251</v>
      </c>
      <c r="B5229" s="3" t="s">
        <v>25</v>
      </c>
      <c r="C5229" s="12" t="s">
        <v>5255</v>
      </c>
      <c r="D5229" s="13">
        <v>63929.0</v>
      </c>
      <c r="E5229" s="4">
        <v>45790.0</v>
      </c>
      <c r="F5229" s="4" t="str">
        <f>IF(D5229="","", IFNA(VLOOKUP(D5229, SATCAT_DECAY!A:B, 2, FALSE), ""))
</f>
        <v/>
      </c>
      <c r="G5229" s="3" t="str">
        <f t="shared" si="1"/>
        <v>ACTIVE</v>
      </c>
    </row>
    <row r="5230" ht="22.5" customHeight="1">
      <c r="A5230" s="3" t="s">
        <v>5251</v>
      </c>
      <c r="B5230" s="3" t="s">
        <v>25</v>
      </c>
      <c r="C5230" s="12" t="s">
        <v>5256</v>
      </c>
      <c r="D5230" s="13">
        <v>63930.0</v>
      </c>
      <c r="E5230" s="4">
        <v>45790.0</v>
      </c>
      <c r="F5230" s="4" t="str">
        <f>IF(D5230="","", IFNA(VLOOKUP(D5230, SATCAT_DECAY!A:B, 2, FALSE), ""))
</f>
        <v/>
      </c>
      <c r="G5230" s="3" t="str">
        <f t="shared" si="1"/>
        <v>ACTIVE</v>
      </c>
    </row>
    <row r="5231" ht="22.5" customHeight="1">
      <c r="A5231" s="3" t="s">
        <v>5251</v>
      </c>
      <c r="B5231" s="3" t="s">
        <v>25</v>
      </c>
      <c r="C5231" s="12" t="s">
        <v>5257</v>
      </c>
      <c r="D5231" s="13">
        <v>63931.0</v>
      </c>
      <c r="E5231" s="4">
        <v>45790.0</v>
      </c>
      <c r="F5231" s="4" t="str">
        <f>IF(D5231="","", IFNA(VLOOKUP(D5231, SATCAT_DECAY!A:B, 2, FALSE), ""))
</f>
        <v/>
      </c>
      <c r="G5231" s="3" t="str">
        <f t="shared" si="1"/>
        <v>ACTIVE</v>
      </c>
    </row>
    <row r="5232" ht="22.5" customHeight="1">
      <c r="A5232" s="3" t="s">
        <v>5251</v>
      </c>
      <c r="B5232" s="3" t="s">
        <v>25</v>
      </c>
      <c r="C5232" s="12" t="s">
        <v>5258</v>
      </c>
      <c r="D5232" s="13">
        <v>63932.0</v>
      </c>
      <c r="E5232" s="4">
        <v>45790.0</v>
      </c>
      <c r="F5232" s="4" t="str">
        <f>IF(D5232="","", IFNA(VLOOKUP(D5232, SATCAT_DECAY!A:B, 2, FALSE), ""))
</f>
        <v/>
      </c>
      <c r="G5232" s="3" t="str">
        <f t="shared" si="1"/>
        <v>ACTIVE</v>
      </c>
    </row>
    <row r="5233" ht="22.5" customHeight="1">
      <c r="A5233" s="3" t="s">
        <v>5251</v>
      </c>
      <c r="B5233" s="3" t="s">
        <v>25</v>
      </c>
      <c r="C5233" s="12" t="s">
        <v>5259</v>
      </c>
      <c r="D5233" s="13">
        <v>63933.0</v>
      </c>
      <c r="E5233" s="4">
        <v>45790.0</v>
      </c>
      <c r="F5233" s="4" t="str">
        <f>IF(D5233="","", IFNA(VLOOKUP(D5233, SATCAT_DECAY!A:B, 2, FALSE), ""))
</f>
        <v/>
      </c>
      <c r="G5233" s="3" t="str">
        <f t="shared" si="1"/>
        <v>ACTIVE</v>
      </c>
    </row>
    <row r="5234" ht="22.5" customHeight="1">
      <c r="A5234" s="3" t="s">
        <v>5251</v>
      </c>
      <c r="B5234" s="3" t="s">
        <v>25</v>
      </c>
      <c r="C5234" s="12" t="s">
        <v>5260</v>
      </c>
      <c r="D5234" s="13">
        <v>63934.0</v>
      </c>
      <c r="E5234" s="4">
        <v>45790.0</v>
      </c>
      <c r="F5234" s="4" t="str">
        <f>IF(D5234="","", IFNA(VLOOKUP(D5234, SATCAT_DECAY!A:B, 2, FALSE), ""))
</f>
        <v/>
      </c>
      <c r="G5234" s="3" t="str">
        <f t="shared" si="1"/>
        <v>ACTIVE</v>
      </c>
    </row>
    <row r="5235" ht="22.5" customHeight="1">
      <c r="A5235" s="3" t="s">
        <v>5251</v>
      </c>
      <c r="B5235" s="3" t="s">
        <v>25</v>
      </c>
      <c r="C5235" s="12" t="s">
        <v>5261</v>
      </c>
      <c r="D5235" s="13">
        <v>63935.0</v>
      </c>
      <c r="E5235" s="4">
        <v>45790.0</v>
      </c>
      <c r="F5235" s="4" t="str">
        <f>IF(D5235="","", IFNA(VLOOKUP(D5235, SATCAT_DECAY!A:B, 2, FALSE), ""))
</f>
        <v/>
      </c>
      <c r="G5235" s="3" t="str">
        <f t="shared" si="1"/>
        <v>ACTIVE</v>
      </c>
    </row>
    <row r="5236" ht="22.5" customHeight="1">
      <c r="A5236" s="3" t="s">
        <v>5251</v>
      </c>
      <c r="B5236" s="3" t="s">
        <v>25</v>
      </c>
      <c r="C5236" s="12" t="s">
        <v>5262</v>
      </c>
      <c r="D5236" s="13">
        <v>63936.0</v>
      </c>
      <c r="E5236" s="4">
        <v>45790.0</v>
      </c>
      <c r="F5236" s="4" t="str">
        <f>IF(D5236="","", IFNA(VLOOKUP(D5236, SATCAT_DECAY!A:B, 2, FALSE), ""))
</f>
        <v/>
      </c>
      <c r="G5236" s="3" t="str">
        <f t="shared" si="1"/>
        <v>ACTIVE</v>
      </c>
    </row>
    <row r="5237" ht="22.5" customHeight="1">
      <c r="A5237" s="3" t="s">
        <v>5251</v>
      </c>
      <c r="B5237" s="3" t="s">
        <v>25</v>
      </c>
      <c r="C5237" s="12" t="s">
        <v>5263</v>
      </c>
      <c r="D5237" s="13">
        <v>63937.0</v>
      </c>
      <c r="E5237" s="4">
        <v>45790.0</v>
      </c>
      <c r="F5237" s="4" t="str">
        <f>IF(D5237="","", IFNA(VLOOKUP(D5237, SATCAT_DECAY!A:B, 2, FALSE), ""))
</f>
        <v/>
      </c>
      <c r="G5237" s="3" t="str">
        <f t="shared" si="1"/>
        <v>ACTIVE</v>
      </c>
    </row>
    <row r="5238" ht="22.5" customHeight="1">
      <c r="A5238" s="3" t="s">
        <v>5251</v>
      </c>
      <c r="B5238" s="3" t="s">
        <v>25</v>
      </c>
      <c r="C5238" s="12" t="s">
        <v>5264</v>
      </c>
      <c r="D5238" s="13">
        <v>63938.0</v>
      </c>
      <c r="E5238" s="4">
        <v>45790.0</v>
      </c>
      <c r="F5238" s="4" t="str">
        <f>IF(D5238="","", IFNA(VLOOKUP(D5238, SATCAT_DECAY!A:B, 2, FALSE), ""))
</f>
        <v/>
      </c>
      <c r="G5238" s="3" t="str">
        <f t="shared" si="1"/>
        <v>ACTIVE</v>
      </c>
    </row>
    <row r="5239" ht="22.5" customHeight="1">
      <c r="A5239" s="3" t="s">
        <v>5251</v>
      </c>
      <c r="B5239" s="3" t="s">
        <v>25</v>
      </c>
      <c r="C5239" s="12" t="s">
        <v>5265</v>
      </c>
      <c r="D5239" s="13">
        <v>63939.0</v>
      </c>
      <c r="E5239" s="4">
        <v>45790.0</v>
      </c>
      <c r="F5239" s="4" t="str">
        <f>IF(D5239="","", IFNA(VLOOKUP(D5239, SATCAT_DECAY!A:B, 2, FALSE), ""))
</f>
        <v/>
      </c>
      <c r="G5239" s="3" t="str">
        <f t="shared" si="1"/>
        <v>ACTIVE</v>
      </c>
    </row>
    <row r="5240" ht="22.5" customHeight="1">
      <c r="A5240" s="3" t="s">
        <v>5251</v>
      </c>
      <c r="B5240" s="3" t="s">
        <v>25</v>
      </c>
      <c r="C5240" s="12" t="s">
        <v>5266</v>
      </c>
      <c r="D5240" s="13">
        <v>63940.0</v>
      </c>
      <c r="E5240" s="4">
        <v>45790.0</v>
      </c>
      <c r="F5240" s="4" t="str">
        <f>IF(D5240="","", IFNA(VLOOKUP(D5240, SATCAT_DECAY!A:B, 2, FALSE), ""))
</f>
        <v/>
      </c>
      <c r="G5240" s="3" t="str">
        <f t="shared" si="1"/>
        <v>ACTIVE</v>
      </c>
    </row>
    <row r="5241" ht="22.5" customHeight="1">
      <c r="A5241" s="3" t="s">
        <v>5251</v>
      </c>
      <c r="B5241" s="3" t="s">
        <v>25</v>
      </c>
      <c r="C5241" s="12" t="s">
        <v>5267</v>
      </c>
      <c r="D5241" s="13">
        <v>63941.0</v>
      </c>
      <c r="E5241" s="4">
        <v>45790.0</v>
      </c>
      <c r="F5241" s="4" t="str">
        <f>IF(D5241="","", IFNA(VLOOKUP(D5241, SATCAT_DECAY!A:B, 2, FALSE), ""))
</f>
        <v/>
      </c>
      <c r="G5241" s="3" t="str">
        <f t="shared" si="1"/>
        <v>ACTIVE</v>
      </c>
    </row>
    <row r="5242" ht="22.5" customHeight="1">
      <c r="A5242" s="3" t="s">
        <v>5251</v>
      </c>
      <c r="B5242" s="3" t="s">
        <v>25</v>
      </c>
      <c r="C5242" s="12" t="s">
        <v>5268</v>
      </c>
      <c r="D5242" s="13">
        <v>63942.0</v>
      </c>
      <c r="E5242" s="4">
        <v>45790.0</v>
      </c>
      <c r="F5242" s="4" t="str">
        <f>IF(D5242="","", IFNA(VLOOKUP(D5242, SATCAT_DECAY!A:B, 2, FALSE), ""))
</f>
        <v/>
      </c>
      <c r="G5242" s="3" t="str">
        <f t="shared" si="1"/>
        <v>ACTIVE</v>
      </c>
    </row>
    <row r="5243" ht="22.5" customHeight="1">
      <c r="A5243" s="3" t="s">
        <v>5251</v>
      </c>
      <c r="B5243" s="3" t="s">
        <v>25</v>
      </c>
      <c r="C5243" s="12" t="s">
        <v>5269</v>
      </c>
      <c r="D5243" s="13">
        <v>63943.0</v>
      </c>
      <c r="E5243" s="4">
        <v>45790.0</v>
      </c>
      <c r="F5243" s="4" t="str">
        <f>IF(D5243="","", IFNA(VLOOKUP(D5243, SATCAT_DECAY!A:B, 2, FALSE), ""))
</f>
        <v/>
      </c>
      <c r="G5243" s="3" t="str">
        <f t="shared" si="1"/>
        <v>ACTIVE</v>
      </c>
    </row>
    <row r="5244" ht="22.5" customHeight="1">
      <c r="A5244" s="3" t="s">
        <v>5251</v>
      </c>
      <c r="B5244" s="3" t="s">
        <v>25</v>
      </c>
      <c r="C5244" s="12" t="s">
        <v>5270</v>
      </c>
      <c r="D5244" s="13">
        <v>63944.0</v>
      </c>
      <c r="E5244" s="4">
        <v>45790.0</v>
      </c>
      <c r="F5244" s="4" t="str">
        <f>IF(D5244="","", IFNA(VLOOKUP(D5244, SATCAT_DECAY!A:B, 2, FALSE), ""))
</f>
        <v/>
      </c>
      <c r="G5244" s="3" t="str">
        <f t="shared" si="1"/>
        <v>ACTIVE</v>
      </c>
    </row>
    <row r="5245" ht="22.5" customHeight="1">
      <c r="A5245" s="3" t="s">
        <v>5251</v>
      </c>
      <c r="B5245" s="3" t="s">
        <v>25</v>
      </c>
      <c r="C5245" s="12" t="s">
        <v>5271</v>
      </c>
      <c r="D5245" s="13">
        <v>63945.0</v>
      </c>
      <c r="E5245" s="4">
        <v>45790.0</v>
      </c>
      <c r="F5245" s="4" t="str">
        <f>IF(D5245="","", IFNA(VLOOKUP(D5245, SATCAT_DECAY!A:B, 2, FALSE), ""))
</f>
        <v/>
      </c>
      <c r="G5245" s="3" t="str">
        <f t="shared" si="1"/>
        <v>ACTIVE</v>
      </c>
    </row>
    <row r="5246" ht="22.5" customHeight="1">
      <c r="A5246" s="3" t="s">
        <v>5251</v>
      </c>
      <c r="B5246" s="3" t="s">
        <v>25</v>
      </c>
      <c r="C5246" s="12" t="s">
        <v>5272</v>
      </c>
      <c r="D5246" s="13">
        <v>63946.0</v>
      </c>
      <c r="E5246" s="4">
        <v>45790.0</v>
      </c>
      <c r="F5246" s="4" t="str">
        <f>IF(D5246="","", IFNA(VLOOKUP(D5246, SATCAT_DECAY!A:B, 2, FALSE), ""))
</f>
        <v/>
      </c>
      <c r="G5246" s="3" t="str">
        <f t="shared" si="1"/>
        <v>ACTIVE</v>
      </c>
    </row>
    <row r="5247" ht="22.5" customHeight="1">
      <c r="A5247" s="3" t="s">
        <v>5251</v>
      </c>
      <c r="B5247" s="3" t="s">
        <v>25</v>
      </c>
      <c r="C5247" s="12" t="s">
        <v>5273</v>
      </c>
      <c r="D5247" s="13">
        <v>63947.0</v>
      </c>
      <c r="E5247" s="4">
        <v>45790.0</v>
      </c>
      <c r="F5247" s="4" t="str">
        <f>IF(D5247="","", IFNA(VLOOKUP(D5247, SATCAT_DECAY!A:B, 2, FALSE), ""))
</f>
        <v/>
      </c>
      <c r="G5247" s="3" t="str">
        <f t="shared" si="1"/>
        <v>ACTIVE</v>
      </c>
    </row>
    <row r="5248" ht="22.5" customHeight="1">
      <c r="A5248" s="3" t="s">
        <v>5251</v>
      </c>
      <c r="B5248" s="3" t="s">
        <v>25</v>
      </c>
      <c r="C5248" s="12" t="s">
        <v>5274</v>
      </c>
      <c r="D5248" s="13">
        <v>63948.0</v>
      </c>
      <c r="E5248" s="4">
        <v>45790.0</v>
      </c>
      <c r="F5248" s="4" t="str">
        <f>IF(D5248="","", IFNA(VLOOKUP(D5248, SATCAT_DECAY!A:B, 2, FALSE), ""))
</f>
        <v/>
      </c>
      <c r="G5248" s="3" t="str">
        <f t="shared" si="1"/>
        <v>ACTIVE</v>
      </c>
    </row>
    <row r="5249" ht="22.5" customHeight="1">
      <c r="A5249" s="3" t="s">
        <v>5251</v>
      </c>
      <c r="B5249" s="3" t="s">
        <v>25</v>
      </c>
      <c r="C5249" s="12" t="s">
        <v>5275</v>
      </c>
      <c r="D5249" s="13">
        <v>63949.0</v>
      </c>
      <c r="E5249" s="4">
        <v>45790.0</v>
      </c>
      <c r="F5249" s="4" t="str">
        <f>IF(D5249="","", IFNA(VLOOKUP(D5249, SATCAT_DECAY!A:B, 2, FALSE), ""))
</f>
        <v/>
      </c>
      <c r="G5249" s="3" t="str">
        <f t="shared" si="1"/>
        <v>ACTIVE</v>
      </c>
    </row>
    <row r="5250" ht="22.5" customHeight="1">
      <c r="A5250" s="3" t="s">
        <v>5251</v>
      </c>
      <c r="B5250" s="3" t="s">
        <v>25</v>
      </c>
      <c r="C5250" s="12" t="s">
        <v>5276</v>
      </c>
      <c r="D5250" s="13">
        <v>63950.0</v>
      </c>
      <c r="E5250" s="4">
        <v>45790.0</v>
      </c>
      <c r="F5250" s="4" t="str">
        <f>IF(D5250="","", IFNA(VLOOKUP(D5250, SATCAT_DECAY!A:B, 2, FALSE), ""))
</f>
        <v/>
      </c>
      <c r="G5250" s="3" t="str">
        <f t="shared" si="1"/>
        <v>ACTIVE</v>
      </c>
    </row>
    <row r="5251" ht="22.5" customHeight="1">
      <c r="A5251" s="3" t="s">
        <v>5251</v>
      </c>
      <c r="B5251" s="3" t="s">
        <v>25</v>
      </c>
      <c r="C5251" s="12" t="s">
        <v>5277</v>
      </c>
      <c r="D5251" s="13">
        <v>63951.0</v>
      </c>
      <c r="E5251" s="4">
        <v>45790.0</v>
      </c>
      <c r="F5251" s="4" t="str">
        <f>IF(D5251="","", IFNA(VLOOKUP(D5251, SATCAT_DECAY!A:B, 2, FALSE), ""))
</f>
        <v/>
      </c>
      <c r="G5251" s="3" t="str">
        <f t="shared" si="1"/>
        <v>ACTIVE</v>
      </c>
    </row>
    <row r="5252" ht="22.5" customHeight="1">
      <c r="A5252" s="11" t="str">
        <f t="array" ref="A5252">IFERROR(
  INDEX('Starlink Launches'!$A:$A, MATCH($E5252, 'Starlink Launches'!$B:$B, 0)),
  ""
)
</f>
        <v>15-5</v>
      </c>
      <c r="B5252" s="3" t="s">
        <v>25</v>
      </c>
      <c r="C5252" s="12" t="s">
        <v>5278</v>
      </c>
      <c r="D5252" s="13">
        <v>64022.0</v>
      </c>
      <c r="E5252" s="4">
        <v>45793.0</v>
      </c>
      <c r="F5252" s="4" t="str">
        <f>IF(D5252="","", IFNA(VLOOKUP(D5252, SATCAT_DECAY!A:B, 2, FALSE), ""))
</f>
        <v/>
      </c>
      <c r="G5252" s="3" t="str">
        <f t="shared" si="1"/>
        <v>ACTIVE</v>
      </c>
    </row>
    <row r="5253" ht="22.5" customHeight="1">
      <c r="A5253" s="11" t="str">
        <f t="array" ref="A5253">IFERROR(
  INDEX('Starlink Launches'!$A:$A, MATCH($E5253, 'Starlink Launches'!$B:$B, 0)),
  ""
)
</f>
        <v>15-5</v>
      </c>
      <c r="B5253" s="3" t="s">
        <v>25</v>
      </c>
      <c r="C5253" s="12" t="s">
        <v>5279</v>
      </c>
      <c r="D5253" s="13">
        <v>64023.0</v>
      </c>
      <c r="E5253" s="4">
        <v>45793.0</v>
      </c>
      <c r="F5253" s="4" t="str">
        <f>IF(D5253="","", IFNA(VLOOKUP(D5253, SATCAT_DECAY!A:B, 2, FALSE), ""))
</f>
        <v/>
      </c>
      <c r="G5253" s="3" t="str">
        <f t="shared" si="1"/>
        <v>ACTIVE</v>
      </c>
    </row>
    <row r="5254" ht="22.5" customHeight="1">
      <c r="A5254" s="11" t="str">
        <f t="array" ref="A5254">IFERROR(
  INDEX('Starlink Launches'!$A:$A, MATCH($E5254, 'Starlink Launches'!$B:$B, 0)),
  ""
)
</f>
        <v>15-5</v>
      </c>
      <c r="B5254" s="3" t="s">
        <v>25</v>
      </c>
      <c r="C5254" s="12" t="s">
        <v>5280</v>
      </c>
      <c r="D5254" s="13">
        <v>64024.0</v>
      </c>
      <c r="E5254" s="4">
        <v>45793.0</v>
      </c>
      <c r="F5254" s="4" t="str">
        <f>IF(D5254="","", IFNA(VLOOKUP(D5254, SATCAT_DECAY!A:B, 2, FALSE), ""))
</f>
        <v/>
      </c>
      <c r="G5254" s="3" t="str">
        <f t="shared" si="1"/>
        <v>ACTIVE</v>
      </c>
    </row>
    <row r="5255" ht="22.5" customHeight="1">
      <c r="A5255" s="11" t="str">
        <f t="array" ref="A5255">IFERROR(
  INDEX('Starlink Launches'!$A:$A, MATCH($E5255, 'Starlink Launches'!$B:$B, 0)),
  ""
)
</f>
        <v>15-5</v>
      </c>
      <c r="B5255" s="3" t="s">
        <v>25</v>
      </c>
      <c r="C5255" s="12" t="s">
        <v>5281</v>
      </c>
      <c r="D5255" s="13">
        <v>64025.0</v>
      </c>
      <c r="E5255" s="4">
        <v>45793.0</v>
      </c>
      <c r="F5255" s="4" t="str">
        <f>IF(D5255="","", IFNA(VLOOKUP(D5255, SATCAT_DECAY!A:B, 2, FALSE), ""))
</f>
        <v/>
      </c>
      <c r="G5255" s="3" t="str">
        <f t="shared" si="1"/>
        <v>ACTIVE</v>
      </c>
    </row>
    <row r="5256" ht="22.5" customHeight="1">
      <c r="A5256" s="11" t="str">
        <f t="array" ref="A5256">IFERROR(
  INDEX('Starlink Launches'!$A:$A, MATCH($E5256, 'Starlink Launches'!$B:$B, 0)),
  ""
)
</f>
        <v>15-5</v>
      </c>
      <c r="B5256" s="3" t="s">
        <v>25</v>
      </c>
      <c r="C5256" s="12" t="s">
        <v>5282</v>
      </c>
      <c r="D5256" s="13">
        <v>64026.0</v>
      </c>
      <c r="E5256" s="4">
        <v>45793.0</v>
      </c>
      <c r="F5256" s="4" t="str">
        <f>IF(D5256="","", IFNA(VLOOKUP(D5256, SATCAT_DECAY!A:B, 2, FALSE), ""))
</f>
        <v/>
      </c>
      <c r="G5256" s="3" t="str">
        <f t="shared" si="1"/>
        <v>ACTIVE</v>
      </c>
    </row>
    <row r="5257" ht="22.5" customHeight="1">
      <c r="A5257" s="11" t="str">
        <f t="array" ref="A5257">IFERROR(
  INDEX('Starlink Launches'!$A:$A, MATCH($E5257, 'Starlink Launches'!$B:$B, 0)),
  ""
)
</f>
        <v>15-5</v>
      </c>
      <c r="B5257" s="3" t="s">
        <v>25</v>
      </c>
      <c r="C5257" s="12" t="s">
        <v>5283</v>
      </c>
      <c r="D5257" s="13">
        <v>64027.0</v>
      </c>
      <c r="E5257" s="4">
        <v>45793.0</v>
      </c>
      <c r="F5257" s="4" t="str">
        <f>IF(D5257="","", IFNA(VLOOKUP(D5257, SATCAT_DECAY!A:B, 2, FALSE), ""))
</f>
        <v/>
      </c>
      <c r="G5257" s="3" t="str">
        <f t="shared" si="1"/>
        <v>ACTIVE</v>
      </c>
    </row>
    <row r="5258" ht="22.5" customHeight="1">
      <c r="A5258" s="11" t="str">
        <f t="array" ref="A5258">IFERROR(
  INDEX('Starlink Launches'!$A:$A, MATCH($E5258, 'Starlink Launches'!$B:$B, 0)),
  ""
)
</f>
        <v>15-5</v>
      </c>
      <c r="B5258" s="3" t="s">
        <v>25</v>
      </c>
      <c r="C5258" s="12" t="s">
        <v>5284</v>
      </c>
      <c r="D5258" s="13">
        <v>64028.0</v>
      </c>
      <c r="E5258" s="4">
        <v>45793.0</v>
      </c>
      <c r="F5258" s="4" t="str">
        <f>IF(D5258="","", IFNA(VLOOKUP(D5258, SATCAT_DECAY!A:B, 2, FALSE), ""))
</f>
        <v/>
      </c>
      <c r="G5258" s="3" t="str">
        <f t="shared" si="1"/>
        <v>ACTIVE</v>
      </c>
    </row>
    <row r="5259" ht="22.5" customHeight="1">
      <c r="A5259" s="11" t="str">
        <f t="array" ref="A5259">IFERROR(
  INDEX('Starlink Launches'!$A:$A, MATCH($E5259, 'Starlink Launches'!$B:$B, 0)),
  ""
)
</f>
        <v>15-5</v>
      </c>
      <c r="B5259" s="3" t="s">
        <v>25</v>
      </c>
      <c r="C5259" s="12" t="s">
        <v>5285</v>
      </c>
      <c r="D5259" s="13">
        <v>64029.0</v>
      </c>
      <c r="E5259" s="4">
        <v>45793.0</v>
      </c>
      <c r="F5259" s="4" t="str">
        <f>IF(D5259="","", IFNA(VLOOKUP(D5259, SATCAT_DECAY!A:B, 2, FALSE), ""))
</f>
        <v/>
      </c>
      <c r="G5259" s="3" t="str">
        <f t="shared" si="1"/>
        <v>ACTIVE</v>
      </c>
    </row>
    <row r="5260" ht="22.5" customHeight="1">
      <c r="A5260" s="11" t="str">
        <f t="array" ref="A5260">IFERROR(
  INDEX('Starlink Launches'!$A:$A, MATCH($E5260, 'Starlink Launches'!$B:$B, 0)),
  ""
)
</f>
        <v>15-5</v>
      </c>
      <c r="B5260" s="3" t="s">
        <v>25</v>
      </c>
      <c r="C5260" s="12" t="s">
        <v>5286</v>
      </c>
      <c r="D5260" s="13">
        <v>64030.0</v>
      </c>
      <c r="E5260" s="4">
        <v>45793.0</v>
      </c>
      <c r="F5260" s="4" t="str">
        <f>IF(D5260="","", IFNA(VLOOKUP(D5260, SATCAT_DECAY!A:B, 2, FALSE), ""))
</f>
        <v/>
      </c>
      <c r="G5260" s="3" t="str">
        <f t="shared" si="1"/>
        <v>ACTIVE</v>
      </c>
    </row>
    <row r="5261" ht="22.5" customHeight="1">
      <c r="A5261" s="11" t="str">
        <f t="array" ref="A5261">IFERROR(
  INDEX('Starlink Launches'!$A:$A, MATCH($E5261, 'Starlink Launches'!$B:$B, 0)),
  ""
)
</f>
        <v>15-5</v>
      </c>
      <c r="B5261" s="3" t="s">
        <v>25</v>
      </c>
      <c r="C5261" s="12" t="s">
        <v>5287</v>
      </c>
      <c r="D5261" s="13">
        <v>64031.0</v>
      </c>
      <c r="E5261" s="4">
        <v>45793.0</v>
      </c>
      <c r="F5261" s="4" t="str">
        <f>IF(D5261="","", IFNA(VLOOKUP(D5261, SATCAT_DECAY!A:B, 2, FALSE), ""))
</f>
        <v/>
      </c>
      <c r="G5261" s="3" t="str">
        <f t="shared" si="1"/>
        <v>ACTIVE</v>
      </c>
    </row>
    <row r="5262" ht="22.5" customHeight="1">
      <c r="A5262" s="11" t="str">
        <f t="array" ref="A5262">IFERROR(
  INDEX('Starlink Launches'!$A:$A, MATCH($E5262, 'Starlink Launches'!$B:$B, 0)),
  ""
)
</f>
        <v>15-5</v>
      </c>
      <c r="B5262" s="3" t="s">
        <v>25</v>
      </c>
      <c r="C5262" s="12" t="s">
        <v>5288</v>
      </c>
      <c r="D5262" s="13">
        <v>64032.0</v>
      </c>
      <c r="E5262" s="4">
        <v>45793.0</v>
      </c>
      <c r="F5262" s="4" t="str">
        <f>IF(D5262="","", IFNA(VLOOKUP(D5262, SATCAT_DECAY!A:B, 2, FALSE), ""))
</f>
        <v/>
      </c>
      <c r="G5262" s="3" t="str">
        <f t="shared" si="1"/>
        <v>ACTIVE</v>
      </c>
    </row>
    <row r="5263" ht="22.5" customHeight="1">
      <c r="A5263" s="11" t="str">
        <f t="array" ref="A5263">IFERROR(
  INDEX('Starlink Launches'!$A:$A, MATCH($E5263, 'Starlink Launches'!$B:$B, 0)),
  ""
)
</f>
        <v>15-5</v>
      </c>
      <c r="B5263" s="3" t="s">
        <v>25</v>
      </c>
      <c r="C5263" s="12" t="s">
        <v>5289</v>
      </c>
      <c r="D5263" s="13">
        <v>64033.0</v>
      </c>
      <c r="E5263" s="4">
        <v>45793.0</v>
      </c>
      <c r="F5263" s="4" t="str">
        <f>IF(D5263="","", IFNA(VLOOKUP(D5263, SATCAT_DECAY!A:B, 2, FALSE), ""))
</f>
        <v/>
      </c>
      <c r="G5263" s="3" t="str">
        <f t="shared" si="1"/>
        <v>ACTIVE</v>
      </c>
    </row>
    <row r="5264" ht="22.5" customHeight="1">
      <c r="A5264" s="11" t="str">
        <f t="array" ref="A5264">IFERROR(
  INDEX('Starlink Launches'!$A:$A, MATCH($E5264, 'Starlink Launches'!$B:$B, 0)),
  ""
)
</f>
        <v>15-5</v>
      </c>
      <c r="B5264" s="3" t="s">
        <v>25</v>
      </c>
      <c r="C5264" s="12" t="s">
        <v>5290</v>
      </c>
      <c r="D5264" s="13">
        <v>64034.0</v>
      </c>
      <c r="E5264" s="4">
        <v>45793.0</v>
      </c>
      <c r="F5264" s="4" t="str">
        <f>IF(D5264="","", IFNA(VLOOKUP(D5264, SATCAT_DECAY!A:B, 2, FALSE), ""))
</f>
        <v/>
      </c>
      <c r="G5264" s="3" t="str">
        <f t="shared" si="1"/>
        <v>ACTIVE</v>
      </c>
    </row>
    <row r="5265" ht="22.5" customHeight="1">
      <c r="A5265" s="11" t="str">
        <f t="array" ref="A5265">IFERROR(
  INDEX('Starlink Launches'!$A:$A, MATCH($E5265, 'Starlink Launches'!$B:$B, 0)),
  ""
)
</f>
        <v>15-5</v>
      </c>
      <c r="B5265" s="3" t="s">
        <v>25</v>
      </c>
      <c r="C5265" s="12" t="s">
        <v>5291</v>
      </c>
      <c r="D5265" s="13">
        <v>64035.0</v>
      </c>
      <c r="E5265" s="4">
        <v>45793.0</v>
      </c>
      <c r="F5265" s="4" t="str">
        <f>IF(D5265="","", IFNA(VLOOKUP(D5265, SATCAT_DECAY!A:B, 2, FALSE), ""))
</f>
        <v/>
      </c>
      <c r="G5265" s="3" t="str">
        <f t="shared" si="1"/>
        <v>ACTIVE</v>
      </c>
    </row>
    <row r="5266" ht="22.5" customHeight="1">
      <c r="A5266" s="11" t="str">
        <f t="array" ref="A5266">IFERROR(
  INDEX('Starlink Launches'!$A:$A, MATCH($E5266, 'Starlink Launches'!$B:$B, 0)),
  ""
)
</f>
        <v>15-5</v>
      </c>
      <c r="B5266" s="3" t="s">
        <v>25</v>
      </c>
      <c r="C5266" s="12" t="s">
        <v>5292</v>
      </c>
      <c r="D5266" s="13">
        <v>64036.0</v>
      </c>
      <c r="E5266" s="4">
        <v>45793.0</v>
      </c>
      <c r="F5266" s="4" t="str">
        <f>IF(D5266="","", IFNA(VLOOKUP(D5266, SATCAT_DECAY!A:B, 2, FALSE), ""))
</f>
        <v/>
      </c>
      <c r="G5266" s="3" t="str">
        <f t="shared" si="1"/>
        <v>ACTIVE</v>
      </c>
    </row>
    <row r="5267" ht="22.5" customHeight="1">
      <c r="A5267" s="11" t="str">
        <f t="array" ref="A5267">IFERROR(
  INDEX('Starlink Launches'!$A:$A, MATCH($E5267, 'Starlink Launches'!$B:$B, 0)),
  ""
)
</f>
        <v>15-5</v>
      </c>
      <c r="B5267" s="3" t="s">
        <v>25</v>
      </c>
      <c r="C5267" s="12" t="s">
        <v>5293</v>
      </c>
      <c r="D5267" s="13">
        <v>64037.0</v>
      </c>
      <c r="E5267" s="4">
        <v>45793.0</v>
      </c>
      <c r="F5267" s="4" t="str">
        <f>IF(D5267="","", IFNA(VLOOKUP(D5267, SATCAT_DECAY!A:B, 2, FALSE), ""))
</f>
        <v/>
      </c>
      <c r="G5267" s="3" t="str">
        <f t="shared" si="1"/>
        <v>ACTIVE</v>
      </c>
    </row>
    <row r="5268" ht="22.5" customHeight="1">
      <c r="A5268" s="11" t="str">
        <f t="array" ref="A5268">IFERROR(
  INDEX('Starlink Launches'!$A:$A, MATCH($E5268, 'Starlink Launches'!$B:$B, 0)),
  ""
)
</f>
        <v>15-5</v>
      </c>
      <c r="B5268" s="3" t="s">
        <v>25</v>
      </c>
      <c r="C5268" s="12" t="s">
        <v>5294</v>
      </c>
      <c r="D5268" s="13">
        <v>64038.0</v>
      </c>
      <c r="E5268" s="4">
        <v>45793.0</v>
      </c>
      <c r="F5268" s="4" t="str">
        <f>IF(D5268="","", IFNA(VLOOKUP(D5268, SATCAT_DECAY!A:B, 2, FALSE), ""))
</f>
        <v/>
      </c>
      <c r="G5268" s="3" t="str">
        <f t="shared" si="1"/>
        <v>ACTIVE</v>
      </c>
    </row>
    <row r="5269" ht="22.5" customHeight="1">
      <c r="A5269" s="11" t="str">
        <f t="array" ref="A5269">IFERROR(
  INDEX('Starlink Launches'!$A:$A, MATCH($E5269, 'Starlink Launches'!$B:$B, 0)),
  ""
)
</f>
        <v>15-5</v>
      </c>
      <c r="B5269" s="3" t="s">
        <v>25</v>
      </c>
      <c r="C5269" s="12" t="s">
        <v>5295</v>
      </c>
      <c r="D5269" s="13">
        <v>64039.0</v>
      </c>
      <c r="E5269" s="4">
        <v>45793.0</v>
      </c>
      <c r="F5269" s="4" t="str">
        <f>IF(D5269="","", IFNA(VLOOKUP(D5269, SATCAT_DECAY!A:B, 2, FALSE), ""))
</f>
        <v/>
      </c>
      <c r="G5269" s="3" t="str">
        <f t="shared" si="1"/>
        <v>ACTIVE</v>
      </c>
    </row>
    <row r="5270" ht="22.5" customHeight="1">
      <c r="A5270" s="11" t="str">
        <f t="array" ref="A5270">IFERROR(
  INDEX('Starlink Launches'!$A:$A, MATCH($E5270, 'Starlink Launches'!$B:$B, 0)),
  ""
)
</f>
        <v>15-5</v>
      </c>
      <c r="B5270" s="3" t="s">
        <v>25</v>
      </c>
      <c r="C5270" s="12" t="s">
        <v>5296</v>
      </c>
      <c r="D5270" s="13">
        <v>64040.0</v>
      </c>
      <c r="E5270" s="4">
        <v>45793.0</v>
      </c>
      <c r="F5270" s="4" t="str">
        <f>IF(D5270="","", IFNA(VLOOKUP(D5270, SATCAT_DECAY!A:B, 2, FALSE), ""))
</f>
        <v/>
      </c>
      <c r="G5270" s="3" t="str">
        <f t="shared" si="1"/>
        <v>ACTIVE</v>
      </c>
    </row>
    <row r="5271" ht="22.5" customHeight="1">
      <c r="A5271" s="11" t="str">
        <f t="array" ref="A5271">IFERROR(
  INDEX('Starlink Launches'!$A:$A, MATCH($E5271, 'Starlink Launches'!$B:$B, 0)),
  ""
)
</f>
        <v>15-5</v>
      </c>
      <c r="B5271" s="3" t="s">
        <v>25</v>
      </c>
      <c r="C5271" s="12" t="s">
        <v>5297</v>
      </c>
      <c r="D5271" s="13">
        <v>64041.0</v>
      </c>
      <c r="E5271" s="4">
        <v>45793.0</v>
      </c>
      <c r="F5271" s="4" t="str">
        <f>IF(D5271="","", IFNA(VLOOKUP(D5271, SATCAT_DECAY!A:B, 2, FALSE), ""))
</f>
        <v/>
      </c>
      <c r="G5271" s="3" t="str">
        <f t="shared" si="1"/>
        <v>ACTIVE</v>
      </c>
    </row>
    <row r="5272" ht="22.5" customHeight="1">
      <c r="A5272" s="11" t="str">
        <f t="array" ref="A5272">IFERROR(
  INDEX('Starlink Launches'!$A:$A, MATCH($E5272, 'Starlink Launches'!$B:$B, 0)),
  ""
)
</f>
        <v>15-5</v>
      </c>
      <c r="B5272" s="3" t="s">
        <v>25</v>
      </c>
      <c r="C5272" s="12" t="s">
        <v>5298</v>
      </c>
      <c r="D5272" s="13">
        <v>64042.0</v>
      </c>
      <c r="E5272" s="4">
        <v>45793.0</v>
      </c>
      <c r="F5272" s="4" t="str">
        <f>IF(D5272="","", IFNA(VLOOKUP(D5272, SATCAT_DECAY!A:B, 2, FALSE), ""))
</f>
        <v/>
      </c>
      <c r="G5272" s="3" t="str">
        <f t="shared" si="1"/>
        <v>ACTIVE</v>
      </c>
    </row>
    <row r="5273" ht="22.5" customHeight="1">
      <c r="A5273" s="11" t="str">
        <f t="array" ref="A5273">IFERROR(
  INDEX('Starlink Launches'!$A:$A, MATCH($E5273, 'Starlink Launches'!$B:$B, 0)),
  ""
)
</f>
        <v>15-5</v>
      </c>
      <c r="B5273" s="3" t="s">
        <v>25</v>
      </c>
      <c r="C5273" s="12" t="s">
        <v>5299</v>
      </c>
      <c r="D5273" s="13">
        <v>64043.0</v>
      </c>
      <c r="E5273" s="4">
        <v>45793.0</v>
      </c>
      <c r="F5273" s="4" t="str">
        <f>IF(D5273="","", IFNA(VLOOKUP(D5273, SATCAT_DECAY!A:B, 2, FALSE), ""))
</f>
        <v/>
      </c>
      <c r="G5273" s="3" t="str">
        <f t="shared" si="1"/>
        <v>ACTIVE</v>
      </c>
    </row>
    <row r="5274" ht="22.5" customHeight="1">
      <c r="A5274" s="11" t="str">
        <f t="array" ref="A5274">IFERROR(
  INDEX('Starlink Launches'!$A:$A, MATCH($E5274, 'Starlink Launches'!$B:$B, 0)),
  ""
)
</f>
        <v>15-5</v>
      </c>
      <c r="B5274" s="3" t="s">
        <v>25</v>
      </c>
      <c r="C5274" s="12" t="s">
        <v>5300</v>
      </c>
      <c r="D5274" s="13">
        <v>64044.0</v>
      </c>
      <c r="E5274" s="4">
        <v>45793.0</v>
      </c>
      <c r="F5274" s="4" t="str">
        <f>IF(D5274="","", IFNA(VLOOKUP(D5274, SATCAT_DECAY!A:B, 2, FALSE), ""))
</f>
        <v/>
      </c>
      <c r="G5274" s="3" t="str">
        <f t="shared" si="1"/>
        <v>ACTIVE</v>
      </c>
    </row>
    <row r="5275" ht="22.5" customHeight="1">
      <c r="A5275" s="11" t="str">
        <f t="array" ref="A5275">IFERROR(
  INDEX('Starlink Launches'!$A:$A, MATCH($E5275, 'Starlink Launches'!$B:$B, 0)),
  ""
)
</f>
        <v>15-5</v>
      </c>
      <c r="B5275" s="3" t="s">
        <v>25</v>
      </c>
      <c r="C5275" s="12" t="s">
        <v>5301</v>
      </c>
      <c r="D5275" s="13">
        <v>64045.0</v>
      </c>
      <c r="E5275" s="4">
        <v>45793.0</v>
      </c>
      <c r="F5275" s="4" t="str">
        <f>IF(D5275="","", IFNA(VLOOKUP(D5275, SATCAT_DECAY!A:B, 2, FALSE), ""))
</f>
        <v/>
      </c>
      <c r="G5275" s="3" t="str">
        <f t="shared" si="1"/>
        <v>ACTIVE</v>
      </c>
    </row>
    <row r="5276" ht="22.5" customHeight="1">
      <c r="A5276" s="11" t="str">
        <f t="array" ref="A5276">IFERROR(
  INDEX('Starlink Launches'!$A:$A, MATCH($E5276, 'Starlink Launches'!$B:$B, 0)),
  ""
)
</f>
        <v>15-5</v>
      </c>
      <c r="B5276" s="3" t="s">
        <v>25</v>
      </c>
      <c r="C5276" s="12" t="s">
        <v>5302</v>
      </c>
      <c r="D5276" s="13">
        <v>64046.0</v>
      </c>
      <c r="E5276" s="4">
        <v>45793.0</v>
      </c>
      <c r="F5276" s="4" t="str">
        <f>IF(D5276="","", IFNA(VLOOKUP(D5276, SATCAT_DECAY!A:B, 2, FALSE), ""))
</f>
        <v/>
      </c>
      <c r="G5276" s="3" t="str">
        <f t="shared" si="1"/>
        <v>ACTIVE</v>
      </c>
    </row>
    <row r="5277" ht="22.5" customHeight="1">
      <c r="A5277" s="11" t="str">
        <f t="array" ref="A5277">IFERROR(
  INDEX('Starlink Launches'!$A:$A, MATCH($E5277, 'Starlink Launches'!$B:$B, 0)),
  ""
)
</f>
        <v>15-5</v>
      </c>
      <c r="B5277" s="3" t="s">
        <v>25</v>
      </c>
      <c r="C5277" s="12" t="s">
        <v>5303</v>
      </c>
      <c r="D5277" s="13">
        <v>64047.0</v>
      </c>
      <c r="E5277" s="4">
        <v>45793.0</v>
      </c>
      <c r="F5277" s="4" t="str">
        <f>IF(D5277="","", IFNA(VLOOKUP(D5277, SATCAT_DECAY!A:B, 2, FALSE), ""))
</f>
        <v/>
      </c>
      <c r="G5277" s="3" t="str">
        <f t="shared" si="1"/>
        <v>ACTIVE</v>
      </c>
    </row>
    <row r="5278" ht="22.5" customHeight="1">
      <c r="A5278" s="11" t="str">
        <f t="array" ref="A5278">IFERROR(
  INDEX('Starlink Launches'!$A:$A, MATCH($E5278, 'Starlink Launches'!$B:$B, 0)),
  ""
)
</f>
        <v>15-8</v>
      </c>
      <c r="B5278" s="3" t="s">
        <v>25</v>
      </c>
      <c r="C5278" s="12" t="s">
        <v>5304</v>
      </c>
      <c r="D5278" s="13">
        <v>64291.0</v>
      </c>
      <c r="E5278" s="4">
        <v>45816.0</v>
      </c>
      <c r="F5278" s="4" t="str">
        <f>IF(D5278="","", IFNA(VLOOKUP(D5278, SATCAT_DECAY!A:B, 2, FALSE), ""))
</f>
        <v/>
      </c>
      <c r="G5278" s="3" t="str">
        <f t="shared" si="1"/>
        <v>ACTIVE</v>
      </c>
    </row>
    <row r="5279" ht="22.5" customHeight="1">
      <c r="A5279" s="11" t="str">
        <f t="array" ref="A5279">IFERROR(
  INDEX('Starlink Launches'!$A:$A, MATCH($E5279, 'Starlink Launches'!$B:$B, 0)),
  ""
)
</f>
        <v>15-8</v>
      </c>
      <c r="B5279" s="3" t="s">
        <v>25</v>
      </c>
      <c r="C5279" s="12" t="s">
        <v>5305</v>
      </c>
      <c r="D5279" s="13">
        <v>64292.0</v>
      </c>
      <c r="E5279" s="4">
        <v>45816.0</v>
      </c>
      <c r="F5279" s="4" t="str">
        <f>IF(D5279="","", IFNA(VLOOKUP(D5279, SATCAT_DECAY!A:B, 2, FALSE), ""))
</f>
        <v/>
      </c>
      <c r="G5279" s="3" t="str">
        <f t="shared" si="1"/>
        <v>ACTIVE</v>
      </c>
    </row>
    <row r="5280" ht="22.5" customHeight="1">
      <c r="A5280" s="11" t="str">
        <f t="array" ref="A5280">IFERROR(
  INDEX('Starlink Launches'!$A:$A, MATCH($E5280, 'Starlink Launches'!$B:$B, 0)),
  ""
)
</f>
        <v>15-8</v>
      </c>
      <c r="B5280" s="3" t="s">
        <v>25</v>
      </c>
      <c r="C5280" s="12" t="s">
        <v>5306</v>
      </c>
      <c r="D5280" s="13">
        <v>64293.0</v>
      </c>
      <c r="E5280" s="4">
        <v>45816.0</v>
      </c>
      <c r="F5280" s="4" t="str">
        <f>IF(D5280="","", IFNA(VLOOKUP(D5280, SATCAT_DECAY!A:B, 2, FALSE), ""))
</f>
        <v/>
      </c>
      <c r="G5280" s="3" t="str">
        <f t="shared" si="1"/>
        <v>ACTIVE</v>
      </c>
    </row>
    <row r="5281" ht="22.5" customHeight="1">
      <c r="A5281" s="11" t="str">
        <f t="array" ref="A5281">IFERROR(
  INDEX('Starlink Launches'!$A:$A, MATCH($E5281, 'Starlink Launches'!$B:$B, 0)),
  ""
)
</f>
        <v>15-8</v>
      </c>
      <c r="B5281" s="3" t="s">
        <v>25</v>
      </c>
      <c r="C5281" s="12" t="s">
        <v>5307</v>
      </c>
      <c r="D5281" s="13">
        <v>64294.0</v>
      </c>
      <c r="E5281" s="4">
        <v>45816.0</v>
      </c>
      <c r="F5281" s="4" t="str">
        <f>IF(D5281="","", IFNA(VLOOKUP(D5281, SATCAT_DECAY!A:B, 2, FALSE), ""))
</f>
        <v/>
      </c>
      <c r="G5281" s="3" t="str">
        <f t="shared" si="1"/>
        <v>ACTIVE</v>
      </c>
    </row>
    <row r="5282" ht="22.5" customHeight="1">
      <c r="A5282" s="11" t="str">
        <f t="array" ref="A5282">IFERROR(
  INDEX('Starlink Launches'!$A:$A, MATCH($E5282, 'Starlink Launches'!$B:$B, 0)),
  ""
)
</f>
        <v>15-8</v>
      </c>
      <c r="B5282" s="3" t="s">
        <v>25</v>
      </c>
      <c r="C5282" s="12" t="s">
        <v>5308</v>
      </c>
      <c r="D5282" s="13">
        <v>64295.0</v>
      </c>
      <c r="E5282" s="4">
        <v>45816.0</v>
      </c>
      <c r="F5282" s="4" t="str">
        <f>IF(D5282="","", IFNA(VLOOKUP(D5282, SATCAT_DECAY!A:B, 2, FALSE), ""))
</f>
        <v/>
      </c>
      <c r="G5282" s="3" t="str">
        <f t="shared" si="1"/>
        <v>ACTIVE</v>
      </c>
    </row>
    <row r="5283" ht="22.5" customHeight="1">
      <c r="A5283" s="11" t="str">
        <f t="array" ref="A5283">IFERROR(
  INDEX('Starlink Launches'!$A:$A, MATCH($E5283, 'Starlink Launches'!$B:$B, 0)),
  ""
)
</f>
        <v>15-8</v>
      </c>
      <c r="B5283" s="3" t="s">
        <v>25</v>
      </c>
      <c r="C5283" s="12" t="s">
        <v>5309</v>
      </c>
      <c r="D5283" s="13">
        <v>64296.0</v>
      </c>
      <c r="E5283" s="4">
        <v>45816.0</v>
      </c>
      <c r="F5283" s="4" t="str">
        <f>IF(D5283="","", IFNA(VLOOKUP(D5283, SATCAT_DECAY!A:B, 2, FALSE), ""))
</f>
        <v/>
      </c>
      <c r="G5283" s="3" t="str">
        <f t="shared" si="1"/>
        <v>ACTIVE</v>
      </c>
    </row>
    <row r="5284" ht="22.5" customHeight="1">
      <c r="A5284" s="11" t="str">
        <f t="array" ref="A5284">IFERROR(
  INDEX('Starlink Launches'!$A:$A, MATCH($E5284, 'Starlink Launches'!$B:$B, 0)),
  ""
)
</f>
        <v>15-8</v>
      </c>
      <c r="B5284" s="3" t="s">
        <v>25</v>
      </c>
      <c r="C5284" s="12" t="s">
        <v>5310</v>
      </c>
      <c r="D5284" s="13">
        <v>64297.0</v>
      </c>
      <c r="E5284" s="4">
        <v>45816.0</v>
      </c>
      <c r="F5284" s="4" t="str">
        <f>IF(D5284="","", IFNA(VLOOKUP(D5284, SATCAT_DECAY!A:B, 2, FALSE), ""))
</f>
        <v/>
      </c>
      <c r="G5284" s="3" t="str">
        <f t="shared" si="1"/>
        <v>ACTIVE</v>
      </c>
    </row>
    <row r="5285" ht="22.5" customHeight="1">
      <c r="A5285" s="11" t="str">
        <f t="array" ref="A5285">IFERROR(
  INDEX('Starlink Launches'!$A:$A, MATCH($E5285, 'Starlink Launches'!$B:$B, 0)),
  ""
)
</f>
        <v>15-8</v>
      </c>
      <c r="B5285" s="3" t="s">
        <v>25</v>
      </c>
      <c r="C5285" s="12" t="s">
        <v>5311</v>
      </c>
      <c r="D5285" s="13">
        <v>64298.0</v>
      </c>
      <c r="E5285" s="4">
        <v>45816.0</v>
      </c>
      <c r="F5285" s="4" t="str">
        <f>IF(D5285="","", IFNA(VLOOKUP(D5285, SATCAT_DECAY!A:B, 2, FALSE), ""))
</f>
        <v/>
      </c>
      <c r="G5285" s="3" t="str">
        <f t="shared" si="1"/>
        <v>ACTIVE</v>
      </c>
    </row>
    <row r="5286" ht="22.5" customHeight="1">
      <c r="A5286" s="11" t="str">
        <f t="array" ref="A5286">IFERROR(
  INDEX('Starlink Launches'!$A:$A, MATCH($E5286, 'Starlink Launches'!$B:$B, 0)),
  ""
)
</f>
        <v>15-8</v>
      </c>
      <c r="B5286" s="3" t="s">
        <v>25</v>
      </c>
      <c r="C5286" s="12" t="s">
        <v>5312</v>
      </c>
      <c r="D5286" s="13">
        <v>64299.0</v>
      </c>
      <c r="E5286" s="4">
        <v>45816.0</v>
      </c>
      <c r="F5286" s="4" t="str">
        <f>IF(D5286="","", IFNA(VLOOKUP(D5286, SATCAT_DECAY!A:B, 2, FALSE), ""))
</f>
        <v/>
      </c>
      <c r="G5286" s="3" t="str">
        <f t="shared" si="1"/>
        <v>ACTIVE</v>
      </c>
    </row>
    <row r="5287" ht="22.5" customHeight="1">
      <c r="A5287" s="11" t="str">
        <f t="array" ref="A5287">IFERROR(
  INDEX('Starlink Launches'!$A:$A, MATCH($E5287, 'Starlink Launches'!$B:$B, 0)),
  ""
)
</f>
        <v>15-8</v>
      </c>
      <c r="B5287" s="3" t="s">
        <v>25</v>
      </c>
      <c r="C5287" s="12" t="s">
        <v>5313</v>
      </c>
      <c r="D5287" s="13">
        <v>64300.0</v>
      </c>
      <c r="E5287" s="4">
        <v>45816.0</v>
      </c>
      <c r="F5287" s="4" t="str">
        <f>IF(D5287="","", IFNA(VLOOKUP(D5287, SATCAT_DECAY!A:B, 2, FALSE), ""))
</f>
        <v/>
      </c>
      <c r="G5287" s="3" t="str">
        <f t="shared" si="1"/>
        <v>ACTIVE</v>
      </c>
    </row>
    <row r="5288" ht="22.5" customHeight="1">
      <c r="A5288" s="11" t="str">
        <f t="array" ref="A5288">IFERROR(
  INDEX('Starlink Launches'!$A:$A, MATCH($E5288, 'Starlink Launches'!$B:$B, 0)),
  ""
)
</f>
        <v>15-8</v>
      </c>
      <c r="B5288" s="3" t="s">
        <v>25</v>
      </c>
      <c r="C5288" s="12" t="s">
        <v>5314</v>
      </c>
      <c r="D5288" s="13">
        <v>64301.0</v>
      </c>
      <c r="E5288" s="4">
        <v>45816.0</v>
      </c>
      <c r="F5288" s="4" t="str">
        <f>IF(D5288="","", IFNA(VLOOKUP(D5288, SATCAT_DECAY!A:B, 2, FALSE), ""))
</f>
        <v/>
      </c>
      <c r="G5288" s="3" t="str">
        <f t="shared" si="1"/>
        <v>ACTIVE</v>
      </c>
    </row>
    <row r="5289" ht="22.5" customHeight="1">
      <c r="A5289" s="11" t="str">
        <f t="array" ref="A5289">IFERROR(
  INDEX('Starlink Launches'!$A:$A, MATCH($E5289, 'Starlink Launches'!$B:$B, 0)),
  ""
)
</f>
        <v>15-8</v>
      </c>
      <c r="B5289" s="3" t="s">
        <v>25</v>
      </c>
      <c r="C5289" s="12" t="s">
        <v>5315</v>
      </c>
      <c r="D5289" s="13">
        <v>64302.0</v>
      </c>
      <c r="E5289" s="4">
        <v>45816.0</v>
      </c>
      <c r="F5289" s="4" t="str">
        <f>IF(D5289="","", IFNA(VLOOKUP(D5289, SATCAT_DECAY!A:B, 2, FALSE), ""))
</f>
        <v/>
      </c>
      <c r="G5289" s="3" t="str">
        <f t="shared" si="1"/>
        <v>ACTIVE</v>
      </c>
    </row>
    <row r="5290" ht="22.5" customHeight="1">
      <c r="A5290" s="11" t="str">
        <f t="array" ref="A5290">IFERROR(
  INDEX('Starlink Launches'!$A:$A, MATCH($E5290, 'Starlink Launches'!$B:$B, 0)),
  ""
)
</f>
        <v>15-8</v>
      </c>
      <c r="B5290" s="3" t="s">
        <v>25</v>
      </c>
      <c r="C5290" s="12" t="s">
        <v>5316</v>
      </c>
      <c r="D5290" s="13">
        <v>64303.0</v>
      </c>
      <c r="E5290" s="4">
        <v>45816.0</v>
      </c>
      <c r="F5290" s="4" t="str">
        <f>IF(D5290="","", IFNA(VLOOKUP(D5290, SATCAT_DECAY!A:B, 2, FALSE), ""))
</f>
        <v/>
      </c>
      <c r="G5290" s="3" t="str">
        <f t="shared" si="1"/>
        <v>ACTIVE</v>
      </c>
    </row>
    <row r="5291" ht="22.5" customHeight="1">
      <c r="A5291" s="11" t="str">
        <f t="array" ref="A5291">IFERROR(
  INDEX('Starlink Launches'!$A:$A, MATCH($E5291, 'Starlink Launches'!$B:$B, 0)),
  ""
)
</f>
        <v>15-8</v>
      </c>
      <c r="B5291" s="3" t="s">
        <v>25</v>
      </c>
      <c r="C5291" s="12" t="s">
        <v>5317</v>
      </c>
      <c r="D5291" s="13">
        <v>64304.0</v>
      </c>
      <c r="E5291" s="4">
        <v>45816.0</v>
      </c>
      <c r="F5291" s="4" t="str">
        <f>IF(D5291="","", IFNA(VLOOKUP(D5291, SATCAT_DECAY!A:B, 2, FALSE), ""))
</f>
        <v/>
      </c>
      <c r="G5291" s="3" t="str">
        <f t="shared" si="1"/>
        <v>ACTIVE</v>
      </c>
    </row>
    <row r="5292" ht="22.5" customHeight="1">
      <c r="A5292" s="11" t="str">
        <f t="array" ref="A5292">IFERROR(
  INDEX('Starlink Launches'!$A:$A, MATCH($E5292, 'Starlink Launches'!$B:$B, 0)),
  ""
)
</f>
        <v>15-8</v>
      </c>
      <c r="B5292" s="3" t="s">
        <v>25</v>
      </c>
      <c r="C5292" s="12" t="s">
        <v>5318</v>
      </c>
      <c r="D5292" s="13">
        <v>64305.0</v>
      </c>
      <c r="E5292" s="4">
        <v>45816.0</v>
      </c>
      <c r="F5292" s="4" t="str">
        <f>IF(D5292="","", IFNA(VLOOKUP(D5292, SATCAT_DECAY!A:B, 2, FALSE), ""))
</f>
        <v/>
      </c>
      <c r="G5292" s="3" t="str">
        <f t="shared" si="1"/>
        <v>ACTIVE</v>
      </c>
    </row>
    <row r="5293" ht="22.5" customHeight="1">
      <c r="A5293" s="11" t="str">
        <f t="array" ref="A5293">IFERROR(
  INDEX('Starlink Launches'!$A:$A, MATCH($E5293, 'Starlink Launches'!$B:$B, 0)),
  ""
)
</f>
        <v>15-8</v>
      </c>
      <c r="B5293" s="3" t="s">
        <v>25</v>
      </c>
      <c r="C5293" s="12" t="s">
        <v>5319</v>
      </c>
      <c r="D5293" s="13">
        <v>64306.0</v>
      </c>
      <c r="E5293" s="4">
        <v>45816.0</v>
      </c>
      <c r="F5293" s="4" t="str">
        <f>IF(D5293="","", IFNA(VLOOKUP(D5293, SATCAT_DECAY!A:B, 2, FALSE), ""))
</f>
        <v/>
      </c>
      <c r="G5293" s="3" t="str">
        <f t="shared" si="1"/>
        <v>ACTIVE</v>
      </c>
    </row>
    <row r="5294" ht="22.5" customHeight="1">
      <c r="A5294" s="11" t="str">
        <f t="array" ref="A5294">IFERROR(
  INDEX('Starlink Launches'!$A:$A, MATCH($E5294, 'Starlink Launches'!$B:$B, 0)),
  ""
)
</f>
        <v>15-8</v>
      </c>
      <c r="B5294" s="3" t="s">
        <v>25</v>
      </c>
      <c r="C5294" s="12" t="s">
        <v>5320</v>
      </c>
      <c r="D5294" s="13">
        <v>64307.0</v>
      </c>
      <c r="E5294" s="4">
        <v>45816.0</v>
      </c>
      <c r="F5294" s="4" t="str">
        <f>IF(D5294="","", IFNA(VLOOKUP(D5294, SATCAT_DECAY!A:B, 2, FALSE), ""))
</f>
        <v/>
      </c>
      <c r="G5294" s="3" t="str">
        <f t="shared" si="1"/>
        <v>ACTIVE</v>
      </c>
    </row>
    <row r="5295" ht="22.5" customHeight="1">
      <c r="A5295" s="11" t="str">
        <f t="array" ref="A5295">IFERROR(
  INDEX('Starlink Launches'!$A:$A, MATCH($E5295, 'Starlink Launches'!$B:$B, 0)),
  ""
)
</f>
        <v>15-8</v>
      </c>
      <c r="B5295" s="3" t="s">
        <v>25</v>
      </c>
      <c r="C5295" s="12" t="s">
        <v>5321</v>
      </c>
      <c r="D5295" s="13">
        <v>64308.0</v>
      </c>
      <c r="E5295" s="4">
        <v>45816.0</v>
      </c>
      <c r="F5295" s="4" t="str">
        <f>IF(D5295="","", IFNA(VLOOKUP(D5295, SATCAT_DECAY!A:B, 2, FALSE), ""))
</f>
        <v/>
      </c>
      <c r="G5295" s="3" t="str">
        <f t="shared" si="1"/>
        <v>ACTIVE</v>
      </c>
    </row>
    <row r="5296" ht="22.5" customHeight="1">
      <c r="A5296" s="11" t="str">
        <f t="array" ref="A5296">IFERROR(
  INDEX('Starlink Launches'!$A:$A, MATCH($E5296, 'Starlink Launches'!$B:$B, 0)),
  ""
)
</f>
        <v>15-8</v>
      </c>
      <c r="B5296" s="3" t="s">
        <v>25</v>
      </c>
      <c r="C5296" s="12" t="s">
        <v>5322</v>
      </c>
      <c r="D5296" s="13">
        <v>64309.0</v>
      </c>
      <c r="E5296" s="4">
        <v>45816.0</v>
      </c>
      <c r="F5296" s="4" t="str">
        <f>IF(D5296="","", IFNA(VLOOKUP(D5296, SATCAT_DECAY!A:B, 2, FALSE), ""))
</f>
        <v/>
      </c>
      <c r="G5296" s="3" t="str">
        <f t="shared" si="1"/>
        <v>ACTIVE</v>
      </c>
    </row>
    <row r="5297" ht="22.5" customHeight="1">
      <c r="A5297" s="11" t="str">
        <f t="array" ref="A5297">IFERROR(
  INDEX('Starlink Launches'!$A:$A, MATCH($E5297, 'Starlink Launches'!$B:$B, 0)),
  ""
)
</f>
        <v>15-8</v>
      </c>
      <c r="B5297" s="3" t="s">
        <v>25</v>
      </c>
      <c r="C5297" s="12" t="s">
        <v>5323</v>
      </c>
      <c r="D5297" s="13">
        <v>64310.0</v>
      </c>
      <c r="E5297" s="4">
        <v>45816.0</v>
      </c>
      <c r="F5297" s="4" t="str">
        <f>IF(D5297="","", IFNA(VLOOKUP(D5297, SATCAT_DECAY!A:B, 2, FALSE), ""))
</f>
        <v/>
      </c>
      <c r="G5297" s="3" t="str">
        <f t="shared" si="1"/>
        <v>ACTIVE</v>
      </c>
    </row>
    <row r="5298" ht="22.5" customHeight="1">
      <c r="A5298" s="11" t="str">
        <f t="array" ref="A5298">IFERROR(
  INDEX('Starlink Launches'!$A:$A, MATCH($E5298, 'Starlink Launches'!$B:$B, 0)),
  ""
)
</f>
        <v>15-8</v>
      </c>
      <c r="B5298" s="3" t="s">
        <v>25</v>
      </c>
      <c r="C5298" s="12" t="s">
        <v>5324</v>
      </c>
      <c r="D5298" s="13">
        <v>64311.0</v>
      </c>
      <c r="E5298" s="4">
        <v>45816.0</v>
      </c>
      <c r="F5298" s="4" t="str">
        <f>IF(D5298="","", IFNA(VLOOKUP(D5298, SATCAT_DECAY!A:B, 2, FALSE), ""))
</f>
        <v/>
      </c>
      <c r="G5298" s="3" t="str">
        <f t="shared" si="1"/>
        <v>ACTIVE</v>
      </c>
    </row>
    <row r="5299" ht="22.5" customHeight="1">
      <c r="A5299" s="11" t="str">
        <f t="array" ref="A5299">IFERROR(
  INDEX('Starlink Launches'!$A:$A, MATCH($E5299, 'Starlink Launches'!$B:$B, 0)),
  ""
)
</f>
        <v>15-8</v>
      </c>
      <c r="B5299" s="3" t="s">
        <v>25</v>
      </c>
      <c r="C5299" s="12" t="s">
        <v>5325</v>
      </c>
      <c r="D5299" s="13">
        <v>64312.0</v>
      </c>
      <c r="E5299" s="4">
        <v>45816.0</v>
      </c>
      <c r="F5299" s="4" t="str">
        <f>IF(D5299="","", IFNA(VLOOKUP(D5299, SATCAT_DECAY!A:B, 2, FALSE), ""))
</f>
        <v/>
      </c>
      <c r="G5299" s="3" t="str">
        <f t="shared" si="1"/>
        <v>ACTIVE</v>
      </c>
    </row>
    <row r="5300" ht="22.5" customHeight="1">
      <c r="A5300" s="11" t="str">
        <f t="array" ref="A5300">IFERROR(
  INDEX('Starlink Launches'!$A:$A, MATCH($E5300, 'Starlink Launches'!$B:$B, 0)),
  ""
)
</f>
        <v>15-8</v>
      </c>
      <c r="B5300" s="3" t="s">
        <v>25</v>
      </c>
      <c r="C5300" s="12" t="s">
        <v>5326</v>
      </c>
      <c r="D5300" s="13">
        <v>64313.0</v>
      </c>
      <c r="E5300" s="4">
        <v>45816.0</v>
      </c>
      <c r="F5300" s="4" t="str">
        <f>IF(D5300="","", IFNA(VLOOKUP(D5300, SATCAT_DECAY!A:B, 2, FALSE), ""))
</f>
        <v/>
      </c>
      <c r="G5300" s="3" t="str">
        <f t="shared" si="1"/>
        <v>ACTIVE</v>
      </c>
    </row>
    <row r="5301" ht="22.5" customHeight="1">
      <c r="A5301" s="11" t="str">
        <f t="array" ref="A5301">IFERROR(
  INDEX('Starlink Launches'!$A:$A, MATCH($E5301, 'Starlink Launches'!$B:$B, 0)),
  ""
)
</f>
        <v>15-8</v>
      </c>
      <c r="B5301" s="3" t="s">
        <v>25</v>
      </c>
      <c r="C5301" s="12" t="s">
        <v>5327</v>
      </c>
      <c r="D5301" s="13">
        <v>64314.0</v>
      </c>
      <c r="E5301" s="4">
        <v>45816.0</v>
      </c>
      <c r="F5301" s="4" t="str">
        <f>IF(D5301="","", IFNA(VLOOKUP(D5301, SATCAT_DECAY!A:B, 2, FALSE), ""))
</f>
        <v/>
      </c>
      <c r="G5301" s="3" t="str">
        <f t="shared" si="1"/>
        <v>ACTIVE</v>
      </c>
    </row>
    <row r="5302" ht="22.5" customHeight="1">
      <c r="A5302" s="11" t="str">
        <f t="array" ref="A5302">IFERROR(
  INDEX('Starlink Launches'!$A:$A, MATCH($E5302, 'Starlink Launches'!$B:$B, 0)),
  ""
)
</f>
        <v>15-8</v>
      </c>
      <c r="B5302" s="3" t="s">
        <v>25</v>
      </c>
      <c r="C5302" s="12" t="s">
        <v>5328</v>
      </c>
      <c r="D5302" s="13">
        <v>64315.0</v>
      </c>
      <c r="E5302" s="4">
        <v>45816.0</v>
      </c>
      <c r="F5302" s="4" t="str">
        <f>IF(D5302="","", IFNA(VLOOKUP(D5302, SATCAT_DECAY!A:B, 2, FALSE), ""))
</f>
        <v/>
      </c>
      <c r="G5302" s="3" t="str">
        <f t="shared" si="1"/>
        <v>ACTIVE</v>
      </c>
    </row>
    <row r="5303" ht="22.5" customHeight="1">
      <c r="A5303" s="11" t="str">
        <f t="array" ref="A5303">IFERROR(
  INDEX('Starlink Launches'!$A:$A, MATCH($E5303, 'Starlink Launches'!$B:$B, 0)),
  ""
)
</f>
        <v>15-8</v>
      </c>
      <c r="B5303" s="3" t="s">
        <v>25</v>
      </c>
      <c r="C5303" s="12" t="s">
        <v>5329</v>
      </c>
      <c r="D5303" s="13">
        <v>64316.0</v>
      </c>
      <c r="E5303" s="4">
        <v>45816.0</v>
      </c>
      <c r="F5303" s="4" t="str">
        <f>IF(D5303="","", IFNA(VLOOKUP(D5303, SATCAT_DECAY!A:B, 2, FALSE), ""))
</f>
        <v/>
      </c>
      <c r="G5303" s="3" t="str">
        <f t="shared" si="1"/>
        <v>ACTIVE</v>
      </c>
    </row>
    <row r="5304" ht="22.5" customHeight="1">
      <c r="A5304" s="3" t="s">
        <v>5330</v>
      </c>
      <c r="B5304" s="3" t="s">
        <v>25</v>
      </c>
      <c r="C5304" s="12" t="s">
        <v>5331</v>
      </c>
      <c r="D5304" s="13">
        <v>64344.0</v>
      </c>
      <c r="E5304" s="4">
        <v>45821.0</v>
      </c>
      <c r="F5304" s="4" t="str">
        <f>IF(D5304="","", IFNA(VLOOKUP(D5304, SATCAT_DECAY!A:B, 2, FALSE), ""))
</f>
        <v/>
      </c>
      <c r="G5304" s="3" t="str">
        <f t="shared" si="1"/>
        <v>ACTIVE</v>
      </c>
    </row>
    <row r="5305" ht="22.5" customHeight="1">
      <c r="A5305" s="3" t="s">
        <v>5330</v>
      </c>
      <c r="B5305" s="3" t="s">
        <v>25</v>
      </c>
      <c r="C5305" s="12" t="s">
        <v>5332</v>
      </c>
      <c r="D5305" s="13">
        <v>64345.0</v>
      </c>
      <c r="E5305" s="4">
        <v>45821.0</v>
      </c>
      <c r="F5305" s="4" t="str">
        <f>IF(D5305="","", IFNA(VLOOKUP(D5305, SATCAT_DECAY!A:B, 2, FALSE), ""))
</f>
        <v/>
      </c>
      <c r="G5305" s="3" t="str">
        <f t="shared" si="1"/>
        <v>ACTIVE</v>
      </c>
    </row>
    <row r="5306" ht="22.5" customHeight="1">
      <c r="A5306" s="3" t="s">
        <v>5330</v>
      </c>
      <c r="B5306" s="3" t="s">
        <v>25</v>
      </c>
      <c r="C5306" s="12" t="s">
        <v>5333</v>
      </c>
      <c r="D5306" s="13">
        <v>64346.0</v>
      </c>
      <c r="E5306" s="4">
        <v>45821.0</v>
      </c>
      <c r="F5306" s="4" t="str">
        <f>IF(D5306="","", IFNA(VLOOKUP(D5306, SATCAT_DECAY!A:B, 2, FALSE), ""))
</f>
        <v/>
      </c>
      <c r="G5306" s="3" t="str">
        <f t="shared" si="1"/>
        <v>ACTIVE</v>
      </c>
    </row>
    <row r="5307" ht="22.5" customHeight="1">
      <c r="A5307" s="3" t="s">
        <v>5330</v>
      </c>
      <c r="B5307" s="3" t="s">
        <v>25</v>
      </c>
      <c r="C5307" s="12" t="s">
        <v>5334</v>
      </c>
      <c r="D5307" s="13">
        <v>64347.0</v>
      </c>
      <c r="E5307" s="4">
        <v>45821.0</v>
      </c>
      <c r="F5307" s="4" t="str">
        <f>IF(D5307="","", IFNA(VLOOKUP(D5307, SATCAT_DECAY!A:B, 2, FALSE), ""))
</f>
        <v/>
      </c>
      <c r="G5307" s="3" t="str">
        <f t="shared" si="1"/>
        <v>ACTIVE</v>
      </c>
    </row>
    <row r="5308" ht="22.5" customHeight="1">
      <c r="A5308" s="3" t="s">
        <v>5330</v>
      </c>
      <c r="B5308" s="3" t="s">
        <v>25</v>
      </c>
      <c r="C5308" s="12" t="s">
        <v>5335</v>
      </c>
      <c r="D5308" s="13">
        <v>64348.0</v>
      </c>
      <c r="E5308" s="4">
        <v>45821.0</v>
      </c>
      <c r="F5308" s="4" t="str">
        <f>IF(D5308="","", IFNA(VLOOKUP(D5308, SATCAT_DECAY!A:B, 2, FALSE), ""))
</f>
        <v/>
      </c>
      <c r="G5308" s="3" t="str">
        <f t="shared" si="1"/>
        <v>ACTIVE</v>
      </c>
    </row>
    <row r="5309" ht="22.5" customHeight="1">
      <c r="A5309" s="3" t="s">
        <v>5330</v>
      </c>
      <c r="B5309" s="3" t="s">
        <v>25</v>
      </c>
      <c r="C5309" s="12" t="s">
        <v>5336</v>
      </c>
      <c r="D5309" s="13">
        <v>64349.0</v>
      </c>
      <c r="E5309" s="4">
        <v>45821.0</v>
      </c>
      <c r="F5309" s="4" t="str">
        <f>IF(D5309="","", IFNA(VLOOKUP(D5309, SATCAT_DECAY!A:B, 2, FALSE), ""))
</f>
        <v/>
      </c>
      <c r="G5309" s="3" t="str">
        <f t="shared" si="1"/>
        <v>ACTIVE</v>
      </c>
    </row>
    <row r="5310" ht="22.5" customHeight="1">
      <c r="A5310" s="3" t="s">
        <v>5330</v>
      </c>
      <c r="B5310" s="3" t="s">
        <v>25</v>
      </c>
      <c r="C5310" s="12" t="s">
        <v>5337</v>
      </c>
      <c r="D5310" s="13">
        <v>64350.0</v>
      </c>
      <c r="E5310" s="4">
        <v>45821.0</v>
      </c>
      <c r="F5310" s="4" t="str">
        <f>IF(D5310="","", IFNA(VLOOKUP(D5310, SATCAT_DECAY!A:B, 2, FALSE), ""))
</f>
        <v/>
      </c>
      <c r="G5310" s="3" t="str">
        <f t="shared" si="1"/>
        <v>ACTIVE</v>
      </c>
    </row>
    <row r="5311" ht="22.5" customHeight="1">
      <c r="A5311" s="3" t="s">
        <v>5330</v>
      </c>
      <c r="B5311" s="3" t="s">
        <v>25</v>
      </c>
      <c r="C5311" s="12" t="s">
        <v>5338</v>
      </c>
      <c r="D5311" s="13">
        <v>64351.0</v>
      </c>
      <c r="E5311" s="4">
        <v>45821.0</v>
      </c>
      <c r="F5311" s="4" t="str">
        <f>IF(D5311="","", IFNA(VLOOKUP(D5311, SATCAT_DECAY!A:B, 2, FALSE), ""))
</f>
        <v/>
      </c>
      <c r="G5311" s="3" t="str">
        <f t="shared" si="1"/>
        <v>ACTIVE</v>
      </c>
    </row>
    <row r="5312" ht="22.5" customHeight="1">
      <c r="A5312" s="3" t="s">
        <v>5330</v>
      </c>
      <c r="B5312" s="3" t="s">
        <v>25</v>
      </c>
      <c r="C5312" s="12" t="s">
        <v>5339</v>
      </c>
      <c r="D5312" s="13">
        <v>64352.0</v>
      </c>
      <c r="E5312" s="4">
        <v>45821.0</v>
      </c>
      <c r="F5312" s="4" t="str">
        <f>IF(D5312="","", IFNA(VLOOKUP(D5312, SATCAT_DECAY!A:B, 2, FALSE), ""))
</f>
        <v/>
      </c>
      <c r="G5312" s="3" t="str">
        <f t="shared" si="1"/>
        <v>ACTIVE</v>
      </c>
    </row>
    <row r="5313" ht="22.5" customHeight="1">
      <c r="A5313" s="3" t="s">
        <v>5330</v>
      </c>
      <c r="B5313" s="3" t="s">
        <v>25</v>
      </c>
      <c r="C5313" s="12" t="s">
        <v>5340</v>
      </c>
      <c r="D5313" s="13">
        <v>64353.0</v>
      </c>
      <c r="E5313" s="4">
        <v>45821.0</v>
      </c>
      <c r="F5313" s="4" t="str">
        <f>IF(D5313="","", IFNA(VLOOKUP(D5313, SATCAT_DECAY!A:B, 2, FALSE), ""))
</f>
        <v/>
      </c>
      <c r="G5313" s="3" t="str">
        <f t="shared" si="1"/>
        <v>ACTIVE</v>
      </c>
    </row>
    <row r="5314" ht="22.5" customHeight="1">
      <c r="A5314" s="3" t="s">
        <v>5330</v>
      </c>
      <c r="B5314" s="3" t="s">
        <v>25</v>
      </c>
      <c r="C5314" s="12" t="s">
        <v>5341</v>
      </c>
      <c r="D5314" s="13">
        <v>64354.0</v>
      </c>
      <c r="E5314" s="4">
        <v>45821.0</v>
      </c>
      <c r="F5314" s="4" t="str">
        <f>IF(D5314="","", IFNA(VLOOKUP(D5314, SATCAT_DECAY!A:B, 2, FALSE), ""))
</f>
        <v/>
      </c>
      <c r="G5314" s="3" t="str">
        <f t="shared" si="1"/>
        <v>ACTIVE</v>
      </c>
    </row>
    <row r="5315" ht="22.5" customHeight="1">
      <c r="A5315" s="3" t="s">
        <v>5330</v>
      </c>
      <c r="B5315" s="3" t="s">
        <v>25</v>
      </c>
      <c r="C5315" s="12" t="s">
        <v>5342</v>
      </c>
      <c r="D5315" s="13">
        <v>64355.0</v>
      </c>
      <c r="E5315" s="4">
        <v>45821.0</v>
      </c>
      <c r="F5315" s="4" t="str">
        <f>IF(D5315="","", IFNA(VLOOKUP(D5315, SATCAT_DECAY!A:B, 2, FALSE), ""))
</f>
        <v/>
      </c>
      <c r="G5315" s="3" t="str">
        <f t="shared" si="1"/>
        <v>ACTIVE</v>
      </c>
    </row>
    <row r="5316" ht="22.5" customHeight="1">
      <c r="A5316" s="3" t="s">
        <v>5330</v>
      </c>
      <c r="B5316" s="3" t="s">
        <v>25</v>
      </c>
      <c r="C5316" s="12" t="s">
        <v>5343</v>
      </c>
      <c r="D5316" s="13">
        <v>64356.0</v>
      </c>
      <c r="E5316" s="4">
        <v>45821.0</v>
      </c>
      <c r="F5316" s="4" t="str">
        <f>IF(D5316="","", IFNA(VLOOKUP(D5316, SATCAT_DECAY!A:B, 2, FALSE), ""))
</f>
        <v/>
      </c>
      <c r="G5316" s="3" t="str">
        <f t="shared" si="1"/>
        <v>ACTIVE</v>
      </c>
    </row>
    <row r="5317" ht="22.5" customHeight="1">
      <c r="A5317" s="3" t="s">
        <v>5330</v>
      </c>
      <c r="B5317" s="3" t="s">
        <v>25</v>
      </c>
      <c r="C5317" s="12" t="s">
        <v>5344</v>
      </c>
      <c r="D5317" s="13">
        <v>64357.0</v>
      </c>
      <c r="E5317" s="4">
        <v>45821.0</v>
      </c>
      <c r="F5317" s="4" t="str">
        <f>IF(D5317="","", IFNA(VLOOKUP(D5317, SATCAT_DECAY!A:B, 2, FALSE), ""))
</f>
        <v/>
      </c>
      <c r="G5317" s="3" t="str">
        <f t="shared" si="1"/>
        <v>ACTIVE</v>
      </c>
    </row>
    <row r="5318" ht="22.5" customHeight="1">
      <c r="A5318" s="3" t="s">
        <v>5330</v>
      </c>
      <c r="B5318" s="3" t="s">
        <v>25</v>
      </c>
      <c r="C5318" s="12" t="s">
        <v>5345</v>
      </c>
      <c r="D5318" s="13">
        <v>64358.0</v>
      </c>
      <c r="E5318" s="4">
        <v>45821.0</v>
      </c>
      <c r="F5318" s="4" t="str">
        <f>IF(D5318="","", IFNA(VLOOKUP(D5318, SATCAT_DECAY!A:B, 2, FALSE), ""))
</f>
        <v/>
      </c>
      <c r="G5318" s="3" t="str">
        <f t="shared" si="1"/>
        <v>ACTIVE</v>
      </c>
    </row>
    <row r="5319" ht="22.5" customHeight="1">
      <c r="A5319" s="3" t="s">
        <v>5330</v>
      </c>
      <c r="B5319" s="3" t="s">
        <v>25</v>
      </c>
      <c r="C5319" s="12" t="s">
        <v>5346</v>
      </c>
      <c r="D5319" s="13">
        <v>64359.0</v>
      </c>
      <c r="E5319" s="4">
        <v>45821.0</v>
      </c>
      <c r="F5319" s="4" t="str">
        <f>IF(D5319="","", IFNA(VLOOKUP(D5319, SATCAT_DECAY!A:B, 2, FALSE), ""))
</f>
        <v/>
      </c>
      <c r="G5319" s="3" t="str">
        <f t="shared" si="1"/>
        <v>ACTIVE</v>
      </c>
    </row>
    <row r="5320" ht="22.5" customHeight="1">
      <c r="A5320" s="3" t="s">
        <v>5330</v>
      </c>
      <c r="B5320" s="3" t="s">
        <v>25</v>
      </c>
      <c r="C5320" s="12" t="s">
        <v>5347</v>
      </c>
      <c r="D5320" s="13">
        <v>64360.0</v>
      </c>
      <c r="E5320" s="4">
        <v>45821.0</v>
      </c>
      <c r="F5320" s="4" t="str">
        <f>IF(D5320="","", IFNA(VLOOKUP(D5320, SATCAT_DECAY!A:B, 2, FALSE), ""))
</f>
        <v/>
      </c>
      <c r="G5320" s="3" t="str">
        <f t="shared" si="1"/>
        <v>ACTIVE</v>
      </c>
    </row>
    <row r="5321" ht="22.5" customHeight="1">
      <c r="A5321" s="3" t="s">
        <v>5330</v>
      </c>
      <c r="B5321" s="3" t="s">
        <v>25</v>
      </c>
      <c r="C5321" s="12" t="s">
        <v>5348</v>
      </c>
      <c r="D5321" s="13">
        <v>64361.0</v>
      </c>
      <c r="E5321" s="4">
        <v>45821.0</v>
      </c>
      <c r="F5321" s="4" t="str">
        <f>IF(D5321="","", IFNA(VLOOKUP(D5321, SATCAT_DECAY!A:B, 2, FALSE), ""))
</f>
        <v/>
      </c>
      <c r="G5321" s="3" t="str">
        <f t="shared" si="1"/>
        <v>ACTIVE</v>
      </c>
    </row>
    <row r="5322" ht="22.5" customHeight="1">
      <c r="A5322" s="3" t="s">
        <v>5330</v>
      </c>
      <c r="B5322" s="3" t="s">
        <v>25</v>
      </c>
      <c r="C5322" s="12" t="s">
        <v>5349</v>
      </c>
      <c r="D5322" s="13">
        <v>64362.0</v>
      </c>
      <c r="E5322" s="4">
        <v>45821.0</v>
      </c>
      <c r="F5322" s="4" t="str">
        <f>IF(D5322="","", IFNA(VLOOKUP(D5322, SATCAT_DECAY!A:B, 2, FALSE), ""))
</f>
        <v/>
      </c>
      <c r="G5322" s="3" t="str">
        <f t="shared" si="1"/>
        <v>ACTIVE</v>
      </c>
    </row>
    <row r="5323" ht="22.5" customHeight="1">
      <c r="A5323" s="3" t="s">
        <v>5330</v>
      </c>
      <c r="B5323" s="3" t="s">
        <v>25</v>
      </c>
      <c r="C5323" s="12" t="s">
        <v>5350</v>
      </c>
      <c r="D5323" s="13">
        <v>64363.0</v>
      </c>
      <c r="E5323" s="4">
        <v>45821.0</v>
      </c>
      <c r="F5323" s="4" t="str">
        <f>IF(D5323="","", IFNA(VLOOKUP(D5323, SATCAT_DECAY!A:B, 2, FALSE), ""))
</f>
        <v/>
      </c>
      <c r="G5323" s="3" t="str">
        <f t="shared" si="1"/>
        <v>ACTIVE</v>
      </c>
    </row>
    <row r="5324" ht="22.5" customHeight="1">
      <c r="A5324" s="3" t="s">
        <v>5330</v>
      </c>
      <c r="B5324" s="3" t="s">
        <v>25</v>
      </c>
      <c r="C5324" s="12" t="s">
        <v>5351</v>
      </c>
      <c r="D5324" s="13">
        <v>64364.0</v>
      </c>
      <c r="E5324" s="4">
        <v>45821.0</v>
      </c>
      <c r="F5324" s="4" t="str">
        <f>IF(D5324="","", IFNA(VLOOKUP(D5324, SATCAT_DECAY!A:B, 2, FALSE), ""))
</f>
        <v/>
      </c>
      <c r="G5324" s="3" t="str">
        <f t="shared" si="1"/>
        <v>ACTIVE</v>
      </c>
    </row>
    <row r="5325" ht="22.5" customHeight="1">
      <c r="A5325" s="3" t="s">
        <v>5330</v>
      </c>
      <c r="B5325" s="3" t="s">
        <v>25</v>
      </c>
      <c r="C5325" s="12" t="s">
        <v>5352</v>
      </c>
      <c r="D5325" s="13">
        <v>64365.0</v>
      </c>
      <c r="E5325" s="4">
        <v>45821.0</v>
      </c>
      <c r="F5325" s="4" t="str">
        <f>IF(D5325="","", IFNA(VLOOKUP(D5325, SATCAT_DECAY!A:B, 2, FALSE), ""))
</f>
        <v/>
      </c>
      <c r="G5325" s="3" t="str">
        <f t="shared" si="1"/>
        <v>ACTIVE</v>
      </c>
    </row>
    <row r="5326" ht="22.5" customHeight="1">
      <c r="A5326" s="3" t="s">
        <v>5330</v>
      </c>
      <c r="B5326" s="3" t="s">
        <v>25</v>
      </c>
      <c r="C5326" s="12" t="s">
        <v>5353</v>
      </c>
      <c r="D5326" s="13">
        <v>64366.0</v>
      </c>
      <c r="E5326" s="4">
        <v>45821.0</v>
      </c>
      <c r="F5326" s="4" t="str">
        <f>IF(D5326="","", IFNA(VLOOKUP(D5326, SATCAT_DECAY!A:B, 2, FALSE), ""))
</f>
        <v/>
      </c>
      <c r="G5326" s="3" t="str">
        <f t="shared" si="1"/>
        <v>ACTIVE</v>
      </c>
    </row>
    <row r="5327" ht="22.5" customHeight="1">
      <c r="A5327" s="3" t="s">
        <v>5330</v>
      </c>
      <c r="B5327" s="3" t="s">
        <v>25</v>
      </c>
      <c r="C5327" s="12" t="s">
        <v>5354</v>
      </c>
      <c r="D5327" s="13">
        <v>64367.0</v>
      </c>
      <c r="E5327" s="4">
        <v>45821.0</v>
      </c>
      <c r="F5327" s="4" t="str">
        <f>IF(D5327="","", IFNA(VLOOKUP(D5327, SATCAT_DECAY!A:B, 2, FALSE), ""))
</f>
        <v/>
      </c>
      <c r="G5327" s="3" t="str">
        <f t="shared" si="1"/>
        <v>ACTIVE</v>
      </c>
    </row>
    <row r="5328" ht="22.5" customHeight="1">
      <c r="A5328" s="3" t="s">
        <v>5330</v>
      </c>
      <c r="B5328" s="3" t="s">
        <v>25</v>
      </c>
      <c r="C5328" s="12" t="s">
        <v>5355</v>
      </c>
      <c r="D5328" s="13">
        <v>64368.0</v>
      </c>
      <c r="E5328" s="4">
        <v>45821.0</v>
      </c>
      <c r="F5328" s="4" t="str">
        <f>IF(D5328="","", IFNA(VLOOKUP(D5328, SATCAT_DECAY!A:B, 2, FALSE), ""))
</f>
        <v/>
      </c>
      <c r="G5328" s="3" t="str">
        <f t="shared" si="1"/>
        <v>ACTIVE</v>
      </c>
    </row>
    <row r="5329" ht="22.5" customHeight="1">
      <c r="A5329" s="3" t="s">
        <v>5330</v>
      </c>
      <c r="B5329" s="3" t="s">
        <v>25</v>
      </c>
      <c r="C5329" s="12" t="s">
        <v>5356</v>
      </c>
      <c r="D5329" s="13">
        <v>64369.0</v>
      </c>
      <c r="E5329" s="4">
        <v>45821.0</v>
      </c>
      <c r="F5329" s="4" t="str">
        <f>IF(D5329="","", IFNA(VLOOKUP(D5329, SATCAT_DECAY!A:B, 2, FALSE), ""))
</f>
        <v/>
      </c>
      <c r="G5329" s="3" t="str">
        <f t="shared" si="1"/>
        <v>ACTIVE</v>
      </c>
    </row>
    <row r="5330" ht="22.5" customHeight="1">
      <c r="A5330" s="11" t="str">
        <f t="array" ref="A5330">IFERROR(
  INDEX('Starlink Launches'!$A:$A, MATCH($E5330, 'Starlink Launches'!$B:$B, 0)),
  ""
)
</f>
        <v>15-9</v>
      </c>
      <c r="B5330" s="3" t="s">
        <v>25</v>
      </c>
      <c r="C5330" s="12" t="s">
        <v>5357</v>
      </c>
      <c r="D5330" s="13">
        <v>64412.0</v>
      </c>
      <c r="E5330" s="4">
        <v>45825.0</v>
      </c>
      <c r="F5330" s="4" t="str">
        <f>IF(D5330="","", IFNA(VLOOKUP(D5330, SATCAT_DECAY!A:B, 2, FALSE), ""))
</f>
        <v/>
      </c>
      <c r="G5330" s="3" t="str">
        <f t="shared" si="1"/>
        <v>ACTIVE</v>
      </c>
    </row>
    <row r="5331" ht="22.5" customHeight="1">
      <c r="A5331" s="11" t="str">
        <f t="array" ref="A5331">IFERROR(
  INDEX('Starlink Launches'!$A:$A, MATCH($E5331, 'Starlink Launches'!$B:$B, 0)),
  ""
)
</f>
        <v>15-9</v>
      </c>
      <c r="B5331" s="3" t="s">
        <v>25</v>
      </c>
      <c r="C5331" s="12" t="s">
        <v>5358</v>
      </c>
      <c r="D5331" s="13">
        <v>64413.0</v>
      </c>
      <c r="E5331" s="4">
        <v>45825.0</v>
      </c>
      <c r="F5331" s="4" t="str">
        <f>IF(D5331="","", IFNA(VLOOKUP(D5331, SATCAT_DECAY!A:B, 2, FALSE), ""))
</f>
        <v/>
      </c>
      <c r="G5331" s="3" t="str">
        <f t="shared" si="1"/>
        <v>ACTIVE</v>
      </c>
    </row>
    <row r="5332" ht="22.5" customHeight="1">
      <c r="A5332" s="11" t="str">
        <f t="array" ref="A5332">IFERROR(
  INDEX('Starlink Launches'!$A:$A, MATCH($E5332, 'Starlink Launches'!$B:$B, 0)),
  ""
)
</f>
        <v>15-9</v>
      </c>
      <c r="B5332" s="3" t="s">
        <v>25</v>
      </c>
      <c r="C5332" s="12" t="s">
        <v>5359</v>
      </c>
      <c r="D5332" s="13">
        <v>64414.0</v>
      </c>
      <c r="E5332" s="4">
        <v>45825.0</v>
      </c>
      <c r="F5332" s="4" t="str">
        <f>IF(D5332="","", IFNA(VLOOKUP(D5332, SATCAT_DECAY!A:B, 2, FALSE), ""))
</f>
        <v/>
      </c>
      <c r="G5332" s="3" t="str">
        <f t="shared" si="1"/>
        <v>ACTIVE</v>
      </c>
    </row>
    <row r="5333" ht="22.5" customHeight="1">
      <c r="A5333" s="11" t="str">
        <f t="array" ref="A5333">IFERROR(
  INDEX('Starlink Launches'!$A:$A, MATCH($E5333, 'Starlink Launches'!$B:$B, 0)),
  ""
)
</f>
        <v>15-9</v>
      </c>
      <c r="B5333" s="3" t="s">
        <v>25</v>
      </c>
      <c r="C5333" s="12" t="s">
        <v>5360</v>
      </c>
      <c r="D5333" s="13">
        <v>64415.0</v>
      </c>
      <c r="E5333" s="4">
        <v>45825.0</v>
      </c>
      <c r="F5333" s="4" t="str">
        <f>IF(D5333="","", IFNA(VLOOKUP(D5333, SATCAT_DECAY!A:B, 2, FALSE), ""))
</f>
        <v/>
      </c>
      <c r="G5333" s="3" t="str">
        <f t="shared" si="1"/>
        <v>ACTIVE</v>
      </c>
    </row>
    <row r="5334" ht="22.5" customHeight="1">
      <c r="A5334" s="11" t="str">
        <f t="array" ref="A5334">IFERROR(
  INDEX('Starlink Launches'!$A:$A, MATCH($E5334, 'Starlink Launches'!$B:$B, 0)),
  ""
)
</f>
        <v>15-9</v>
      </c>
      <c r="B5334" s="3" t="s">
        <v>25</v>
      </c>
      <c r="C5334" s="12" t="s">
        <v>5361</v>
      </c>
      <c r="D5334" s="13">
        <v>64416.0</v>
      </c>
      <c r="E5334" s="4">
        <v>45825.0</v>
      </c>
      <c r="F5334" s="4" t="str">
        <f>IF(D5334="","", IFNA(VLOOKUP(D5334, SATCAT_DECAY!A:B, 2, FALSE), ""))
</f>
        <v/>
      </c>
      <c r="G5334" s="3" t="str">
        <f t="shared" si="1"/>
        <v>ACTIVE</v>
      </c>
    </row>
    <row r="5335" ht="22.5" customHeight="1">
      <c r="A5335" s="11" t="str">
        <f t="array" ref="A5335">IFERROR(
  INDEX('Starlink Launches'!$A:$A, MATCH($E5335, 'Starlink Launches'!$B:$B, 0)),
  ""
)
</f>
        <v>15-9</v>
      </c>
      <c r="B5335" s="3" t="s">
        <v>25</v>
      </c>
      <c r="C5335" s="12" t="s">
        <v>5362</v>
      </c>
      <c r="D5335" s="13">
        <v>64417.0</v>
      </c>
      <c r="E5335" s="4">
        <v>45825.0</v>
      </c>
      <c r="F5335" s="4" t="str">
        <f>IF(D5335="","", IFNA(VLOOKUP(D5335, SATCAT_DECAY!A:B, 2, FALSE), ""))
</f>
        <v/>
      </c>
      <c r="G5335" s="3" t="str">
        <f t="shared" si="1"/>
        <v>ACTIVE</v>
      </c>
    </row>
    <row r="5336" ht="22.5" customHeight="1">
      <c r="A5336" s="11" t="str">
        <f t="array" ref="A5336">IFERROR(
  INDEX('Starlink Launches'!$A:$A, MATCH($E5336, 'Starlink Launches'!$B:$B, 0)),
  ""
)
</f>
        <v>15-9</v>
      </c>
      <c r="B5336" s="3" t="s">
        <v>25</v>
      </c>
      <c r="C5336" s="12" t="s">
        <v>5363</v>
      </c>
      <c r="D5336" s="13">
        <v>64418.0</v>
      </c>
      <c r="E5336" s="4">
        <v>45825.0</v>
      </c>
      <c r="F5336" s="4" t="str">
        <f>IF(D5336="","", IFNA(VLOOKUP(D5336, SATCAT_DECAY!A:B, 2, FALSE), ""))
</f>
        <v/>
      </c>
      <c r="G5336" s="3" t="str">
        <f t="shared" si="1"/>
        <v>ACTIVE</v>
      </c>
    </row>
    <row r="5337" ht="22.5" customHeight="1">
      <c r="A5337" s="11" t="str">
        <f t="array" ref="A5337">IFERROR(
  INDEX('Starlink Launches'!$A:$A, MATCH($E5337, 'Starlink Launches'!$B:$B, 0)),
  ""
)
</f>
        <v>15-9</v>
      </c>
      <c r="B5337" s="3" t="s">
        <v>25</v>
      </c>
      <c r="C5337" s="12" t="s">
        <v>5364</v>
      </c>
      <c r="D5337" s="13">
        <v>64419.0</v>
      </c>
      <c r="E5337" s="4">
        <v>45825.0</v>
      </c>
      <c r="F5337" s="4" t="str">
        <f>IF(D5337="","", IFNA(VLOOKUP(D5337, SATCAT_DECAY!A:B, 2, FALSE), ""))
</f>
        <v/>
      </c>
      <c r="G5337" s="3" t="str">
        <f t="shared" si="1"/>
        <v>ACTIVE</v>
      </c>
    </row>
    <row r="5338" ht="22.5" customHeight="1">
      <c r="A5338" s="11" t="str">
        <f t="array" ref="A5338">IFERROR(
  INDEX('Starlink Launches'!$A:$A, MATCH($E5338, 'Starlink Launches'!$B:$B, 0)),
  ""
)
</f>
        <v>15-9</v>
      </c>
      <c r="B5338" s="3" t="s">
        <v>25</v>
      </c>
      <c r="C5338" s="12" t="s">
        <v>5365</v>
      </c>
      <c r="D5338" s="13">
        <v>64420.0</v>
      </c>
      <c r="E5338" s="4">
        <v>45825.0</v>
      </c>
      <c r="F5338" s="4" t="str">
        <f>IF(D5338="","", IFNA(VLOOKUP(D5338, SATCAT_DECAY!A:B, 2, FALSE), ""))
</f>
        <v/>
      </c>
      <c r="G5338" s="3" t="str">
        <f t="shared" si="1"/>
        <v>ACTIVE</v>
      </c>
    </row>
    <row r="5339" ht="22.5" customHeight="1">
      <c r="A5339" s="11" t="str">
        <f t="array" ref="A5339">IFERROR(
  INDEX('Starlink Launches'!$A:$A, MATCH($E5339, 'Starlink Launches'!$B:$B, 0)),
  ""
)
</f>
        <v>15-9</v>
      </c>
      <c r="B5339" s="3" t="s">
        <v>25</v>
      </c>
      <c r="C5339" s="12" t="s">
        <v>5366</v>
      </c>
      <c r="D5339" s="13">
        <v>64421.0</v>
      </c>
      <c r="E5339" s="4">
        <v>45825.0</v>
      </c>
      <c r="F5339" s="4" t="str">
        <f>IF(D5339="","", IFNA(VLOOKUP(D5339, SATCAT_DECAY!A:B, 2, FALSE), ""))
</f>
        <v/>
      </c>
      <c r="G5339" s="3" t="str">
        <f t="shared" si="1"/>
        <v>ACTIVE</v>
      </c>
    </row>
    <row r="5340" ht="22.5" customHeight="1">
      <c r="A5340" s="11" t="str">
        <f t="array" ref="A5340">IFERROR(
  INDEX('Starlink Launches'!$A:$A, MATCH($E5340, 'Starlink Launches'!$B:$B, 0)),
  ""
)
</f>
        <v>15-9</v>
      </c>
      <c r="B5340" s="3" t="s">
        <v>25</v>
      </c>
      <c r="C5340" s="12" t="s">
        <v>5367</v>
      </c>
      <c r="D5340" s="13">
        <v>64422.0</v>
      </c>
      <c r="E5340" s="4">
        <v>45825.0</v>
      </c>
      <c r="F5340" s="4" t="str">
        <f>IF(D5340="","", IFNA(VLOOKUP(D5340, SATCAT_DECAY!A:B, 2, FALSE), ""))
</f>
        <v/>
      </c>
      <c r="G5340" s="3" t="str">
        <f t="shared" si="1"/>
        <v>ACTIVE</v>
      </c>
    </row>
    <row r="5341" ht="22.5" customHeight="1">
      <c r="A5341" s="11" t="str">
        <f t="array" ref="A5341">IFERROR(
  INDEX('Starlink Launches'!$A:$A, MATCH($E5341, 'Starlink Launches'!$B:$B, 0)),
  ""
)
</f>
        <v>15-9</v>
      </c>
      <c r="B5341" s="3" t="s">
        <v>25</v>
      </c>
      <c r="C5341" s="12" t="s">
        <v>5368</v>
      </c>
      <c r="D5341" s="13">
        <v>64423.0</v>
      </c>
      <c r="E5341" s="4">
        <v>45825.0</v>
      </c>
      <c r="F5341" s="4" t="str">
        <f>IF(D5341="","", IFNA(VLOOKUP(D5341, SATCAT_DECAY!A:B, 2, FALSE), ""))
</f>
        <v/>
      </c>
      <c r="G5341" s="3" t="str">
        <f t="shared" si="1"/>
        <v>ACTIVE</v>
      </c>
    </row>
    <row r="5342" ht="22.5" customHeight="1">
      <c r="A5342" s="11" t="str">
        <f t="array" ref="A5342">IFERROR(
  INDEX('Starlink Launches'!$A:$A, MATCH($E5342, 'Starlink Launches'!$B:$B, 0)),
  ""
)
</f>
        <v>15-9</v>
      </c>
      <c r="B5342" s="3" t="s">
        <v>25</v>
      </c>
      <c r="C5342" s="12" t="s">
        <v>5369</v>
      </c>
      <c r="D5342" s="13">
        <v>64424.0</v>
      </c>
      <c r="E5342" s="4">
        <v>45825.0</v>
      </c>
      <c r="F5342" s="4" t="str">
        <f>IF(D5342="","", IFNA(VLOOKUP(D5342, SATCAT_DECAY!A:B, 2, FALSE), ""))
</f>
        <v/>
      </c>
      <c r="G5342" s="3" t="str">
        <f t="shared" si="1"/>
        <v>ACTIVE</v>
      </c>
    </row>
    <row r="5343" ht="22.5" customHeight="1">
      <c r="A5343" s="11" t="str">
        <f t="array" ref="A5343">IFERROR(
  INDEX('Starlink Launches'!$A:$A, MATCH($E5343, 'Starlink Launches'!$B:$B, 0)),
  ""
)
</f>
        <v>15-9</v>
      </c>
      <c r="B5343" s="3" t="s">
        <v>25</v>
      </c>
      <c r="C5343" s="12" t="s">
        <v>5370</v>
      </c>
      <c r="D5343" s="13">
        <v>64425.0</v>
      </c>
      <c r="E5343" s="4">
        <v>45825.0</v>
      </c>
      <c r="F5343" s="4" t="str">
        <f>IF(D5343="","", IFNA(VLOOKUP(D5343, SATCAT_DECAY!A:B, 2, FALSE), ""))
</f>
        <v/>
      </c>
      <c r="G5343" s="3" t="str">
        <f t="shared" si="1"/>
        <v>ACTIVE</v>
      </c>
    </row>
    <row r="5344" ht="22.5" customHeight="1">
      <c r="A5344" s="11" t="str">
        <f t="array" ref="A5344">IFERROR(
  INDEX('Starlink Launches'!$A:$A, MATCH($E5344, 'Starlink Launches'!$B:$B, 0)),
  ""
)
</f>
        <v>15-9</v>
      </c>
      <c r="B5344" s="3" t="s">
        <v>25</v>
      </c>
      <c r="C5344" s="12" t="s">
        <v>5371</v>
      </c>
      <c r="D5344" s="13">
        <v>64426.0</v>
      </c>
      <c r="E5344" s="4">
        <v>45825.0</v>
      </c>
      <c r="F5344" s="4" t="str">
        <f>IF(D5344="","", IFNA(VLOOKUP(D5344, SATCAT_DECAY!A:B, 2, FALSE), ""))
</f>
        <v/>
      </c>
      <c r="G5344" s="3" t="str">
        <f t="shared" si="1"/>
        <v>ACTIVE</v>
      </c>
    </row>
    <row r="5345" ht="22.5" customHeight="1">
      <c r="A5345" s="11" t="str">
        <f t="array" ref="A5345">IFERROR(
  INDEX('Starlink Launches'!$A:$A, MATCH($E5345, 'Starlink Launches'!$B:$B, 0)),
  ""
)
</f>
        <v>15-9</v>
      </c>
      <c r="B5345" s="3" t="s">
        <v>25</v>
      </c>
      <c r="C5345" s="12" t="s">
        <v>5372</v>
      </c>
      <c r="D5345" s="13">
        <v>64427.0</v>
      </c>
      <c r="E5345" s="4">
        <v>45825.0</v>
      </c>
      <c r="F5345" s="4" t="str">
        <f>IF(D5345="","", IFNA(VLOOKUP(D5345, SATCAT_DECAY!A:B, 2, FALSE), ""))
</f>
        <v/>
      </c>
      <c r="G5345" s="3" t="str">
        <f t="shared" si="1"/>
        <v>ACTIVE</v>
      </c>
    </row>
    <row r="5346" ht="22.5" customHeight="1">
      <c r="A5346" s="11" t="str">
        <f t="array" ref="A5346">IFERROR(
  INDEX('Starlink Launches'!$A:$A, MATCH($E5346, 'Starlink Launches'!$B:$B, 0)),
  ""
)
</f>
        <v>15-9</v>
      </c>
      <c r="B5346" s="3" t="s">
        <v>25</v>
      </c>
      <c r="C5346" s="12" t="s">
        <v>5373</v>
      </c>
      <c r="D5346" s="13">
        <v>64428.0</v>
      </c>
      <c r="E5346" s="4">
        <v>45825.0</v>
      </c>
      <c r="F5346" s="4" t="str">
        <f>IF(D5346="","", IFNA(VLOOKUP(D5346, SATCAT_DECAY!A:B, 2, FALSE), ""))
</f>
        <v/>
      </c>
      <c r="G5346" s="3" t="str">
        <f t="shared" si="1"/>
        <v>ACTIVE</v>
      </c>
    </row>
    <row r="5347" ht="22.5" customHeight="1">
      <c r="A5347" s="11" t="str">
        <f t="array" ref="A5347">IFERROR(
  INDEX('Starlink Launches'!$A:$A, MATCH($E5347, 'Starlink Launches'!$B:$B, 0)),
  ""
)
</f>
        <v>15-9</v>
      </c>
      <c r="B5347" s="3" t="s">
        <v>25</v>
      </c>
      <c r="C5347" s="12" t="s">
        <v>5374</v>
      </c>
      <c r="D5347" s="13">
        <v>64429.0</v>
      </c>
      <c r="E5347" s="4">
        <v>45825.0</v>
      </c>
      <c r="F5347" s="4" t="str">
        <f>IF(D5347="","", IFNA(VLOOKUP(D5347, SATCAT_DECAY!A:B, 2, FALSE), ""))
</f>
        <v/>
      </c>
      <c r="G5347" s="3" t="str">
        <f t="shared" si="1"/>
        <v>ACTIVE</v>
      </c>
    </row>
    <row r="5348" ht="22.5" customHeight="1">
      <c r="A5348" s="11" t="str">
        <f t="array" ref="A5348">IFERROR(
  INDEX('Starlink Launches'!$A:$A, MATCH($E5348, 'Starlink Launches'!$B:$B, 0)),
  ""
)
</f>
        <v>15-9</v>
      </c>
      <c r="B5348" s="3" t="s">
        <v>25</v>
      </c>
      <c r="C5348" s="12" t="s">
        <v>5375</v>
      </c>
      <c r="D5348" s="13">
        <v>64430.0</v>
      </c>
      <c r="E5348" s="4">
        <v>45825.0</v>
      </c>
      <c r="F5348" s="4" t="str">
        <f>IF(D5348="","", IFNA(VLOOKUP(D5348, SATCAT_DECAY!A:B, 2, FALSE), ""))
</f>
        <v/>
      </c>
      <c r="G5348" s="3" t="str">
        <f t="shared" si="1"/>
        <v>ACTIVE</v>
      </c>
    </row>
    <row r="5349" ht="22.5" customHeight="1">
      <c r="A5349" s="11" t="str">
        <f t="array" ref="A5349">IFERROR(
  INDEX('Starlink Launches'!$A:$A, MATCH($E5349, 'Starlink Launches'!$B:$B, 0)),
  ""
)
</f>
        <v>15-9</v>
      </c>
      <c r="B5349" s="3" t="s">
        <v>25</v>
      </c>
      <c r="C5349" s="12" t="s">
        <v>5376</v>
      </c>
      <c r="D5349" s="13">
        <v>64431.0</v>
      </c>
      <c r="E5349" s="4">
        <v>45825.0</v>
      </c>
      <c r="F5349" s="4" t="str">
        <f>IF(D5349="","", IFNA(VLOOKUP(D5349, SATCAT_DECAY!A:B, 2, FALSE), ""))
</f>
        <v/>
      </c>
      <c r="G5349" s="3" t="str">
        <f t="shared" si="1"/>
        <v>ACTIVE</v>
      </c>
    </row>
    <row r="5350" ht="22.5" customHeight="1">
      <c r="A5350" s="11" t="str">
        <f t="array" ref="A5350">IFERROR(
  INDEX('Starlink Launches'!$A:$A, MATCH($E5350, 'Starlink Launches'!$B:$B, 0)),
  ""
)
</f>
        <v>15-9</v>
      </c>
      <c r="B5350" s="3" t="s">
        <v>25</v>
      </c>
      <c r="C5350" s="12" t="s">
        <v>5377</v>
      </c>
      <c r="D5350" s="13">
        <v>64432.0</v>
      </c>
      <c r="E5350" s="4">
        <v>45825.0</v>
      </c>
      <c r="F5350" s="4" t="str">
        <f>IF(D5350="","", IFNA(VLOOKUP(D5350, SATCAT_DECAY!A:B, 2, FALSE), ""))
</f>
        <v/>
      </c>
      <c r="G5350" s="3" t="str">
        <f t="shared" si="1"/>
        <v>ACTIVE</v>
      </c>
    </row>
    <row r="5351" ht="22.5" customHeight="1">
      <c r="A5351" s="11" t="str">
        <f t="array" ref="A5351">IFERROR(
  INDEX('Starlink Launches'!$A:$A, MATCH($E5351, 'Starlink Launches'!$B:$B, 0)),
  ""
)
</f>
        <v>15-9</v>
      </c>
      <c r="B5351" s="3" t="s">
        <v>25</v>
      </c>
      <c r="C5351" s="12" t="s">
        <v>5378</v>
      </c>
      <c r="D5351" s="13">
        <v>64433.0</v>
      </c>
      <c r="E5351" s="4">
        <v>45825.0</v>
      </c>
      <c r="F5351" s="4" t="str">
        <f>IF(D5351="","", IFNA(VLOOKUP(D5351, SATCAT_DECAY!A:B, 2, FALSE), ""))
</f>
        <v/>
      </c>
      <c r="G5351" s="3" t="str">
        <f t="shared" si="1"/>
        <v>ACTIVE</v>
      </c>
    </row>
    <row r="5352" ht="22.5" customHeight="1">
      <c r="A5352" s="11" t="str">
        <f t="array" ref="A5352">IFERROR(
  INDEX('Starlink Launches'!$A:$A, MATCH($E5352, 'Starlink Launches'!$B:$B, 0)),
  ""
)
</f>
        <v>15-9</v>
      </c>
      <c r="B5352" s="3" t="s">
        <v>25</v>
      </c>
      <c r="C5352" s="12" t="s">
        <v>5379</v>
      </c>
      <c r="D5352" s="13">
        <v>64434.0</v>
      </c>
      <c r="E5352" s="4">
        <v>45825.0</v>
      </c>
      <c r="F5352" s="4" t="str">
        <f>IF(D5352="","", IFNA(VLOOKUP(D5352, SATCAT_DECAY!A:B, 2, FALSE), ""))
</f>
        <v/>
      </c>
      <c r="G5352" s="3" t="str">
        <f t="shared" si="1"/>
        <v>ACTIVE</v>
      </c>
    </row>
    <row r="5353" ht="22.5" customHeight="1">
      <c r="A5353" s="11" t="str">
        <f t="array" ref="A5353">IFERROR(
  INDEX('Starlink Launches'!$A:$A, MATCH($E5353, 'Starlink Launches'!$B:$B, 0)),
  ""
)
</f>
        <v>15-9</v>
      </c>
      <c r="B5353" s="3" t="s">
        <v>25</v>
      </c>
      <c r="C5353" s="12" t="s">
        <v>5380</v>
      </c>
      <c r="D5353" s="13">
        <v>64435.0</v>
      </c>
      <c r="E5353" s="4">
        <v>45825.0</v>
      </c>
      <c r="F5353" s="4" t="str">
        <f>IF(D5353="","", IFNA(VLOOKUP(D5353, SATCAT_DECAY!A:B, 2, FALSE), ""))
</f>
        <v/>
      </c>
      <c r="G5353" s="3" t="str">
        <f t="shared" si="1"/>
        <v>ACTIVE</v>
      </c>
    </row>
    <row r="5354" ht="22.5" customHeight="1">
      <c r="A5354" s="11" t="str">
        <f t="array" ref="A5354">IFERROR(
  INDEX('Starlink Launches'!$A:$A, MATCH($E5354, 'Starlink Launches'!$B:$B, 0)),
  ""
)
</f>
        <v>15-9</v>
      </c>
      <c r="B5354" s="3" t="s">
        <v>25</v>
      </c>
      <c r="C5354" s="12" t="s">
        <v>5381</v>
      </c>
      <c r="D5354" s="13">
        <v>64436.0</v>
      </c>
      <c r="E5354" s="4">
        <v>45825.0</v>
      </c>
      <c r="F5354" s="4" t="str">
        <f>IF(D5354="","", IFNA(VLOOKUP(D5354, SATCAT_DECAY!A:B, 2, FALSE), ""))
</f>
        <v/>
      </c>
      <c r="G5354" s="3" t="str">
        <f t="shared" si="1"/>
        <v>ACTIVE</v>
      </c>
    </row>
    <row r="5355" ht="22.5" customHeight="1">
      <c r="A5355" s="11" t="str">
        <f t="array" ref="A5355">IFERROR(
  INDEX('Starlink Launches'!$A:$A, MATCH($E5355, 'Starlink Launches'!$B:$B, 0)),
  ""
)
</f>
        <v>15-9</v>
      </c>
      <c r="B5355" s="3" t="s">
        <v>25</v>
      </c>
      <c r="C5355" s="12" t="s">
        <v>5382</v>
      </c>
      <c r="D5355" s="13">
        <v>64437.0</v>
      </c>
      <c r="E5355" s="4">
        <v>45825.0</v>
      </c>
      <c r="F5355" s="4" t="str">
        <f>IF(D5355="","", IFNA(VLOOKUP(D5355, SATCAT_DECAY!A:B, 2, FALSE), ""))
</f>
        <v/>
      </c>
      <c r="G5355" s="3" t="str">
        <f t="shared" si="1"/>
        <v>ACTIVE</v>
      </c>
    </row>
    <row r="5356" ht="22.5" customHeight="1">
      <c r="A5356" s="3" t="s">
        <v>5383</v>
      </c>
      <c r="B5356" s="3" t="s">
        <v>25</v>
      </c>
      <c r="C5356" s="12" t="s">
        <v>5384</v>
      </c>
      <c r="D5356" s="13">
        <v>64696.0</v>
      </c>
      <c r="E5356" s="4">
        <v>45836.0</v>
      </c>
      <c r="F5356" s="4" t="str">
        <f>IF(D5356="","", IFNA(VLOOKUP(D5356, SATCAT_DECAY!A:B, 2, FALSE), ""))
</f>
        <v/>
      </c>
      <c r="G5356" s="3" t="str">
        <f t="shared" si="1"/>
        <v>ACTIVE</v>
      </c>
    </row>
    <row r="5357" ht="22.5" customHeight="1">
      <c r="A5357" s="3" t="s">
        <v>5383</v>
      </c>
      <c r="B5357" s="3" t="s">
        <v>25</v>
      </c>
      <c r="C5357" s="12" t="s">
        <v>5385</v>
      </c>
      <c r="D5357" s="13">
        <v>64697.0</v>
      </c>
      <c r="E5357" s="4">
        <v>45836.0</v>
      </c>
      <c r="F5357" s="4" t="str">
        <f>IF(D5357="","", IFNA(VLOOKUP(D5357, SATCAT_DECAY!A:B, 2, FALSE), ""))
</f>
        <v/>
      </c>
      <c r="G5357" s="3" t="str">
        <f t="shared" si="1"/>
        <v>ACTIVE</v>
      </c>
    </row>
    <row r="5358" ht="22.5" customHeight="1">
      <c r="A5358" s="3" t="s">
        <v>5383</v>
      </c>
      <c r="B5358" s="3" t="s">
        <v>25</v>
      </c>
      <c r="C5358" s="12" t="s">
        <v>5386</v>
      </c>
      <c r="D5358" s="13">
        <v>64698.0</v>
      </c>
      <c r="E5358" s="4">
        <v>45836.0</v>
      </c>
      <c r="F5358" s="4" t="str">
        <f>IF(D5358="","", IFNA(VLOOKUP(D5358, SATCAT_DECAY!A:B, 2, FALSE), ""))
</f>
        <v/>
      </c>
      <c r="G5358" s="3" t="str">
        <f t="shared" si="1"/>
        <v>ACTIVE</v>
      </c>
    </row>
    <row r="5359" ht="22.5" customHeight="1">
      <c r="A5359" s="3" t="s">
        <v>5383</v>
      </c>
      <c r="B5359" s="3" t="s">
        <v>25</v>
      </c>
      <c r="C5359" s="12" t="s">
        <v>5387</v>
      </c>
      <c r="D5359" s="13">
        <v>64699.0</v>
      </c>
      <c r="E5359" s="4">
        <v>45836.0</v>
      </c>
      <c r="F5359" s="4" t="str">
        <f>IF(D5359="","", IFNA(VLOOKUP(D5359, SATCAT_DECAY!A:B, 2, FALSE), ""))
</f>
        <v/>
      </c>
      <c r="G5359" s="3" t="str">
        <f t="shared" si="1"/>
        <v>ACTIVE</v>
      </c>
    </row>
    <row r="5360" ht="22.5" customHeight="1">
      <c r="A5360" s="3" t="s">
        <v>5383</v>
      </c>
      <c r="B5360" s="3" t="s">
        <v>25</v>
      </c>
      <c r="C5360" s="12" t="s">
        <v>5388</v>
      </c>
      <c r="D5360" s="13">
        <v>64700.0</v>
      </c>
      <c r="E5360" s="4">
        <v>45836.0</v>
      </c>
      <c r="F5360" s="4" t="str">
        <f>IF(D5360="","", IFNA(VLOOKUP(D5360, SATCAT_DECAY!A:B, 2, FALSE), ""))
</f>
        <v/>
      </c>
      <c r="G5360" s="3" t="str">
        <f t="shared" si="1"/>
        <v>ACTIVE</v>
      </c>
    </row>
    <row r="5361" ht="22.5" customHeight="1">
      <c r="A5361" s="3" t="s">
        <v>5383</v>
      </c>
      <c r="B5361" s="3" t="s">
        <v>25</v>
      </c>
      <c r="C5361" s="12" t="s">
        <v>5389</v>
      </c>
      <c r="D5361" s="13">
        <v>64701.0</v>
      </c>
      <c r="E5361" s="4">
        <v>45836.0</v>
      </c>
      <c r="F5361" s="4" t="str">
        <f>IF(D5361="","", IFNA(VLOOKUP(D5361, SATCAT_DECAY!A:B, 2, FALSE), ""))
</f>
        <v/>
      </c>
      <c r="G5361" s="3" t="str">
        <f t="shared" si="1"/>
        <v>ACTIVE</v>
      </c>
    </row>
    <row r="5362" ht="22.5" customHeight="1">
      <c r="A5362" s="3" t="s">
        <v>5383</v>
      </c>
      <c r="B5362" s="3" t="s">
        <v>25</v>
      </c>
      <c r="C5362" s="12" t="s">
        <v>5390</v>
      </c>
      <c r="D5362" s="13">
        <v>64702.0</v>
      </c>
      <c r="E5362" s="4">
        <v>45836.0</v>
      </c>
      <c r="F5362" s="4" t="str">
        <f>IF(D5362="","", IFNA(VLOOKUP(D5362, SATCAT_DECAY!A:B, 2, FALSE), ""))
</f>
        <v/>
      </c>
      <c r="G5362" s="3" t="str">
        <f t="shared" si="1"/>
        <v>ACTIVE</v>
      </c>
    </row>
    <row r="5363" ht="22.5" customHeight="1">
      <c r="A5363" s="3" t="s">
        <v>5383</v>
      </c>
      <c r="B5363" s="3" t="s">
        <v>25</v>
      </c>
      <c r="C5363" s="12" t="s">
        <v>5391</v>
      </c>
      <c r="D5363" s="13">
        <v>64703.0</v>
      </c>
      <c r="E5363" s="4">
        <v>45836.0</v>
      </c>
      <c r="F5363" s="4" t="str">
        <f>IF(D5363="","", IFNA(VLOOKUP(D5363, SATCAT_DECAY!A:B, 2, FALSE), ""))
</f>
        <v/>
      </c>
      <c r="G5363" s="3" t="str">
        <f t="shared" si="1"/>
        <v>ACTIVE</v>
      </c>
    </row>
    <row r="5364" ht="22.5" customHeight="1">
      <c r="A5364" s="3" t="s">
        <v>5383</v>
      </c>
      <c r="B5364" s="3" t="s">
        <v>25</v>
      </c>
      <c r="C5364" s="12" t="s">
        <v>5392</v>
      </c>
      <c r="D5364" s="13">
        <v>64704.0</v>
      </c>
      <c r="E5364" s="4">
        <v>45836.0</v>
      </c>
      <c r="F5364" s="4" t="str">
        <f>IF(D5364="","", IFNA(VLOOKUP(D5364, SATCAT_DECAY!A:B, 2, FALSE), ""))
</f>
        <v/>
      </c>
      <c r="G5364" s="3" t="str">
        <f t="shared" si="1"/>
        <v>ACTIVE</v>
      </c>
    </row>
    <row r="5365" ht="22.5" customHeight="1">
      <c r="A5365" s="3" t="s">
        <v>5383</v>
      </c>
      <c r="B5365" s="3" t="s">
        <v>25</v>
      </c>
      <c r="C5365" s="12" t="s">
        <v>5393</v>
      </c>
      <c r="D5365" s="13">
        <v>64705.0</v>
      </c>
      <c r="E5365" s="4">
        <v>45836.0</v>
      </c>
      <c r="F5365" s="4" t="str">
        <f>IF(D5365="","", IFNA(VLOOKUP(D5365, SATCAT_DECAY!A:B, 2, FALSE), ""))
</f>
        <v/>
      </c>
      <c r="G5365" s="3" t="str">
        <f t="shared" si="1"/>
        <v>ACTIVE</v>
      </c>
    </row>
    <row r="5366" ht="22.5" customHeight="1">
      <c r="A5366" s="3" t="s">
        <v>5383</v>
      </c>
      <c r="B5366" s="3" t="s">
        <v>25</v>
      </c>
      <c r="C5366" s="12" t="s">
        <v>5394</v>
      </c>
      <c r="D5366" s="13">
        <v>64706.0</v>
      </c>
      <c r="E5366" s="4">
        <v>45836.0</v>
      </c>
      <c r="F5366" s="4" t="str">
        <f>IF(D5366="","", IFNA(VLOOKUP(D5366, SATCAT_DECAY!A:B, 2, FALSE), ""))
</f>
        <v/>
      </c>
      <c r="G5366" s="3" t="str">
        <f t="shared" si="1"/>
        <v>ACTIVE</v>
      </c>
    </row>
    <row r="5367" ht="22.5" customHeight="1">
      <c r="A5367" s="3" t="s">
        <v>5383</v>
      </c>
      <c r="B5367" s="3" t="s">
        <v>25</v>
      </c>
      <c r="C5367" s="12" t="s">
        <v>5395</v>
      </c>
      <c r="D5367" s="13">
        <v>64707.0</v>
      </c>
      <c r="E5367" s="4">
        <v>45836.0</v>
      </c>
      <c r="F5367" s="4" t="str">
        <f>IF(D5367="","", IFNA(VLOOKUP(D5367, SATCAT_DECAY!A:B, 2, FALSE), ""))
</f>
        <v/>
      </c>
      <c r="G5367" s="3" t="str">
        <f t="shared" si="1"/>
        <v>ACTIVE</v>
      </c>
    </row>
    <row r="5368" ht="22.5" customHeight="1">
      <c r="A5368" s="3" t="s">
        <v>5383</v>
      </c>
      <c r="B5368" s="3" t="s">
        <v>25</v>
      </c>
      <c r="C5368" s="12" t="s">
        <v>5396</v>
      </c>
      <c r="D5368" s="13">
        <v>64708.0</v>
      </c>
      <c r="E5368" s="4">
        <v>45836.0</v>
      </c>
      <c r="F5368" s="4" t="str">
        <f>IF(D5368="","", IFNA(VLOOKUP(D5368, SATCAT_DECAY!A:B, 2, FALSE), ""))
</f>
        <v/>
      </c>
      <c r="G5368" s="3" t="str">
        <f t="shared" si="1"/>
        <v>ACTIVE</v>
      </c>
    </row>
    <row r="5369" ht="22.5" customHeight="1">
      <c r="A5369" s="3" t="s">
        <v>5383</v>
      </c>
      <c r="B5369" s="3" t="s">
        <v>25</v>
      </c>
      <c r="C5369" s="12" t="s">
        <v>5397</v>
      </c>
      <c r="D5369" s="13">
        <v>64709.0</v>
      </c>
      <c r="E5369" s="4">
        <v>45836.0</v>
      </c>
      <c r="F5369" s="4" t="str">
        <f>IF(D5369="","", IFNA(VLOOKUP(D5369, SATCAT_DECAY!A:B, 2, FALSE), ""))
</f>
        <v/>
      </c>
      <c r="G5369" s="3" t="str">
        <f t="shared" si="1"/>
        <v>ACTIVE</v>
      </c>
    </row>
    <row r="5370" ht="22.5" customHeight="1">
      <c r="A5370" s="3" t="s">
        <v>5383</v>
      </c>
      <c r="B5370" s="3" t="s">
        <v>25</v>
      </c>
      <c r="C5370" s="12" t="s">
        <v>5398</v>
      </c>
      <c r="D5370" s="13">
        <v>64710.0</v>
      </c>
      <c r="E5370" s="4">
        <v>45836.0</v>
      </c>
      <c r="F5370" s="4" t="str">
        <f>IF(D5370="","", IFNA(VLOOKUP(D5370, SATCAT_DECAY!A:B, 2, FALSE), ""))
</f>
        <v/>
      </c>
      <c r="G5370" s="3" t="str">
        <f t="shared" si="1"/>
        <v>ACTIVE</v>
      </c>
    </row>
    <row r="5371" ht="22.5" customHeight="1">
      <c r="A5371" s="3" t="s">
        <v>5383</v>
      </c>
      <c r="B5371" s="3" t="s">
        <v>25</v>
      </c>
      <c r="C5371" s="12" t="s">
        <v>5399</v>
      </c>
      <c r="D5371" s="13">
        <v>64711.0</v>
      </c>
      <c r="E5371" s="4">
        <v>45836.0</v>
      </c>
      <c r="F5371" s="4" t="str">
        <f>IF(D5371="","", IFNA(VLOOKUP(D5371, SATCAT_DECAY!A:B, 2, FALSE), ""))
</f>
        <v/>
      </c>
      <c r="G5371" s="3" t="str">
        <f t="shared" si="1"/>
        <v>ACTIVE</v>
      </c>
    </row>
    <row r="5372" ht="22.5" customHeight="1">
      <c r="A5372" s="3" t="s">
        <v>5383</v>
      </c>
      <c r="B5372" s="3" t="s">
        <v>25</v>
      </c>
      <c r="C5372" s="12" t="s">
        <v>5400</v>
      </c>
      <c r="D5372" s="13">
        <v>64712.0</v>
      </c>
      <c r="E5372" s="4">
        <v>45836.0</v>
      </c>
      <c r="F5372" s="4" t="str">
        <f>IF(D5372="","", IFNA(VLOOKUP(D5372, SATCAT_DECAY!A:B, 2, FALSE), ""))
</f>
        <v/>
      </c>
      <c r="G5372" s="3" t="str">
        <f t="shared" si="1"/>
        <v>ACTIVE</v>
      </c>
    </row>
    <row r="5373" ht="22.5" customHeight="1">
      <c r="A5373" s="3" t="s">
        <v>5383</v>
      </c>
      <c r="B5373" s="3" t="s">
        <v>25</v>
      </c>
      <c r="C5373" s="12" t="s">
        <v>5401</v>
      </c>
      <c r="D5373" s="13">
        <v>64713.0</v>
      </c>
      <c r="E5373" s="4">
        <v>45836.0</v>
      </c>
      <c r="F5373" s="4" t="str">
        <f>IF(D5373="","", IFNA(VLOOKUP(D5373, SATCAT_DECAY!A:B, 2, FALSE), ""))
</f>
        <v/>
      </c>
      <c r="G5373" s="3" t="str">
        <f t="shared" si="1"/>
        <v>ACTIVE</v>
      </c>
    </row>
    <row r="5374" ht="22.5" customHeight="1">
      <c r="A5374" s="3" t="s">
        <v>5383</v>
      </c>
      <c r="B5374" s="3" t="s">
        <v>25</v>
      </c>
      <c r="C5374" s="12" t="s">
        <v>5402</v>
      </c>
      <c r="D5374" s="13">
        <v>64714.0</v>
      </c>
      <c r="E5374" s="4">
        <v>45836.0</v>
      </c>
      <c r="F5374" s="4" t="str">
        <f>IF(D5374="","", IFNA(VLOOKUP(D5374, SATCAT_DECAY!A:B, 2, FALSE), ""))
</f>
        <v/>
      </c>
      <c r="G5374" s="3" t="str">
        <f t="shared" si="1"/>
        <v>ACTIVE</v>
      </c>
    </row>
    <row r="5375" ht="22.5" customHeight="1">
      <c r="A5375" s="3" t="s">
        <v>5383</v>
      </c>
      <c r="B5375" s="3" t="s">
        <v>25</v>
      </c>
      <c r="C5375" s="12" t="s">
        <v>5403</v>
      </c>
      <c r="D5375" s="13">
        <v>64715.0</v>
      </c>
      <c r="E5375" s="4">
        <v>45836.0</v>
      </c>
      <c r="F5375" s="4" t="str">
        <f>IF(D5375="","", IFNA(VLOOKUP(D5375, SATCAT_DECAY!A:B, 2, FALSE), ""))
</f>
        <v/>
      </c>
      <c r="G5375" s="3" t="str">
        <f t="shared" si="1"/>
        <v>ACTIVE</v>
      </c>
    </row>
    <row r="5376" ht="22.5" customHeight="1">
      <c r="A5376" s="3" t="s">
        <v>5383</v>
      </c>
      <c r="B5376" s="3" t="s">
        <v>25</v>
      </c>
      <c r="C5376" s="12" t="s">
        <v>5404</v>
      </c>
      <c r="D5376" s="13">
        <v>64716.0</v>
      </c>
      <c r="E5376" s="4">
        <v>45836.0</v>
      </c>
      <c r="F5376" s="4" t="str">
        <f>IF(D5376="","", IFNA(VLOOKUP(D5376, SATCAT_DECAY!A:B, 2, FALSE), ""))
</f>
        <v/>
      </c>
      <c r="G5376" s="3" t="str">
        <f t="shared" si="1"/>
        <v>ACTIVE</v>
      </c>
    </row>
    <row r="5377" ht="22.5" customHeight="1">
      <c r="A5377" s="3" t="s">
        <v>5383</v>
      </c>
      <c r="B5377" s="3" t="s">
        <v>25</v>
      </c>
      <c r="C5377" s="12" t="s">
        <v>5405</v>
      </c>
      <c r="D5377" s="13">
        <v>64717.0</v>
      </c>
      <c r="E5377" s="4">
        <v>45836.0</v>
      </c>
      <c r="F5377" s="4" t="str">
        <f>IF(D5377="","", IFNA(VLOOKUP(D5377, SATCAT_DECAY!A:B, 2, FALSE), ""))
</f>
        <v/>
      </c>
      <c r="G5377" s="3" t="str">
        <f t="shared" si="1"/>
        <v>ACTIVE</v>
      </c>
    </row>
    <row r="5378" ht="22.5" customHeight="1">
      <c r="A5378" s="3" t="s">
        <v>5383</v>
      </c>
      <c r="B5378" s="3" t="s">
        <v>25</v>
      </c>
      <c r="C5378" s="12" t="s">
        <v>5406</v>
      </c>
      <c r="D5378" s="13">
        <v>64718.0</v>
      </c>
      <c r="E5378" s="4">
        <v>45836.0</v>
      </c>
      <c r="F5378" s="4" t="str">
        <f>IF(D5378="","", IFNA(VLOOKUP(D5378, SATCAT_DECAY!A:B, 2, FALSE), ""))
</f>
        <v/>
      </c>
      <c r="G5378" s="3" t="str">
        <f t="shared" si="1"/>
        <v>ACTIVE</v>
      </c>
    </row>
    <row r="5379" ht="22.5" customHeight="1">
      <c r="A5379" s="3" t="s">
        <v>5383</v>
      </c>
      <c r="B5379" s="3" t="s">
        <v>25</v>
      </c>
      <c r="C5379" s="12" t="s">
        <v>5407</v>
      </c>
      <c r="D5379" s="13">
        <v>64719.0</v>
      </c>
      <c r="E5379" s="4">
        <v>45836.0</v>
      </c>
      <c r="F5379" s="4" t="str">
        <f>IF(D5379="","", IFNA(VLOOKUP(D5379, SATCAT_DECAY!A:B, 2, FALSE), ""))
</f>
        <v/>
      </c>
      <c r="G5379" s="3" t="str">
        <f t="shared" si="1"/>
        <v>ACTIVE</v>
      </c>
    </row>
    <row r="5380" ht="22.5" customHeight="1">
      <c r="A5380" s="3" t="s">
        <v>5383</v>
      </c>
      <c r="B5380" s="3" t="s">
        <v>25</v>
      </c>
      <c r="C5380" s="12" t="s">
        <v>5408</v>
      </c>
      <c r="D5380" s="13">
        <v>64720.0</v>
      </c>
      <c r="E5380" s="4">
        <v>45836.0</v>
      </c>
      <c r="F5380" s="4" t="str">
        <f>IF(D5380="","", IFNA(VLOOKUP(D5380, SATCAT_DECAY!A:B, 2, FALSE), ""))
</f>
        <v/>
      </c>
      <c r="G5380" s="3" t="str">
        <f t="shared" si="1"/>
        <v>ACTIVE</v>
      </c>
    </row>
    <row r="5381" ht="22.5" customHeight="1">
      <c r="A5381" s="3" t="s">
        <v>5383</v>
      </c>
      <c r="B5381" s="3" t="s">
        <v>25</v>
      </c>
      <c r="C5381" s="12" t="s">
        <v>5409</v>
      </c>
      <c r="D5381" s="13">
        <v>64721.0</v>
      </c>
      <c r="E5381" s="4">
        <v>45836.0</v>
      </c>
      <c r="F5381" s="4" t="str">
        <f>IF(D5381="","", IFNA(VLOOKUP(D5381, SATCAT_DECAY!A:B, 2, FALSE), ""))
</f>
        <v/>
      </c>
      <c r="G5381" s="3" t="str">
        <f t="shared" si="1"/>
        <v>ACTIVE</v>
      </c>
    </row>
    <row r="5382" ht="22.5" customHeight="1">
      <c r="A5382" s="11" t="str">
        <f t="array" ref="A5382">IFERROR(
  INDEX('Starlink Launches'!$A:$A, MATCH($E5382, 'Starlink Launches'!$B:$B, 0)),
  ""
)
</f>
        <v>15-2</v>
      </c>
      <c r="B5382" s="3" t="s">
        <v>25</v>
      </c>
      <c r="C5382" s="12" t="s">
        <v>5410</v>
      </c>
      <c r="D5382" s="13">
        <v>64790.0</v>
      </c>
      <c r="E5382" s="4">
        <v>45854.0</v>
      </c>
      <c r="F5382" s="4" t="str">
        <f>IF(D5382="","", IFNA(VLOOKUP(D5382, SATCAT_DECAY!A:B, 2, FALSE), ""))
</f>
        <v/>
      </c>
      <c r="G5382" s="3" t="str">
        <f t="shared" si="1"/>
        <v>ACTIVE</v>
      </c>
    </row>
    <row r="5383" ht="22.5" customHeight="1">
      <c r="A5383" s="11" t="str">
        <f t="array" ref="A5383">IFERROR(
  INDEX('Starlink Launches'!$A:$A, MATCH($E5383, 'Starlink Launches'!$B:$B, 0)),
  ""
)
</f>
        <v>15-2</v>
      </c>
      <c r="B5383" s="3" t="s">
        <v>25</v>
      </c>
      <c r="C5383" s="12" t="s">
        <v>5411</v>
      </c>
      <c r="D5383" s="13">
        <v>64791.0</v>
      </c>
      <c r="E5383" s="4">
        <v>45854.0</v>
      </c>
      <c r="F5383" s="4" t="str">
        <f>IF(D5383="","", IFNA(VLOOKUP(D5383, SATCAT_DECAY!A:B, 2, FALSE), ""))
</f>
        <v/>
      </c>
      <c r="G5383" s="3" t="str">
        <f t="shared" si="1"/>
        <v>ACTIVE</v>
      </c>
    </row>
    <row r="5384" ht="22.5" customHeight="1">
      <c r="A5384" s="11" t="str">
        <f t="array" ref="A5384">IFERROR(
  INDEX('Starlink Launches'!$A:$A, MATCH($E5384, 'Starlink Launches'!$B:$B, 0)),
  ""
)
</f>
        <v>15-2</v>
      </c>
      <c r="B5384" s="3" t="s">
        <v>25</v>
      </c>
      <c r="C5384" s="12" t="s">
        <v>5412</v>
      </c>
      <c r="D5384" s="13">
        <v>64792.0</v>
      </c>
      <c r="E5384" s="4">
        <v>45854.0</v>
      </c>
      <c r="F5384" s="4" t="str">
        <f>IF(D5384="","", IFNA(VLOOKUP(D5384, SATCAT_DECAY!A:B, 2, FALSE), ""))
</f>
        <v/>
      </c>
      <c r="G5384" s="3" t="str">
        <f t="shared" si="1"/>
        <v>ACTIVE</v>
      </c>
    </row>
    <row r="5385" ht="22.5" customHeight="1">
      <c r="A5385" s="11" t="str">
        <f t="array" ref="A5385">IFERROR(
  INDEX('Starlink Launches'!$A:$A, MATCH($E5385, 'Starlink Launches'!$B:$B, 0)),
  ""
)
</f>
        <v>15-2</v>
      </c>
      <c r="B5385" s="3" t="s">
        <v>25</v>
      </c>
      <c r="C5385" s="12" t="s">
        <v>5413</v>
      </c>
      <c r="D5385" s="13">
        <v>64793.0</v>
      </c>
      <c r="E5385" s="4">
        <v>45854.0</v>
      </c>
      <c r="F5385" s="4" t="str">
        <f>IF(D5385="","", IFNA(VLOOKUP(D5385, SATCAT_DECAY!A:B, 2, FALSE), ""))
</f>
        <v/>
      </c>
      <c r="G5385" s="3" t="str">
        <f t="shared" si="1"/>
        <v>ACTIVE</v>
      </c>
    </row>
    <row r="5386" ht="22.5" customHeight="1">
      <c r="A5386" s="11" t="str">
        <f t="array" ref="A5386">IFERROR(
  INDEX('Starlink Launches'!$A:$A, MATCH($E5386, 'Starlink Launches'!$B:$B, 0)),
  ""
)
</f>
        <v>15-2</v>
      </c>
      <c r="B5386" s="3" t="s">
        <v>25</v>
      </c>
      <c r="C5386" s="12" t="s">
        <v>5414</v>
      </c>
      <c r="D5386" s="13">
        <v>64794.0</v>
      </c>
      <c r="E5386" s="4">
        <v>45854.0</v>
      </c>
      <c r="F5386" s="4" t="str">
        <f>IF(D5386="","", IFNA(VLOOKUP(D5386, SATCAT_DECAY!A:B, 2, FALSE), ""))
</f>
        <v/>
      </c>
      <c r="G5386" s="3" t="str">
        <f t="shared" si="1"/>
        <v>ACTIVE</v>
      </c>
    </row>
    <row r="5387" ht="22.5" customHeight="1">
      <c r="A5387" s="11" t="str">
        <f t="array" ref="A5387">IFERROR(
  INDEX('Starlink Launches'!$A:$A, MATCH($E5387, 'Starlink Launches'!$B:$B, 0)),
  ""
)
</f>
        <v>15-2</v>
      </c>
      <c r="B5387" s="3" t="s">
        <v>25</v>
      </c>
      <c r="C5387" s="12" t="s">
        <v>5415</v>
      </c>
      <c r="D5387" s="13">
        <v>64795.0</v>
      </c>
      <c r="E5387" s="4">
        <v>45854.0</v>
      </c>
      <c r="F5387" s="4" t="str">
        <f>IF(D5387="","", IFNA(VLOOKUP(D5387, SATCAT_DECAY!A:B, 2, FALSE), ""))
</f>
        <v/>
      </c>
      <c r="G5387" s="3" t="str">
        <f t="shared" si="1"/>
        <v>ACTIVE</v>
      </c>
    </row>
    <row r="5388" ht="22.5" customHeight="1">
      <c r="A5388" s="11" t="str">
        <f t="array" ref="A5388">IFERROR(
  INDEX('Starlink Launches'!$A:$A, MATCH($E5388, 'Starlink Launches'!$B:$B, 0)),
  ""
)
</f>
        <v>15-2</v>
      </c>
      <c r="B5388" s="3" t="s">
        <v>25</v>
      </c>
      <c r="C5388" s="12" t="s">
        <v>5416</v>
      </c>
      <c r="D5388" s="13">
        <v>64796.0</v>
      </c>
      <c r="E5388" s="4">
        <v>45854.0</v>
      </c>
      <c r="F5388" s="4" t="str">
        <f>IF(D5388="","", IFNA(VLOOKUP(D5388, SATCAT_DECAY!A:B, 2, FALSE), ""))
</f>
        <v/>
      </c>
      <c r="G5388" s="3" t="str">
        <f t="shared" si="1"/>
        <v>ACTIVE</v>
      </c>
    </row>
    <row r="5389" ht="22.5" customHeight="1">
      <c r="A5389" s="11" t="str">
        <f t="array" ref="A5389">IFERROR(
  INDEX('Starlink Launches'!$A:$A, MATCH($E5389, 'Starlink Launches'!$B:$B, 0)),
  ""
)
</f>
        <v>15-2</v>
      </c>
      <c r="B5389" s="3" t="s">
        <v>25</v>
      </c>
      <c r="C5389" s="12" t="s">
        <v>5417</v>
      </c>
      <c r="D5389" s="13">
        <v>64797.0</v>
      </c>
      <c r="E5389" s="4">
        <v>45854.0</v>
      </c>
      <c r="F5389" s="4" t="str">
        <f>IF(D5389="","", IFNA(VLOOKUP(D5389, SATCAT_DECAY!A:B, 2, FALSE), ""))
</f>
        <v/>
      </c>
      <c r="G5389" s="3" t="str">
        <f t="shared" si="1"/>
        <v>ACTIVE</v>
      </c>
    </row>
    <row r="5390" ht="22.5" customHeight="1">
      <c r="A5390" s="11" t="str">
        <f t="array" ref="A5390">IFERROR(
  INDEX('Starlink Launches'!$A:$A, MATCH($E5390, 'Starlink Launches'!$B:$B, 0)),
  ""
)
</f>
        <v>15-2</v>
      </c>
      <c r="B5390" s="3" t="s">
        <v>25</v>
      </c>
      <c r="C5390" s="12" t="s">
        <v>5418</v>
      </c>
      <c r="D5390" s="13">
        <v>64798.0</v>
      </c>
      <c r="E5390" s="4">
        <v>45854.0</v>
      </c>
      <c r="F5390" s="4" t="str">
        <f>IF(D5390="","", IFNA(VLOOKUP(D5390, SATCAT_DECAY!A:B, 2, FALSE), ""))
</f>
        <v/>
      </c>
      <c r="G5390" s="3" t="str">
        <f t="shared" si="1"/>
        <v>ACTIVE</v>
      </c>
    </row>
    <row r="5391" ht="22.5" customHeight="1">
      <c r="A5391" s="11" t="str">
        <f t="array" ref="A5391">IFERROR(
  INDEX('Starlink Launches'!$A:$A, MATCH($E5391, 'Starlink Launches'!$B:$B, 0)),
  ""
)
</f>
        <v>15-2</v>
      </c>
      <c r="B5391" s="3" t="s">
        <v>25</v>
      </c>
      <c r="C5391" s="12" t="s">
        <v>5419</v>
      </c>
      <c r="D5391" s="13">
        <v>64799.0</v>
      </c>
      <c r="E5391" s="4">
        <v>45854.0</v>
      </c>
      <c r="F5391" s="4" t="str">
        <f>IF(D5391="","", IFNA(VLOOKUP(D5391, SATCAT_DECAY!A:B, 2, FALSE), ""))
</f>
        <v/>
      </c>
      <c r="G5391" s="3" t="str">
        <f t="shared" si="1"/>
        <v>ACTIVE</v>
      </c>
    </row>
    <row r="5392" ht="22.5" customHeight="1">
      <c r="A5392" s="11" t="str">
        <f t="array" ref="A5392">IFERROR(
  INDEX('Starlink Launches'!$A:$A, MATCH($E5392, 'Starlink Launches'!$B:$B, 0)),
  ""
)
</f>
        <v>15-2</v>
      </c>
      <c r="B5392" s="3" t="s">
        <v>25</v>
      </c>
      <c r="C5392" s="12" t="s">
        <v>5420</v>
      </c>
      <c r="D5392" s="13">
        <v>64800.0</v>
      </c>
      <c r="E5392" s="4">
        <v>45854.0</v>
      </c>
      <c r="F5392" s="4" t="str">
        <f>IF(D5392="","", IFNA(VLOOKUP(D5392, SATCAT_DECAY!A:B, 2, FALSE), ""))
</f>
        <v/>
      </c>
      <c r="G5392" s="3" t="str">
        <f t="shared" si="1"/>
        <v>ACTIVE</v>
      </c>
    </row>
    <row r="5393" ht="22.5" customHeight="1">
      <c r="A5393" s="11" t="str">
        <f t="array" ref="A5393">IFERROR(
  INDEX('Starlink Launches'!$A:$A, MATCH($E5393, 'Starlink Launches'!$B:$B, 0)),
  ""
)
</f>
        <v>15-2</v>
      </c>
      <c r="B5393" s="3" t="s">
        <v>25</v>
      </c>
      <c r="C5393" s="12" t="s">
        <v>5421</v>
      </c>
      <c r="D5393" s="13">
        <v>64801.0</v>
      </c>
      <c r="E5393" s="4">
        <v>45854.0</v>
      </c>
      <c r="F5393" s="4" t="str">
        <f>IF(D5393="","", IFNA(VLOOKUP(D5393, SATCAT_DECAY!A:B, 2, FALSE), ""))
</f>
        <v/>
      </c>
      <c r="G5393" s="3" t="str">
        <f t="shared" si="1"/>
        <v>ACTIVE</v>
      </c>
    </row>
    <row r="5394" ht="22.5" customHeight="1">
      <c r="A5394" s="11" t="str">
        <f t="array" ref="A5394">IFERROR(
  INDEX('Starlink Launches'!$A:$A, MATCH($E5394, 'Starlink Launches'!$B:$B, 0)),
  ""
)
</f>
        <v>15-2</v>
      </c>
      <c r="B5394" s="3" t="s">
        <v>25</v>
      </c>
      <c r="C5394" s="12" t="s">
        <v>5422</v>
      </c>
      <c r="D5394" s="13">
        <v>64802.0</v>
      </c>
      <c r="E5394" s="4">
        <v>45854.0</v>
      </c>
      <c r="F5394" s="4" t="str">
        <f>IF(D5394="","", IFNA(VLOOKUP(D5394, SATCAT_DECAY!A:B, 2, FALSE), ""))
</f>
        <v/>
      </c>
      <c r="G5394" s="3" t="str">
        <f t="shared" si="1"/>
        <v>ACTIVE</v>
      </c>
    </row>
    <row r="5395" ht="22.5" customHeight="1">
      <c r="A5395" s="11" t="str">
        <f t="array" ref="A5395">IFERROR(
  INDEX('Starlink Launches'!$A:$A, MATCH($E5395, 'Starlink Launches'!$B:$B, 0)),
  ""
)
</f>
        <v>15-2</v>
      </c>
      <c r="B5395" s="3" t="s">
        <v>25</v>
      </c>
      <c r="C5395" s="12" t="s">
        <v>5423</v>
      </c>
      <c r="D5395" s="13">
        <v>64803.0</v>
      </c>
      <c r="E5395" s="4">
        <v>45854.0</v>
      </c>
      <c r="F5395" s="4" t="str">
        <f>IF(D5395="","", IFNA(VLOOKUP(D5395, SATCAT_DECAY!A:B, 2, FALSE), ""))
</f>
        <v/>
      </c>
      <c r="G5395" s="3" t="str">
        <f t="shared" si="1"/>
        <v>ACTIVE</v>
      </c>
    </row>
    <row r="5396" ht="22.5" customHeight="1">
      <c r="A5396" s="11" t="str">
        <f t="array" ref="A5396">IFERROR(
  INDEX('Starlink Launches'!$A:$A, MATCH($E5396, 'Starlink Launches'!$B:$B, 0)),
  ""
)
</f>
        <v>15-2</v>
      </c>
      <c r="B5396" s="3" t="s">
        <v>25</v>
      </c>
      <c r="C5396" s="12" t="s">
        <v>5424</v>
      </c>
      <c r="D5396" s="13">
        <v>64804.0</v>
      </c>
      <c r="E5396" s="4">
        <v>45854.0</v>
      </c>
      <c r="F5396" s="4" t="str">
        <f>IF(D5396="","", IFNA(VLOOKUP(D5396, SATCAT_DECAY!A:B, 2, FALSE), ""))
</f>
        <v/>
      </c>
      <c r="G5396" s="3" t="str">
        <f t="shared" si="1"/>
        <v>ACTIVE</v>
      </c>
    </row>
    <row r="5397" ht="22.5" customHeight="1">
      <c r="A5397" s="11" t="str">
        <f t="array" ref="A5397">IFERROR(
  INDEX('Starlink Launches'!$A:$A, MATCH($E5397, 'Starlink Launches'!$B:$B, 0)),
  ""
)
</f>
        <v>15-2</v>
      </c>
      <c r="B5397" s="3" t="s">
        <v>25</v>
      </c>
      <c r="C5397" s="12" t="s">
        <v>5425</v>
      </c>
      <c r="D5397" s="13">
        <v>64805.0</v>
      </c>
      <c r="E5397" s="4">
        <v>45854.0</v>
      </c>
      <c r="F5397" s="4" t="str">
        <f>IF(D5397="","", IFNA(VLOOKUP(D5397, SATCAT_DECAY!A:B, 2, FALSE), ""))
</f>
        <v/>
      </c>
      <c r="G5397" s="3" t="str">
        <f t="shared" si="1"/>
        <v>ACTIVE</v>
      </c>
    </row>
    <row r="5398" ht="22.5" customHeight="1">
      <c r="A5398" s="11" t="str">
        <f t="array" ref="A5398">IFERROR(
  INDEX('Starlink Launches'!$A:$A, MATCH($E5398, 'Starlink Launches'!$B:$B, 0)),
  ""
)
</f>
        <v>15-2</v>
      </c>
      <c r="B5398" s="3" t="s">
        <v>25</v>
      </c>
      <c r="C5398" s="12" t="s">
        <v>5426</v>
      </c>
      <c r="D5398" s="13">
        <v>64806.0</v>
      </c>
      <c r="E5398" s="4">
        <v>45854.0</v>
      </c>
      <c r="F5398" s="4" t="str">
        <f>IF(D5398="","", IFNA(VLOOKUP(D5398, SATCAT_DECAY!A:B, 2, FALSE), ""))
</f>
        <v/>
      </c>
      <c r="G5398" s="3" t="str">
        <f t="shared" si="1"/>
        <v>ACTIVE</v>
      </c>
    </row>
    <row r="5399" ht="22.5" customHeight="1">
      <c r="A5399" s="11" t="str">
        <f t="array" ref="A5399">IFERROR(
  INDEX('Starlink Launches'!$A:$A, MATCH($E5399, 'Starlink Launches'!$B:$B, 0)),
  ""
)
</f>
        <v>15-2</v>
      </c>
      <c r="B5399" s="3" t="s">
        <v>25</v>
      </c>
      <c r="C5399" s="12" t="s">
        <v>5427</v>
      </c>
      <c r="D5399" s="13">
        <v>64807.0</v>
      </c>
      <c r="E5399" s="4">
        <v>45854.0</v>
      </c>
      <c r="F5399" s="4" t="str">
        <f>IF(D5399="","", IFNA(VLOOKUP(D5399, SATCAT_DECAY!A:B, 2, FALSE), ""))
</f>
        <v/>
      </c>
      <c r="G5399" s="3" t="str">
        <f t="shared" si="1"/>
        <v>ACTIVE</v>
      </c>
    </row>
    <row r="5400" ht="22.5" customHeight="1">
      <c r="A5400" s="11" t="str">
        <f t="array" ref="A5400">IFERROR(
  INDEX('Starlink Launches'!$A:$A, MATCH($E5400, 'Starlink Launches'!$B:$B, 0)),
  ""
)
</f>
        <v>15-2</v>
      </c>
      <c r="B5400" s="3" t="s">
        <v>25</v>
      </c>
      <c r="C5400" s="12" t="s">
        <v>5428</v>
      </c>
      <c r="D5400" s="13">
        <v>64808.0</v>
      </c>
      <c r="E5400" s="4">
        <v>45854.0</v>
      </c>
      <c r="F5400" s="4" t="str">
        <f>IF(D5400="","", IFNA(VLOOKUP(D5400, SATCAT_DECAY!A:B, 2, FALSE), ""))
</f>
        <v/>
      </c>
      <c r="G5400" s="3" t="str">
        <f t="shared" si="1"/>
        <v>ACTIVE</v>
      </c>
    </row>
    <row r="5401" ht="22.5" customHeight="1">
      <c r="A5401" s="11" t="str">
        <f t="array" ref="A5401">IFERROR(
  INDEX('Starlink Launches'!$A:$A, MATCH($E5401, 'Starlink Launches'!$B:$B, 0)),
  ""
)
</f>
        <v>15-2</v>
      </c>
      <c r="B5401" s="3" t="s">
        <v>25</v>
      </c>
      <c r="C5401" s="12" t="s">
        <v>5429</v>
      </c>
      <c r="D5401" s="13">
        <v>64809.0</v>
      </c>
      <c r="E5401" s="4">
        <v>45854.0</v>
      </c>
      <c r="F5401" s="4" t="str">
        <f>IF(D5401="","", IFNA(VLOOKUP(D5401, SATCAT_DECAY!A:B, 2, FALSE), ""))
</f>
        <v/>
      </c>
      <c r="G5401" s="3" t="str">
        <f t="shared" si="1"/>
        <v>ACTIVE</v>
      </c>
    </row>
    <row r="5402" ht="22.5" customHeight="1">
      <c r="A5402" s="11" t="str">
        <f t="array" ref="A5402">IFERROR(
  INDEX('Starlink Launches'!$A:$A, MATCH($E5402, 'Starlink Launches'!$B:$B, 0)),
  ""
)
</f>
        <v>15-2</v>
      </c>
      <c r="B5402" s="3" t="s">
        <v>25</v>
      </c>
      <c r="C5402" s="12" t="s">
        <v>5430</v>
      </c>
      <c r="D5402" s="13">
        <v>64810.0</v>
      </c>
      <c r="E5402" s="4">
        <v>45854.0</v>
      </c>
      <c r="F5402" s="4" t="str">
        <f>IF(D5402="","", IFNA(VLOOKUP(D5402, SATCAT_DECAY!A:B, 2, FALSE), ""))
</f>
        <v/>
      </c>
      <c r="G5402" s="3" t="str">
        <f t="shared" si="1"/>
        <v>ACTIVE</v>
      </c>
    </row>
    <row r="5403" ht="22.5" customHeight="1">
      <c r="A5403" s="11" t="str">
        <f t="array" ref="A5403">IFERROR(
  INDEX('Starlink Launches'!$A:$A, MATCH($E5403, 'Starlink Launches'!$B:$B, 0)),
  ""
)
</f>
        <v>15-2</v>
      </c>
      <c r="B5403" s="3" t="s">
        <v>25</v>
      </c>
      <c r="C5403" s="12" t="s">
        <v>5431</v>
      </c>
      <c r="D5403" s="13">
        <v>64811.0</v>
      </c>
      <c r="E5403" s="4">
        <v>45854.0</v>
      </c>
      <c r="F5403" s="4" t="str">
        <f>IF(D5403="","", IFNA(VLOOKUP(D5403, SATCAT_DECAY!A:B, 2, FALSE), ""))
</f>
        <v/>
      </c>
      <c r="G5403" s="3" t="str">
        <f t="shared" si="1"/>
        <v>ACTIVE</v>
      </c>
    </row>
    <row r="5404" ht="22.5" customHeight="1">
      <c r="A5404" s="11" t="str">
        <f t="array" ref="A5404">IFERROR(
  INDEX('Starlink Launches'!$A:$A, MATCH($E5404, 'Starlink Launches'!$B:$B, 0)),
  ""
)
</f>
        <v>15-2</v>
      </c>
      <c r="B5404" s="3" t="s">
        <v>25</v>
      </c>
      <c r="C5404" s="12" t="s">
        <v>5432</v>
      </c>
      <c r="D5404" s="13">
        <v>64812.0</v>
      </c>
      <c r="E5404" s="4">
        <v>45854.0</v>
      </c>
      <c r="F5404" s="4" t="str">
        <f>IF(D5404="","", IFNA(VLOOKUP(D5404, SATCAT_DECAY!A:B, 2, FALSE), ""))
</f>
        <v/>
      </c>
      <c r="G5404" s="3" t="str">
        <f t="shared" si="1"/>
        <v>ACTIVE</v>
      </c>
    </row>
    <row r="5405" ht="22.5" customHeight="1">
      <c r="A5405" s="11" t="str">
        <f t="array" ref="A5405">IFERROR(
  INDEX('Starlink Launches'!$A:$A, MATCH($E5405, 'Starlink Launches'!$B:$B, 0)),
  ""
)
</f>
        <v>15-2</v>
      </c>
      <c r="B5405" s="3" t="s">
        <v>25</v>
      </c>
      <c r="C5405" s="12" t="s">
        <v>5433</v>
      </c>
      <c r="D5405" s="13">
        <v>64813.0</v>
      </c>
      <c r="E5405" s="4">
        <v>45854.0</v>
      </c>
      <c r="F5405" s="4" t="str">
        <f>IF(D5405="","", IFNA(VLOOKUP(D5405, SATCAT_DECAY!A:B, 2, FALSE), ""))
</f>
        <v/>
      </c>
      <c r="G5405" s="3" t="str">
        <f t="shared" si="1"/>
        <v>ACTIVE</v>
      </c>
    </row>
    <row r="5406" ht="22.5" customHeight="1">
      <c r="A5406" s="11" t="str">
        <f t="array" ref="A5406">IFERROR(
  INDEX('Starlink Launches'!$A:$A, MATCH($E5406, 'Starlink Launches'!$B:$B, 0)),
  ""
)
</f>
        <v>15-2</v>
      </c>
      <c r="B5406" s="3" t="s">
        <v>25</v>
      </c>
      <c r="C5406" s="12" t="s">
        <v>5434</v>
      </c>
      <c r="D5406" s="13">
        <v>64814.0</v>
      </c>
      <c r="E5406" s="4">
        <v>45854.0</v>
      </c>
      <c r="F5406" s="4" t="str">
        <f>IF(D5406="","", IFNA(VLOOKUP(D5406, SATCAT_DECAY!A:B, 2, FALSE), ""))
</f>
        <v/>
      </c>
      <c r="G5406" s="3" t="str">
        <f t="shared" si="1"/>
        <v>ACTIVE</v>
      </c>
    </row>
    <row r="5407" ht="22.5" customHeight="1">
      <c r="A5407" s="11" t="str">
        <f t="array" ref="A5407">IFERROR(
  INDEX('Starlink Launches'!$A:$A, MATCH($E5407, 'Starlink Launches'!$B:$B, 0)),
  ""
)
</f>
        <v>15-2</v>
      </c>
      <c r="B5407" s="3" t="s">
        <v>25</v>
      </c>
      <c r="C5407" s="12" t="s">
        <v>5435</v>
      </c>
      <c r="D5407" s="13">
        <v>64815.0</v>
      </c>
      <c r="E5407" s="4">
        <v>45854.0</v>
      </c>
      <c r="F5407" s="4" t="str">
        <f>IF(D5407="","", IFNA(VLOOKUP(D5407, SATCAT_DECAY!A:B, 2, FALSE), ""))
</f>
        <v/>
      </c>
      <c r="G5407" s="3" t="str">
        <f t="shared" si="1"/>
        <v>ACTIVE</v>
      </c>
    </row>
    <row r="5408" ht="22.5" customHeight="1">
      <c r="A5408" s="3" t="s">
        <v>5436</v>
      </c>
      <c r="B5408" s="3" t="s">
        <v>25</v>
      </c>
      <c r="C5408" s="12" t="s">
        <v>5437</v>
      </c>
      <c r="D5408" s="13">
        <v>66821.0</v>
      </c>
      <c r="E5408" s="4">
        <v>45993.0</v>
      </c>
      <c r="F5408" s="4" t="str">
        <f>IF(D5408="","", IFNA(VLOOKUP(D5408, SATCAT_DECAY!A:B, 2, FALSE), ""))
</f>
        <v/>
      </c>
      <c r="G5408" s="3" t="str">
        <f t="shared" si="1"/>
        <v>ACTIVE</v>
      </c>
    </row>
    <row r="5409" ht="22.5" customHeight="1">
      <c r="A5409" s="3" t="s">
        <v>5436</v>
      </c>
      <c r="B5409" s="3" t="s">
        <v>25</v>
      </c>
      <c r="C5409" s="12" t="s">
        <v>5438</v>
      </c>
      <c r="D5409" s="13">
        <v>66822.0</v>
      </c>
      <c r="E5409" s="4">
        <v>45993.0</v>
      </c>
      <c r="F5409" s="4" t="str">
        <f>IF(D5409="","", IFNA(VLOOKUP(D5409, SATCAT_DECAY!A:B, 2, FALSE), ""))
</f>
        <v/>
      </c>
      <c r="G5409" s="3" t="str">
        <f t="shared" si="1"/>
        <v>ACTIVE</v>
      </c>
    </row>
    <row r="5410" ht="22.5" customHeight="1">
      <c r="A5410" s="3" t="s">
        <v>5436</v>
      </c>
      <c r="B5410" s="3" t="s">
        <v>25</v>
      </c>
      <c r="C5410" s="12" t="s">
        <v>5439</v>
      </c>
      <c r="D5410" s="13">
        <v>66823.0</v>
      </c>
      <c r="E5410" s="4">
        <v>45993.0</v>
      </c>
      <c r="F5410" s="4" t="str">
        <f>IF(D5410="","", IFNA(VLOOKUP(D5410, SATCAT_DECAY!A:B, 2, FALSE), ""))
</f>
        <v/>
      </c>
      <c r="G5410" s="3" t="str">
        <f t="shared" si="1"/>
        <v>ACTIVE</v>
      </c>
    </row>
    <row r="5411" ht="22.5" customHeight="1">
      <c r="A5411" s="3" t="s">
        <v>5436</v>
      </c>
      <c r="B5411" s="3" t="s">
        <v>25</v>
      </c>
      <c r="C5411" s="12" t="s">
        <v>5440</v>
      </c>
      <c r="D5411" s="13">
        <v>66824.0</v>
      </c>
      <c r="E5411" s="4">
        <v>45993.0</v>
      </c>
      <c r="F5411" s="4" t="str">
        <f>IF(D5411="","", IFNA(VLOOKUP(D5411, SATCAT_DECAY!A:B, 2, FALSE), ""))
</f>
        <v/>
      </c>
      <c r="G5411" s="3" t="str">
        <f t="shared" si="1"/>
        <v>ACTIVE</v>
      </c>
    </row>
    <row r="5412" ht="22.5" customHeight="1">
      <c r="A5412" s="3" t="s">
        <v>5436</v>
      </c>
      <c r="B5412" s="3" t="s">
        <v>25</v>
      </c>
      <c r="C5412" s="12" t="s">
        <v>5441</v>
      </c>
      <c r="D5412" s="13">
        <v>66825.0</v>
      </c>
      <c r="E5412" s="4">
        <v>45993.0</v>
      </c>
      <c r="F5412" s="4" t="str">
        <f>IF(D5412="","", IFNA(VLOOKUP(D5412, SATCAT_DECAY!A:B, 2, FALSE), ""))
</f>
        <v/>
      </c>
      <c r="G5412" s="3" t="str">
        <f t="shared" si="1"/>
        <v>ACTIVE</v>
      </c>
    </row>
    <row r="5413" ht="22.5" customHeight="1">
      <c r="A5413" s="3" t="s">
        <v>5436</v>
      </c>
      <c r="B5413" s="3" t="s">
        <v>25</v>
      </c>
      <c r="C5413" s="12" t="s">
        <v>5442</v>
      </c>
      <c r="D5413" s="13">
        <v>66826.0</v>
      </c>
      <c r="E5413" s="4">
        <v>45993.0</v>
      </c>
      <c r="F5413" s="4" t="str">
        <f>IF(D5413="","", IFNA(VLOOKUP(D5413, SATCAT_DECAY!A:B, 2, FALSE), ""))
</f>
        <v/>
      </c>
      <c r="G5413" s="3" t="str">
        <f t="shared" si="1"/>
        <v>ACTIVE</v>
      </c>
    </row>
    <row r="5414" ht="22.5" customHeight="1">
      <c r="A5414" s="3" t="s">
        <v>5436</v>
      </c>
      <c r="B5414" s="3" t="s">
        <v>25</v>
      </c>
      <c r="C5414" s="12" t="s">
        <v>5443</v>
      </c>
      <c r="D5414" s="13">
        <v>66827.0</v>
      </c>
      <c r="E5414" s="4">
        <v>45993.0</v>
      </c>
      <c r="F5414" s="4" t="str">
        <f>IF(D5414="","", IFNA(VLOOKUP(D5414, SATCAT_DECAY!A:B, 2, FALSE), ""))
</f>
        <v/>
      </c>
      <c r="G5414" s="3" t="str">
        <f t="shared" si="1"/>
        <v>ACTIVE</v>
      </c>
    </row>
    <row r="5415" ht="22.5" customHeight="1">
      <c r="A5415" s="3" t="s">
        <v>5436</v>
      </c>
      <c r="B5415" s="3" t="s">
        <v>25</v>
      </c>
      <c r="C5415" s="12" t="s">
        <v>5444</v>
      </c>
      <c r="D5415" s="13">
        <v>66828.0</v>
      </c>
      <c r="E5415" s="4">
        <v>45993.0</v>
      </c>
      <c r="F5415" s="4" t="str">
        <f>IF(D5415="","", IFNA(VLOOKUP(D5415, SATCAT_DECAY!A:B, 2, FALSE), ""))
</f>
        <v/>
      </c>
      <c r="G5415" s="3" t="str">
        <f t="shared" si="1"/>
        <v>ACTIVE</v>
      </c>
    </row>
    <row r="5416" ht="22.5" customHeight="1">
      <c r="A5416" s="3" t="s">
        <v>5436</v>
      </c>
      <c r="B5416" s="3" t="s">
        <v>25</v>
      </c>
      <c r="C5416" s="12" t="s">
        <v>5445</v>
      </c>
      <c r="D5416" s="13">
        <v>66829.0</v>
      </c>
      <c r="E5416" s="4">
        <v>45993.0</v>
      </c>
      <c r="F5416" s="4" t="str">
        <f>IF(D5416="","", IFNA(VLOOKUP(D5416, SATCAT_DECAY!A:B, 2, FALSE), ""))
</f>
        <v/>
      </c>
      <c r="G5416" s="3" t="str">
        <f t="shared" si="1"/>
        <v>ACTIVE</v>
      </c>
    </row>
    <row r="5417" ht="22.5" customHeight="1">
      <c r="A5417" s="3" t="s">
        <v>5436</v>
      </c>
      <c r="B5417" s="3" t="s">
        <v>25</v>
      </c>
      <c r="C5417" s="12" t="s">
        <v>5446</v>
      </c>
      <c r="D5417" s="13">
        <v>66830.0</v>
      </c>
      <c r="E5417" s="4">
        <v>45993.0</v>
      </c>
      <c r="F5417" s="4" t="str">
        <f>IF(D5417="","", IFNA(VLOOKUP(D5417, SATCAT_DECAY!A:B, 2, FALSE), ""))
</f>
        <v/>
      </c>
      <c r="G5417" s="3" t="str">
        <f t="shared" si="1"/>
        <v>ACTIVE</v>
      </c>
    </row>
    <row r="5418" ht="22.5" customHeight="1">
      <c r="A5418" s="3" t="s">
        <v>5436</v>
      </c>
      <c r="B5418" s="3" t="s">
        <v>25</v>
      </c>
      <c r="C5418" s="12" t="s">
        <v>5447</v>
      </c>
      <c r="D5418" s="13">
        <v>66831.0</v>
      </c>
      <c r="E5418" s="4">
        <v>45993.0</v>
      </c>
      <c r="F5418" s="4" t="str">
        <f>IF(D5418="","", IFNA(VLOOKUP(D5418, SATCAT_DECAY!A:B, 2, FALSE), ""))
</f>
        <v/>
      </c>
      <c r="G5418" s="3" t="str">
        <f t="shared" si="1"/>
        <v>ACTIVE</v>
      </c>
    </row>
    <row r="5419" ht="22.5" customHeight="1">
      <c r="A5419" s="3" t="s">
        <v>5436</v>
      </c>
      <c r="B5419" s="3" t="s">
        <v>25</v>
      </c>
      <c r="C5419" s="12" t="s">
        <v>5448</v>
      </c>
      <c r="D5419" s="13">
        <v>66832.0</v>
      </c>
      <c r="E5419" s="4">
        <v>45993.0</v>
      </c>
      <c r="F5419" s="4" t="str">
        <f>IF(D5419="","", IFNA(VLOOKUP(D5419, SATCAT_DECAY!A:B, 2, FALSE), ""))
</f>
        <v/>
      </c>
      <c r="G5419" s="3" t="str">
        <f t="shared" si="1"/>
        <v>ACTIVE</v>
      </c>
    </row>
    <row r="5420" ht="22.5" customHeight="1">
      <c r="A5420" s="3" t="s">
        <v>5436</v>
      </c>
      <c r="B5420" s="3" t="s">
        <v>25</v>
      </c>
      <c r="C5420" s="12" t="s">
        <v>5449</v>
      </c>
      <c r="D5420" s="13">
        <v>66833.0</v>
      </c>
      <c r="E5420" s="4">
        <v>45993.0</v>
      </c>
      <c r="F5420" s="4" t="str">
        <f>IF(D5420="","", IFNA(VLOOKUP(D5420, SATCAT_DECAY!A:B, 2, FALSE), ""))
</f>
        <v/>
      </c>
      <c r="G5420" s="3" t="str">
        <f t="shared" si="1"/>
        <v>ACTIVE</v>
      </c>
    </row>
    <row r="5421" ht="22.5" customHeight="1">
      <c r="A5421" s="3" t="s">
        <v>5436</v>
      </c>
      <c r="B5421" s="3" t="s">
        <v>25</v>
      </c>
      <c r="C5421" s="12" t="s">
        <v>5450</v>
      </c>
      <c r="D5421" s="13">
        <v>66834.0</v>
      </c>
      <c r="E5421" s="4">
        <v>45993.0</v>
      </c>
      <c r="F5421" s="4" t="str">
        <f>IF(D5421="","", IFNA(VLOOKUP(D5421, SATCAT_DECAY!A:B, 2, FALSE), ""))
</f>
        <v/>
      </c>
      <c r="G5421" s="3" t="str">
        <f t="shared" si="1"/>
        <v>ACTIVE</v>
      </c>
    </row>
    <row r="5422" ht="22.5" customHeight="1">
      <c r="A5422" s="3" t="s">
        <v>5436</v>
      </c>
      <c r="B5422" s="3" t="s">
        <v>25</v>
      </c>
      <c r="C5422" s="12" t="s">
        <v>5451</v>
      </c>
      <c r="D5422" s="13">
        <v>66835.0</v>
      </c>
      <c r="E5422" s="4">
        <v>45993.0</v>
      </c>
      <c r="F5422" s="4" t="str">
        <f>IF(D5422="","", IFNA(VLOOKUP(D5422, SATCAT_DECAY!A:B, 2, FALSE), ""))
</f>
        <v/>
      </c>
      <c r="G5422" s="3" t="str">
        <f t="shared" si="1"/>
        <v>ACTIVE</v>
      </c>
    </row>
    <row r="5423" ht="22.5" customHeight="1">
      <c r="A5423" s="3" t="s">
        <v>5436</v>
      </c>
      <c r="B5423" s="3" t="s">
        <v>25</v>
      </c>
      <c r="C5423" s="12" t="s">
        <v>5452</v>
      </c>
      <c r="D5423" s="13">
        <v>66836.0</v>
      </c>
      <c r="E5423" s="4">
        <v>45993.0</v>
      </c>
      <c r="F5423" s="4" t="str">
        <f>IF(D5423="","", IFNA(VLOOKUP(D5423, SATCAT_DECAY!A:B, 2, FALSE), ""))
</f>
        <v/>
      </c>
      <c r="G5423" s="3" t="str">
        <f t="shared" si="1"/>
        <v>ACTIVE</v>
      </c>
    </row>
    <row r="5424" ht="22.5" customHeight="1">
      <c r="A5424" s="3" t="s">
        <v>5436</v>
      </c>
      <c r="B5424" s="3" t="s">
        <v>25</v>
      </c>
      <c r="C5424" s="12" t="s">
        <v>5453</v>
      </c>
      <c r="D5424" s="13">
        <v>66837.0</v>
      </c>
      <c r="E5424" s="4">
        <v>45993.0</v>
      </c>
      <c r="F5424" s="4" t="str">
        <f>IF(D5424="","", IFNA(VLOOKUP(D5424, SATCAT_DECAY!A:B, 2, FALSE), ""))
</f>
        <v/>
      </c>
      <c r="G5424" s="3" t="str">
        <f t="shared" si="1"/>
        <v>ACTIVE</v>
      </c>
    </row>
    <row r="5425" ht="22.5" customHeight="1">
      <c r="A5425" s="3" t="s">
        <v>5436</v>
      </c>
      <c r="B5425" s="3" t="s">
        <v>25</v>
      </c>
      <c r="C5425" s="12" t="s">
        <v>5454</v>
      </c>
      <c r="D5425" s="13">
        <v>66838.0</v>
      </c>
      <c r="E5425" s="4">
        <v>45993.0</v>
      </c>
      <c r="F5425" s="4" t="str">
        <f>IF(D5425="","", IFNA(VLOOKUP(D5425, SATCAT_DECAY!A:B, 2, FALSE), ""))
</f>
        <v/>
      </c>
      <c r="G5425" s="3" t="str">
        <f t="shared" si="1"/>
        <v>ACTIVE</v>
      </c>
    </row>
    <row r="5426" ht="22.5" customHeight="1">
      <c r="A5426" s="3" t="s">
        <v>5436</v>
      </c>
      <c r="B5426" s="3" t="s">
        <v>25</v>
      </c>
      <c r="C5426" s="12" t="s">
        <v>5455</v>
      </c>
      <c r="D5426" s="13">
        <v>66839.0</v>
      </c>
      <c r="E5426" s="4">
        <v>45993.0</v>
      </c>
      <c r="F5426" s="4" t="str">
        <f>IF(D5426="","", IFNA(VLOOKUP(D5426, SATCAT_DECAY!A:B, 2, FALSE), ""))
</f>
        <v/>
      </c>
      <c r="G5426" s="3" t="str">
        <f t="shared" si="1"/>
        <v>ACTIVE</v>
      </c>
    </row>
    <row r="5427" ht="22.5" customHeight="1">
      <c r="A5427" s="3" t="s">
        <v>5436</v>
      </c>
      <c r="B5427" s="3" t="s">
        <v>25</v>
      </c>
      <c r="C5427" s="12" t="s">
        <v>5456</v>
      </c>
      <c r="D5427" s="13">
        <v>66840.0</v>
      </c>
      <c r="E5427" s="4">
        <v>45993.0</v>
      </c>
      <c r="F5427" s="4" t="str">
        <f>IF(D5427="","", IFNA(VLOOKUP(D5427, SATCAT_DECAY!A:B, 2, FALSE), ""))
</f>
        <v/>
      </c>
      <c r="G5427" s="3" t="str">
        <f t="shared" si="1"/>
        <v>ACTIVE</v>
      </c>
    </row>
    <row r="5428" ht="22.5" customHeight="1">
      <c r="A5428" s="3" t="s">
        <v>5436</v>
      </c>
      <c r="B5428" s="3" t="s">
        <v>25</v>
      </c>
      <c r="C5428" s="12" t="s">
        <v>5457</v>
      </c>
      <c r="D5428" s="13">
        <v>66841.0</v>
      </c>
      <c r="E5428" s="4">
        <v>45993.0</v>
      </c>
      <c r="F5428" s="4" t="str">
        <f>IF(D5428="","", IFNA(VLOOKUP(D5428, SATCAT_DECAY!A:B, 2, FALSE), ""))
</f>
        <v/>
      </c>
      <c r="G5428" s="3" t="str">
        <f t="shared" si="1"/>
        <v>ACTIVE</v>
      </c>
    </row>
    <row r="5429" ht="22.5" customHeight="1">
      <c r="A5429" s="3" t="s">
        <v>5436</v>
      </c>
      <c r="B5429" s="3" t="s">
        <v>25</v>
      </c>
      <c r="C5429" s="12" t="s">
        <v>5458</v>
      </c>
      <c r="D5429" s="13">
        <v>66842.0</v>
      </c>
      <c r="E5429" s="4">
        <v>45993.0</v>
      </c>
      <c r="F5429" s="4" t="str">
        <f>IF(D5429="","", IFNA(VLOOKUP(D5429, SATCAT_DECAY!A:B, 2, FALSE), ""))
</f>
        <v/>
      </c>
      <c r="G5429" s="3" t="str">
        <f t="shared" si="1"/>
        <v>ACTIVE</v>
      </c>
    </row>
    <row r="5430" ht="22.5" customHeight="1">
      <c r="A5430" s="3" t="s">
        <v>5436</v>
      </c>
      <c r="B5430" s="3" t="s">
        <v>25</v>
      </c>
      <c r="C5430" s="12" t="s">
        <v>5459</v>
      </c>
      <c r="D5430" s="13">
        <v>66843.0</v>
      </c>
      <c r="E5430" s="4">
        <v>45993.0</v>
      </c>
      <c r="F5430" s="4" t="str">
        <f>IF(D5430="","", IFNA(VLOOKUP(D5430, SATCAT_DECAY!A:B, 2, FALSE), ""))
</f>
        <v/>
      </c>
      <c r="G5430" s="3" t="str">
        <f t="shared" si="1"/>
        <v>ACTIVE</v>
      </c>
    </row>
    <row r="5431" ht="22.5" customHeight="1">
      <c r="A5431" s="3" t="s">
        <v>5436</v>
      </c>
      <c r="B5431" s="3" t="s">
        <v>25</v>
      </c>
      <c r="C5431" s="12" t="s">
        <v>5460</v>
      </c>
      <c r="D5431" s="13">
        <v>66844.0</v>
      </c>
      <c r="E5431" s="4">
        <v>45993.0</v>
      </c>
      <c r="F5431" s="4" t="str">
        <f>IF(D5431="","", IFNA(VLOOKUP(D5431, SATCAT_DECAY!A:B, 2, FALSE), ""))
</f>
        <v/>
      </c>
      <c r="G5431" s="3" t="str">
        <f t="shared" si="1"/>
        <v>ACTIVE</v>
      </c>
    </row>
    <row r="5432" ht="22.5" customHeight="1">
      <c r="A5432" s="3" t="s">
        <v>5436</v>
      </c>
      <c r="B5432" s="3" t="s">
        <v>25</v>
      </c>
      <c r="C5432" s="12" t="s">
        <v>5461</v>
      </c>
      <c r="D5432" s="13">
        <v>66845.0</v>
      </c>
      <c r="E5432" s="4">
        <v>45993.0</v>
      </c>
      <c r="F5432" s="4" t="str">
        <f>IF(D5432="","", IFNA(VLOOKUP(D5432, SATCAT_DECAY!A:B, 2, FALSE), ""))
</f>
        <v/>
      </c>
      <c r="G5432" s="3" t="str">
        <f t="shared" si="1"/>
        <v>ACTIVE</v>
      </c>
    </row>
    <row r="5433" ht="22.5" customHeight="1">
      <c r="A5433" s="3" t="s">
        <v>5436</v>
      </c>
      <c r="B5433" s="3" t="s">
        <v>25</v>
      </c>
      <c r="C5433" s="12" t="s">
        <v>5462</v>
      </c>
      <c r="D5433" s="13">
        <v>66846.0</v>
      </c>
      <c r="E5433" s="4">
        <v>45993.0</v>
      </c>
      <c r="F5433" s="4" t="str">
        <f>IF(D5433="","", IFNA(VLOOKUP(D5433, SATCAT_DECAY!A:B, 2, FALSE), ""))
</f>
        <v/>
      </c>
      <c r="G5433" s="3" t="str">
        <f t="shared" si="1"/>
        <v>ACTIVE</v>
      </c>
    </row>
    <row r="5434" ht="22.5" customHeight="1">
      <c r="A5434" s="3" t="s">
        <v>5436</v>
      </c>
      <c r="B5434" s="3" t="s">
        <v>25</v>
      </c>
      <c r="C5434" s="12" t="s">
        <v>5463</v>
      </c>
      <c r="D5434" s="13">
        <v>66847.0</v>
      </c>
      <c r="E5434" s="4">
        <v>45993.0</v>
      </c>
      <c r="F5434" s="4" t="str">
        <f>IF(D5434="","", IFNA(VLOOKUP(D5434, SATCAT_DECAY!A:B, 2, FALSE), ""))
</f>
        <v/>
      </c>
      <c r="G5434" s="3" t="str">
        <f t="shared" si="1"/>
        <v>ACTIVE</v>
      </c>
    </row>
    <row r="5435" ht="22.5" customHeight="1">
      <c r="A5435" s="11" t="str">
        <f t="array" ref="A5435">IFERROR(
  INDEX('Starlink Launches'!$A:$A, MATCH($E5435, 'Starlink Launches'!$B:$B, 0)),
  ""
)
</f>
        <v>15-11</v>
      </c>
      <c r="B5435" s="3" t="s">
        <v>25</v>
      </c>
      <c r="C5435" s="12" t="s">
        <v>5464</v>
      </c>
      <c r="D5435" s="13">
        <v>67003.0</v>
      </c>
      <c r="E5435" s="4">
        <v>46001.0</v>
      </c>
      <c r="F5435" s="4" t="str">
        <f>IF(D5435="","", IFNA(VLOOKUP(D5435, SATCAT_DECAY!A:B, 2, FALSE), ""))
</f>
        <v/>
      </c>
      <c r="G5435" s="3" t="str">
        <f t="shared" si="1"/>
        <v>ACTIVE</v>
      </c>
    </row>
    <row r="5436" ht="22.5" customHeight="1">
      <c r="A5436" s="11" t="str">
        <f t="array" ref="A5436">IFERROR(
  INDEX('Starlink Launches'!$A:$A, MATCH($E5436, 'Starlink Launches'!$B:$B, 0)),
  ""
)
</f>
        <v>15-11</v>
      </c>
      <c r="B5436" s="3" t="s">
        <v>25</v>
      </c>
      <c r="C5436" s="12" t="s">
        <v>5465</v>
      </c>
      <c r="D5436" s="13">
        <v>67004.0</v>
      </c>
      <c r="E5436" s="4">
        <v>46001.0</v>
      </c>
      <c r="F5436" s="4" t="str">
        <f>IF(D5436="","", IFNA(VLOOKUP(D5436, SATCAT_DECAY!A:B, 2, FALSE), ""))
</f>
        <v/>
      </c>
      <c r="G5436" s="3" t="str">
        <f t="shared" si="1"/>
        <v>ACTIVE</v>
      </c>
    </row>
    <row r="5437" ht="22.5" customHeight="1">
      <c r="A5437" s="11" t="str">
        <f t="array" ref="A5437">IFERROR(
  INDEX('Starlink Launches'!$A:$A, MATCH($E5437, 'Starlink Launches'!$B:$B, 0)),
  ""
)
</f>
        <v>15-11</v>
      </c>
      <c r="B5437" s="3" t="s">
        <v>25</v>
      </c>
      <c r="C5437" s="12" t="s">
        <v>5466</v>
      </c>
      <c r="D5437" s="13">
        <v>67005.0</v>
      </c>
      <c r="E5437" s="4">
        <v>46001.0</v>
      </c>
      <c r="F5437" s="4" t="str">
        <f>IF(D5437="","", IFNA(VLOOKUP(D5437, SATCAT_DECAY!A:B, 2, FALSE), ""))
</f>
        <v/>
      </c>
      <c r="G5437" s="3" t="str">
        <f t="shared" si="1"/>
        <v>ACTIVE</v>
      </c>
    </row>
    <row r="5438" ht="22.5" customHeight="1">
      <c r="A5438" s="11" t="str">
        <f t="array" ref="A5438">IFERROR(
  INDEX('Starlink Launches'!$A:$A, MATCH($E5438, 'Starlink Launches'!$B:$B, 0)),
  ""
)
</f>
        <v>15-11</v>
      </c>
      <c r="B5438" s="3" t="s">
        <v>25</v>
      </c>
      <c r="C5438" s="12" t="s">
        <v>5467</v>
      </c>
      <c r="D5438" s="13">
        <v>67006.0</v>
      </c>
      <c r="E5438" s="4">
        <v>46001.0</v>
      </c>
      <c r="F5438" s="4" t="str">
        <f>IF(D5438="","", IFNA(VLOOKUP(D5438, SATCAT_DECAY!A:B, 2, FALSE), ""))
</f>
        <v/>
      </c>
      <c r="G5438" s="3" t="str">
        <f t="shared" si="1"/>
        <v>ACTIVE</v>
      </c>
    </row>
    <row r="5439" ht="22.5" customHeight="1">
      <c r="A5439" s="11" t="str">
        <f t="array" ref="A5439">IFERROR(
  INDEX('Starlink Launches'!$A:$A, MATCH($E5439, 'Starlink Launches'!$B:$B, 0)),
  ""
)
</f>
        <v>15-11</v>
      </c>
      <c r="B5439" s="3" t="s">
        <v>25</v>
      </c>
      <c r="C5439" s="12" t="s">
        <v>5468</v>
      </c>
      <c r="D5439" s="13">
        <v>67007.0</v>
      </c>
      <c r="E5439" s="4">
        <v>46001.0</v>
      </c>
      <c r="F5439" s="4" t="str">
        <f>IF(D5439="","", IFNA(VLOOKUP(D5439, SATCAT_DECAY!A:B, 2, FALSE), ""))
</f>
        <v/>
      </c>
      <c r="G5439" s="3" t="str">
        <f t="shared" si="1"/>
        <v>ACTIVE</v>
      </c>
    </row>
    <row r="5440" ht="22.5" customHeight="1">
      <c r="A5440" s="11" t="str">
        <f t="array" ref="A5440">IFERROR(
  INDEX('Starlink Launches'!$A:$A, MATCH($E5440, 'Starlink Launches'!$B:$B, 0)),
  ""
)
</f>
        <v>15-11</v>
      </c>
      <c r="B5440" s="3" t="s">
        <v>25</v>
      </c>
      <c r="C5440" s="12" t="s">
        <v>5469</v>
      </c>
      <c r="D5440" s="13">
        <v>67008.0</v>
      </c>
      <c r="E5440" s="4">
        <v>46001.0</v>
      </c>
      <c r="F5440" s="4" t="str">
        <f>IF(D5440="","", IFNA(VLOOKUP(D5440, SATCAT_DECAY!A:B, 2, FALSE), ""))
</f>
        <v/>
      </c>
      <c r="G5440" s="3" t="str">
        <f t="shared" si="1"/>
        <v>ACTIVE</v>
      </c>
    </row>
    <row r="5441" ht="22.5" customHeight="1">
      <c r="A5441" s="11" t="str">
        <f t="array" ref="A5441">IFERROR(
  INDEX('Starlink Launches'!$A:$A, MATCH($E5441, 'Starlink Launches'!$B:$B, 0)),
  ""
)
</f>
        <v>15-11</v>
      </c>
      <c r="B5441" s="3" t="s">
        <v>25</v>
      </c>
      <c r="C5441" s="12" t="s">
        <v>5470</v>
      </c>
      <c r="D5441" s="13">
        <v>67009.0</v>
      </c>
      <c r="E5441" s="4">
        <v>46001.0</v>
      </c>
      <c r="F5441" s="4" t="str">
        <f>IF(D5441="","", IFNA(VLOOKUP(D5441, SATCAT_DECAY!A:B, 2, FALSE), ""))
</f>
        <v/>
      </c>
      <c r="G5441" s="3" t="str">
        <f t="shared" si="1"/>
        <v>ACTIVE</v>
      </c>
    </row>
    <row r="5442" ht="22.5" customHeight="1">
      <c r="A5442" s="11" t="str">
        <f t="array" ref="A5442">IFERROR(
  INDEX('Starlink Launches'!$A:$A, MATCH($E5442, 'Starlink Launches'!$B:$B, 0)),
  ""
)
</f>
        <v>15-11</v>
      </c>
      <c r="B5442" s="3" t="s">
        <v>25</v>
      </c>
      <c r="C5442" s="12" t="s">
        <v>5471</v>
      </c>
      <c r="D5442" s="13">
        <v>67010.0</v>
      </c>
      <c r="E5442" s="4">
        <v>46001.0</v>
      </c>
      <c r="F5442" s="4" t="str">
        <f>IF(D5442="","", IFNA(VLOOKUP(D5442, SATCAT_DECAY!A:B, 2, FALSE), ""))
</f>
        <v/>
      </c>
      <c r="G5442" s="3" t="str">
        <f t="shared" si="1"/>
        <v>ACTIVE</v>
      </c>
    </row>
    <row r="5443" ht="22.5" customHeight="1">
      <c r="A5443" s="11" t="str">
        <f t="array" ref="A5443">IFERROR(
  INDEX('Starlink Launches'!$A:$A, MATCH($E5443, 'Starlink Launches'!$B:$B, 0)),
  ""
)
</f>
        <v>15-11</v>
      </c>
      <c r="B5443" s="3" t="s">
        <v>25</v>
      </c>
      <c r="C5443" s="12" t="s">
        <v>5472</v>
      </c>
      <c r="D5443" s="13">
        <v>67011.0</v>
      </c>
      <c r="E5443" s="4">
        <v>46001.0</v>
      </c>
      <c r="F5443" s="4" t="str">
        <f>IF(D5443="","", IFNA(VLOOKUP(D5443, SATCAT_DECAY!A:B, 2, FALSE), ""))
</f>
        <v/>
      </c>
      <c r="G5443" s="3" t="str">
        <f t="shared" si="1"/>
        <v>ACTIVE</v>
      </c>
    </row>
    <row r="5444" ht="22.5" customHeight="1">
      <c r="A5444" s="11" t="str">
        <f t="array" ref="A5444">IFERROR(
  INDEX('Starlink Launches'!$A:$A, MATCH($E5444, 'Starlink Launches'!$B:$B, 0)),
  ""
)
</f>
        <v>15-11</v>
      </c>
      <c r="B5444" s="3" t="s">
        <v>25</v>
      </c>
      <c r="C5444" s="12" t="s">
        <v>5473</v>
      </c>
      <c r="D5444" s="13">
        <v>67012.0</v>
      </c>
      <c r="E5444" s="4">
        <v>46001.0</v>
      </c>
      <c r="F5444" s="4" t="str">
        <f>IF(D5444="","", IFNA(VLOOKUP(D5444, SATCAT_DECAY!A:B, 2, FALSE), ""))
</f>
        <v/>
      </c>
      <c r="G5444" s="3" t="str">
        <f t="shared" si="1"/>
        <v>ACTIVE</v>
      </c>
    </row>
    <row r="5445" ht="22.5" customHeight="1">
      <c r="A5445" s="11" t="str">
        <f t="array" ref="A5445">IFERROR(
  INDEX('Starlink Launches'!$A:$A, MATCH($E5445, 'Starlink Launches'!$B:$B, 0)),
  ""
)
</f>
        <v>15-11</v>
      </c>
      <c r="B5445" s="3" t="s">
        <v>25</v>
      </c>
      <c r="C5445" s="12" t="s">
        <v>5474</v>
      </c>
      <c r="D5445" s="13">
        <v>67013.0</v>
      </c>
      <c r="E5445" s="4">
        <v>46001.0</v>
      </c>
      <c r="F5445" s="4" t="str">
        <f>IF(D5445="","", IFNA(VLOOKUP(D5445, SATCAT_DECAY!A:B, 2, FALSE), ""))
</f>
        <v/>
      </c>
      <c r="G5445" s="3" t="str">
        <f t="shared" si="1"/>
        <v>ACTIVE</v>
      </c>
    </row>
    <row r="5446" ht="22.5" customHeight="1">
      <c r="A5446" s="11" t="str">
        <f t="array" ref="A5446">IFERROR(
  INDEX('Starlink Launches'!$A:$A, MATCH($E5446, 'Starlink Launches'!$B:$B, 0)),
  ""
)
</f>
        <v>15-11</v>
      </c>
      <c r="B5446" s="3" t="s">
        <v>25</v>
      </c>
      <c r="C5446" s="12" t="s">
        <v>5475</v>
      </c>
      <c r="D5446" s="13">
        <v>67014.0</v>
      </c>
      <c r="E5446" s="4">
        <v>46001.0</v>
      </c>
      <c r="F5446" s="4" t="str">
        <f>IF(D5446="","", IFNA(VLOOKUP(D5446, SATCAT_DECAY!A:B, 2, FALSE), ""))
</f>
        <v/>
      </c>
      <c r="G5446" s="3" t="str">
        <f t="shared" si="1"/>
        <v>ACTIVE</v>
      </c>
    </row>
    <row r="5447" ht="22.5" customHeight="1">
      <c r="A5447" s="11" t="str">
        <f t="array" ref="A5447">IFERROR(
  INDEX('Starlink Launches'!$A:$A, MATCH($E5447, 'Starlink Launches'!$B:$B, 0)),
  ""
)
</f>
        <v>15-11</v>
      </c>
      <c r="B5447" s="3" t="s">
        <v>25</v>
      </c>
      <c r="C5447" s="12" t="s">
        <v>5476</v>
      </c>
      <c r="D5447" s="13">
        <v>67015.0</v>
      </c>
      <c r="E5447" s="4">
        <v>46001.0</v>
      </c>
      <c r="F5447" s="4" t="str">
        <f>IF(D5447="","", IFNA(VLOOKUP(D5447, SATCAT_DECAY!A:B, 2, FALSE), ""))
</f>
        <v/>
      </c>
      <c r="G5447" s="3" t="str">
        <f t="shared" si="1"/>
        <v>ACTIVE</v>
      </c>
    </row>
    <row r="5448" ht="22.5" customHeight="1">
      <c r="A5448" s="11" t="str">
        <f t="array" ref="A5448">IFERROR(
  INDEX('Starlink Launches'!$A:$A, MATCH($E5448, 'Starlink Launches'!$B:$B, 0)),
  ""
)
</f>
        <v>15-11</v>
      </c>
      <c r="B5448" s="3" t="s">
        <v>25</v>
      </c>
      <c r="C5448" s="12" t="s">
        <v>5477</v>
      </c>
      <c r="D5448" s="13">
        <v>67016.0</v>
      </c>
      <c r="E5448" s="4">
        <v>46001.0</v>
      </c>
      <c r="F5448" s="4" t="str">
        <f>IF(D5448="","", IFNA(VLOOKUP(D5448, SATCAT_DECAY!A:B, 2, FALSE), ""))
</f>
        <v/>
      </c>
      <c r="G5448" s="3" t="str">
        <f t="shared" si="1"/>
        <v>ACTIVE</v>
      </c>
    </row>
    <row r="5449" ht="22.5" customHeight="1">
      <c r="A5449" s="11" t="str">
        <f t="array" ref="A5449">IFERROR(
  INDEX('Starlink Launches'!$A:$A, MATCH($E5449, 'Starlink Launches'!$B:$B, 0)),
  ""
)
</f>
        <v>15-11</v>
      </c>
      <c r="B5449" s="3" t="s">
        <v>25</v>
      </c>
      <c r="C5449" s="12" t="s">
        <v>5478</v>
      </c>
      <c r="D5449" s="13">
        <v>67017.0</v>
      </c>
      <c r="E5449" s="4">
        <v>46001.0</v>
      </c>
      <c r="F5449" s="4" t="str">
        <f>IF(D5449="","", IFNA(VLOOKUP(D5449, SATCAT_DECAY!A:B, 2, FALSE), ""))
</f>
        <v/>
      </c>
      <c r="G5449" s="3" t="str">
        <f t="shared" si="1"/>
        <v>ACTIVE</v>
      </c>
    </row>
    <row r="5450" ht="22.5" customHeight="1">
      <c r="A5450" s="11" t="str">
        <f t="array" ref="A5450">IFERROR(
  INDEX('Starlink Launches'!$A:$A, MATCH($E5450, 'Starlink Launches'!$B:$B, 0)),
  ""
)
</f>
        <v>15-11</v>
      </c>
      <c r="B5450" s="3" t="s">
        <v>25</v>
      </c>
      <c r="C5450" s="12" t="s">
        <v>5479</v>
      </c>
      <c r="D5450" s="13">
        <v>67018.0</v>
      </c>
      <c r="E5450" s="4">
        <v>46001.0</v>
      </c>
      <c r="F5450" s="4" t="str">
        <f>IF(D5450="","", IFNA(VLOOKUP(D5450, SATCAT_DECAY!A:B, 2, FALSE), ""))
</f>
        <v/>
      </c>
      <c r="G5450" s="3" t="str">
        <f t="shared" si="1"/>
        <v>ACTIVE</v>
      </c>
    </row>
    <row r="5451" ht="22.5" customHeight="1">
      <c r="A5451" s="11" t="str">
        <f t="array" ref="A5451">IFERROR(
  INDEX('Starlink Launches'!$A:$A, MATCH($E5451, 'Starlink Launches'!$B:$B, 0)),
  ""
)
</f>
        <v>15-11</v>
      </c>
      <c r="B5451" s="3" t="s">
        <v>25</v>
      </c>
      <c r="C5451" s="12" t="s">
        <v>5480</v>
      </c>
      <c r="D5451" s="13">
        <v>67019.0</v>
      </c>
      <c r="E5451" s="4">
        <v>46001.0</v>
      </c>
      <c r="F5451" s="4" t="str">
        <f>IF(D5451="","", IFNA(VLOOKUP(D5451, SATCAT_DECAY!A:B, 2, FALSE), ""))
</f>
        <v/>
      </c>
      <c r="G5451" s="3" t="str">
        <f t="shared" si="1"/>
        <v>ACTIVE</v>
      </c>
    </row>
    <row r="5452" ht="22.5" customHeight="1">
      <c r="A5452" s="11" t="str">
        <f t="array" ref="A5452">IFERROR(
  INDEX('Starlink Launches'!$A:$A, MATCH($E5452, 'Starlink Launches'!$B:$B, 0)),
  ""
)
</f>
        <v>15-11</v>
      </c>
      <c r="B5452" s="3" t="s">
        <v>25</v>
      </c>
      <c r="C5452" s="12" t="s">
        <v>5481</v>
      </c>
      <c r="D5452" s="13">
        <v>67020.0</v>
      </c>
      <c r="E5452" s="4">
        <v>46001.0</v>
      </c>
      <c r="F5452" s="4" t="str">
        <f>IF(D5452="","", IFNA(VLOOKUP(D5452, SATCAT_DECAY!A:B, 2, FALSE), ""))
</f>
        <v/>
      </c>
      <c r="G5452" s="3" t="str">
        <f t="shared" si="1"/>
        <v>ACTIVE</v>
      </c>
    </row>
    <row r="5453" ht="22.5" customHeight="1">
      <c r="A5453" s="11" t="str">
        <f t="array" ref="A5453">IFERROR(
  INDEX('Starlink Launches'!$A:$A, MATCH($E5453, 'Starlink Launches'!$B:$B, 0)),
  ""
)
</f>
        <v>15-11</v>
      </c>
      <c r="B5453" s="3" t="s">
        <v>25</v>
      </c>
      <c r="C5453" s="12" t="s">
        <v>5482</v>
      </c>
      <c r="D5453" s="13">
        <v>67021.0</v>
      </c>
      <c r="E5453" s="4">
        <v>46001.0</v>
      </c>
      <c r="F5453" s="4" t="str">
        <f>IF(D5453="","", IFNA(VLOOKUP(D5453, SATCAT_DECAY!A:B, 2, FALSE), ""))
</f>
        <v/>
      </c>
      <c r="G5453" s="3" t="str">
        <f t="shared" si="1"/>
        <v>ACTIVE</v>
      </c>
    </row>
    <row r="5454" ht="22.5" customHeight="1">
      <c r="A5454" s="11" t="str">
        <f t="array" ref="A5454">IFERROR(
  INDEX('Starlink Launches'!$A:$A, MATCH($E5454, 'Starlink Launches'!$B:$B, 0)),
  ""
)
</f>
        <v>15-11</v>
      </c>
      <c r="B5454" s="3" t="s">
        <v>25</v>
      </c>
      <c r="C5454" s="12" t="s">
        <v>5483</v>
      </c>
      <c r="D5454" s="13">
        <v>67022.0</v>
      </c>
      <c r="E5454" s="4">
        <v>46001.0</v>
      </c>
      <c r="F5454" s="4" t="str">
        <f>IF(D5454="","", IFNA(VLOOKUP(D5454, SATCAT_DECAY!A:B, 2, FALSE), ""))
</f>
        <v/>
      </c>
      <c r="G5454" s="3" t="str">
        <f t="shared" si="1"/>
        <v>ACTIVE</v>
      </c>
    </row>
    <row r="5455" ht="22.5" customHeight="1">
      <c r="A5455" s="11" t="str">
        <f t="array" ref="A5455">IFERROR(
  INDEX('Starlink Launches'!$A:$A, MATCH($E5455, 'Starlink Launches'!$B:$B, 0)),
  ""
)
</f>
        <v>15-11</v>
      </c>
      <c r="B5455" s="3" t="s">
        <v>25</v>
      </c>
      <c r="C5455" s="12" t="s">
        <v>5484</v>
      </c>
      <c r="D5455" s="13">
        <v>67023.0</v>
      </c>
      <c r="E5455" s="4">
        <v>46001.0</v>
      </c>
      <c r="F5455" s="4" t="str">
        <f>IF(D5455="","", IFNA(VLOOKUP(D5455, SATCAT_DECAY!A:B, 2, FALSE), ""))
</f>
        <v/>
      </c>
      <c r="G5455" s="3" t="str">
        <f t="shared" si="1"/>
        <v>ACTIVE</v>
      </c>
    </row>
    <row r="5456" ht="22.5" customHeight="1">
      <c r="A5456" s="11" t="str">
        <f t="array" ref="A5456">IFERROR(
  INDEX('Starlink Launches'!$A:$A, MATCH($E5456, 'Starlink Launches'!$B:$B, 0)),
  ""
)
</f>
        <v>15-11</v>
      </c>
      <c r="B5456" s="3" t="s">
        <v>25</v>
      </c>
      <c r="C5456" s="12" t="s">
        <v>5485</v>
      </c>
      <c r="D5456" s="13">
        <v>67024.0</v>
      </c>
      <c r="E5456" s="4">
        <v>46001.0</v>
      </c>
      <c r="F5456" s="4" t="str">
        <f>IF(D5456="","", IFNA(VLOOKUP(D5456, SATCAT_DECAY!A:B, 2, FALSE), ""))
</f>
        <v/>
      </c>
      <c r="G5456" s="3" t="str">
        <f t="shared" si="1"/>
        <v>ACTIVE</v>
      </c>
    </row>
    <row r="5457" ht="22.5" customHeight="1">
      <c r="A5457" s="11" t="str">
        <f t="array" ref="A5457">IFERROR(
  INDEX('Starlink Launches'!$A:$A, MATCH($E5457, 'Starlink Launches'!$B:$B, 0)),
  ""
)
</f>
        <v>15-11</v>
      </c>
      <c r="B5457" s="3" t="s">
        <v>25</v>
      </c>
      <c r="C5457" s="12" t="s">
        <v>5486</v>
      </c>
      <c r="D5457" s="13">
        <v>67025.0</v>
      </c>
      <c r="E5457" s="4">
        <v>46001.0</v>
      </c>
      <c r="F5457" s="4" t="str">
        <f>IF(D5457="","", IFNA(VLOOKUP(D5457, SATCAT_DECAY!A:B, 2, FALSE), ""))
</f>
        <v/>
      </c>
      <c r="G5457" s="3" t="str">
        <f t="shared" si="1"/>
        <v>ACTIVE</v>
      </c>
    </row>
    <row r="5458" ht="22.5" customHeight="1">
      <c r="A5458" s="11" t="str">
        <f t="array" ref="A5458">IFERROR(
  INDEX('Starlink Launches'!$A:$A, MATCH($E5458, 'Starlink Launches'!$B:$B, 0)),
  ""
)
</f>
        <v>15-11</v>
      </c>
      <c r="B5458" s="3" t="s">
        <v>25</v>
      </c>
      <c r="C5458" s="12" t="s">
        <v>5487</v>
      </c>
      <c r="D5458" s="13">
        <v>67026.0</v>
      </c>
      <c r="E5458" s="4">
        <v>46001.0</v>
      </c>
      <c r="F5458" s="4" t="str">
        <f>IF(D5458="","", IFNA(VLOOKUP(D5458, SATCAT_DECAY!A:B, 2, FALSE), ""))
</f>
        <v/>
      </c>
      <c r="G5458" s="3" t="str">
        <f t="shared" si="1"/>
        <v>ACTIVE</v>
      </c>
    </row>
    <row r="5459" ht="22.5" customHeight="1">
      <c r="A5459" s="11" t="str">
        <f t="array" ref="A5459">IFERROR(
  INDEX('Starlink Launches'!$A:$A, MATCH($E5459, 'Starlink Launches'!$B:$B, 0)),
  ""
)
</f>
        <v>15-11</v>
      </c>
      <c r="B5459" s="3" t="s">
        <v>25</v>
      </c>
      <c r="C5459" s="12" t="s">
        <v>5488</v>
      </c>
      <c r="D5459" s="13">
        <v>67027.0</v>
      </c>
      <c r="E5459" s="4">
        <v>46001.0</v>
      </c>
      <c r="F5459" s="4" t="str">
        <f>IF(D5459="","", IFNA(VLOOKUP(D5459, SATCAT_DECAY!A:B, 2, FALSE), ""))
</f>
        <v/>
      </c>
      <c r="G5459" s="3" t="str">
        <f t="shared" si="1"/>
        <v>ACTIVE</v>
      </c>
    </row>
    <row r="5460" ht="22.5" customHeight="1">
      <c r="A5460" s="11" t="str">
        <f t="array" ref="A5460">IFERROR(
  INDEX('Starlink Launches'!$A:$A, MATCH($E5460, 'Starlink Launches'!$B:$B, 0)),
  ""
)
</f>
        <v>15-11</v>
      </c>
      <c r="B5460" s="3" t="s">
        <v>25</v>
      </c>
      <c r="C5460" s="12" t="s">
        <v>5489</v>
      </c>
      <c r="D5460" s="13">
        <v>67028.0</v>
      </c>
      <c r="E5460" s="4">
        <v>46001.0</v>
      </c>
      <c r="F5460" s="4" t="str">
        <f>IF(D5460="","", IFNA(VLOOKUP(D5460, SATCAT_DECAY!A:B, 2, FALSE), ""))
</f>
        <v/>
      </c>
      <c r="G5460" s="3" t="str">
        <f t="shared" si="1"/>
        <v>ACTIVE</v>
      </c>
    </row>
    <row r="5461" ht="22.5" customHeight="1">
      <c r="A5461" s="11" t="str">
        <f t="array" ref="A5461">IFERROR(
  INDEX('Starlink Launches'!$A:$A, MATCH($E5461, 'Starlink Launches'!$B:$B, 0)),
  ""
)
</f>
        <v>15-11</v>
      </c>
      <c r="B5461" s="3" t="s">
        <v>25</v>
      </c>
      <c r="C5461" s="12" t="s">
        <v>5490</v>
      </c>
      <c r="D5461" s="13">
        <v>67029.0</v>
      </c>
      <c r="E5461" s="4">
        <v>46001.0</v>
      </c>
      <c r="F5461" s="4" t="str">
        <f>IF(D5461="","", IFNA(VLOOKUP(D5461, SATCAT_DECAY!A:B, 2, FALSE), ""))
</f>
        <v/>
      </c>
      <c r="G5461" s="3" t="str">
        <f t="shared" si="1"/>
        <v>ACTIVE</v>
      </c>
    </row>
    <row r="5462" ht="22.5" customHeight="1">
      <c r="A5462" s="11" t="str">
        <f t="array" ref="A5462">IFERROR(
  INDEX('Starlink Launches'!$A:$A, MATCH($E5462, 'Starlink Launches'!$B:$B, 0)),
  ""
)
</f>
        <v>15-12</v>
      </c>
      <c r="B5462" s="3" t="s">
        <v>25</v>
      </c>
      <c r="C5462" s="12" t="s">
        <v>5491</v>
      </c>
      <c r="D5462" s="13">
        <v>67075.0</v>
      </c>
      <c r="E5462" s="4">
        <v>46005.0</v>
      </c>
      <c r="F5462" s="4" t="str">
        <f>IF(D5462="","", IFNA(VLOOKUP(D5462, SATCAT_DECAY!A:B, 2, FALSE), ""))
</f>
        <v/>
      </c>
      <c r="G5462" s="3" t="str">
        <f t="shared" si="1"/>
        <v>ACTIVE</v>
      </c>
    </row>
    <row r="5463" ht="22.5" customHeight="1">
      <c r="A5463" s="11" t="str">
        <f t="array" ref="A5463">IFERROR(
  INDEX('Starlink Launches'!$A:$A, MATCH($E5463, 'Starlink Launches'!$B:$B, 0)),
  ""
)
</f>
        <v>15-12</v>
      </c>
      <c r="B5463" s="3" t="s">
        <v>25</v>
      </c>
      <c r="C5463" s="12" t="s">
        <v>5492</v>
      </c>
      <c r="D5463" s="13">
        <v>67076.0</v>
      </c>
      <c r="E5463" s="4">
        <v>46005.0</v>
      </c>
      <c r="F5463" s="4" t="str">
        <f>IF(D5463="","", IFNA(VLOOKUP(D5463, SATCAT_DECAY!A:B, 2, FALSE), ""))
</f>
        <v/>
      </c>
      <c r="G5463" s="3" t="str">
        <f t="shared" si="1"/>
        <v>ACTIVE</v>
      </c>
    </row>
    <row r="5464" ht="22.5" customHeight="1">
      <c r="A5464" s="11" t="str">
        <f t="array" ref="A5464">IFERROR(
  INDEX('Starlink Launches'!$A:$A, MATCH($E5464, 'Starlink Launches'!$B:$B, 0)),
  ""
)
</f>
        <v>15-12</v>
      </c>
      <c r="B5464" s="3" t="s">
        <v>25</v>
      </c>
      <c r="C5464" s="12" t="s">
        <v>5493</v>
      </c>
      <c r="D5464" s="13">
        <v>67077.0</v>
      </c>
      <c r="E5464" s="4">
        <v>46005.0</v>
      </c>
      <c r="F5464" s="4" t="str">
        <f>IF(D5464="","", IFNA(VLOOKUP(D5464, SATCAT_DECAY!A:B, 2, FALSE), ""))
</f>
        <v/>
      </c>
      <c r="G5464" s="3" t="str">
        <f t="shared" si="1"/>
        <v>ACTIVE</v>
      </c>
    </row>
    <row r="5465" ht="22.5" customHeight="1">
      <c r="A5465" s="11" t="str">
        <f t="array" ref="A5465">IFERROR(
  INDEX('Starlink Launches'!$A:$A, MATCH($E5465, 'Starlink Launches'!$B:$B, 0)),
  ""
)
</f>
        <v>15-12</v>
      </c>
      <c r="B5465" s="3" t="s">
        <v>25</v>
      </c>
      <c r="C5465" s="12" t="s">
        <v>5494</v>
      </c>
      <c r="D5465" s="13">
        <v>67078.0</v>
      </c>
      <c r="E5465" s="4">
        <v>46005.0</v>
      </c>
      <c r="F5465" s="4" t="str">
        <f>IF(D5465="","", IFNA(VLOOKUP(D5465, SATCAT_DECAY!A:B, 2, FALSE), ""))
</f>
        <v/>
      </c>
      <c r="G5465" s="3" t="str">
        <f t="shared" si="1"/>
        <v>ACTIVE</v>
      </c>
    </row>
    <row r="5466" ht="22.5" customHeight="1">
      <c r="A5466" s="11" t="str">
        <f t="array" ref="A5466">IFERROR(
  INDEX('Starlink Launches'!$A:$A, MATCH($E5466, 'Starlink Launches'!$B:$B, 0)),
  ""
)
</f>
        <v>15-12</v>
      </c>
      <c r="B5466" s="3" t="s">
        <v>25</v>
      </c>
      <c r="C5466" s="12" t="s">
        <v>5495</v>
      </c>
      <c r="D5466" s="13">
        <v>67079.0</v>
      </c>
      <c r="E5466" s="4">
        <v>46005.0</v>
      </c>
      <c r="F5466" s="4" t="str">
        <f>IF(D5466="","", IFNA(VLOOKUP(D5466, SATCAT_DECAY!A:B, 2, FALSE), ""))
</f>
        <v/>
      </c>
      <c r="G5466" s="3" t="str">
        <f t="shared" si="1"/>
        <v>ACTIVE</v>
      </c>
    </row>
    <row r="5467" ht="22.5" customHeight="1">
      <c r="A5467" s="11" t="str">
        <f t="array" ref="A5467">IFERROR(
  INDEX('Starlink Launches'!$A:$A, MATCH($E5467, 'Starlink Launches'!$B:$B, 0)),
  ""
)
</f>
        <v>15-12</v>
      </c>
      <c r="B5467" s="3" t="s">
        <v>25</v>
      </c>
      <c r="C5467" s="12" t="s">
        <v>5496</v>
      </c>
      <c r="D5467" s="13">
        <v>67080.0</v>
      </c>
      <c r="E5467" s="4">
        <v>46005.0</v>
      </c>
      <c r="F5467" s="4" t="str">
        <f>IF(D5467="","", IFNA(VLOOKUP(D5467, SATCAT_DECAY!A:B, 2, FALSE), ""))
</f>
        <v/>
      </c>
      <c r="G5467" s="3" t="str">
        <f t="shared" si="1"/>
        <v>ACTIVE</v>
      </c>
    </row>
    <row r="5468" ht="22.5" customHeight="1">
      <c r="A5468" s="11" t="str">
        <f t="array" ref="A5468">IFERROR(
  INDEX('Starlink Launches'!$A:$A, MATCH($E5468, 'Starlink Launches'!$B:$B, 0)),
  ""
)
</f>
        <v>15-12</v>
      </c>
      <c r="B5468" s="3" t="s">
        <v>25</v>
      </c>
      <c r="C5468" s="12" t="s">
        <v>5497</v>
      </c>
      <c r="D5468" s="13">
        <v>67081.0</v>
      </c>
      <c r="E5468" s="4">
        <v>46005.0</v>
      </c>
      <c r="F5468" s="4" t="str">
        <f>IF(D5468="","", IFNA(VLOOKUP(D5468, SATCAT_DECAY!A:B, 2, FALSE), ""))
</f>
        <v/>
      </c>
      <c r="G5468" s="3" t="str">
        <f t="shared" si="1"/>
        <v>ACTIVE</v>
      </c>
    </row>
    <row r="5469" ht="22.5" customHeight="1">
      <c r="A5469" s="11" t="str">
        <f t="array" ref="A5469">IFERROR(
  INDEX('Starlink Launches'!$A:$A, MATCH($E5469, 'Starlink Launches'!$B:$B, 0)),
  ""
)
</f>
        <v>15-12</v>
      </c>
      <c r="B5469" s="3" t="s">
        <v>25</v>
      </c>
      <c r="C5469" s="12" t="s">
        <v>5498</v>
      </c>
      <c r="D5469" s="13">
        <v>67082.0</v>
      </c>
      <c r="E5469" s="4">
        <v>46005.0</v>
      </c>
      <c r="F5469" s="4" t="str">
        <f>IF(D5469="","", IFNA(VLOOKUP(D5469, SATCAT_DECAY!A:B, 2, FALSE), ""))
</f>
        <v/>
      </c>
      <c r="G5469" s="3" t="str">
        <f t="shared" si="1"/>
        <v>ACTIVE</v>
      </c>
    </row>
    <row r="5470" ht="22.5" customHeight="1">
      <c r="A5470" s="11" t="str">
        <f t="array" ref="A5470">IFERROR(
  INDEX('Starlink Launches'!$A:$A, MATCH($E5470, 'Starlink Launches'!$B:$B, 0)),
  ""
)
</f>
        <v>15-12</v>
      </c>
      <c r="B5470" s="3" t="s">
        <v>25</v>
      </c>
      <c r="C5470" s="12" t="s">
        <v>5499</v>
      </c>
      <c r="D5470" s="13">
        <v>67083.0</v>
      </c>
      <c r="E5470" s="4">
        <v>46005.0</v>
      </c>
      <c r="F5470" s="4" t="str">
        <f>IF(D5470="","", IFNA(VLOOKUP(D5470, SATCAT_DECAY!A:B, 2, FALSE), ""))
</f>
        <v/>
      </c>
      <c r="G5470" s="3" t="str">
        <f t="shared" si="1"/>
        <v>ACTIVE</v>
      </c>
    </row>
    <row r="5471" ht="22.5" customHeight="1">
      <c r="A5471" s="11" t="str">
        <f t="array" ref="A5471">IFERROR(
  INDEX('Starlink Launches'!$A:$A, MATCH($E5471, 'Starlink Launches'!$B:$B, 0)),
  ""
)
</f>
        <v>15-12</v>
      </c>
      <c r="B5471" s="3" t="s">
        <v>25</v>
      </c>
      <c r="C5471" s="12" t="s">
        <v>5500</v>
      </c>
      <c r="D5471" s="13">
        <v>67084.0</v>
      </c>
      <c r="E5471" s="4">
        <v>46005.0</v>
      </c>
      <c r="F5471" s="4" t="str">
        <f>IF(D5471="","", IFNA(VLOOKUP(D5471, SATCAT_DECAY!A:B, 2, FALSE), ""))
</f>
        <v/>
      </c>
      <c r="G5471" s="3" t="str">
        <f t="shared" si="1"/>
        <v>ACTIVE</v>
      </c>
    </row>
    <row r="5472" ht="22.5" customHeight="1">
      <c r="A5472" s="11" t="str">
        <f t="array" ref="A5472">IFERROR(
  INDEX('Starlink Launches'!$A:$A, MATCH($E5472, 'Starlink Launches'!$B:$B, 0)),
  ""
)
</f>
        <v>15-12</v>
      </c>
      <c r="B5472" s="3" t="s">
        <v>25</v>
      </c>
      <c r="C5472" s="12" t="s">
        <v>5501</v>
      </c>
      <c r="D5472" s="13">
        <v>67085.0</v>
      </c>
      <c r="E5472" s="4">
        <v>46005.0</v>
      </c>
      <c r="F5472" s="4" t="str">
        <f>IF(D5472="","", IFNA(VLOOKUP(D5472, SATCAT_DECAY!A:B, 2, FALSE), ""))
</f>
        <v/>
      </c>
      <c r="G5472" s="3" t="str">
        <f t="shared" si="1"/>
        <v>ACTIVE</v>
      </c>
    </row>
    <row r="5473" ht="22.5" customHeight="1">
      <c r="A5473" s="11" t="str">
        <f t="array" ref="A5473">IFERROR(
  INDEX('Starlink Launches'!$A:$A, MATCH($E5473, 'Starlink Launches'!$B:$B, 0)),
  ""
)
</f>
        <v>15-12</v>
      </c>
      <c r="B5473" s="3" t="s">
        <v>25</v>
      </c>
      <c r="C5473" s="12" t="s">
        <v>5502</v>
      </c>
      <c r="D5473" s="13">
        <v>67086.0</v>
      </c>
      <c r="E5473" s="4">
        <v>46005.0</v>
      </c>
      <c r="F5473" s="4" t="str">
        <f>IF(D5473="","", IFNA(VLOOKUP(D5473, SATCAT_DECAY!A:B, 2, FALSE), ""))
</f>
        <v/>
      </c>
      <c r="G5473" s="3" t="str">
        <f t="shared" si="1"/>
        <v>ACTIVE</v>
      </c>
    </row>
    <row r="5474" ht="22.5" customHeight="1">
      <c r="A5474" s="11" t="str">
        <f t="array" ref="A5474">IFERROR(
  INDEX('Starlink Launches'!$A:$A, MATCH($E5474, 'Starlink Launches'!$B:$B, 0)),
  ""
)
</f>
        <v>15-12</v>
      </c>
      <c r="B5474" s="3" t="s">
        <v>25</v>
      </c>
      <c r="C5474" s="12" t="s">
        <v>5503</v>
      </c>
      <c r="D5474" s="13">
        <v>67087.0</v>
      </c>
      <c r="E5474" s="4">
        <v>46005.0</v>
      </c>
      <c r="F5474" s="4" t="str">
        <f>IF(D5474="","", IFNA(VLOOKUP(D5474, SATCAT_DECAY!A:B, 2, FALSE), ""))
</f>
        <v/>
      </c>
      <c r="G5474" s="3" t="str">
        <f t="shared" si="1"/>
        <v>ACTIVE</v>
      </c>
    </row>
    <row r="5475" ht="22.5" customHeight="1">
      <c r="A5475" s="11" t="str">
        <f t="array" ref="A5475">IFERROR(
  INDEX('Starlink Launches'!$A:$A, MATCH($E5475, 'Starlink Launches'!$B:$B, 0)),
  ""
)
</f>
        <v>15-12</v>
      </c>
      <c r="B5475" s="3" t="s">
        <v>25</v>
      </c>
      <c r="C5475" s="12" t="s">
        <v>5504</v>
      </c>
      <c r="D5475" s="13">
        <v>67088.0</v>
      </c>
      <c r="E5475" s="4">
        <v>46005.0</v>
      </c>
      <c r="F5475" s="4" t="str">
        <f>IF(D5475="","", IFNA(VLOOKUP(D5475, SATCAT_DECAY!A:B, 2, FALSE), ""))
</f>
        <v/>
      </c>
      <c r="G5475" s="3" t="str">
        <f t="shared" si="1"/>
        <v>ACTIVE</v>
      </c>
    </row>
    <row r="5476" ht="22.5" customHeight="1">
      <c r="A5476" s="11" t="str">
        <f t="array" ref="A5476">IFERROR(
  INDEX('Starlink Launches'!$A:$A, MATCH($E5476, 'Starlink Launches'!$B:$B, 0)),
  ""
)
</f>
        <v>15-12</v>
      </c>
      <c r="B5476" s="3" t="s">
        <v>25</v>
      </c>
      <c r="C5476" s="12" t="s">
        <v>5505</v>
      </c>
      <c r="D5476" s="13">
        <v>67089.0</v>
      </c>
      <c r="E5476" s="4">
        <v>46005.0</v>
      </c>
      <c r="F5476" s="4" t="str">
        <f>IF(D5476="","", IFNA(VLOOKUP(D5476, SATCAT_DECAY!A:B, 2, FALSE), ""))
</f>
        <v/>
      </c>
      <c r="G5476" s="3" t="str">
        <f t="shared" si="1"/>
        <v>ACTIVE</v>
      </c>
    </row>
    <row r="5477" ht="22.5" customHeight="1">
      <c r="A5477" s="11" t="str">
        <f t="array" ref="A5477">IFERROR(
  INDEX('Starlink Launches'!$A:$A, MATCH($E5477, 'Starlink Launches'!$B:$B, 0)),
  ""
)
</f>
        <v>15-12</v>
      </c>
      <c r="B5477" s="3" t="s">
        <v>25</v>
      </c>
      <c r="C5477" s="12" t="s">
        <v>5506</v>
      </c>
      <c r="D5477" s="13">
        <v>67090.0</v>
      </c>
      <c r="E5477" s="4">
        <v>46005.0</v>
      </c>
      <c r="F5477" s="4" t="str">
        <f>IF(D5477="","", IFNA(VLOOKUP(D5477, SATCAT_DECAY!A:B, 2, FALSE), ""))
</f>
        <v/>
      </c>
      <c r="G5477" s="3" t="str">
        <f t="shared" si="1"/>
        <v>ACTIVE</v>
      </c>
    </row>
    <row r="5478" ht="22.5" customHeight="1">
      <c r="A5478" s="11" t="str">
        <f t="array" ref="A5478">IFERROR(
  INDEX('Starlink Launches'!$A:$A, MATCH($E5478, 'Starlink Launches'!$B:$B, 0)),
  ""
)
</f>
        <v>15-12</v>
      </c>
      <c r="B5478" s="3" t="s">
        <v>25</v>
      </c>
      <c r="C5478" s="12" t="s">
        <v>5507</v>
      </c>
      <c r="D5478" s="13">
        <v>67091.0</v>
      </c>
      <c r="E5478" s="4">
        <v>46005.0</v>
      </c>
      <c r="F5478" s="4" t="str">
        <f>IF(D5478="","", IFNA(VLOOKUP(D5478, SATCAT_DECAY!A:B, 2, FALSE), ""))
</f>
        <v/>
      </c>
      <c r="G5478" s="3" t="str">
        <f t="shared" si="1"/>
        <v>ACTIVE</v>
      </c>
    </row>
    <row r="5479" ht="22.5" customHeight="1">
      <c r="A5479" s="11" t="str">
        <f t="array" ref="A5479">IFERROR(
  INDEX('Starlink Launches'!$A:$A, MATCH($E5479, 'Starlink Launches'!$B:$B, 0)),
  ""
)
</f>
        <v>15-12</v>
      </c>
      <c r="B5479" s="3" t="s">
        <v>25</v>
      </c>
      <c r="C5479" s="12" t="s">
        <v>5508</v>
      </c>
      <c r="D5479" s="13">
        <v>67092.0</v>
      </c>
      <c r="E5479" s="4">
        <v>46005.0</v>
      </c>
      <c r="F5479" s="4" t="str">
        <f>IF(D5479="","", IFNA(VLOOKUP(D5479, SATCAT_DECAY!A:B, 2, FALSE), ""))
</f>
        <v/>
      </c>
      <c r="G5479" s="3" t="str">
        <f t="shared" si="1"/>
        <v>ACTIVE</v>
      </c>
    </row>
    <row r="5480" ht="22.5" customHeight="1">
      <c r="A5480" s="11" t="str">
        <f t="array" ref="A5480">IFERROR(
  INDEX('Starlink Launches'!$A:$A, MATCH($E5480, 'Starlink Launches'!$B:$B, 0)),
  ""
)
</f>
        <v>15-12</v>
      </c>
      <c r="B5480" s="3" t="s">
        <v>25</v>
      </c>
      <c r="C5480" s="12" t="s">
        <v>5509</v>
      </c>
      <c r="D5480" s="13">
        <v>67093.0</v>
      </c>
      <c r="E5480" s="4">
        <v>46005.0</v>
      </c>
      <c r="F5480" s="4" t="str">
        <f>IF(D5480="","", IFNA(VLOOKUP(D5480, SATCAT_DECAY!A:B, 2, FALSE), ""))
</f>
        <v/>
      </c>
      <c r="G5480" s="3" t="str">
        <f t="shared" si="1"/>
        <v>ACTIVE</v>
      </c>
    </row>
    <row r="5481" ht="22.5" customHeight="1">
      <c r="A5481" s="11" t="str">
        <f t="array" ref="A5481">IFERROR(
  INDEX('Starlink Launches'!$A:$A, MATCH($E5481, 'Starlink Launches'!$B:$B, 0)),
  ""
)
</f>
        <v>15-12</v>
      </c>
      <c r="B5481" s="3" t="s">
        <v>25</v>
      </c>
      <c r="C5481" s="12" t="s">
        <v>5510</v>
      </c>
      <c r="D5481" s="13">
        <v>67094.0</v>
      </c>
      <c r="E5481" s="4">
        <v>46005.0</v>
      </c>
      <c r="F5481" s="4" t="str">
        <f>IF(D5481="","", IFNA(VLOOKUP(D5481, SATCAT_DECAY!A:B, 2, FALSE), ""))
</f>
        <v/>
      </c>
      <c r="G5481" s="3" t="str">
        <f t="shared" si="1"/>
        <v>ACTIVE</v>
      </c>
    </row>
    <row r="5482" ht="22.5" customHeight="1">
      <c r="A5482" s="11" t="str">
        <f t="array" ref="A5482">IFERROR(
  INDEX('Starlink Launches'!$A:$A, MATCH($E5482, 'Starlink Launches'!$B:$B, 0)),
  ""
)
</f>
        <v>15-12</v>
      </c>
      <c r="B5482" s="3" t="s">
        <v>25</v>
      </c>
      <c r="C5482" s="12" t="s">
        <v>5511</v>
      </c>
      <c r="D5482" s="13">
        <v>67095.0</v>
      </c>
      <c r="E5482" s="4">
        <v>46005.0</v>
      </c>
      <c r="F5482" s="4" t="str">
        <f>IF(D5482="","", IFNA(VLOOKUP(D5482, SATCAT_DECAY!A:B, 2, FALSE), ""))
</f>
        <v/>
      </c>
      <c r="G5482" s="3" t="str">
        <f t="shared" si="1"/>
        <v>ACTIVE</v>
      </c>
    </row>
    <row r="5483" ht="22.5" customHeight="1">
      <c r="A5483" s="11" t="str">
        <f t="array" ref="A5483">IFERROR(
  INDEX('Starlink Launches'!$A:$A, MATCH($E5483, 'Starlink Launches'!$B:$B, 0)),
  ""
)
</f>
        <v>15-12</v>
      </c>
      <c r="B5483" s="3" t="s">
        <v>25</v>
      </c>
      <c r="C5483" s="12" t="s">
        <v>5512</v>
      </c>
      <c r="D5483" s="13">
        <v>67096.0</v>
      </c>
      <c r="E5483" s="4">
        <v>46005.0</v>
      </c>
      <c r="F5483" s="4" t="str">
        <f>IF(D5483="","", IFNA(VLOOKUP(D5483, SATCAT_DECAY!A:B, 2, FALSE), ""))
</f>
        <v/>
      </c>
      <c r="G5483" s="3" t="str">
        <f t="shared" si="1"/>
        <v>ACTIVE</v>
      </c>
    </row>
    <row r="5484" ht="22.5" customHeight="1">
      <c r="A5484" s="11" t="str">
        <f t="array" ref="A5484">IFERROR(
  INDEX('Starlink Launches'!$A:$A, MATCH($E5484, 'Starlink Launches'!$B:$B, 0)),
  ""
)
</f>
        <v>15-12</v>
      </c>
      <c r="B5484" s="3" t="s">
        <v>25</v>
      </c>
      <c r="C5484" s="12" t="s">
        <v>5513</v>
      </c>
      <c r="D5484" s="13">
        <v>67097.0</v>
      </c>
      <c r="E5484" s="4">
        <v>46005.0</v>
      </c>
      <c r="F5484" s="4" t="str">
        <f>IF(D5484="","", IFNA(VLOOKUP(D5484, SATCAT_DECAY!A:B, 2, FALSE), ""))
</f>
        <v/>
      </c>
      <c r="G5484" s="3" t="str">
        <f t="shared" si="1"/>
        <v>ACTIVE</v>
      </c>
    </row>
    <row r="5485" ht="22.5" customHeight="1">
      <c r="A5485" s="11" t="str">
        <f t="array" ref="A5485">IFERROR(
  INDEX('Starlink Launches'!$A:$A, MATCH($E5485, 'Starlink Launches'!$B:$B, 0)),
  ""
)
</f>
        <v>15-12</v>
      </c>
      <c r="B5485" s="3" t="s">
        <v>25</v>
      </c>
      <c r="C5485" s="12" t="s">
        <v>5514</v>
      </c>
      <c r="D5485" s="13">
        <v>67098.0</v>
      </c>
      <c r="E5485" s="4">
        <v>46005.0</v>
      </c>
      <c r="F5485" s="4" t="str">
        <f>IF(D5485="","", IFNA(VLOOKUP(D5485, SATCAT_DECAY!A:B, 2, FALSE), ""))
</f>
        <v/>
      </c>
      <c r="G5485" s="3" t="str">
        <f t="shared" si="1"/>
        <v>ACTIVE</v>
      </c>
    </row>
    <row r="5486" ht="22.5" customHeight="1">
      <c r="A5486" s="11" t="str">
        <f t="array" ref="A5486">IFERROR(
  INDEX('Starlink Launches'!$A:$A, MATCH($E5486, 'Starlink Launches'!$B:$B, 0)),
  ""
)
</f>
        <v>15-12</v>
      </c>
      <c r="B5486" s="3" t="s">
        <v>25</v>
      </c>
      <c r="C5486" s="12" t="s">
        <v>5515</v>
      </c>
      <c r="D5486" s="13">
        <v>67099.0</v>
      </c>
      <c r="E5486" s="4">
        <v>46005.0</v>
      </c>
      <c r="F5486" s="4" t="str">
        <f>IF(D5486="","", IFNA(VLOOKUP(D5486, SATCAT_DECAY!A:B, 2, FALSE), ""))
</f>
        <v/>
      </c>
      <c r="G5486" s="3" t="str">
        <f t="shared" si="1"/>
        <v>ACTIVE</v>
      </c>
    </row>
    <row r="5487" ht="22.5" customHeight="1">
      <c r="A5487" s="11" t="str">
        <f t="array" ref="A5487">IFERROR(
  INDEX('Starlink Launches'!$A:$A, MATCH($E5487, 'Starlink Launches'!$B:$B, 0)),
  ""
)
</f>
        <v>15-12</v>
      </c>
      <c r="B5487" s="3" t="s">
        <v>25</v>
      </c>
      <c r="C5487" s="12" t="s">
        <v>5516</v>
      </c>
      <c r="D5487" s="13">
        <v>67100.0</v>
      </c>
      <c r="E5487" s="4">
        <v>46005.0</v>
      </c>
      <c r="F5487" s="4" t="str">
        <f>IF(D5487="","", IFNA(VLOOKUP(D5487, SATCAT_DECAY!A:B, 2, FALSE), ""))
</f>
        <v/>
      </c>
      <c r="G5487" s="3" t="str">
        <f t="shared" si="1"/>
        <v>ACTIVE</v>
      </c>
    </row>
    <row r="5488" ht="22.5" customHeight="1">
      <c r="A5488" s="11" t="str">
        <f t="array" ref="A5488">IFERROR(
  INDEX('Starlink Launches'!$A:$A, MATCH($E5488, 'Starlink Launches'!$B:$B, 0)),
  ""
)
</f>
        <v>15-12</v>
      </c>
      <c r="B5488" s="3" t="s">
        <v>25</v>
      </c>
      <c r="C5488" s="12" t="s">
        <v>5517</v>
      </c>
      <c r="D5488" s="13">
        <v>67101.0</v>
      </c>
      <c r="E5488" s="4">
        <v>46005.0</v>
      </c>
      <c r="F5488" s="4" t="str">
        <f>IF(D5488="","", IFNA(VLOOKUP(D5488, SATCAT_DECAY!A:B, 2, FALSE), ""))
</f>
        <v/>
      </c>
      <c r="G5488" s="3" t="str">
        <f t="shared" si="1"/>
        <v>ACTIVE</v>
      </c>
    </row>
    <row r="5489" ht="22.5" customHeight="1">
      <c r="A5489" s="3" t="s">
        <v>5518</v>
      </c>
      <c r="B5489" s="3" t="s">
        <v>25</v>
      </c>
      <c r="C5489" s="12" t="s">
        <v>5519</v>
      </c>
      <c r="D5489" s="13">
        <v>67192.0</v>
      </c>
      <c r="E5489" s="4">
        <v>46008.0</v>
      </c>
      <c r="F5489" s="4" t="str">
        <f>IF(D5489="","", IFNA(VLOOKUP(D5489, SATCAT_DECAY!A:B, 2, FALSE), ""))
</f>
        <v/>
      </c>
      <c r="G5489" s="3" t="str">
        <f t="shared" si="1"/>
        <v>ACTIVE</v>
      </c>
    </row>
    <row r="5490" ht="22.5" customHeight="1">
      <c r="A5490" s="3" t="s">
        <v>5518</v>
      </c>
      <c r="B5490" s="3" t="s">
        <v>25</v>
      </c>
      <c r="C5490" s="12" t="s">
        <v>5520</v>
      </c>
      <c r="D5490" s="13">
        <v>67193.0</v>
      </c>
      <c r="E5490" s="4">
        <v>46008.0</v>
      </c>
      <c r="F5490" s="4" t="str">
        <f>IF(D5490="","", IFNA(VLOOKUP(D5490, SATCAT_DECAY!A:B, 2, FALSE), ""))
</f>
        <v/>
      </c>
      <c r="G5490" s="3" t="str">
        <f t="shared" si="1"/>
        <v>ACTIVE</v>
      </c>
    </row>
    <row r="5491" ht="22.5" customHeight="1">
      <c r="A5491" s="3" t="s">
        <v>5518</v>
      </c>
      <c r="B5491" s="3" t="s">
        <v>25</v>
      </c>
      <c r="C5491" s="12" t="s">
        <v>5521</v>
      </c>
      <c r="D5491" s="13">
        <v>67194.0</v>
      </c>
      <c r="E5491" s="4">
        <v>46008.0</v>
      </c>
      <c r="F5491" s="4" t="str">
        <f>IF(D5491="","", IFNA(VLOOKUP(D5491, SATCAT_DECAY!A:B, 2, FALSE), ""))
</f>
        <v/>
      </c>
      <c r="G5491" s="3" t="str">
        <f t="shared" si="1"/>
        <v>ACTIVE</v>
      </c>
    </row>
    <row r="5492" ht="22.5" customHeight="1">
      <c r="A5492" s="3" t="s">
        <v>5518</v>
      </c>
      <c r="B5492" s="3" t="s">
        <v>25</v>
      </c>
      <c r="C5492" s="12" t="s">
        <v>5522</v>
      </c>
      <c r="D5492" s="13">
        <v>67195.0</v>
      </c>
      <c r="E5492" s="4">
        <v>46008.0</v>
      </c>
      <c r="F5492" s="4" t="str">
        <f>IF(D5492="","", IFNA(VLOOKUP(D5492, SATCAT_DECAY!A:B, 2, FALSE), ""))
</f>
        <v/>
      </c>
      <c r="G5492" s="3" t="str">
        <f t="shared" si="1"/>
        <v>ACTIVE</v>
      </c>
    </row>
    <row r="5493" ht="22.5" customHeight="1">
      <c r="A5493" s="3" t="s">
        <v>5518</v>
      </c>
      <c r="B5493" s="3" t="s">
        <v>25</v>
      </c>
      <c r="C5493" s="12" t="s">
        <v>5523</v>
      </c>
      <c r="D5493" s="13">
        <v>67196.0</v>
      </c>
      <c r="E5493" s="4">
        <v>46008.0</v>
      </c>
      <c r="F5493" s="4" t="str">
        <f>IF(D5493="","", IFNA(VLOOKUP(D5493, SATCAT_DECAY!A:B, 2, FALSE), ""))
</f>
        <v/>
      </c>
      <c r="G5493" s="3" t="str">
        <f t="shared" si="1"/>
        <v>ACTIVE</v>
      </c>
    </row>
    <row r="5494" ht="22.5" customHeight="1">
      <c r="A5494" s="3" t="s">
        <v>5518</v>
      </c>
      <c r="B5494" s="3" t="s">
        <v>25</v>
      </c>
      <c r="C5494" s="12" t="s">
        <v>5524</v>
      </c>
      <c r="D5494" s="13">
        <v>67197.0</v>
      </c>
      <c r="E5494" s="4">
        <v>46008.0</v>
      </c>
      <c r="F5494" s="4" t="str">
        <f>IF(D5494="","", IFNA(VLOOKUP(D5494, SATCAT_DECAY!A:B, 2, FALSE), ""))
</f>
        <v/>
      </c>
      <c r="G5494" s="3" t="str">
        <f t="shared" si="1"/>
        <v>ACTIVE</v>
      </c>
    </row>
    <row r="5495" ht="22.5" customHeight="1">
      <c r="A5495" s="3" t="s">
        <v>5518</v>
      </c>
      <c r="B5495" s="3" t="s">
        <v>25</v>
      </c>
      <c r="C5495" s="12" t="s">
        <v>5525</v>
      </c>
      <c r="D5495" s="13">
        <v>67198.0</v>
      </c>
      <c r="E5495" s="4">
        <v>46008.0</v>
      </c>
      <c r="F5495" s="4" t="str">
        <f>IF(D5495="","", IFNA(VLOOKUP(D5495, SATCAT_DECAY!A:B, 2, FALSE), ""))
</f>
        <v/>
      </c>
      <c r="G5495" s="3" t="str">
        <f t="shared" si="1"/>
        <v>ACTIVE</v>
      </c>
    </row>
    <row r="5496" ht="22.5" customHeight="1">
      <c r="A5496" s="3" t="s">
        <v>5518</v>
      </c>
      <c r="B5496" s="3" t="s">
        <v>25</v>
      </c>
      <c r="C5496" s="12" t="s">
        <v>5526</v>
      </c>
      <c r="D5496" s="13">
        <v>67199.0</v>
      </c>
      <c r="E5496" s="4">
        <v>46008.0</v>
      </c>
      <c r="F5496" s="4" t="str">
        <f>IF(D5496="","", IFNA(VLOOKUP(D5496, SATCAT_DECAY!A:B, 2, FALSE), ""))
</f>
        <v/>
      </c>
      <c r="G5496" s="3" t="str">
        <f t="shared" si="1"/>
        <v>ACTIVE</v>
      </c>
    </row>
    <row r="5497" ht="22.5" customHeight="1">
      <c r="A5497" s="3" t="s">
        <v>5518</v>
      </c>
      <c r="B5497" s="3" t="s">
        <v>25</v>
      </c>
      <c r="C5497" s="12" t="s">
        <v>5527</v>
      </c>
      <c r="D5497" s="13">
        <v>67200.0</v>
      </c>
      <c r="E5497" s="4">
        <v>46008.0</v>
      </c>
      <c r="F5497" s="4" t="str">
        <f>IF(D5497="","", IFNA(VLOOKUP(D5497, SATCAT_DECAY!A:B, 2, FALSE), ""))
</f>
        <v/>
      </c>
      <c r="G5497" s="3" t="str">
        <f t="shared" si="1"/>
        <v>ACTIVE</v>
      </c>
    </row>
    <row r="5498" ht="22.5" customHeight="1">
      <c r="A5498" s="3" t="s">
        <v>5518</v>
      </c>
      <c r="B5498" s="3" t="s">
        <v>25</v>
      </c>
      <c r="C5498" s="12" t="s">
        <v>5528</v>
      </c>
      <c r="D5498" s="13">
        <v>67201.0</v>
      </c>
      <c r="E5498" s="4">
        <v>46008.0</v>
      </c>
      <c r="F5498" s="4" t="str">
        <f>IF(D5498="","", IFNA(VLOOKUP(D5498, SATCAT_DECAY!A:B, 2, FALSE), ""))
</f>
        <v/>
      </c>
      <c r="G5498" s="3" t="str">
        <f t="shared" si="1"/>
        <v>ACTIVE</v>
      </c>
    </row>
    <row r="5499" ht="22.5" customHeight="1">
      <c r="A5499" s="3" t="s">
        <v>5518</v>
      </c>
      <c r="B5499" s="3" t="s">
        <v>25</v>
      </c>
      <c r="C5499" s="12" t="s">
        <v>5529</v>
      </c>
      <c r="D5499" s="13">
        <v>67202.0</v>
      </c>
      <c r="E5499" s="4">
        <v>46008.0</v>
      </c>
      <c r="F5499" s="4" t="str">
        <f>IF(D5499="","", IFNA(VLOOKUP(D5499, SATCAT_DECAY!A:B, 2, FALSE), ""))
</f>
        <v/>
      </c>
      <c r="G5499" s="3" t="str">
        <f t="shared" si="1"/>
        <v>ACTIVE</v>
      </c>
    </row>
    <row r="5500" ht="22.5" customHeight="1">
      <c r="A5500" s="3" t="s">
        <v>5518</v>
      </c>
      <c r="B5500" s="3" t="s">
        <v>25</v>
      </c>
      <c r="C5500" s="12" t="s">
        <v>5530</v>
      </c>
      <c r="D5500" s="13">
        <v>67203.0</v>
      </c>
      <c r="E5500" s="4">
        <v>46008.0</v>
      </c>
      <c r="F5500" s="4" t="str">
        <f>IF(D5500="","", IFNA(VLOOKUP(D5500, SATCAT_DECAY!A:B, 2, FALSE), ""))
</f>
        <v/>
      </c>
      <c r="G5500" s="3" t="str">
        <f t="shared" si="1"/>
        <v>ACTIVE</v>
      </c>
    </row>
    <row r="5501" ht="22.5" customHeight="1">
      <c r="A5501" s="3" t="s">
        <v>5518</v>
      </c>
      <c r="B5501" s="3" t="s">
        <v>25</v>
      </c>
      <c r="C5501" s="12" t="s">
        <v>5531</v>
      </c>
      <c r="D5501" s="13">
        <v>67204.0</v>
      </c>
      <c r="E5501" s="4">
        <v>46008.0</v>
      </c>
      <c r="F5501" s="4" t="str">
        <f>IF(D5501="","", IFNA(VLOOKUP(D5501, SATCAT_DECAY!A:B, 2, FALSE), ""))
</f>
        <v/>
      </c>
      <c r="G5501" s="3" t="str">
        <f t="shared" si="1"/>
        <v>ACTIVE</v>
      </c>
    </row>
    <row r="5502" ht="22.5" customHeight="1">
      <c r="A5502" s="3" t="s">
        <v>5518</v>
      </c>
      <c r="B5502" s="3" t="s">
        <v>25</v>
      </c>
      <c r="C5502" s="12" t="s">
        <v>5532</v>
      </c>
      <c r="D5502" s="13">
        <v>67205.0</v>
      </c>
      <c r="E5502" s="4">
        <v>46008.0</v>
      </c>
      <c r="F5502" s="4" t="str">
        <f>IF(D5502="","", IFNA(VLOOKUP(D5502, SATCAT_DECAY!A:B, 2, FALSE), ""))
</f>
        <v/>
      </c>
      <c r="G5502" s="3" t="str">
        <f t="shared" si="1"/>
        <v>ACTIVE</v>
      </c>
    </row>
    <row r="5503" ht="22.5" customHeight="1">
      <c r="A5503" s="3" t="s">
        <v>5518</v>
      </c>
      <c r="B5503" s="3" t="s">
        <v>25</v>
      </c>
      <c r="C5503" s="12" t="s">
        <v>5533</v>
      </c>
      <c r="D5503" s="13">
        <v>67206.0</v>
      </c>
      <c r="E5503" s="4">
        <v>46008.0</v>
      </c>
      <c r="F5503" s="4" t="str">
        <f>IF(D5503="","", IFNA(VLOOKUP(D5503, SATCAT_DECAY!A:B, 2, FALSE), ""))
</f>
        <v/>
      </c>
      <c r="G5503" s="3" t="str">
        <f t="shared" si="1"/>
        <v>ACTIVE</v>
      </c>
    </row>
    <row r="5504" ht="22.5" customHeight="1">
      <c r="A5504" s="3" t="s">
        <v>5518</v>
      </c>
      <c r="B5504" s="3" t="s">
        <v>25</v>
      </c>
      <c r="C5504" s="12" t="s">
        <v>5534</v>
      </c>
      <c r="D5504" s="13">
        <v>67207.0</v>
      </c>
      <c r="E5504" s="4">
        <v>46008.0</v>
      </c>
      <c r="F5504" s="4" t="str">
        <f>IF(D5504="","", IFNA(VLOOKUP(D5504, SATCAT_DECAY!A:B, 2, FALSE), ""))
</f>
        <v/>
      </c>
      <c r="G5504" s="3" t="str">
        <f t="shared" si="1"/>
        <v>ACTIVE</v>
      </c>
    </row>
    <row r="5505" ht="22.5" customHeight="1">
      <c r="A5505" s="3" t="s">
        <v>5518</v>
      </c>
      <c r="B5505" s="3" t="s">
        <v>25</v>
      </c>
      <c r="C5505" s="12" t="s">
        <v>5535</v>
      </c>
      <c r="D5505" s="13">
        <v>67208.0</v>
      </c>
      <c r="E5505" s="4">
        <v>46008.0</v>
      </c>
      <c r="F5505" s="4" t="str">
        <f>IF(D5505="","", IFNA(VLOOKUP(D5505, SATCAT_DECAY!A:B, 2, FALSE), ""))
</f>
        <v/>
      </c>
      <c r="G5505" s="3" t="str">
        <f t="shared" si="1"/>
        <v>ACTIVE</v>
      </c>
    </row>
    <row r="5506" ht="22.5" customHeight="1">
      <c r="A5506" s="3" t="s">
        <v>5518</v>
      </c>
      <c r="B5506" s="3" t="s">
        <v>25</v>
      </c>
      <c r="C5506" s="12" t="s">
        <v>5536</v>
      </c>
      <c r="D5506" s="13">
        <v>67209.0</v>
      </c>
      <c r="E5506" s="4">
        <v>46008.0</v>
      </c>
      <c r="F5506" s="4" t="str">
        <f>IF(D5506="","", IFNA(VLOOKUP(D5506, SATCAT_DECAY!A:B, 2, FALSE), ""))
</f>
        <v/>
      </c>
      <c r="G5506" s="3" t="str">
        <f t="shared" si="1"/>
        <v>ACTIVE</v>
      </c>
    </row>
    <row r="5507" ht="22.5" customHeight="1">
      <c r="A5507" s="3" t="s">
        <v>5518</v>
      </c>
      <c r="B5507" s="3" t="s">
        <v>25</v>
      </c>
      <c r="C5507" s="12" t="s">
        <v>5537</v>
      </c>
      <c r="D5507" s="13">
        <v>67210.0</v>
      </c>
      <c r="E5507" s="4">
        <v>46008.0</v>
      </c>
      <c r="F5507" s="4" t="str">
        <f>IF(D5507="","", IFNA(VLOOKUP(D5507, SATCAT_DECAY!A:B, 2, FALSE), ""))
</f>
        <v/>
      </c>
      <c r="G5507" s="3" t="str">
        <f t="shared" si="1"/>
        <v>ACTIVE</v>
      </c>
    </row>
    <row r="5508" ht="22.5" customHeight="1">
      <c r="A5508" s="3" t="s">
        <v>5518</v>
      </c>
      <c r="B5508" s="3" t="s">
        <v>25</v>
      </c>
      <c r="C5508" s="12" t="s">
        <v>5538</v>
      </c>
      <c r="D5508" s="13">
        <v>67211.0</v>
      </c>
      <c r="E5508" s="4">
        <v>46008.0</v>
      </c>
      <c r="F5508" s="4" t="str">
        <f>IF(D5508="","", IFNA(VLOOKUP(D5508, SATCAT_DECAY!A:B, 2, FALSE), ""))
</f>
        <v/>
      </c>
      <c r="G5508" s="3" t="str">
        <f t="shared" si="1"/>
        <v>ACTIVE</v>
      </c>
    </row>
    <row r="5509" ht="22.5" customHeight="1">
      <c r="A5509" s="3" t="s">
        <v>5518</v>
      </c>
      <c r="B5509" s="3" t="s">
        <v>25</v>
      </c>
      <c r="C5509" s="12" t="s">
        <v>5539</v>
      </c>
      <c r="D5509" s="13">
        <v>67212.0</v>
      </c>
      <c r="E5509" s="4">
        <v>46008.0</v>
      </c>
      <c r="F5509" s="4" t="str">
        <f>IF(D5509="","", IFNA(VLOOKUP(D5509, SATCAT_DECAY!A:B, 2, FALSE), ""))
</f>
        <v/>
      </c>
      <c r="G5509" s="3" t="str">
        <f t="shared" si="1"/>
        <v>ACTIVE</v>
      </c>
    </row>
    <row r="5510" ht="22.5" customHeight="1">
      <c r="A5510" s="3" t="s">
        <v>5518</v>
      </c>
      <c r="B5510" s="3" t="s">
        <v>25</v>
      </c>
      <c r="C5510" s="12" t="s">
        <v>5540</v>
      </c>
      <c r="D5510" s="13">
        <v>67213.0</v>
      </c>
      <c r="E5510" s="4">
        <v>46008.0</v>
      </c>
      <c r="F5510" s="4" t="str">
        <f>IF(D5510="","", IFNA(VLOOKUP(D5510, SATCAT_DECAY!A:B, 2, FALSE), ""))
</f>
        <v/>
      </c>
      <c r="G5510" s="3" t="str">
        <f t="shared" si="1"/>
        <v>ACTIVE</v>
      </c>
    </row>
    <row r="5511" ht="22.5" customHeight="1">
      <c r="A5511" s="3" t="s">
        <v>5518</v>
      </c>
      <c r="B5511" s="3" t="s">
        <v>25</v>
      </c>
      <c r="C5511" s="12" t="s">
        <v>5541</v>
      </c>
      <c r="D5511" s="13">
        <v>67214.0</v>
      </c>
      <c r="E5511" s="4">
        <v>46008.0</v>
      </c>
      <c r="F5511" s="4" t="str">
        <f>IF(D5511="","", IFNA(VLOOKUP(D5511, SATCAT_DECAY!A:B, 2, FALSE), ""))
</f>
        <v/>
      </c>
      <c r="G5511" s="3" t="str">
        <f t="shared" si="1"/>
        <v>ACTIVE</v>
      </c>
    </row>
    <row r="5512" ht="22.5" customHeight="1">
      <c r="A5512" s="3" t="s">
        <v>5518</v>
      </c>
      <c r="B5512" s="3" t="s">
        <v>25</v>
      </c>
      <c r="C5512" s="12" t="s">
        <v>5542</v>
      </c>
      <c r="D5512" s="13">
        <v>67215.0</v>
      </c>
      <c r="E5512" s="4">
        <v>46008.0</v>
      </c>
      <c r="F5512" s="4" t="str">
        <f>IF(D5512="","", IFNA(VLOOKUP(D5512, SATCAT_DECAY!A:B, 2, FALSE), ""))
</f>
        <v/>
      </c>
      <c r="G5512" s="3" t="str">
        <f t="shared" si="1"/>
        <v>ACTIVE</v>
      </c>
    </row>
    <row r="5513" ht="22.5" customHeight="1">
      <c r="A5513" s="3" t="s">
        <v>5518</v>
      </c>
      <c r="B5513" s="3" t="s">
        <v>25</v>
      </c>
      <c r="C5513" s="12" t="s">
        <v>5543</v>
      </c>
      <c r="D5513" s="13">
        <v>67216.0</v>
      </c>
      <c r="E5513" s="4">
        <v>46008.0</v>
      </c>
      <c r="F5513" s="4" t="str">
        <f>IF(D5513="","", IFNA(VLOOKUP(D5513, SATCAT_DECAY!A:B, 2, FALSE), ""))
</f>
        <v/>
      </c>
      <c r="G5513" s="3" t="str">
        <f t="shared" si="1"/>
        <v>ACTIVE</v>
      </c>
    </row>
    <row r="5514" ht="22.5" customHeight="1">
      <c r="A5514" s="3" t="s">
        <v>5518</v>
      </c>
      <c r="B5514" s="3" t="s">
        <v>25</v>
      </c>
      <c r="C5514" s="12" t="s">
        <v>5544</v>
      </c>
      <c r="D5514" s="13">
        <v>67217.0</v>
      </c>
      <c r="E5514" s="4">
        <v>46008.0</v>
      </c>
      <c r="F5514" s="4" t="str">
        <f>IF(D5514="","", IFNA(VLOOKUP(D5514, SATCAT_DECAY!A:B, 2, FALSE), ""))
</f>
        <v/>
      </c>
      <c r="G5514" s="3" t="str">
        <f t="shared" si="1"/>
        <v>ACTIVE</v>
      </c>
    </row>
    <row r="5515" ht="22.5" customHeight="1">
      <c r="A5515" s="9" t="s">
        <v>5518</v>
      </c>
      <c r="B5515" s="9" t="s">
        <v>25</v>
      </c>
      <c r="C5515" s="18" t="s">
        <v>5545</v>
      </c>
      <c r="D5515" s="19">
        <v>67218.0</v>
      </c>
      <c r="E5515" s="10">
        <v>46008.0</v>
      </c>
      <c r="F5515" s="10" t="str">
        <f>IF(D5515="","", IFNA(VLOOKUP(D5515, SATCAT_DECAY!A:B, 2, FALSE), ""))
</f>
        <v/>
      </c>
      <c r="G5515" s="9" t="str">
        <f t="shared" si="1"/>
        <v>ACTIVE</v>
      </c>
    </row>
    <row r="5516" ht="22.5" customHeight="1">
      <c r="A5516" s="11" t="str">
        <f t="array" ref="A5516">IFERROR(
  INDEX('Starlink Launches'!$A:$A, MATCH($E5516, 'Starlink Launches'!$B:$B, 0)),
  ""
)
</f>
        <v>17-1</v>
      </c>
      <c r="B5516" s="3" t="s">
        <v>25</v>
      </c>
      <c r="C5516" s="12" t="s">
        <v>5546</v>
      </c>
      <c r="D5516" s="13">
        <v>64146.0</v>
      </c>
      <c r="E5516" s="4">
        <v>45804.0</v>
      </c>
      <c r="F5516" s="4" t="str">
        <f>IF(D5516="","", IFNA(VLOOKUP(D5516, SATCAT_DECAY!A:B, 2, FALSE), ""))
</f>
        <v/>
      </c>
      <c r="G5516" s="3" t="str">
        <f t="shared" si="1"/>
        <v>ACTIVE</v>
      </c>
    </row>
    <row r="5517" ht="22.5" customHeight="1">
      <c r="A5517" s="11" t="str">
        <f t="array" ref="A5517">IFERROR(
  INDEX('Starlink Launches'!$A:$A, MATCH($E5517, 'Starlink Launches'!$B:$B, 0)),
  ""
)
</f>
        <v>17-1</v>
      </c>
      <c r="B5517" s="3" t="s">
        <v>25</v>
      </c>
      <c r="C5517" s="12" t="s">
        <v>5547</v>
      </c>
      <c r="D5517" s="13">
        <v>64147.0</v>
      </c>
      <c r="E5517" s="4">
        <v>45804.0</v>
      </c>
      <c r="F5517" s="4" t="str">
        <f>IF(D5517="","", IFNA(VLOOKUP(D5517, SATCAT_DECAY!A:B, 2, FALSE), ""))
</f>
        <v/>
      </c>
      <c r="G5517" s="3" t="str">
        <f t="shared" si="1"/>
        <v>ACTIVE</v>
      </c>
    </row>
    <row r="5518" ht="22.5" customHeight="1">
      <c r="A5518" s="11" t="str">
        <f t="array" ref="A5518">IFERROR(
  INDEX('Starlink Launches'!$A:$A, MATCH($E5518, 'Starlink Launches'!$B:$B, 0)),
  ""
)
</f>
        <v>17-1</v>
      </c>
      <c r="B5518" s="3" t="s">
        <v>25</v>
      </c>
      <c r="C5518" s="12" t="s">
        <v>5548</v>
      </c>
      <c r="D5518" s="13">
        <v>64148.0</v>
      </c>
      <c r="E5518" s="4">
        <v>45804.0</v>
      </c>
      <c r="F5518" s="4" t="str">
        <f>IF(D5518="","", IFNA(VLOOKUP(D5518, SATCAT_DECAY!A:B, 2, FALSE), ""))
</f>
        <v/>
      </c>
      <c r="G5518" s="3" t="str">
        <f t="shared" si="1"/>
        <v>ACTIVE</v>
      </c>
    </row>
    <row r="5519" ht="22.5" customHeight="1">
      <c r="A5519" s="11" t="str">
        <f t="array" ref="A5519">IFERROR(
  INDEX('Starlink Launches'!$A:$A, MATCH($E5519, 'Starlink Launches'!$B:$B, 0)),
  ""
)
</f>
        <v>17-1</v>
      </c>
      <c r="B5519" s="3" t="s">
        <v>25</v>
      </c>
      <c r="C5519" s="12" t="s">
        <v>5549</v>
      </c>
      <c r="D5519" s="13">
        <v>64149.0</v>
      </c>
      <c r="E5519" s="4">
        <v>45804.0</v>
      </c>
      <c r="F5519" s="4" t="str">
        <f>IF(D5519="","", IFNA(VLOOKUP(D5519, SATCAT_DECAY!A:B, 2, FALSE), ""))
</f>
        <v/>
      </c>
      <c r="G5519" s="3" t="str">
        <f t="shared" si="1"/>
        <v>ACTIVE</v>
      </c>
    </row>
    <row r="5520" ht="22.5" customHeight="1">
      <c r="A5520" s="11" t="str">
        <f t="array" ref="A5520">IFERROR(
  INDEX('Starlink Launches'!$A:$A, MATCH($E5520, 'Starlink Launches'!$B:$B, 0)),
  ""
)
</f>
        <v>17-1</v>
      </c>
      <c r="B5520" s="3" t="s">
        <v>25</v>
      </c>
      <c r="C5520" s="12" t="s">
        <v>5550</v>
      </c>
      <c r="D5520" s="13">
        <v>64150.0</v>
      </c>
      <c r="E5520" s="4">
        <v>45804.0</v>
      </c>
      <c r="F5520" s="4" t="str">
        <f>IF(D5520="","", IFNA(VLOOKUP(D5520, SATCAT_DECAY!A:B, 2, FALSE), ""))
</f>
        <v/>
      </c>
      <c r="G5520" s="3" t="str">
        <f t="shared" si="1"/>
        <v>ACTIVE</v>
      </c>
    </row>
    <row r="5521" ht="22.5" customHeight="1">
      <c r="A5521" s="11" t="str">
        <f t="array" ref="A5521">IFERROR(
  INDEX('Starlink Launches'!$A:$A, MATCH($E5521, 'Starlink Launches'!$B:$B, 0)),
  ""
)
</f>
        <v>17-1</v>
      </c>
      <c r="B5521" s="3" t="s">
        <v>25</v>
      </c>
      <c r="C5521" s="12" t="s">
        <v>5551</v>
      </c>
      <c r="D5521" s="13">
        <v>64151.0</v>
      </c>
      <c r="E5521" s="4">
        <v>45804.0</v>
      </c>
      <c r="F5521" s="4" t="str">
        <f>IF(D5521="","", IFNA(VLOOKUP(D5521, SATCAT_DECAY!A:B, 2, FALSE), ""))
</f>
        <v/>
      </c>
      <c r="G5521" s="3" t="str">
        <f t="shared" si="1"/>
        <v>ACTIVE</v>
      </c>
    </row>
    <row r="5522" ht="22.5" customHeight="1">
      <c r="A5522" s="11" t="str">
        <f t="array" ref="A5522">IFERROR(
  INDEX('Starlink Launches'!$A:$A, MATCH($E5522, 'Starlink Launches'!$B:$B, 0)),
  ""
)
</f>
        <v>17-1</v>
      </c>
      <c r="B5522" s="3" t="s">
        <v>25</v>
      </c>
      <c r="C5522" s="12" t="s">
        <v>5552</v>
      </c>
      <c r="D5522" s="13">
        <v>64152.0</v>
      </c>
      <c r="E5522" s="4">
        <v>45804.0</v>
      </c>
      <c r="F5522" s="4" t="str">
        <f>IF(D5522="","", IFNA(VLOOKUP(D5522, SATCAT_DECAY!A:B, 2, FALSE), ""))
</f>
        <v/>
      </c>
      <c r="G5522" s="3" t="str">
        <f t="shared" si="1"/>
        <v>ACTIVE</v>
      </c>
    </row>
    <row r="5523" ht="22.5" customHeight="1">
      <c r="A5523" s="11" t="str">
        <f t="array" ref="A5523">IFERROR(
  INDEX('Starlink Launches'!$A:$A, MATCH($E5523, 'Starlink Launches'!$B:$B, 0)),
  ""
)
</f>
        <v>17-1</v>
      </c>
      <c r="B5523" s="3" t="s">
        <v>25</v>
      </c>
      <c r="C5523" s="12" t="s">
        <v>5553</v>
      </c>
      <c r="D5523" s="13">
        <v>64153.0</v>
      </c>
      <c r="E5523" s="4">
        <v>45804.0</v>
      </c>
      <c r="F5523" s="4" t="str">
        <f>IF(D5523="","", IFNA(VLOOKUP(D5523, SATCAT_DECAY!A:B, 2, FALSE), ""))
</f>
        <v/>
      </c>
      <c r="G5523" s="3" t="str">
        <f t="shared" si="1"/>
        <v>ACTIVE</v>
      </c>
    </row>
    <row r="5524" ht="22.5" customHeight="1">
      <c r="A5524" s="11" t="str">
        <f t="array" ref="A5524">IFERROR(
  INDEX('Starlink Launches'!$A:$A, MATCH($E5524, 'Starlink Launches'!$B:$B, 0)),
  ""
)
</f>
        <v>17-1</v>
      </c>
      <c r="B5524" s="3" t="s">
        <v>25</v>
      </c>
      <c r="C5524" s="12" t="s">
        <v>5554</v>
      </c>
      <c r="D5524" s="13">
        <v>64154.0</v>
      </c>
      <c r="E5524" s="4">
        <v>45804.0</v>
      </c>
      <c r="F5524" s="4" t="str">
        <f>IF(D5524="","", IFNA(VLOOKUP(D5524, SATCAT_DECAY!A:B, 2, FALSE), ""))
</f>
        <v/>
      </c>
      <c r="G5524" s="3" t="str">
        <f t="shared" si="1"/>
        <v>ACTIVE</v>
      </c>
    </row>
    <row r="5525" ht="22.5" customHeight="1">
      <c r="A5525" s="11" t="str">
        <f t="array" ref="A5525">IFERROR(
  INDEX('Starlink Launches'!$A:$A, MATCH($E5525, 'Starlink Launches'!$B:$B, 0)),
  ""
)
</f>
        <v>17-1</v>
      </c>
      <c r="B5525" s="3" t="s">
        <v>25</v>
      </c>
      <c r="C5525" s="12" t="s">
        <v>5555</v>
      </c>
      <c r="D5525" s="13">
        <v>64155.0</v>
      </c>
      <c r="E5525" s="4">
        <v>45804.0</v>
      </c>
      <c r="F5525" s="4" t="str">
        <f>IF(D5525="","", IFNA(VLOOKUP(D5525, SATCAT_DECAY!A:B, 2, FALSE), ""))
</f>
        <v/>
      </c>
      <c r="G5525" s="3" t="str">
        <f t="shared" si="1"/>
        <v>ACTIVE</v>
      </c>
    </row>
    <row r="5526" ht="22.5" customHeight="1">
      <c r="A5526" s="11" t="str">
        <f t="array" ref="A5526">IFERROR(
  INDEX('Starlink Launches'!$A:$A, MATCH($E5526, 'Starlink Launches'!$B:$B, 0)),
  ""
)
</f>
        <v>17-1</v>
      </c>
      <c r="B5526" s="3" t="s">
        <v>25</v>
      </c>
      <c r="C5526" s="12" t="s">
        <v>5556</v>
      </c>
      <c r="D5526" s="13">
        <v>64156.0</v>
      </c>
      <c r="E5526" s="4">
        <v>45804.0</v>
      </c>
      <c r="F5526" s="4" t="str">
        <f>IF(D5526="","", IFNA(VLOOKUP(D5526, SATCAT_DECAY!A:B, 2, FALSE), ""))
</f>
        <v/>
      </c>
      <c r="G5526" s="3" t="str">
        <f t="shared" si="1"/>
        <v>ACTIVE</v>
      </c>
    </row>
    <row r="5527" ht="22.5" customHeight="1">
      <c r="A5527" s="11" t="str">
        <f t="array" ref="A5527">IFERROR(
  INDEX('Starlink Launches'!$A:$A, MATCH($E5527, 'Starlink Launches'!$B:$B, 0)),
  ""
)
</f>
        <v>17-1</v>
      </c>
      <c r="B5527" s="3" t="s">
        <v>25</v>
      </c>
      <c r="C5527" s="12" t="s">
        <v>5557</v>
      </c>
      <c r="D5527" s="13">
        <v>64157.0</v>
      </c>
      <c r="E5527" s="4">
        <v>45804.0</v>
      </c>
      <c r="F5527" s="4" t="str">
        <f>IF(D5527="","", IFNA(VLOOKUP(D5527, SATCAT_DECAY!A:B, 2, FALSE), ""))
</f>
        <v/>
      </c>
      <c r="G5527" s="3" t="str">
        <f t="shared" si="1"/>
        <v>ACTIVE</v>
      </c>
    </row>
    <row r="5528" ht="22.5" customHeight="1">
      <c r="A5528" s="11" t="str">
        <f t="array" ref="A5528">IFERROR(
  INDEX('Starlink Launches'!$A:$A, MATCH($E5528, 'Starlink Launches'!$B:$B, 0)),
  ""
)
</f>
        <v>17-1</v>
      </c>
      <c r="B5528" s="3" t="s">
        <v>25</v>
      </c>
      <c r="C5528" s="12" t="s">
        <v>5558</v>
      </c>
      <c r="D5528" s="13">
        <v>64158.0</v>
      </c>
      <c r="E5528" s="4">
        <v>45804.0</v>
      </c>
      <c r="F5528" s="4" t="str">
        <f>IF(D5528="","", IFNA(VLOOKUP(D5528, SATCAT_DECAY!A:B, 2, FALSE), ""))
</f>
        <v/>
      </c>
      <c r="G5528" s="3" t="str">
        <f t="shared" si="1"/>
        <v>ACTIVE</v>
      </c>
    </row>
    <row r="5529" ht="22.5" customHeight="1">
      <c r="A5529" s="11" t="str">
        <f t="array" ref="A5529">IFERROR(
  INDEX('Starlink Launches'!$A:$A, MATCH($E5529, 'Starlink Launches'!$B:$B, 0)),
  ""
)
</f>
        <v>17-1</v>
      </c>
      <c r="B5529" s="3" t="s">
        <v>25</v>
      </c>
      <c r="C5529" s="12" t="s">
        <v>5559</v>
      </c>
      <c r="D5529" s="13">
        <v>64159.0</v>
      </c>
      <c r="E5529" s="4">
        <v>45804.0</v>
      </c>
      <c r="F5529" s="4" t="str">
        <f>IF(D5529="","", IFNA(VLOOKUP(D5529, SATCAT_DECAY!A:B, 2, FALSE), ""))
</f>
        <v/>
      </c>
      <c r="G5529" s="3" t="str">
        <f t="shared" si="1"/>
        <v>ACTIVE</v>
      </c>
    </row>
    <row r="5530" ht="22.5" customHeight="1">
      <c r="A5530" s="11" t="str">
        <f t="array" ref="A5530">IFERROR(
  INDEX('Starlink Launches'!$A:$A, MATCH($E5530, 'Starlink Launches'!$B:$B, 0)),
  ""
)
</f>
        <v>17-1</v>
      </c>
      <c r="B5530" s="3" t="s">
        <v>25</v>
      </c>
      <c r="C5530" s="12" t="s">
        <v>5560</v>
      </c>
      <c r="D5530" s="13">
        <v>64160.0</v>
      </c>
      <c r="E5530" s="4">
        <v>45804.0</v>
      </c>
      <c r="F5530" s="4" t="str">
        <f>IF(D5530="","", IFNA(VLOOKUP(D5530, SATCAT_DECAY!A:B, 2, FALSE), ""))
</f>
        <v/>
      </c>
      <c r="G5530" s="3" t="str">
        <f t="shared" si="1"/>
        <v>ACTIVE</v>
      </c>
    </row>
    <row r="5531" ht="22.5" customHeight="1">
      <c r="A5531" s="11" t="str">
        <f t="array" ref="A5531">IFERROR(
  INDEX('Starlink Launches'!$A:$A, MATCH($E5531, 'Starlink Launches'!$B:$B, 0)),
  ""
)
</f>
        <v>17-1</v>
      </c>
      <c r="B5531" s="3" t="s">
        <v>25</v>
      </c>
      <c r="C5531" s="12" t="s">
        <v>5561</v>
      </c>
      <c r="D5531" s="13">
        <v>64161.0</v>
      </c>
      <c r="E5531" s="4">
        <v>45804.0</v>
      </c>
      <c r="F5531" s="4" t="str">
        <f>IF(D5531="","", IFNA(VLOOKUP(D5531, SATCAT_DECAY!A:B, 2, FALSE), ""))
</f>
        <v/>
      </c>
      <c r="G5531" s="3" t="str">
        <f t="shared" si="1"/>
        <v>ACTIVE</v>
      </c>
    </row>
    <row r="5532" ht="22.5" customHeight="1">
      <c r="A5532" s="11" t="str">
        <f t="array" ref="A5532">IFERROR(
  INDEX('Starlink Launches'!$A:$A, MATCH($E5532, 'Starlink Launches'!$B:$B, 0)),
  ""
)
</f>
        <v>17-1</v>
      </c>
      <c r="B5532" s="3" t="s">
        <v>25</v>
      </c>
      <c r="C5532" s="12" t="s">
        <v>5562</v>
      </c>
      <c r="D5532" s="13">
        <v>64162.0</v>
      </c>
      <c r="E5532" s="4">
        <v>45804.0</v>
      </c>
      <c r="F5532" s="4" t="str">
        <f>IF(D5532="","", IFNA(VLOOKUP(D5532, SATCAT_DECAY!A:B, 2, FALSE), ""))
</f>
        <v/>
      </c>
      <c r="G5532" s="3" t="str">
        <f t="shared" si="1"/>
        <v>ACTIVE</v>
      </c>
    </row>
    <row r="5533" ht="22.5" customHeight="1">
      <c r="A5533" s="11" t="str">
        <f t="array" ref="A5533">IFERROR(
  INDEX('Starlink Launches'!$A:$A, MATCH($E5533, 'Starlink Launches'!$B:$B, 0)),
  ""
)
</f>
        <v>17-1</v>
      </c>
      <c r="B5533" s="3" t="s">
        <v>25</v>
      </c>
      <c r="C5533" s="12" t="s">
        <v>5563</v>
      </c>
      <c r="D5533" s="13">
        <v>64163.0</v>
      </c>
      <c r="E5533" s="4">
        <v>45804.0</v>
      </c>
      <c r="F5533" s="4" t="str">
        <f>IF(D5533="","", IFNA(VLOOKUP(D5533, SATCAT_DECAY!A:B, 2, FALSE), ""))
</f>
        <v/>
      </c>
      <c r="G5533" s="3" t="str">
        <f t="shared" si="1"/>
        <v>ACTIVE</v>
      </c>
    </row>
    <row r="5534" ht="22.5" customHeight="1">
      <c r="A5534" s="11" t="str">
        <f t="array" ref="A5534">IFERROR(
  INDEX('Starlink Launches'!$A:$A, MATCH($E5534, 'Starlink Launches'!$B:$B, 0)),
  ""
)
</f>
        <v>17-1</v>
      </c>
      <c r="B5534" s="3" t="s">
        <v>25</v>
      </c>
      <c r="C5534" s="12" t="s">
        <v>5564</v>
      </c>
      <c r="D5534" s="13">
        <v>64164.0</v>
      </c>
      <c r="E5534" s="4">
        <v>45804.0</v>
      </c>
      <c r="F5534" s="4" t="str">
        <f>IF(D5534="","", IFNA(VLOOKUP(D5534, SATCAT_DECAY!A:B, 2, FALSE), ""))
</f>
        <v/>
      </c>
      <c r="G5534" s="3" t="str">
        <f t="shared" si="1"/>
        <v>ACTIVE</v>
      </c>
    </row>
    <row r="5535" ht="22.5" customHeight="1">
      <c r="A5535" s="11" t="str">
        <f t="array" ref="A5535">IFERROR(
  INDEX('Starlink Launches'!$A:$A, MATCH($E5535, 'Starlink Launches'!$B:$B, 0)),
  ""
)
</f>
        <v>17-1</v>
      </c>
      <c r="B5535" s="3" t="s">
        <v>25</v>
      </c>
      <c r="C5535" s="12" t="s">
        <v>5565</v>
      </c>
      <c r="D5535" s="13">
        <v>64165.0</v>
      </c>
      <c r="E5535" s="4">
        <v>45804.0</v>
      </c>
      <c r="F5535" s="4" t="str">
        <f>IF(D5535="","", IFNA(VLOOKUP(D5535, SATCAT_DECAY!A:B, 2, FALSE), ""))
</f>
        <v/>
      </c>
      <c r="G5535" s="3" t="str">
        <f t="shared" si="1"/>
        <v>ACTIVE</v>
      </c>
    </row>
    <row r="5536" ht="22.5" customHeight="1">
      <c r="A5536" s="11" t="str">
        <f t="array" ref="A5536">IFERROR(
  INDEX('Starlink Launches'!$A:$A, MATCH($E5536, 'Starlink Launches'!$B:$B, 0)),
  ""
)
</f>
        <v>17-1</v>
      </c>
      <c r="B5536" s="3" t="s">
        <v>25</v>
      </c>
      <c r="C5536" s="12" t="s">
        <v>5566</v>
      </c>
      <c r="D5536" s="13">
        <v>64166.0</v>
      </c>
      <c r="E5536" s="4">
        <v>45804.0</v>
      </c>
      <c r="F5536" s="4" t="str">
        <f>IF(D5536="","", IFNA(VLOOKUP(D5536, SATCAT_DECAY!A:B, 2, FALSE), ""))
</f>
        <v/>
      </c>
      <c r="G5536" s="3" t="str">
        <f t="shared" si="1"/>
        <v>ACTIVE</v>
      </c>
    </row>
    <row r="5537" ht="22.5" customHeight="1">
      <c r="A5537" s="11" t="str">
        <f t="array" ref="A5537">IFERROR(
  INDEX('Starlink Launches'!$A:$A, MATCH($E5537, 'Starlink Launches'!$B:$B, 0)),
  ""
)
</f>
        <v>17-1</v>
      </c>
      <c r="B5537" s="3" t="s">
        <v>25</v>
      </c>
      <c r="C5537" s="12" t="s">
        <v>5567</v>
      </c>
      <c r="D5537" s="13">
        <v>64167.0</v>
      </c>
      <c r="E5537" s="4">
        <v>45804.0</v>
      </c>
      <c r="F5537" s="4" t="str">
        <f>IF(D5537="","", IFNA(VLOOKUP(D5537, SATCAT_DECAY!A:B, 2, FALSE), ""))
</f>
        <v/>
      </c>
      <c r="G5537" s="3" t="str">
        <f t="shared" si="1"/>
        <v>ACTIVE</v>
      </c>
    </row>
    <row r="5538" ht="22.5" customHeight="1">
      <c r="A5538" s="11" t="str">
        <f t="array" ref="A5538">IFERROR(
  INDEX('Starlink Launches'!$A:$A, MATCH($E5538, 'Starlink Launches'!$B:$B, 0)),
  ""
)
</f>
        <v>17-1</v>
      </c>
      <c r="B5538" s="3" t="s">
        <v>25</v>
      </c>
      <c r="C5538" s="12" t="s">
        <v>5568</v>
      </c>
      <c r="D5538" s="13">
        <v>64168.0</v>
      </c>
      <c r="E5538" s="4">
        <v>45804.0</v>
      </c>
      <c r="F5538" s="4" t="str">
        <f>IF(D5538="","", IFNA(VLOOKUP(D5538, SATCAT_DECAY!A:B, 2, FALSE), ""))
</f>
        <v/>
      </c>
      <c r="G5538" s="3" t="str">
        <f t="shared" si="1"/>
        <v>ACTIVE</v>
      </c>
    </row>
    <row r="5539" ht="22.5" customHeight="1">
      <c r="A5539" s="11" t="str">
        <f t="array" ref="A5539">IFERROR(
  INDEX('Starlink Launches'!$A:$A, MATCH($E5539, 'Starlink Launches'!$B:$B, 0)),
  ""
)
</f>
        <v>17-1</v>
      </c>
      <c r="B5539" s="3" t="s">
        <v>25</v>
      </c>
      <c r="C5539" s="12" t="s">
        <v>5569</v>
      </c>
      <c r="D5539" s="13">
        <v>64169.0</v>
      </c>
      <c r="E5539" s="4">
        <v>45804.0</v>
      </c>
      <c r="F5539" s="4" t="str">
        <f>IF(D5539="","", IFNA(VLOOKUP(D5539, SATCAT_DECAY!A:B, 2, FALSE), ""))
</f>
        <v/>
      </c>
      <c r="G5539" s="3" t="str">
        <f t="shared" si="1"/>
        <v>ACTIVE</v>
      </c>
    </row>
    <row r="5540" ht="22.5" customHeight="1">
      <c r="A5540" s="11" t="str">
        <f t="array" ref="A5540">IFERROR(
  INDEX('Starlink Launches'!$A:$A, MATCH($E5540, 'Starlink Launches'!$B:$B, 0)),
  ""
)
</f>
        <v>17-3</v>
      </c>
      <c r="B5540" s="3" t="s">
        <v>25</v>
      </c>
      <c r="C5540" s="12" t="s">
        <v>5570</v>
      </c>
      <c r="D5540" s="13">
        <v>64842.0</v>
      </c>
      <c r="E5540" s="4">
        <v>45857.0</v>
      </c>
      <c r="F5540" s="4" t="str">
        <f>IF(D5540="","", IFNA(VLOOKUP(D5540, SATCAT_DECAY!A:B, 2, FALSE), ""))
</f>
        <v/>
      </c>
      <c r="G5540" s="3" t="str">
        <f t="shared" si="1"/>
        <v>ACTIVE</v>
      </c>
    </row>
    <row r="5541" ht="22.5" customHeight="1">
      <c r="A5541" s="11" t="str">
        <f t="array" ref="A5541">IFERROR(
  INDEX('Starlink Launches'!$A:$A, MATCH($E5541, 'Starlink Launches'!$B:$B, 0)),
  ""
)
</f>
        <v>17-3</v>
      </c>
      <c r="B5541" s="3" t="s">
        <v>25</v>
      </c>
      <c r="C5541" s="12" t="s">
        <v>5571</v>
      </c>
      <c r="D5541" s="13">
        <v>64843.0</v>
      </c>
      <c r="E5541" s="4">
        <v>45857.0</v>
      </c>
      <c r="F5541" s="4" t="str">
        <f>IF(D5541="","", IFNA(VLOOKUP(D5541, SATCAT_DECAY!A:B, 2, FALSE), ""))
</f>
        <v/>
      </c>
      <c r="G5541" s="3" t="str">
        <f t="shared" si="1"/>
        <v>ACTIVE</v>
      </c>
    </row>
    <row r="5542" ht="22.5" customHeight="1">
      <c r="A5542" s="11" t="str">
        <f t="array" ref="A5542">IFERROR(
  INDEX('Starlink Launches'!$A:$A, MATCH($E5542, 'Starlink Launches'!$B:$B, 0)),
  ""
)
</f>
        <v>17-3</v>
      </c>
      <c r="B5542" s="3" t="s">
        <v>25</v>
      </c>
      <c r="C5542" s="12" t="s">
        <v>5572</v>
      </c>
      <c r="D5542" s="13">
        <v>64844.0</v>
      </c>
      <c r="E5542" s="4">
        <v>45857.0</v>
      </c>
      <c r="F5542" s="4" t="str">
        <f>IF(D5542="","", IFNA(VLOOKUP(D5542, SATCAT_DECAY!A:B, 2, FALSE), ""))
</f>
        <v/>
      </c>
      <c r="G5542" s="3" t="str">
        <f t="shared" si="1"/>
        <v>ACTIVE</v>
      </c>
    </row>
    <row r="5543" ht="22.5" customHeight="1">
      <c r="A5543" s="11" t="str">
        <f t="array" ref="A5543">IFERROR(
  INDEX('Starlink Launches'!$A:$A, MATCH($E5543, 'Starlink Launches'!$B:$B, 0)),
  ""
)
</f>
        <v>17-3</v>
      </c>
      <c r="B5543" s="3" t="s">
        <v>25</v>
      </c>
      <c r="C5543" s="12" t="s">
        <v>5573</v>
      </c>
      <c r="D5543" s="13">
        <v>64845.0</v>
      </c>
      <c r="E5543" s="4">
        <v>45857.0</v>
      </c>
      <c r="F5543" s="4" t="str">
        <f>IF(D5543="","", IFNA(VLOOKUP(D5543, SATCAT_DECAY!A:B, 2, FALSE), ""))
</f>
        <v/>
      </c>
      <c r="G5543" s="3" t="str">
        <f t="shared" si="1"/>
        <v>ACTIVE</v>
      </c>
    </row>
    <row r="5544" ht="22.5" customHeight="1">
      <c r="A5544" s="11" t="str">
        <f t="array" ref="A5544">IFERROR(
  INDEX('Starlink Launches'!$A:$A, MATCH($E5544, 'Starlink Launches'!$B:$B, 0)),
  ""
)
</f>
        <v>17-3</v>
      </c>
      <c r="B5544" s="3" t="s">
        <v>25</v>
      </c>
      <c r="C5544" s="12" t="s">
        <v>5574</v>
      </c>
      <c r="D5544" s="13">
        <v>64846.0</v>
      </c>
      <c r="E5544" s="4">
        <v>45857.0</v>
      </c>
      <c r="F5544" s="4" t="str">
        <f>IF(D5544="","", IFNA(VLOOKUP(D5544, SATCAT_DECAY!A:B, 2, FALSE), ""))
</f>
        <v/>
      </c>
      <c r="G5544" s="3" t="str">
        <f t="shared" si="1"/>
        <v>ACTIVE</v>
      </c>
    </row>
    <row r="5545" ht="22.5" customHeight="1">
      <c r="A5545" s="11" t="str">
        <f t="array" ref="A5545">IFERROR(
  INDEX('Starlink Launches'!$A:$A, MATCH($E5545, 'Starlink Launches'!$B:$B, 0)),
  ""
)
</f>
        <v>17-3</v>
      </c>
      <c r="B5545" s="3" t="s">
        <v>25</v>
      </c>
      <c r="C5545" s="12" t="s">
        <v>5575</v>
      </c>
      <c r="D5545" s="13">
        <v>64847.0</v>
      </c>
      <c r="E5545" s="4">
        <v>45857.0</v>
      </c>
      <c r="F5545" s="4" t="str">
        <f>IF(D5545="","", IFNA(VLOOKUP(D5545, SATCAT_DECAY!A:B, 2, FALSE), ""))
</f>
        <v/>
      </c>
      <c r="G5545" s="3" t="str">
        <f t="shared" si="1"/>
        <v>ACTIVE</v>
      </c>
    </row>
    <row r="5546" ht="22.5" customHeight="1">
      <c r="A5546" s="11" t="str">
        <f t="array" ref="A5546">IFERROR(
  INDEX('Starlink Launches'!$A:$A, MATCH($E5546, 'Starlink Launches'!$B:$B, 0)),
  ""
)
</f>
        <v>17-3</v>
      </c>
      <c r="B5546" s="3" t="s">
        <v>25</v>
      </c>
      <c r="C5546" s="12" t="s">
        <v>5576</v>
      </c>
      <c r="D5546" s="13">
        <v>64848.0</v>
      </c>
      <c r="E5546" s="4">
        <v>45857.0</v>
      </c>
      <c r="F5546" s="4" t="str">
        <f>IF(D5546="","", IFNA(VLOOKUP(D5546, SATCAT_DECAY!A:B, 2, FALSE), ""))
</f>
        <v/>
      </c>
      <c r="G5546" s="3" t="str">
        <f t="shared" si="1"/>
        <v>ACTIVE</v>
      </c>
    </row>
    <row r="5547" ht="22.5" customHeight="1">
      <c r="A5547" s="11" t="str">
        <f t="array" ref="A5547">IFERROR(
  INDEX('Starlink Launches'!$A:$A, MATCH($E5547, 'Starlink Launches'!$B:$B, 0)),
  ""
)
</f>
        <v>17-3</v>
      </c>
      <c r="B5547" s="3" t="s">
        <v>25</v>
      </c>
      <c r="C5547" s="12" t="s">
        <v>5577</v>
      </c>
      <c r="D5547" s="13">
        <v>64849.0</v>
      </c>
      <c r="E5547" s="4">
        <v>45857.0</v>
      </c>
      <c r="F5547" s="4" t="str">
        <f>IF(D5547="","", IFNA(VLOOKUP(D5547, SATCAT_DECAY!A:B, 2, FALSE), ""))
</f>
        <v/>
      </c>
      <c r="G5547" s="3" t="str">
        <f t="shared" si="1"/>
        <v>ACTIVE</v>
      </c>
    </row>
    <row r="5548" ht="22.5" customHeight="1">
      <c r="A5548" s="11" t="str">
        <f t="array" ref="A5548">IFERROR(
  INDEX('Starlink Launches'!$A:$A, MATCH($E5548, 'Starlink Launches'!$B:$B, 0)),
  ""
)
</f>
        <v>17-3</v>
      </c>
      <c r="B5548" s="3" t="s">
        <v>25</v>
      </c>
      <c r="C5548" s="12" t="s">
        <v>5578</v>
      </c>
      <c r="D5548" s="13">
        <v>64850.0</v>
      </c>
      <c r="E5548" s="4">
        <v>45857.0</v>
      </c>
      <c r="F5548" s="4" t="str">
        <f>IF(D5548="","", IFNA(VLOOKUP(D5548, SATCAT_DECAY!A:B, 2, FALSE), ""))
</f>
        <v/>
      </c>
      <c r="G5548" s="3" t="str">
        <f t="shared" si="1"/>
        <v>ACTIVE</v>
      </c>
    </row>
    <row r="5549" ht="22.5" customHeight="1">
      <c r="A5549" s="11" t="str">
        <f t="array" ref="A5549">IFERROR(
  INDEX('Starlink Launches'!$A:$A, MATCH($E5549, 'Starlink Launches'!$B:$B, 0)),
  ""
)
</f>
        <v>17-3</v>
      </c>
      <c r="B5549" s="3" t="s">
        <v>25</v>
      </c>
      <c r="C5549" s="12" t="s">
        <v>5579</v>
      </c>
      <c r="D5549" s="13">
        <v>64851.0</v>
      </c>
      <c r="E5549" s="4">
        <v>45857.0</v>
      </c>
      <c r="F5549" s="4" t="str">
        <f>IF(D5549="","", IFNA(VLOOKUP(D5549, SATCAT_DECAY!A:B, 2, FALSE), ""))
</f>
        <v/>
      </c>
      <c r="G5549" s="3" t="str">
        <f t="shared" si="1"/>
        <v>ACTIVE</v>
      </c>
    </row>
    <row r="5550" ht="22.5" customHeight="1">
      <c r="A5550" s="11" t="str">
        <f t="array" ref="A5550">IFERROR(
  INDEX('Starlink Launches'!$A:$A, MATCH($E5550, 'Starlink Launches'!$B:$B, 0)),
  ""
)
</f>
        <v>17-3</v>
      </c>
      <c r="B5550" s="3" t="s">
        <v>25</v>
      </c>
      <c r="C5550" s="12" t="s">
        <v>5580</v>
      </c>
      <c r="D5550" s="13">
        <v>64852.0</v>
      </c>
      <c r="E5550" s="4">
        <v>45857.0</v>
      </c>
      <c r="F5550" s="4" t="str">
        <f>IF(D5550="","", IFNA(VLOOKUP(D5550, SATCAT_DECAY!A:B, 2, FALSE), ""))
</f>
        <v/>
      </c>
      <c r="G5550" s="3" t="str">
        <f t="shared" si="1"/>
        <v>ACTIVE</v>
      </c>
    </row>
    <row r="5551" ht="22.5" customHeight="1">
      <c r="A5551" s="11" t="str">
        <f t="array" ref="A5551">IFERROR(
  INDEX('Starlink Launches'!$A:$A, MATCH($E5551, 'Starlink Launches'!$B:$B, 0)),
  ""
)
</f>
        <v>17-3</v>
      </c>
      <c r="B5551" s="3" t="s">
        <v>25</v>
      </c>
      <c r="C5551" s="12" t="s">
        <v>5581</v>
      </c>
      <c r="D5551" s="13">
        <v>64853.0</v>
      </c>
      <c r="E5551" s="4">
        <v>45857.0</v>
      </c>
      <c r="F5551" s="4" t="str">
        <f>IF(D5551="","", IFNA(VLOOKUP(D5551, SATCAT_DECAY!A:B, 2, FALSE), ""))
</f>
        <v/>
      </c>
      <c r="G5551" s="3" t="str">
        <f t="shared" si="1"/>
        <v>ACTIVE</v>
      </c>
    </row>
    <row r="5552" ht="22.5" customHeight="1">
      <c r="A5552" s="11" t="str">
        <f t="array" ref="A5552">IFERROR(
  INDEX('Starlink Launches'!$A:$A, MATCH($E5552, 'Starlink Launches'!$B:$B, 0)),
  ""
)
</f>
        <v>17-3</v>
      </c>
      <c r="B5552" s="3" t="s">
        <v>25</v>
      </c>
      <c r="C5552" s="12" t="s">
        <v>5582</v>
      </c>
      <c r="D5552" s="13">
        <v>64854.0</v>
      </c>
      <c r="E5552" s="4">
        <v>45857.0</v>
      </c>
      <c r="F5552" s="4" t="str">
        <f>IF(D5552="","", IFNA(VLOOKUP(D5552, SATCAT_DECAY!A:B, 2, FALSE), ""))
</f>
        <v/>
      </c>
      <c r="G5552" s="3" t="str">
        <f t="shared" si="1"/>
        <v>ACTIVE</v>
      </c>
    </row>
    <row r="5553" ht="22.5" customHeight="1">
      <c r="A5553" s="11" t="str">
        <f t="array" ref="A5553">IFERROR(
  INDEX('Starlink Launches'!$A:$A, MATCH($E5553, 'Starlink Launches'!$B:$B, 0)),
  ""
)
</f>
        <v>17-3</v>
      </c>
      <c r="B5553" s="3" t="s">
        <v>25</v>
      </c>
      <c r="C5553" s="12" t="s">
        <v>5583</v>
      </c>
      <c r="D5553" s="13">
        <v>64855.0</v>
      </c>
      <c r="E5553" s="4">
        <v>45857.0</v>
      </c>
      <c r="F5553" s="4" t="str">
        <f>IF(D5553="","", IFNA(VLOOKUP(D5553, SATCAT_DECAY!A:B, 2, FALSE), ""))
</f>
        <v/>
      </c>
      <c r="G5553" s="3" t="str">
        <f t="shared" si="1"/>
        <v>ACTIVE</v>
      </c>
    </row>
    <row r="5554" ht="22.5" customHeight="1">
      <c r="A5554" s="11" t="str">
        <f t="array" ref="A5554">IFERROR(
  INDEX('Starlink Launches'!$A:$A, MATCH($E5554, 'Starlink Launches'!$B:$B, 0)),
  ""
)
</f>
        <v>17-3</v>
      </c>
      <c r="B5554" s="3" t="s">
        <v>25</v>
      </c>
      <c r="C5554" s="12" t="s">
        <v>5584</v>
      </c>
      <c r="D5554" s="13">
        <v>64856.0</v>
      </c>
      <c r="E5554" s="4">
        <v>45857.0</v>
      </c>
      <c r="F5554" s="4" t="str">
        <f>IF(D5554="","", IFNA(VLOOKUP(D5554, SATCAT_DECAY!A:B, 2, FALSE), ""))
</f>
        <v/>
      </c>
      <c r="G5554" s="3" t="str">
        <f t="shared" si="1"/>
        <v>ACTIVE</v>
      </c>
    </row>
    <row r="5555" ht="22.5" customHeight="1">
      <c r="A5555" s="11" t="str">
        <f t="array" ref="A5555">IFERROR(
  INDEX('Starlink Launches'!$A:$A, MATCH($E5555, 'Starlink Launches'!$B:$B, 0)),
  ""
)
</f>
        <v>17-3</v>
      </c>
      <c r="B5555" s="3" t="s">
        <v>25</v>
      </c>
      <c r="C5555" s="12" t="s">
        <v>5585</v>
      </c>
      <c r="D5555" s="13">
        <v>64857.0</v>
      </c>
      <c r="E5555" s="4">
        <v>45857.0</v>
      </c>
      <c r="F5555" s="4" t="str">
        <f>IF(D5555="","", IFNA(VLOOKUP(D5555, SATCAT_DECAY!A:B, 2, FALSE), ""))
</f>
        <v/>
      </c>
      <c r="G5555" s="3" t="str">
        <f t="shared" si="1"/>
        <v>ACTIVE</v>
      </c>
    </row>
    <row r="5556" ht="22.5" customHeight="1">
      <c r="A5556" s="11" t="str">
        <f t="array" ref="A5556">IFERROR(
  INDEX('Starlink Launches'!$A:$A, MATCH($E5556, 'Starlink Launches'!$B:$B, 0)),
  ""
)
</f>
        <v>17-3</v>
      </c>
      <c r="B5556" s="3" t="s">
        <v>25</v>
      </c>
      <c r="C5556" s="12" t="s">
        <v>5586</v>
      </c>
      <c r="D5556" s="13">
        <v>64858.0</v>
      </c>
      <c r="E5556" s="4">
        <v>45857.0</v>
      </c>
      <c r="F5556" s="4" t="str">
        <f>IF(D5556="","", IFNA(VLOOKUP(D5556, SATCAT_DECAY!A:B, 2, FALSE), ""))
</f>
        <v/>
      </c>
      <c r="G5556" s="3" t="str">
        <f t="shared" si="1"/>
        <v>ACTIVE</v>
      </c>
    </row>
    <row r="5557" ht="22.5" customHeight="1">
      <c r="A5557" s="11" t="str">
        <f t="array" ref="A5557">IFERROR(
  INDEX('Starlink Launches'!$A:$A, MATCH($E5557, 'Starlink Launches'!$B:$B, 0)),
  ""
)
</f>
        <v>17-3</v>
      </c>
      <c r="B5557" s="3" t="s">
        <v>25</v>
      </c>
      <c r="C5557" s="12" t="s">
        <v>5587</v>
      </c>
      <c r="D5557" s="13">
        <v>64859.0</v>
      </c>
      <c r="E5557" s="4">
        <v>45857.0</v>
      </c>
      <c r="F5557" s="4" t="str">
        <f>IF(D5557="","", IFNA(VLOOKUP(D5557, SATCAT_DECAY!A:B, 2, FALSE), ""))
</f>
        <v/>
      </c>
      <c r="G5557" s="3" t="str">
        <f t="shared" si="1"/>
        <v>ACTIVE</v>
      </c>
    </row>
    <row r="5558" ht="22.5" customHeight="1">
      <c r="A5558" s="11" t="str">
        <f t="array" ref="A5558">IFERROR(
  INDEX('Starlink Launches'!$A:$A, MATCH($E5558, 'Starlink Launches'!$B:$B, 0)),
  ""
)
</f>
        <v>17-3</v>
      </c>
      <c r="B5558" s="3" t="s">
        <v>25</v>
      </c>
      <c r="C5558" s="12" t="s">
        <v>5588</v>
      </c>
      <c r="D5558" s="13">
        <v>64860.0</v>
      </c>
      <c r="E5558" s="4">
        <v>45857.0</v>
      </c>
      <c r="F5558" s="4" t="str">
        <f>IF(D5558="","", IFNA(VLOOKUP(D5558, SATCAT_DECAY!A:B, 2, FALSE), ""))
</f>
        <v/>
      </c>
      <c r="G5558" s="3" t="str">
        <f t="shared" si="1"/>
        <v>ACTIVE</v>
      </c>
    </row>
    <row r="5559" ht="22.5" customHeight="1">
      <c r="A5559" s="11" t="str">
        <f t="array" ref="A5559">IFERROR(
  INDEX('Starlink Launches'!$A:$A, MATCH($E5559, 'Starlink Launches'!$B:$B, 0)),
  ""
)
</f>
        <v>17-3</v>
      </c>
      <c r="B5559" s="3" t="s">
        <v>25</v>
      </c>
      <c r="C5559" s="12" t="s">
        <v>5589</v>
      </c>
      <c r="D5559" s="13">
        <v>64861.0</v>
      </c>
      <c r="E5559" s="4">
        <v>45857.0</v>
      </c>
      <c r="F5559" s="4" t="str">
        <f>IF(D5559="","", IFNA(VLOOKUP(D5559, SATCAT_DECAY!A:B, 2, FALSE), ""))
</f>
        <v/>
      </c>
      <c r="G5559" s="3" t="str">
        <f t="shared" si="1"/>
        <v>ACTIVE</v>
      </c>
    </row>
    <row r="5560" ht="22.5" customHeight="1">
      <c r="A5560" s="11" t="str">
        <f t="array" ref="A5560">IFERROR(
  INDEX('Starlink Launches'!$A:$A, MATCH($E5560, 'Starlink Launches'!$B:$B, 0)),
  ""
)
</f>
        <v>17-3</v>
      </c>
      <c r="B5560" s="3" t="s">
        <v>25</v>
      </c>
      <c r="C5560" s="12" t="s">
        <v>5590</v>
      </c>
      <c r="D5560" s="13">
        <v>64862.0</v>
      </c>
      <c r="E5560" s="4">
        <v>45857.0</v>
      </c>
      <c r="F5560" s="4" t="str">
        <f>IF(D5560="","", IFNA(VLOOKUP(D5560, SATCAT_DECAY!A:B, 2, FALSE), ""))
</f>
        <v/>
      </c>
      <c r="G5560" s="3" t="str">
        <f t="shared" si="1"/>
        <v>ACTIVE</v>
      </c>
    </row>
    <row r="5561" ht="22.5" customHeight="1">
      <c r="A5561" s="11" t="str">
        <f t="array" ref="A5561">IFERROR(
  INDEX('Starlink Launches'!$A:$A, MATCH($E5561, 'Starlink Launches'!$B:$B, 0)),
  ""
)
</f>
        <v>17-3</v>
      </c>
      <c r="B5561" s="3" t="s">
        <v>25</v>
      </c>
      <c r="C5561" s="12" t="s">
        <v>5591</v>
      </c>
      <c r="D5561" s="13">
        <v>64863.0</v>
      </c>
      <c r="E5561" s="4">
        <v>45857.0</v>
      </c>
      <c r="F5561" s="4" t="str">
        <f>IF(D5561="","", IFNA(VLOOKUP(D5561, SATCAT_DECAY!A:B, 2, FALSE), ""))
</f>
        <v/>
      </c>
      <c r="G5561" s="3" t="str">
        <f t="shared" si="1"/>
        <v>ACTIVE</v>
      </c>
    </row>
    <row r="5562" ht="22.5" customHeight="1">
      <c r="A5562" s="11" t="str">
        <f t="array" ref="A5562">IFERROR(
  INDEX('Starlink Launches'!$A:$A, MATCH($E5562, 'Starlink Launches'!$B:$B, 0)),
  ""
)
</f>
        <v>17-3</v>
      </c>
      <c r="B5562" s="3" t="s">
        <v>25</v>
      </c>
      <c r="C5562" s="12" t="s">
        <v>5592</v>
      </c>
      <c r="D5562" s="13">
        <v>64864.0</v>
      </c>
      <c r="E5562" s="4">
        <v>45857.0</v>
      </c>
      <c r="F5562" s="4" t="str">
        <f>IF(D5562="","", IFNA(VLOOKUP(D5562, SATCAT_DECAY!A:B, 2, FALSE), ""))
</f>
        <v/>
      </c>
      <c r="G5562" s="3" t="str">
        <f t="shared" si="1"/>
        <v>ACTIVE</v>
      </c>
    </row>
    <row r="5563" ht="22.5" customHeight="1">
      <c r="A5563" s="11" t="str">
        <f t="array" ref="A5563">IFERROR(
  INDEX('Starlink Launches'!$A:$A, MATCH($E5563, 'Starlink Launches'!$B:$B, 0)),
  ""
)
</f>
        <v>17-3</v>
      </c>
      <c r="B5563" s="3" t="s">
        <v>25</v>
      </c>
      <c r="C5563" s="12" t="s">
        <v>5593</v>
      </c>
      <c r="D5563" s="13">
        <v>64865.0</v>
      </c>
      <c r="E5563" s="4">
        <v>45857.0</v>
      </c>
      <c r="F5563" s="4" t="str">
        <f>IF(D5563="","", IFNA(VLOOKUP(D5563, SATCAT_DECAY!A:B, 2, FALSE), ""))
</f>
        <v/>
      </c>
      <c r="G5563" s="3" t="str">
        <f t="shared" si="1"/>
        <v>ACTIVE</v>
      </c>
    </row>
    <row r="5564" ht="22.5" customHeight="1">
      <c r="A5564" s="11" t="str">
        <f t="array" ref="A5564">IFERROR(
  INDEX('Starlink Launches'!$A:$A, MATCH($E5564, 'Starlink Launches'!$B:$B, 0)),
  ""
)
</f>
        <v>17-2</v>
      </c>
      <c r="B5564" s="3" t="s">
        <v>25</v>
      </c>
      <c r="C5564" s="12" t="s">
        <v>5594</v>
      </c>
      <c r="D5564" s="13">
        <v>64932.0</v>
      </c>
      <c r="E5564" s="4">
        <v>45865.0</v>
      </c>
      <c r="F5564" s="4" t="str">
        <f>IF(D5564="","", IFNA(VLOOKUP(D5564, SATCAT_DECAY!A:B, 2, FALSE), ""))
</f>
        <v/>
      </c>
      <c r="G5564" s="3" t="str">
        <f t="shared" si="1"/>
        <v>ACTIVE</v>
      </c>
    </row>
    <row r="5565" ht="22.5" customHeight="1">
      <c r="A5565" s="11" t="str">
        <f t="array" ref="A5565">IFERROR(
  INDEX('Starlink Launches'!$A:$A, MATCH($E5565, 'Starlink Launches'!$B:$B, 0)),
  ""
)
</f>
        <v>17-2</v>
      </c>
      <c r="B5565" s="3" t="s">
        <v>25</v>
      </c>
      <c r="C5565" s="12" t="s">
        <v>5595</v>
      </c>
      <c r="D5565" s="13">
        <v>64933.0</v>
      </c>
      <c r="E5565" s="4">
        <v>45865.0</v>
      </c>
      <c r="F5565" s="4" t="str">
        <f>IF(D5565="","", IFNA(VLOOKUP(D5565, SATCAT_DECAY!A:B, 2, FALSE), ""))
</f>
        <v/>
      </c>
      <c r="G5565" s="3" t="str">
        <f t="shared" si="1"/>
        <v>ACTIVE</v>
      </c>
    </row>
    <row r="5566" ht="22.5" customHeight="1">
      <c r="A5566" s="11" t="str">
        <f t="array" ref="A5566">IFERROR(
  INDEX('Starlink Launches'!$A:$A, MATCH($E5566, 'Starlink Launches'!$B:$B, 0)),
  ""
)
</f>
        <v>17-2</v>
      </c>
      <c r="B5566" s="3" t="s">
        <v>25</v>
      </c>
      <c r="C5566" s="12" t="s">
        <v>5596</v>
      </c>
      <c r="D5566" s="13">
        <v>64934.0</v>
      </c>
      <c r="E5566" s="4">
        <v>45865.0</v>
      </c>
      <c r="F5566" s="4" t="str">
        <f>IF(D5566="","", IFNA(VLOOKUP(D5566, SATCAT_DECAY!A:B, 2, FALSE), ""))
</f>
        <v/>
      </c>
      <c r="G5566" s="3" t="str">
        <f t="shared" si="1"/>
        <v>ACTIVE</v>
      </c>
    </row>
    <row r="5567" ht="22.5" customHeight="1">
      <c r="A5567" s="11" t="str">
        <f t="array" ref="A5567">IFERROR(
  INDEX('Starlink Launches'!$A:$A, MATCH($E5567, 'Starlink Launches'!$B:$B, 0)),
  ""
)
</f>
        <v>17-2</v>
      </c>
      <c r="B5567" s="3" t="s">
        <v>25</v>
      </c>
      <c r="C5567" s="12" t="s">
        <v>5597</v>
      </c>
      <c r="D5567" s="13">
        <v>64935.0</v>
      </c>
      <c r="E5567" s="4">
        <v>45865.0</v>
      </c>
      <c r="F5567" s="4" t="str">
        <f>IF(D5567="","", IFNA(VLOOKUP(D5567, SATCAT_DECAY!A:B, 2, FALSE), ""))
</f>
        <v/>
      </c>
      <c r="G5567" s="3" t="str">
        <f t="shared" si="1"/>
        <v>ACTIVE</v>
      </c>
    </row>
    <row r="5568" ht="22.5" customHeight="1">
      <c r="A5568" s="11" t="str">
        <f t="array" ref="A5568">IFERROR(
  INDEX('Starlink Launches'!$A:$A, MATCH($E5568, 'Starlink Launches'!$B:$B, 0)),
  ""
)
</f>
        <v>17-2</v>
      </c>
      <c r="B5568" s="3" t="s">
        <v>25</v>
      </c>
      <c r="C5568" s="12" t="s">
        <v>5598</v>
      </c>
      <c r="D5568" s="13">
        <v>64936.0</v>
      </c>
      <c r="E5568" s="4">
        <v>45865.0</v>
      </c>
      <c r="F5568" s="4" t="str">
        <f>IF(D5568="","", IFNA(VLOOKUP(D5568, SATCAT_DECAY!A:B, 2, FALSE), ""))
</f>
        <v/>
      </c>
      <c r="G5568" s="3" t="str">
        <f t="shared" si="1"/>
        <v>ACTIVE</v>
      </c>
    </row>
    <row r="5569" ht="22.5" customHeight="1">
      <c r="A5569" s="11" t="str">
        <f t="array" ref="A5569">IFERROR(
  INDEX('Starlink Launches'!$A:$A, MATCH($E5569, 'Starlink Launches'!$B:$B, 0)),
  ""
)
</f>
        <v>17-2</v>
      </c>
      <c r="B5569" s="3" t="s">
        <v>25</v>
      </c>
      <c r="C5569" s="12" t="s">
        <v>5599</v>
      </c>
      <c r="D5569" s="13">
        <v>64937.0</v>
      </c>
      <c r="E5569" s="4">
        <v>45865.0</v>
      </c>
      <c r="F5569" s="4" t="str">
        <f>IF(D5569="","", IFNA(VLOOKUP(D5569, SATCAT_DECAY!A:B, 2, FALSE), ""))
</f>
        <v/>
      </c>
      <c r="G5569" s="3" t="str">
        <f t="shared" si="1"/>
        <v>ACTIVE</v>
      </c>
    </row>
    <row r="5570" ht="22.5" customHeight="1">
      <c r="A5570" s="11" t="str">
        <f t="array" ref="A5570">IFERROR(
  INDEX('Starlink Launches'!$A:$A, MATCH($E5570, 'Starlink Launches'!$B:$B, 0)),
  ""
)
</f>
        <v>17-2</v>
      </c>
      <c r="B5570" s="3" t="s">
        <v>25</v>
      </c>
      <c r="C5570" s="12" t="s">
        <v>5600</v>
      </c>
      <c r="D5570" s="13">
        <v>64938.0</v>
      </c>
      <c r="E5570" s="4">
        <v>45865.0</v>
      </c>
      <c r="F5570" s="4" t="str">
        <f>IF(D5570="","", IFNA(VLOOKUP(D5570, SATCAT_DECAY!A:B, 2, FALSE), ""))
</f>
        <v/>
      </c>
      <c r="G5570" s="3" t="str">
        <f t="shared" si="1"/>
        <v>ACTIVE</v>
      </c>
    </row>
    <row r="5571" ht="22.5" customHeight="1">
      <c r="A5571" s="11" t="str">
        <f t="array" ref="A5571">IFERROR(
  INDEX('Starlink Launches'!$A:$A, MATCH($E5571, 'Starlink Launches'!$B:$B, 0)),
  ""
)
</f>
        <v>17-2</v>
      </c>
      <c r="B5571" s="3" t="s">
        <v>25</v>
      </c>
      <c r="C5571" s="12" t="s">
        <v>5601</v>
      </c>
      <c r="D5571" s="13">
        <v>64939.0</v>
      </c>
      <c r="E5571" s="4">
        <v>45865.0</v>
      </c>
      <c r="F5571" s="4" t="str">
        <f>IF(D5571="","", IFNA(VLOOKUP(D5571, SATCAT_DECAY!A:B, 2, FALSE), ""))
</f>
        <v/>
      </c>
      <c r="G5571" s="3" t="str">
        <f t="shared" si="1"/>
        <v>ACTIVE</v>
      </c>
    </row>
    <row r="5572" ht="22.5" customHeight="1">
      <c r="A5572" s="11" t="str">
        <f t="array" ref="A5572">IFERROR(
  INDEX('Starlink Launches'!$A:$A, MATCH($E5572, 'Starlink Launches'!$B:$B, 0)),
  ""
)
</f>
        <v>17-2</v>
      </c>
      <c r="B5572" s="3" t="s">
        <v>25</v>
      </c>
      <c r="C5572" s="12" t="s">
        <v>5602</v>
      </c>
      <c r="D5572" s="13">
        <v>64940.0</v>
      </c>
      <c r="E5572" s="4">
        <v>45865.0</v>
      </c>
      <c r="F5572" s="4" t="str">
        <f>IF(D5572="","", IFNA(VLOOKUP(D5572, SATCAT_DECAY!A:B, 2, FALSE), ""))
</f>
        <v/>
      </c>
      <c r="G5572" s="3" t="str">
        <f t="shared" si="1"/>
        <v>ACTIVE</v>
      </c>
    </row>
    <row r="5573" ht="22.5" customHeight="1">
      <c r="A5573" s="11" t="str">
        <f t="array" ref="A5573">IFERROR(
  INDEX('Starlink Launches'!$A:$A, MATCH($E5573, 'Starlink Launches'!$B:$B, 0)),
  ""
)
</f>
        <v>17-2</v>
      </c>
      <c r="B5573" s="3" t="s">
        <v>25</v>
      </c>
      <c r="C5573" s="12" t="s">
        <v>5603</v>
      </c>
      <c r="D5573" s="13">
        <v>64941.0</v>
      </c>
      <c r="E5573" s="4">
        <v>45865.0</v>
      </c>
      <c r="F5573" s="4" t="str">
        <f>IF(D5573="","", IFNA(VLOOKUP(D5573, SATCAT_DECAY!A:B, 2, FALSE), ""))
</f>
        <v/>
      </c>
      <c r="G5573" s="3" t="str">
        <f t="shared" si="1"/>
        <v>ACTIVE</v>
      </c>
    </row>
    <row r="5574" ht="22.5" customHeight="1">
      <c r="A5574" s="11" t="str">
        <f t="array" ref="A5574">IFERROR(
  INDEX('Starlink Launches'!$A:$A, MATCH($E5574, 'Starlink Launches'!$B:$B, 0)),
  ""
)
</f>
        <v>17-2</v>
      </c>
      <c r="B5574" s="3" t="s">
        <v>25</v>
      </c>
      <c r="C5574" s="12" t="s">
        <v>5604</v>
      </c>
      <c r="D5574" s="13">
        <v>64942.0</v>
      </c>
      <c r="E5574" s="4">
        <v>45865.0</v>
      </c>
      <c r="F5574" s="4" t="str">
        <f>IF(D5574="","", IFNA(VLOOKUP(D5574, SATCAT_DECAY!A:B, 2, FALSE), ""))
</f>
        <v/>
      </c>
      <c r="G5574" s="3" t="str">
        <f t="shared" si="1"/>
        <v>ACTIVE</v>
      </c>
    </row>
    <row r="5575" ht="22.5" customHeight="1">
      <c r="A5575" s="11" t="str">
        <f t="array" ref="A5575">IFERROR(
  INDEX('Starlink Launches'!$A:$A, MATCH($E5575, 'Starlink Launches'!$B:$B, 0)),
  ""
)
</f>
        <v>17-2</v>
      </c>
      <c r="B5575" s="3" t="s">
        <v>25</v>
      </c>
      <c r="C5575" s="12" t="s">
        <v>5605</v>
      </c>
      <c r="D5575" s="13">
        <v>64943.0</v>
      </c>
      <c r="E5575" s="4">
        <v>45865.0</v>
      </c>
      <c r="F5575" s="4" t="str">
        <f>IF(D5575="","", IFNA(VLOOKUP(D5575, SATCAT_DECAY!A:B, 2, FALSE), ""))
</f>
        <v/>
      </c>
      <c r="G5575" s="3" t="str">
        <f t="shared" si="1"/>
        <v>ACTIVE</v>
      </c>
    </row>
    <row r="5576" ht="22.5" customHeight="1">
      <c r="A5576" s="11" t="str">
        <f t="array" ref="A5576">IFERROR(
  INDEX('Starlink Launches'!$A:$A, MATCH($E5576, 'Starlink Launches'!$B:$B, 0)),
  ""
)
</f>
        <v>17-2</v>
      </c>
      <c r="B5576" s="3" t="s">
        <v>25</v>
      </c>
      <c r="C5576" s="12" t="s">
        <v>5606</v>
      </c>
      <c r="D5576" s="13">
        <v>64944.0</v>
      </c>
      <c r="E5576" s="4">
        <v>45865.0</v>
      </c>
      <c r="F5576" s="4" t="str">
        <f>IF(D5576="","", IFNA(VLOOKUP(D5576, SATCAT_DECAY!A:B, 2, FALSE), ""))
</f>
        <v/>
      </c>
      <c r="G5576" s="3" t="str">
        <f t="shared" si="1"/>
        <v>ACTIVE</v>
      </c>
    </row>
    <row r="5577" ht="22.5" customHeight="1">
      <c r="A5577" s="11" t="str">
        <f t="array" ref="A5577">IFERROR(
  INDEX('Starlink Launches'!$A:$A, MATCH($E5577, 'Starlink Launches'!$B:$B, 0)),
  ""
)
</f>
        <v>17-2</v>
      </c>
      <c r="B5577" s="3" t="s">
        <v>25</v>
      </c>
      <c r="C5577" s="12" t="s">
        <v>5607</v>
      </c>
      <c r="D5577" s="13">
        <v>64945.0</v>
      </c>
      <c r="E5577" s="4">
        <v>45865.0</v>
      </c>
      <c r="F5577" s="4" t="str">
        <f>IF(D5577="","", IFNA(VLOOKUP(D5577, SATCAT_DECAY!A:B, 2, FALSE), ""))
</f>
        <v/>
      </c>
      <c r="G5577" s="3" t="str">
        <f t="shared" si="1"/>
        <v>ACTIVE</v>
      </c>
    </row>
    <row r="5578" ht="22.5" customHeight="1">
      <c r="A5578" s="11" t="str">
        <f t="array" ref="A5578">IFERROR(
  INDEX('Starlink Launches'!$A:$A, MATCH($E5578, 'Starlink Launches'!$B:$B, 0)),
  ""
)
</f>
        <v>17-2</v>
      </c>
      <c r="B5578" s="3" t="s">
        <v>25</v>
      </c>
      <c r="C5578" s="12" t="s">
        <v>5608</v>
      </c>
      <c r="D5578" s="13">
        <v>64946.0</v>
      </c>
      <c r="E5578" s="4">
        <v>45865.0</v>
      </c>
      <c r="F5578" s="4" t="str">
        <f>IF(D5578="","", IFNA(VLOOKUP(D5578, SATCAT_DECAY!A:B, 2, FALSE), ""))
</f>
        <v/>
      </c>
      <c r="G5578" s="3" t="str">
        <f t="shared" si="1"/>
        <v>ACTIVE</v>
      </c>
    </row>
    <row r="5579" ht="22.5" customHeight="1">
      <c r="A5579" s="11" t="str">
        <f t="array" ref="A5579">IFERROR(
  INDEX('Starlink Launches'!$A:$A, MATCH($E5579, 'Starlink Launches'!$B:$B, 0)),
  ""
)
</f>
        <v>17-2</v>
      </c>
      <c r="B5579" s="3" t="s">
        <v>25</v>
      </c>
      <c r="C5579" s="12" t="s">
        <v>5609</v>
      </c>
      <c r="D5579" s="13">
        <v>64947.0</v>
      </c>
      <c r="E5579" s="4">
        <v>45865.0</v>
      </c>
      <c r="F5579" s="4" t="str">
        <f>IF(D5579="","", IFNA(VLOOKUP(D5579, SATCAT_DECAY!A:B, 2, FALSE), ""))
</f>
        <v/>
      </c>
      <c r="G5579" s="3" t="str">
        <f t="shared" si="1"/>
        <v>ACTIVE</v>
      </c>
    </row>
    <row r="5580" ht="22.5" customHeight="1">
      <c r="A5580" s="11" t="str">
        <f t="array" ref="A5580">IFERROR(
  INDEX('Starlink Launches'!$A:$A, MATCH($E5580, 'Starlink Launches'!$B:$B, 0)),
  ""
)
</f>
        <v>17-2</v>
      </c>
      <c r="B5580" s="3" t="s">
        <v>25</v>
      </c>
      <c r="C5580" s="12" t="s">
        <v>5610</v>
      </c>
      <c r="D5580" s="13">
        <v>64948.0</v>
      </c>
      <c r="E5580" s="4">
        <v>45865.0</v>
      </c>
      <c r="F5580" s="4" t="str">
        <f>IF(D5580="","", IFNA(VLOOKUP(D5580, SATCAT_DECAY!A:B, 2, FALSE), ""))
</f>
        <v/>
      </c>
      <c r="G5580" s="3" t="str">
        <f t="shared" si="1"/>
        <v>ACTIVE</v>
      </c>
    </row>
    <row r="5581" ht="22.5" customHeight="1">
      <c r="A5581" s="11" t="str">
        <f t="array" ref="A5581">IFERROR(
  INDEX('Starlink Launches'!$A:$A, MATCH($E5581, 'Starlink Launches'!$B:$B, 0)),
  ""
)
</f>
        <v>17-2</v>
      </c>
      <c r="B5581" s="3" t="s">
        <v>25</v>
      </c>
      <c r="C5581" s="12" t="s">
        <v>5611</v>
      </c>
      <c r="D5581" s="13">
        <v>64949.0</v>
      </c>
      <c r="E5581" s="4">
        <v>45865.0</v>
      </c>
      <c r="F5581" s="4" t="str">
        <f>IF(D5581="","", IFNA(VLOOKUP(D5581, SATCAT_DECAY!A:B, 2, FALSE), ""))
</f>
        <v/>
      </c>
      <c r="G5581" s="3" t="str">
        <f t="shared" si="1"/>
        <v>ACTIVE</v>
      </c>
    </row>
    <row r="5582" ht="22.5" customHeight="1">
      <c r="A5582" s="11" t="str">
        <f t="array" ref="A5582">IFERROR(
  INDEX('Starlink Launches'!$A:$A, MATCH($E5582, 'Starlink Launches'!$B:$B, 0)),
  ""
)
</f>
        <v>17-2</v>
      </c>
      <c r="B5582" s="3" t="s">
        <v>25</v>
      </c>
      <c r="C5582" s="12" t="s">
        <v>5612</v>
      </c>
      <c r="D5582" s="13">
        <v>64950.0</v>
      </c>
      <c r="E5582" s="4">
        <v>45865.0</v>
      </c>
      <c r="F5582" s="4" t="str">
        <f>IF(D5582="","", IFNA(VLOOKUP(D5582, SATCAT_DECAY!A:B, 2, FALSE), ""))
</f>
        <v/>
      </c>
      <c r="G5582" s="3" t="str">
        <f t="shared" si="1"/>
        <v>ACTIVE</v>
      </c>
    </row>
    <row r="5583" ht="22.5" customHeight="1">
      <c r="A5583" s="11" t="str">
        <f t="array" ref="A5583">IFERROR(
  INDEX('Starlink Launches'!$A:$A, MATCH($E5583, 'Starlink Launches'!$B:$B, 0)),
  ""
)
</f>
        <v>17-2</v>
      </c>
      <c r="B5583" s="3" t="s">
        <v>25</v>
      </c>
      <c r="C5583" s="12" t="s">
        <v>5613</v>
      </c>
      <c r="D5583" s="13">
        <v>64951.0</v>
      </c>
      <c r="E5583" s="4">
        <v>45865.0</v>
      </c>
      <c r="F5583" s="4" t="str">
        <f>IF(D5583="","", IFNA(VLOOKUP(D5583, SATCAT_DECAY!A:B, 2, FALSE), ""))
</f>
        <v/>
      </c>
      <c r="G5583" s="3" t="str">
        <f t="shared" si="1"/>
        <v>ACTIVE</v>
      </c>
    </row>
    <row r="5584" ht="22.5" customHeight="1">
      <c r="A5584" s="11" t="str">
        <f t="array" ref="A5584">IFERROR(
  INDEX('Starlink Launches'!$A:$A, MATCH($E5584, 'Starlink Launches'!$B:$B, 0)),
  ""
)
</f>
        <v>17-2</v>
      </c>
      <c r="B5584" s="3" t="s">
        <v>25</v>
      </c>
      <c r="C5584" s="12" t="s">
        <v>5614</v>
      </c>
      <c r="D5584" s="13">
        <v>64952.0</v>
      </c>
      <c r="E5584" s="4">
        <v>45865.0</v>
      </c>
      <c r="F5584" s="4" t="str">
        <f>IF(D5584="","", IFNA(VLOOKUP(D5584, SATCAT_DECAY!A:B, 2, FALSE), ""))
</f>
        <v/>
      </c>
      <c r="G5584" s="3" t="str">
        <f t="shared" si="1"/>
        <v>ACTIVE</v>
      </c>
    </row>
    <row r="5585" ht="22.5" customHeight="1">
      <c r="A5585" s="11" t="str">
        <f t="array" ref="A5585">IFERROR(
  INDEX('Starlink Launches'!$A:$A, MATCH($E5585, 'Starlink Launches'!$B:$B, 0)),
  ""
)
</f>
        <v>17-2</v>
      </c>
      <c r="B5585" s="3" t="s">
        <v>25</v>
      </c>
      <c r="C5585" s="12" t="s">
        <v>5615</v>
      </c>
      <c r="D5585" s="13">
        <v>64953.0</v>
      </c>
      <c r="E5585" s="4">
        <v>45865.0</v>
      </c>
      <c r="F5585" s="4" t="str">
        <f>IF(D5585="","", IFNA(VLOOKUP(D5585, SATCAT_DECAY!A:B, 2, FALSE), ""))
</f>
        <v/>
      </c>
      <c r="G5585" s="3" t="str">
        <f t="shared" si="1"/>
        <v>ACTIVE</v>
      </c>
    </row>
    <row r="5586" ht="22.5" customHeight="1">
      <c r="A5586" s="11" t="str">
        <f t="array" ref="A5586">IFERROR(
  INDEX('Starlink Launches'!$A:$A, MATCH($E5586, 'Starlink Launches'!$B:$B, 0)),
  ""
)
</f>
        <v>17-2</v>
      </c>
      <c r="B5586" s="3" t="s">
        <v>25</v>
      </c>
      <c r="C5586" s="12" t="s">
        <v>5616</v>
      </c>
      <c r="D5586" s="13">
        <v>64954.0</v>
      </c>
      <c r="E5586" s="4">
        <v>45865.0</v>
      </c>
      <c r="F5586" s="4" t="str">
        <f>IF(D5586="","", IFNA(VLOOKUP(D5586, SATCAT_DECAY!A:B, 2, FALSE), ""))
</f>
        <v/>
      </c>
      <c r="G5586" s="3" t="str">
        <f t="shared" si="1"/>
        <v>ACTIVE</v>
      </c>
    </row>
    <row r="5587" ht="22.5" customHeight="1">
      <c r="A5587" s="11" t="str">
        <f t="array" ref="A5587">IFERROR(
  INDEX('Starlink Launches'!$A:$A, MATCH($E5587, 'Starlink Launches'!$B:$B, 0)),
  ""
)
</f>
        <v>17-2</v>
      </c>
      <c r="B5587" s="3" t="s">
        <v>25</v>
      </c>
      <c r="C5587" s="12" t="s">
        <v>5617</v>
      </c>
      <c r="D5587" s="13">
        <v>64955.0</v>
      </c>
      <c r="E5587" s="4">
        <v>45865.0</v>
      </c>
      <c r="F5587" s="4" t="str">
        <f>IF(D5587="","", IFNA(VLOOKUP(D5587, SATCAT_DECAY!A:B, 2, FALSE), ""))
</f>
        <v/>
      </c>
      <c r="G5587" s="3" t="str">
        <f t="shared" si="1"/>
        <v>ACTIVE</v>
      </c>
    </row>
    <row r="5588" ht="22.5" customHeight="1">
      <c r="A5588" s="3" t="s">
        <v>5618</v>
      </c>
      <c r="B5588" s="3" t="s">
        <v>25</v>
      </c>
      <c r="C5588" s="12" t="s">
        <v>5619</v>
      </c>
      <c r="D5588" s="13">
        <v>65174.0</v>
      </c>
      <c r="E5588" s="4">
        <v>45883.0</v>
      </c>
      <c r="F5588" s="4" t="str">
        <f>IF(D5588="","", IFNA(VLOOKUP(D5588, SATCAT_DECAY!A:B, 2, FALSE), ""))
</f>
        <v/>
      </c>
      <c r="G5588" s="3" t="str">
        <f t="shared" si="1"/>
        <v>ACTIVE</v>
      </c>
    </row>
    <row r="5589" ht="22.5" customHeight="1">
      <c r="A5589" s="3" t="s">
        <v>5618</v>
      </c>
      <c r="B5589" s="3" t="s">
        <v>25</v>
      </c>
      <c r="C5589" s="12" t="s">
        <v>5620</v>
      </c>
      <c r="D5589" s="13">
        <v>65175.0</v>
      </c>
      <c r="E5589" s="4">
        <v>45883.0</v>
      </c>
      <c r="F5589" s="4" t="str">
        <f>IF(D5589="","", IFNA(VLOOKUP(D5589, SATCAT_DECAY!A:B, 2, FALSE), ""))
</f>
        <v/>
      </c>
      <c r="G5589" s="3" t="str">
        <f t="shared" si="1"/>
        <v>ACTIVE</v>
      </c>
    </row>
    <row r="5590" ht="22.5" customHeight="1">
      <c r="A5590" s="3" t="s">
        <v>5618</v>
      </c>
      <c r="B5590" s="3" t="s">
        <v>25</v>
      </c>
      <c r="C5590" s="12" t="s">
        <v>5621</v>
      </c>
      <c r="D5590" s="13">
        <v>65176.0</v>
      </c>
      <c r="E5590" s="4">
        <v>45883.0</v>
      </c>
      <c r="F5590" s="4" t="str">
        <f>IF(D5590="","", IFNA(VLOOKUP(D5590, SATCAT_DECAY!A:B, 2, FALSE), ""))
</f>
        <v/>
      </c>
      <c r="G5590" s="3" t="str">
        <f t="shared" si="1"/>
        <v>ACTIVE</v>
      </c>
    </row>
    <row r="5591" ht="22.5" customHeight="1">
      <c r="A5591" s="3" t="s">
        <v>5618</v>
      </c>
      <c r="B5591" s="3" t="s">
        <v>25</v>
      </c>
      <c r="C5591" s="12" t="s">
        <v>5622</v>
      </c>
      <c r="D5591" s="13">
        <v>65177.0</v>
      </c>
      <c r="E5591" s="4">
        <v>45883.0</v>
      </c>
      <c r="F5591" s="4" t="str">
        <f>IF(D5591="","", IFNA(VLOOKUP(D5591, SATCAT_DECAY!A:B, 2, FALSE), ""))
</f>
        <v/>
      </c>
      <c r="G5591" s="3" t="str">
        <f t="shared" si="1"/>
        <v>ACTIVE</v>
      </c>
    </row>
    <row r="5592" ht="22.5" customHeight="1">
      <c r="A5592" s="3" t="s">
        <v>5618</v>
      </c>
      <c r="B5592" s="3" t="s">
        <v>25</v>
      </c>
      <c r="C5592" s="12" t="s">
        <v>5623</v>
      </c>
      <c r="D5592" s="13">
        <v>65178.0</v>
      </c>
      <c r="E5592" s="4">
        <v>45883.0</v>
      </c>
      <c r="F5592" s="4" t="str">
        <f>IF(D5592="","", IFNA(VLOOKUP(D5592, SATCAT_DECAY!A:B, 2, FALSE), ""))
</f>
        <v/>
      </c>
      <c r="G5592" s="3" t="str">
        <f t="shared" si="1"/>
        <v>ACTIVE</v>
      </c>
    </row>
    <row r="5593" ht="22.5" customHeight="1">
      <c r="A5593" s="3" t="s">
        <v>5618</v>
      </c>
      <c r="B5593" s="3" t="s">
        <v>25</v>
      </c>
      <c r="C5593" s="12" t="s">
        <v>5624</v>
      </c>
      <c r="D5593" s="13">
        <v>65179.0</v>
      </c>
      <c r="E5593" s="4">
        <v>45883.0</v>
      </c>
      <c r="F5593" s="4" t="str">
        <f>IF(D5593="","", IFNA(VLOOKUP(D5593, SATCAT_DECAY!A:B, 2, FALSE), ""))
</f>
        <v/>
      </c>
      <c r="G5593" s="3" t="str">
        <f t="shared" si="1"/>
        <v>ACTIVE</v>
      </c>
    </row>
    <row r="5594" ht="22.5" customHeight="1">
      <c r="A5594" s="3" t="s">
        <v>5618</v>
      </c>
      <c r="B5594" s="3" t="s">
        <v>25</v>
      </c>
      <c r="C5594" s="12" t="s">
        <v>5625</v>
      </c>
      <c r="D5594" s="13">
        <v>65180.0</v>
      </c>
      <c r="E5594" s="4">
        <v>45883.0</v>
      </c>
      <c r="F5594" s="4" t="str">
        <f>IF(D5594="","", IFNA(VLOOKUP(D5594, SATCAT_DECAY!A:B, 2, FALSE), ""))
</f>
        <v/>
      </c>
      <c r="G5594" s="3" t="str">
        <f t="shared" si="1"/>
        <v>ACTIVE</v>
      </c>
    </row>
    <row r="5595" ht="22.5" customHeight="1">
      <c r="A5595" s="3" t="s">
        <v>5618</v>
      </c>
      <c r="B5595" s="3" t="s">
        <v>25</v>
      </c>
      <c r="C5595" s="12" t="s">
        <v>5626</v>
      </c>
      <c r="D5595" s="13">
        <v>65181.0</v>
      </c>
      <c r="E5595" s="4">
        <v>45883.0</v>
      </c>
      <c r="F5595" s="4" t="str">
        <f>IF(D5595="","", IFNA(VLOOKUP(D5595, SATCAT_DECAY!A:B, 2, FALSE), ""))
</f>
        <v/>
      </c>
      <c r="G5595" s="3" t="str">
        <f t="shared" si="1"/>
        <v>ACTIVE</v>
      </c>
    </row>
    <row r="5596" ht="22.5" customHeight="1">
      <c r="A5596" s="3" t="s">
        <v>5618</v>
      </c>
      <c r="B5596" s="3" t="s">
        <v>25</v>
      </c>
      <c r="C5596" s="12" t="s">
        <v>5627</v>
      </c>
      <c r="D5596" s="13">
        <v>65182.0</v>
      </c>
      <c r="E5596" s="4">
        <v>45883.0</v>
      </c>
      <c r="F5596" s="4" t="str">
        <f>IF(D5596="","", IFNA(VLOOKUP(D5596, SATCAT_DECAY!A:B, 2, FALSE), ""))
</f>
        <v/>
      </c>
      <c r="G5596" s="3" t="str">
        <f t="shared" si="1"/>
        <v>ACTIVE</v>
      </c>
    </row>
    <row r="5597" ht="22.5" customHeight="1">
      <c r="A5597" s="3" t="s">
        <v>5618</v>
      </c>
      <c r="B5597" s="3" t="s">
        <v>25</v>
      </c>
      <c r="C5597" s="12" t="s">
        <v>5628</v>
      </c>
      <c r="D5597" s="13">
        <v>65183.0</v>
      </c>
      <c r="E5597" s="4">
        <v>45883.0</v>
      </c>
      <c r="F5597" s="4" t="str">
        <f>IF(D5597="","", IFNA(VLOOKUP(D5597, SATCAT_DECAY!A:B, 2, FALSE), ""))
</f>
        <v/>
      </c>
      <c r="G5597" s="3" t="str">
        <f t="shared" si="1"/>
        <v>ACTIVE</v>
      </c>
    </row>
    <row r="5598" ht="22.5" customHeight="1">
      <c r="A5598" s="3" t="s">
        <v>5618</v>
      </c>
      <c r="B5598" s="3" t="s">
        <v>25</v>
      </c>
      <c r="C5598" s="12" t="s">
        <v>5629</v>
      </c>
      <c r="D5598" s="13">
        <v>65184.0</v>
      </c>
      <c r="E5598" s="4">
        <v>45883.0</v>
      </c>
      <c r="F5598" s="4" t="str">
        <f>IF(D5598="","", IFNA(VLOOKUP(D5598, SATCAT_DECAY!A:B, 2, FALSE), ""))
</f>
        <v/>
      </c>
      <c r="G5598" s="3" t="str">
        <f t="shared" si="1"/>
        <v>ACTIVE</v>
      </c>
    </row>
    <row r="5599" ht="22.5" customHeight="1">
      <c r="A5599" s="3" t="s">
        <v>5618</v>
      </c>
      <c r="B5599" s="3" t="s">
        <v>25</v>
      </c>
      <c r="C5599" s="12" t="s">
        <v>5630</v>
      </c>
      <c r="D5599" s="13">
        <v>65185.0</v>
      </c>
      <c r="E5599" s="4">
        <v>45883.0</v>
      </c>
      <c r="F5599" s="4" t="str">
        <f>IF(D5599="","", IFNA(VLOOKUP(D5599, SATCAT_DECAY!A:B, 2, FALSE), ""))
</f>
        <v/>
      </c>
      <c r="G5599" s="3" t="str">
        <f t="shared" si="1"/>
        <v>ACTIVE</v>
      </c>
    </row>
    <row r="5600" ht="22.5" customHeight="1">
      <c r="A5600" s="3" t="s">
        <v>5618</v>
      </c>
      <c r="B5600" s="3" t="s">
        <v>25</v>
      </c>
      <c r="C5600" s="12" t="s">
        <v>5631</v>
      </c>
      <c r="D5600" s="13">
        <v>65186.0</v>
      </c>
      <c r="E5600" s="4">
        <v>45883.0</v>
      </c>
      <c r="F5600" s="4" t="str">
        <f>IF(D5600="","", IFNA(VLOOKUP(D5600, SATCAT_DECAY!A:B, 2, FALSE), ""))
</f>
        <v/>
      </c>
      <c r="G5600" s="3" t="str">
        <f t="shared" si="1"/>
        <v>ACTIVE</v>
      </c>
    </row>
    <row r="5601" ht="22.5" customHeight="1">
      <c r="A5601" s="3" t="s">
        <v>5618</v>
      </c>
      <c r="B5601" s="3" t="s">
        <v>25</v>
      </c>
      <c r="C5601" s="12" t="s">
        <v>5632</v>
      </c>
      <c r="D5601" s="13">
        <v>65187.0</v>
      </c>
      <c r="E5601" s="4">
        <v>45883.0</v>
      </c>
      <c r="F5601" s="4" t="str">
        <f>IF(D5601="","", IFNA(VLOOKUP(D5601, SATCAT_DECAY!A:B, 2, FALSE), ""))
</f>
        <v/>
      </c>
      <c r="G5601" s="3" t="str">
        <f t="shared" si="1"/>
        <v>ACTIVE</v>
      </c>
    </row>
    <row r="5602" ht="22.5" customHeight="1">
      <c r="A5602" s="3" t="s">
        <v>5618</v>
      </c>
      <c r="B5602" s="3" t="s">
        <v>25</v>
      </c>
      <c r="C5602" s="12" t="s">
        <v>5633</v>
      </c>
      <c r="D5602" s="13">
        <v>65188.0</v>
      </c>
      <c r="E5602" s="4">
        <v>45883.0</v>
      </c>
      <c r="F5602" s="4" t="str">
        <f>IF(D5602="","", IFNA(VLOOKUP(D5602, SATCAT_DECAY!A:B, 2, FALSE), ""))
</f>
        <v/>
      </c>
      <c r="G5602" s="3" t="str">
        <f t="shared" si="1"/>
        <v>ACTIVE</v>
      </c>
    </row>
    <row r="5603" ht="22.5" customHeight="1">
      <c r="A5603" s="3" t="s">
        <v>5618</v>
      </c>
      <c r="B5603" s="3" t="s">
        <v>25</v>
      </c>
      <c r="C5603" s="12" t="s">
        <v>5634</v>
      </c>
      <c r="D5603" s="13">
        <v>65189.0</v>
      </c>
      <c r="E5603" s="4">
        <v>45883.0</v>
      </c>
      <c r="F5603" s="4" t="str">
        <f>IF(D5603="","", IFNA(VLOOKUP(D5603, SATCAT_DECAY!A:B, 2, FALSE), ""))
</f>
        <v/>
      </c>
      <c r="G5603" s="3" t="str">
        <f t="shared" si="1"/>
        <v>ACTIVE</v>
      </c>
    </row>
    <row r="5604" ht="22.5" customHeight="1">
      <c r="A5604" s="3" t="s">
        <v>5618</v>
      </c>
      <c r="B5604" s="3" t="s">
        <v>25</v>
      </c>
      <c r="C5604" s="12" t="s">
        <v>5635</v>
      </c>
      <c r="D5604" s="13">
        <v>65190.0</v>
      </c>
      <c r="E5604" s="4">
        <v>45883.0</v>
      </c>
      <c r="F5604" s="4" t="str">
        <f>IF(D5604="","", IFNA(VLOOKUP(D5604, SATCAT_DECAY!A:B, 2, FALSE), ""))
</f>
        <v/>
      </c>
      <c r="G5604" s="3" t="str">
        <f t="shared" si="1"/>
        <v>ACTIVE</v>
      </c>
    </row>
    <row r="5605" ht="22.5" customHeight="1">
      <c r="A5605" s="3" t="s">
        <v>5618</v>
      </c>
      <c r="B5605" s="3" t="s">
        <v>25</v>
      </c>
      <c r="C5605" s="12" t="s">
        <v>5636</v>
      </c>
      <c r="D5605" s="13">
        <v>65191.0</v>
      </c>
      <c r="E5605" s="4">
        <v>45883.0</v>
      </c>
      <c r="F5605" s="4" t="str">
        <f>IF(D5605="","", IFNA(VLOOKUP(D5605, SATCAT_DECAY!A:B, 2, FALSE), ""))
</f>
        <v/>
      </c>
      <c r="G5605" s="3" t="str">
        <f t="shared" si="1"/>
        <v>ACTIVE</v>
      </c>
    </row>
    <row r="5606" ht="22.5" customHeight="1">
      <c r="A5606" s="3" t="s">
        <v>5618</v>
      </c>
      <c r="B5606" s="3" t="s">
        <v>25</v>
      </c>
      <c r="C5606" s="12" t="s">
        <v>5637</v>
      </c>
      <c r="D5606" s="13">
        <v>65192.0</v>
      </c>
      <c r="E5606" s="4">
        <v>45883.0</v>
      </c>
      <c r="F5606" s="4" t="str">
        <f>IF(D5606="","", IFNA(VLOOKUP(D5606, SATCAT_DECAY!A:B, 2, FALSE), ""))
</f>
        <v/>
      </c>
      <c r="G5606" s="3" t="str">
        <f t="shared" si="1"/>
        <v>ACTIVE</v>
      </c>
    </row>
    <row r="5607" ht="22.5" customHeight="1">
      <c r="A5607" s="3" t="s">
        <v>5618</v>
      </c>
      <c r="B5607" s="3" t="s">
        <v>25</v>
      </c>
      <c r="C5607" s="12" t="s">
        <v>5638</v>
      </c>
      <c r="D5607" s="13">
        <v>65193.0</v>
      </c>
      <c r="E5607" s="4">
        <v>45883.0</v>
      </c>
      <c r="F5607" s="4" t="str">
        <f>IF(D5607="","", IFNA(VLOOKUP(D5607, SATCAT_DECAY!A:B, 2, FALSE), ""))
</f>
        <v/>
      </c>
      <c r="G5607" s="3" t="str">
        <f t="shared" si="1"/>
        <v>ACTIVE</v>
      </c>
    </row>
    <row r="5608" ht="22.5" customHeight="1">
      <c r="A5608" s="3" t="s">
        <v>5618</v>
      </c>
      <c r="B5608" s="3" t="s">
        <v>25</v>
      </c>
      <c r="C5608" s="12" t="s">
        <v>5639</v>
      </c>
      <c r="D5608" s="13">
        <v>65194.0</v>
      </c>
      <c r="E5608" s="4">
        <v>45883.0</v>
      </c>
      <c r="F5608" s="4" t="str">
        <f>IF(D5608="","", IFNA(VLOOKUP(D5608, SATCAT_DECAY!A:B, 2, FALSE), ""))
</f>
        <v/>
      </c>
      <c r="G5608" s="3" t="str">
        <f t="shared" si="1"/>
        <v>ACTIVE</v>
      </c>
    </row>
    <row r="5609" ht="22.5" customHeight="1">
      <c r="A5609" s="3" t="s">
        <v>5618</v>
      </c>
      <c r="B5609" s="3" t="s">
        <v>25</v>
      </c>
      <c r="C5609" s="12" t="s">
        <v>5640</v>
      </c>
      <c r="D5609" s="13">
        <v>65195.0</v>
      </c>
      <c r="E5609" s="4">
        <v>45883.0</v>
      </c>
      <c r="F5609" s="4" t="str">
        <f>IF(D5609="","", IFNA(VLOOKUP(D5609, SATCAT_DECAY!A:B, 2, FALSE), ""))
</f>
        <v/>
      </c>
      <c r="G5609" s="3" t="str">
        <f t="shared" si="1"/>
        <v>ACTIVE</v>
      </c>
    </row>
    <row r="5610" ht="22.5" customHeight="1">
      <c r="A5610" s="3" t="s">
        <v>5618</v>
      </c>
      <c r="B5610" s="3" t="s">
        <v>25</v>
      </c>
      <c r="C5610" s="12" t="s">
        <v>5641</v>
      </c>
      <c r="D5610" s="13">
        <v>65196.0</v>
      </c>
      <c r="E5610" s="4">
        <v>45883.0</v>
      </c>
      <c r="F5610" s="4" t="str">
        <f>IF(D5610="","", IFNA(VLOOKUP(D5610, SATCAT_DECAY!A:B, 2, FALSE), ""))
</f>
        <v/>
      </c>
      <c r="G5610" s="3" t="str">
        <f t="shared" si="1"/>
        <v>ACTIVE</v>
      </c>
    </row>
    <row r="5611" ht="22.5" customHeight="1">
      <c r="A5611" s="3" t="s">
        <v>5618</v>
      </c>
      <c r="B5611" s="3" t="s">
        <v>25</v>
      </c>
      <c r="C5611" s="12" t="s">
        <v>5642</v>
      </c>
      <c r="D5611" s="13">
        <v>65197.0</v>
      </c>
      <c r="E5611" s="4">
        <v>45883.0</v>
      </c>
      <c r="F5611" s="4" t="str">
        <f>IF(D5611="","", IFNA(VLOOKUP(D5611, SATCAT_DECAY!A:B, 2, FALSE), ""))
</f>
        <v/>
      </c>
      <c r="G5611" s="3" t="str">
        <f t="shared" si="1"/>
        <v>ACTIVE</v>
      </c>
    </row>
    <row r="5612" ht="22.5" customHeight="1">
      <c r="A5612" s="11" t="str">
        <f t="array" ref="A5612">IFERROR(
  INDEX('Starlink Launches'!$A:$A, MATCH($E5612, 'Starlink Launches'!$B:$B, 0)),
  ""
)
</f>
        <v>17-5</v>
      </c>
      <c r="B5612" s="3" t="s">
        <v>25</v>
      </c>
      <c r="C5612" s="12" t="s">
        <v>5643</v>
      </c>
      <c r="D5612" s="13">
        <v>65235.0</v>
      </c>
      <c r="E5612" s="4">
        <v>45887.0</v>
      </c>
      <c r="F5612" s="4" t="str">
        <f>IF(D5612="","", IFNA(VLOOKUP(D5612, SATCAT_DECAY!A:B, 2, FALSE), ""))
</f>
        <v/>
      </c>
      <c r="G5612" s="3" t="str">
        <f t="shared" si="1"/>
        <v>ACTIVE</v>
      </c>
    </row>
    <row r="5613" ht="22.5" customHeight="1">
      <c r="A5613" s="11" t="str">
        <f t="array" ref="A5613">IFERROR(
  INDEX('Starlink Launches'!$A:$A, MATCH($E5613, 'Starlink Launches'!$B:$B, 0)),
  ""
)
</f>
        <v>17-5</v>
      </c>
      <c r="B5613" s="3" t="s">
        <v>25</v>
      </c>
      <c r="C5613" s="12" t="s">
        <v>5644</v>
      </c>
      <c r="D5613" s="13">
        <v>65236.0</v>
      </c>
      <c r="E5613" s="4">
        <v>45887.0</v>
      </c>
      <c r="F5613" s="4" t="str">
        <f>IF(D5613="","", IFNA(VLOOKUP(D5613, SATCAT_DECAY!A:B, 2, FALSE), ""))
</f>
        <v/>
      </c>
      <c r="G5613" s="3" t="str">
        <f t="shared" si="1"/>
        <v>ACTIVE</v>
      </c>
    </row>
    <row r="5614" ht="22.5" customHeight="1">
      <c r="A5614" s="11" t="str">
        <f t="array" ref="A5614">IFERROR(
  INDEX('Starlink Launches'!$A:$A, MATCH($E5614, 'Starlink Launches'!$B:$B, 0)),
  ""
)
</f>
        <v>17-5</v>
      </c>
      <c r="B5614" s="3" t="s">
        <v>25</v>
      </c>
      <c r="C5614" s="12" t="s">
        <v>5645</v>
      </c>
      <c r="D5614" s="13">
        <v>65237.0</v>
      </c>
      <c r="E5614" s="4">
        <v>45887.0</v>
      </c>
      <c r="F5614" s="4" t="str">
        <f>IF(D5614="","", IFNA(VLOOKUP(D5614, SATCAT_DECAY!A:B, 2, FALSE), ""))
</f>
        <v/>
      </c>
      <c r="G5614" s="3" t="str">
        <f t="shared" si="1"/>
        <v>ACTIVE</v>
      </c>
    </row>
    <row r="5615" ht="22.5" customHeight="1">
      <c r="A5615" s="11" t="str">
        <f t="array" ref="A5615">IFERROR(
  INDEX('Starlink Launches'!$A:$A, MATCH($E5615, 'Starlink Launches'!$B:$B, 0)),
  ""
)
</f>
        <v>17-5</v>
      </c>
      <c r="B5615" s="3" t="s">
        <v>25</v>
      </c>
      <c r="C5615" s="12" t="s">
        <v>5646</v>
      </c>
      <c r="D5615" s="13">
        <v>65238.0</v>
      </c>
      <c r="E5615" s="4">
        <v>45887.0</v>
      </c>
      <c r="F5615" s="4" t="str">
        <f>IF(D5615="","", IFNA(VLOOKUP(D5615, SATCAT_DECAY!A:B, 2, FALSE), ""))
</f>
        <v/>
      </c>
      <c r="G5615" s="3" t="str">
        <f t="shared" si="1"/>
        <v>ACTIVE</v>
      </c>
    </row>
    <row r="5616" ht="22.5" customHeight="1">
      <c r="A5616" s="11" t="str">
        <f t="array" ref="A5616">IFERROR(
  INDEX('Starlink Launches'!$A:$A, MATCH($E5616, 'Starlink Launches'!$B:$B, 0)),
  ""
)
</f>
        <v>17-5</v>
      </c>
      <c r="B5616" s="3" t="s">
        <v>25</v>
      </c>
      <c r="C5616" s="12" t="s">
        <v>5647</v>
      </c>
      <c r="D5616" s="13">
        <v>65239.0</v>
      </c>
      <c r="E5616" s="4">
        <v>45887.0</v>
      </c>
      <c r="F5616" s="4" t="str">
        <f>IF(D5616="","", IFNA(VLOOKUP(D5616, SATCAT_DECAY!A:B, 2, FALSE), ""))
</f>
        <v/>
      </c>
      <c r="G5616" s="3" t="str">
        <f t="shared" si="1"/>
        <v>ACTIVE</v>
      </c>
    </row>
    <row r="5617" ht="22.5" customHeight="1">
      <c r="A5617" s="11" t="str">
        <f t="array" ref="A5617">IFERROR(
  INDEX('Starlink Launches'!$A:$A, MATCH($E5617, 'Starlink Launches'!$B:$B, 0)),
  ""
)
</f>
        <v>17-5</v>
      </c>
      <c r="B5617" s="3" t="s">
        <v>25</v>
      </c>
      <c r="C5617" s="12" t="s">
        <v>5648</v>
      </c>
      <c r="D5617" s="13">
        <v>65240.0</v>
      </c>
      <c r="E5617" s="4">
        <v>45887.0</v>
      </c>
      <c r="F5617" s="4" t="str">
        <f>IF(D5617="","", IFNA(VLOOKUP(D5617, SATCAT_DECAY!A:B, 2, FALSE), ""))
</f>
        <v/>
      </c>
      <c r="G5617" s="3" t="str">
        <f t="shared" si="1"/>
        <v>ACTIVE</v>
      </c>
    </row>
    <row r="5618" ht="22.5" customHeight="1">
      <c r="A5618" s="11" t="str">
        <f t="array" ref="A5618">IFERROR(
  INDEX('Starlink Launches'!$A:$A, MATCH($E5618, 'Starlink Launches'!$B:$B, 0)),
  ""
)
</f>
        <v>17-5</v>
      </c>
      <c r="B5618" s="3" t="s">
        <v>25</v>
      </c>
      <c r="C5618" s="12" t="s">
        <v>5649</v>
      </c>
      <c r="D5618" s="13">
        <v>65241.0</v>
      </c>
      <c r="E5618" s="4">
        <v>45887.0</v>
      </c>
      <c r="F5618" s="4" t="str">
        <f>IF(D5618="","", IFNA(VLOOKUP(D5618, SATCAT_DECAY!A:B, 2, FALSE), ""))
</f>
        <v/>
      </c>
      <c r="G5618" s="3" t="str">
        <f t="shared" si="1"/>
        <v>ACTIVE</v>
      </c>
    </row>
    <row r="5619" ht="22.5" customHeight="1">
      <c r="A5619" s="11" t="str">
        <f t="array" ref="A5619">IFERROR(
  INDEX('Starlink Launches'!$A:$A, MATCH($E5619, 'Starlink Launches'!$B:$B, 0)),
  ""
)
</f>
        <v>17-5</v>
      </c>
      <c r="B5619" s="3" t="s">
        <v>25</v>
      </c>
      <c r="C5619" s="12" t="s">
        <v>5650</v>
      </c>
      <c r="D5619" s="13">
        <v>65242.0</v>
      </c>
      <c r="E5619" s="4">
        <v>45887.0</v>
      </c>
      <c r="F5619" s="4" t="str">
        <f>IF(D5619="","", IFNA(VLOOKUP(D5619, SATCAT_DECAY!A:B, 2, FALSE), ""))
</f>
        <v/>
      </c>
      <c r="G5619" s="3" t="str">
        <f t="shared" si="1"/>
        <v>ACTIVE</v>
      </c>
    </row>
    <row r="5620" ht="22.5" customHeight="1">
      <c r="A5620" s="11" t="str">
        <f t="array" ref="A5620">IFERROR(
  INDEX('Starlink Launches'!$A:$A, MATCH($E5620, 'Starlink Launches'!$B:$B, 0)),
  ""
)
</f>
        <v>17-5</v>
      </c>
      <c r="B5620" s="3" t="s">
        <v>25</v>
      </c>
      <c r="C5620" s="12" t="s">
        <v>5651</v>
      </c>
      <c r="D5620" s="13">
        <v>65243.0</v>
      </c>
      <c r="E5620" s="4">
        <v>45887.0</v>
      </c>
      <c r="F5620" s="4" t="str">
        <f>IF(D5620="","", IFNA(VLOOKUP(D5620, SATCAT_DECAY!A:B, 2, FALSE), ""))
</f>
        <v/>
      </c>
      <c r="G5620" s="3" t="str">
        <f t="shared" si="1"/>
        <v>ACTIVE</v>
      </c>
    </row>
    <row r="5621" ht="22.5" customHeight="1">
      <c r="A5621" s="11" t="str">
        <f t="array" ref="A5621">IFERROR(
  INDEX('Starlink Launches'!$A:$A, MATCH($E5621, 'Starlink Launches'!$B:$B, 0)),
  ""
)
</f>
        <v>17-5</v>
      </c>
      <c r="B5621" s="3" t="s">
        <v>25</v>
      </c>
      <c r="C5621" s="12" t="s">
        <v>5652</v>
      </c>
      <c r="D5621" s="13">
        <v>65244.0</v>
      </c>
      <c r="E5621" s="4">
        <v>45887.0</v>
      </c>
      <c r="F5621" s="4" t="str">
        <f>IF(D5621="","", IFNA(VLOOKUP(D5621, SATCAT_DECAY!A:B, 2, FALSE), ""))
</f>
        <v/>
      </c>
      <c r="G5621" s="3" t="str">
        <f t="shared" si="1"/>
        <v>ACTIVE</v>
      </c>
    </row>
    <row r="5622" ht="22.5" customHeight="1">
      <c r="A5622" s="11" t="str">
        <f t="array" ref="A5622">IFERROR(
  INDEX('Starlink Launches'!$A:$A, MATCH($E5622, 'Starlink Launches'!$B:$B, 0)),
  ""
)
</f>
        <v>17-5</v>
      </c>
      <c r="B5622" s="3" t="s">
        <v>25</v>
      </c>
      <c r="C5622" s="12" t="s">
        <v>5653</v>
      </c>
      <c r="D5622" s="13">
        <v>65245.0</v>
      </c>
      <c r="E5622" s="4">
        <v>45887.0</v>
      </c>
      <c r="F5622" s="4" t="str">
        <f>IF(D5622="","", IFNA(VLOOKUP(D5622, SATCAT_DECAY!A:B, 2, FALSE), ""))
</f>
        <v/>
      </c>
      <c r="G5622" s="3" t="str">
        <f t="shared" si="1"/>
        <v>ACTIVE</v>
      </c>
    </row>
    <row r="5623" ht="22.5" customHeight="1">
      <c r="A5623" s="11" t="str">
        <f t="array" ref="A5623">IFERROR(
  INDEX('Starlink Launches'!$A:$A, MATCH($E5623, 'Starlink Launches'!$B:$B, 0)),
  ""
)
</f>
        <v>17-5</v>
      </c>
      <c r="B5623" s="3" t="s">
        <v>25</v>
      </c>
      <c r="C5623" s="12" t="s">
        <v>5654</v>
      </c>
      <c r="D5623" s="13">
        <v>65246.0</v>
      </c>
      <c r="E5623" s="4">
        <v>45887.0</v>
      </c>
      <c r="F5623" s="4" t="str">
        <f>IF(D5623="","", IFNA(VLOOKUP(D5623, SATCAT_DECAY!A:B, 2, FALSE), ""))
</f>
        <v/>
      </c>
      <c r="G5623" s="3" t="str">
        <f t="shared" si="1"/>
        <v>ACTIVE</v>
      </c>
    </row>
    <row r="5624" ht="22.5" customHeight="1">
      <c r="A5624" s="11" t="str">
        <f t="array" ref="A5624">IFERROR(
  INDEX('Starlink Launches'!$A:$A, MATCH($E5624, 'Starlink Launches'!$B:$B, 0)),
  ""
)
</f>
        <v>17-5</v>
      </c>
      <c r="B5624" s="3" t="s">
        <v>25</v>
      </c>
      <c r="C5624" s="12" t="s">
        <v>5655</v>
      </c>
      <c r="D5624" s="13">
        <v>65247.0</v>
      </c>
      <c r="E5624" s="4">
        <v>45887.0</v>
      </c>
      <c r="F5624" s="4" t="str">
        <f>IF(D5624="","", IFNA(VLOOKUP(D5624, SATCAT_DECAY!A:B, 2, FALSE), ""))
</f>
        <v/>
      </c>
      <c r="G5624" s="3" t="str">
        <f t="shared" si="1"/>
        <v>ACTIVE</v>
      </c>
    </row>
    <row r="5625" ht="22.5" customHeight="1">
      <c r="A5625" s="11" t="str">
        <f t="array" ref="A5625">IFERROR(
  INDEX('Starlink Launches'!$A:$A, MATCH($E5625, 'Starlink Launches'!$B:$B, 0)),
  ""
)
</f>
        <v>17-5</v>
      </c>
      <c r="B5625" s="3" t="s">
        <v>25</v>
      </c>
      <c r="C5625" s="12" t="s">
        <v>5656</v>
      </c>
      <c r="D5625" s="13">
        <v>65248.0</v>
      </c>
      <c r="E5625" s="4">
        <v>45887.0</v>
      </c>
      <c r="F5625" s="4" t="str">
        <f>IF(D5625="","", IFNA(VLOOKUP(D5625, SATCAT_DECAY!A:B, 2, FALSE), ""))
</f>
        <v/>
      </c>
      <c r="G5625" s="3" t="str">
        <f t="shared" si="1"/>
        <v>ACTIVE</v>
      </c>
    </row>
    <row r="5626" ht="22.5" customHeight="1">
      <c r="A5626" s="11" t="str">
        <f t="array" ref="A5626">IFERROR(
  INDEX('Starlink Launches'!$A:$A, MATCH($E5626, 'Starlink Launches'!$B:$B, 0)),
  ""
)
</f>
        <v>17-5</v>
      </c>
      <c r="B5626" s="3" t="s">
        <v>25</v>
      </c>
      <c r="C5626" s="12" t="s">
        <v>5657</v>
      </c>
      <c r="D5626" s="13">
        <v>65249.0</v>
      </c>
      <c r="E5626" s="4">
        <v>45887.0</v>
      </c>
      <c r="F5626" s="4" t="str">
        <f>IF(D5626="","", IFNA(VLOOKUP(D5626, SATCAT_DECAY!A:B, 2, FALSE), ""))
</f>
        <v/>
      </c>
      <c r="G5626" s="3" t="str">
        <f t="shared" si="1"/>
        <v>ACTIVE</v>
      </c>
    </row>
    <row r="5627" ht="22.5" customHeight="1">
      <c r="A5627" s="11" t="str">
        <f t="array" ref="A5627">IFERROR(
  INDEX('Starlink Launches'!$A:$A, MATCH($E5627, 'Starlink Launches'!$B:$B, 0)),
  ""
)
</f>
        <v>17-5</v>
      </c>
      <c r="B5627" s="3" t="s">
        <v>25</v>
      </c>
      <c r="C5627" s="12" t="s">
        <v>5658</v>
      </c>
      <c r="D5627" s="13">
        <v>65250.0</v>
      </c>
      <c r="E5627" s="4">
        <v>45887.0</v>
      </c>
      <c r="F5627" s="4" t="str">
        <f>IF(D5627="","", IFNA(VLOOKUP(D5627, SATCAT_DECAY!A:B, 2, FALSE), ""))
</f>
        <v/>
      </c>
      <c r="G5627" s="3" t="str">
        <f t="shared" si="1"/>
        <v>ACTIVE</v>
      </c>
    </row>
    <row r="5628" ht="22.5" customHeight="1">
      <c r="A5628" s="11" t="str">
        <f t="array" ref="A5628">IFERROR(
  INDEX('Starlink Launches'!$A:$A, MATCH($E5628, 'Starlink Launches'!$B:$B, 0)),
  ""
)
</f>
        <v>17-5</v>
      </c>
      <c r="B5628" s="3" t="s">
        <v>25</v>
      </c>
      <c r="C5628" s="12" t="s">
        <v>5659</v>
      </c>
      <c r="D5628" s="13">
        <v>65251.0</v>
      </c>
      <c r="E5628" s="4">
        <v>45887.0</v>
      </c>
      <c r="F5628" s="4" t="str">
        <f>IF(D5628="","", IFNA(VLOOKUP(D5628, SATCAT_DECAY!A:B, 2, FALSE), ""))
</f>
        <v/>
      </c>
      <c r="G5628" s="3" t="str">
        <f t="shared" si="1"/>
        <v>ACTIVE</v>
      </c>
    </row>
    <row r="5629" ht="22.5" customHeight="1">
      <c r="A5629" s="11" t="str">
        <f t="array" ref="A5629">IFERROR(
  INDEX('Starlink Launches'!$A:$A, MATCH($E5629, 'Starlink Launches'!$B:$B, 0)),
  ""
)
</f>
        <v>17-5</v>
      </c>
      <c r="B5629" s="3" t="s">
        <v>25</v>
      </c>
      <c r="C5629" s="12" t="s">
        <v>5660</v>
      </c>
      <c r="D5629" s="13">
        <v>65252.0</v>
      </c>
      <c r="E5629" s="4">
        <v>45887.0</v>
      </c>
      <c r="F5629" s="4" t="str">
        <f>IF(D5629="","", IFNA(VLOOKUP(D5629, SATCAT_DECAY!A:B, 2, FALSE), ""))
</f>
        <v/>
      </c>
      <c r="G5629" s="3" t="str">
        <f t="shared" si="1"/>
        <v>ACTIVE</v>
      </c>
    </row>
    <row r="5630" ht="22.5" customHeight="1">
      <c r="A5630" s="11" t="str">
        <f t="array" ref="A5630">IFERROR(
  INDEX('Starlink Launches'!$A:$A, MATCH($E5630, 'Starlink Launches'!$B:$B, 0)),
  ""
)
</f>
        <v>17-5</v>
      </c>
      <c r="B5630" s="3" t="s">
        <v>25</v>
      </c>
      <c r="C5630" s="12" t="s">
        <v>5661</v>
      </c>
      <c r="D5630" s="13">
        <v>65253.0</v>
      </c>
      <c r="E5630" s="4">
        <v>45887.0</v>
      </c>
      <c r="F5630" s="4" t="str">
        <f>IF(D5630="","", IFNA(VLOOKUP(D5630, SATCAT_DECAY!A:B, 2, FALSE), ""))
</f>
        <v/>
      </c>
      <c r="G5630" s="3" t="str">
        <f t="shared" si="1"/>
        <v>ACTIVE</v>
      </c>
    </row>
    <row r="5631" ht="22.5" customHeight="1">
      <c r="A5631" s="11" t="str">
        <f t="array" ref="A5631">IFERROR(
  INDEX('Starlink Launches'!$A:$A, MATCH($E5631, 'Starlink Launches'!$B:$B, 0)),
  ""
)
</f>
        <v>17-5</v>
      </c>
      <c r="B5631" s="3" t="s">
        <v>25</v>
      </c>
      <c r="C5631" s="12" t="s">
        <v>5662</v>
      </c>
      <c r="D5631" s="13">
        <v>65254.0</v>
      </c>
      <c r="E5631" s="4">
        <v>45887.0</v>
      </c>
      <c r="F5631" s="4" t="str">
        <f>IF(D5631="","", IFNA(VLOOKUP(D5631, SATCAT_DECAY!A:B, 2, FALSE), ""))
</f>
        <v/>
      </c>
      <c r="G5631" s="3" t="str">
        <f t="shared" si="1"/>
        <v>ACTIVE</v>
      </c>
    </row>
    <row r="5632" ht="22.5" customHeight="1">
      <c r="A5632" s="11" t="str">
        <f t="array" ref="A5632">IFERROR(
  INDEX('Starlink Launches'!$A:$A, MATCH($E5632, 'Starlink Launches'!$B:$B, 0)),
  ""
)
</f>
        <v>17-5</v>
      </c>
      <c r="B5632" s="3" t="s">
        <v>25</v>
      </c>
      <c r="C5632" s="12" t="s">
        <v>5663</v>
      </c>
      <c r="D5632" s="13">
        <v>65255.0</v>
      </c>
      <c r="E5632" s="4">
        <v>45887.0</v>
      </c>
      <c r="F5632" s="4" t="str">
        <f>IF(D5632="","", IFNA(VLOOKUP(D5632, SATCAT_DECAY!A:B, 2, FALSE), ""))
</f>
        <v/>
      </c>
      <c r="G5632" s="3" t="str">
        <f t="shared" si="1"/>
        <v>ACTIVE</v>
      </c>
    </row>
    <row r="5633" ht="22.5" customHeight="1">
      <c r="A5633" s="11" t="str">
        <f t="array" ref="A5633">IFERROR(
  INDEX('Starlink Launches'!$A:$A, MATCH($E5633, 'Starlink Launches'!$B:$B, 0)),
  ""
)
</f>
        <v>17-5</v>
      </c>
      <c r="B5633" s="3" t="s">
        <v>25</v>
      </c>
      <c r="C5633" s="12" t="s">
        <v>5664</v>
      </c>
      <c r="D5633" s="13">
        <v>65256.0</v>
      </c>
      <c r="E5633" s="4">
        <v>45887.0</v>
      </c>
      <c r="F5633" s="4" t="str">
        <f>IF(D5633="","", IFNA(VLOOKUP(D5633, SATCAT_DECAY!A:B, 2, FALSE), ""))
</f>
        <v/>
      </c>
      <c r="G5633" s="3" t="str">
        <f t="shared" si="1"/>
        <v>ACTIVE</v>
      </c>
    </row>
    <row r="5634" ht="22.5" customHeight="1">
      <c r="A5634" s="11" t="str">
        <f t="array" ref="A5634">IFERROR(
  INDEX('Starlink Launches'!$A:$A, MATCH($E5634, 'Starlink Launches'!$B:$B, 0)),
  ""
)
</f>
        <v>17-5</v>
      </c>
      <c r="B5634" s="3" t="s">
        <v>25</v>
      </c>
      <c r="C5634" s="12" t="s">
        <v>5665</v>
      </c>
      <c r="D5634" s="13">
        <v>65257.0</v>
      </c>
      <c r="E5634" s="4">
        <v>45887.0</v>
      </c>
      <c r="F5634" s="4" t="str">
        <f>IF(D5634="","", IFNA(VLOOKUP(D5634, SATCAT_DECAY!A:B, 2, FALSE), ""))
</f>
        <v/>
      </c>
      <c r="G5634" s="3" t="str">
        <f t="shared" si="1"/>
        <v>ACTIVE</v>
      </c>
    </row>
    <row r="5635" ht="22.5" customHeight="1">
      <c r="A5635" s="11" t="str">
        <f t="array" ref="A5635">IFERROR(
  INDEX('Starlink Launches'!$A:$A, MATCH($E5635, 'Starlink Launches'!$B:$B, 0)),
  ""
)
</f>
        <v>17-5</v>
      </c>
      <c r="B5635" s="3" t="s">
        <v>25</v>
      </c>
      <c r="C5635" s="12" t="s">
        <v>5666</v>
      </c>
      <c r="D5635" s="13">
        <v>65258.0</v>
      </c>
      <c r="E5635" s="4">
        <v>45887.0</v>
      </c>
      <c r="F5635" s="4" t="str">
        <f>IF(D5635="","", IFNA(VLOOKUP(D5635, SATCAT_DECAY!A:B, 2, FALSE), ""))
</f>
        <v/>
      </c>
      <c r="G5635" s="3" t="str">
        <f t="shared" si="1"/>
        <v>ACTIVE</v>
      </c>
    </row>
    <row r="5636" ht="22.5" customHeight="1">
      <c r="A5636" s="11" t="str">
        <f t="array" ref="A5636">IFERROR(
  INDEX('Starlink Launches'!$A:$A, MATCH($E5636, 'Starlink Launches'!$B:$B, 0)),
  ""
)
</f>
        <v>17-6</v>
      </c>
      <c r="B5636" s="3" t="s">
        <v>25</v>
      </c>
      <c r="C5636" s="12" t="s">
        <v>5667</v>
      </c>
      <c r="D5636" s="13">
        <v>65273.0</v>
      </c>
      <c r="E5636" s="4">
        <v>45891.0</v>
      </c>
      <c r="F5636" s="4" t="str">
        <f>IF(D5636="","", IFNA(VLOOKUP(D5636, SATCAT_DECAY!A:B, 2, FALSE), ""))
</f>
        <v/>
      </c>
      <c r="G5636" s="3" t="str">
        <f t="shared" si="1"/>
        <v>ACTIVE</v>
      </c>
    </row>
    <row r="5637" ht="22.5" customHeight="1">
      <c r="A5637" s="11" t="str">
        <f t="array" ref="A5637">IFERROR(
  INDEX('Starlink Launches'!$A:$A, MATCH($E5637, 'Starlink Launches'!$B:$B, 0)),
  ""
)
</f>
        <v>17-6</v>
      </c>
      <c r="B5637" s="3" t="s">
        <v>25</v>
      </c>
      <c r="C5637" s="12" t="s">
        <v>5668</v>
      </c>
      <c r="D5637" s="13">
        <v>65274.0</v>
      </c>
      <c r="E5637" s="4">
        <v>45891.0</v>
      </c>
      <c r="F5637" s="4" t="str">
        <f>IF(D5637="","", IFNA(VLOOKUP(D5637, SATCAT_DECAY!A:B, 2, FALSE), ""))
</f>
        <v/>
      </c>
      <c r="G5637" s="3" t="str">
        <f t="shared" si="1"/>
        <v>ACTIVE</v>
      </c>
    </row>
    <row r="5638" ht="22.5" customHeight="1">
      <c r="A5638" s="11" t="str">
        <f t="array" ref="A5638">IFERROR(
  INDEX('Starlink Launches'!$A:$A, MATCH($E5638, 'Starlink Launches'!$B:$B, 0)),
  ""
)
</f>
        <v>17-6</v>
      </c>
      <c r="B5638" s="3" t="s">
        <v>25</v>
      </c>
      <c r="C5638" s="12" t="s">
        <v>5669</v>
      </c>
      <c r="D5638" s="13">
        <v>65275.0</v>
      </c>
      <c r="E5638" s="4">
        <v>45891.0</v>
      </c>
      <c r="F5638" s="4" t="str">
        <f>IF(D5638="","", IFNA(VLOOKUP(D5638, SATCAT_DECAY!A:B, 2, FALSE), ""))
</f>
        <v/>
      </c>
      <c r="G5638" s="3" t="str">
        <f t="shared" si="1"/>
        <v>ACTIVE</v>
      </c>
    </row>
    <row r="5639" ht="22.5" customHeight="1">
      <c r="A5639" s="11" t="str">
        <f t="array" ref="A5639">IFERROR(
  INDEX('Starlink Launches'!$A:$A, MATCH($E5639, 'Starlink Launches'!$B:$B, 0)),
  ""
)
</f>
        <v>17-6</v>
      </c>
      <c r="B5639" s="3" t="s">
        <v>25</v>
      </c>
      <c r="C5639" s="12" t="s">
        <v>5670</v>
      </c>
      <c r="D5639" s="13">
        <v>65276.0</v>
      </c>
      <c r="E5639" s="4">
        <v>45891.0</v>
      </c>
      <c r="F5639" s="4" t="str">
        <f>IF(D5639="","", IFNA(VLOOKUP(D5639, SATCAT_DECAY!A:B, 2, FALSE), ""))
</f>
        <v/>
      </c>
      <c r="G5639" s="3" t="str">
        <f t="shared" si="1"/>
        <v>ACTIVE</v>
      </c>
    </row>
    <row r="5640" ht="22.5" customHeight="1">
      <c r="A5640" s="11" t="str">
        <f t="array" ref="A5640">IFERROR(
  INDEX('Starlink Launches'!$A:$A, MATCH($E5640, 'Starlink Launches'!$B:$B, 0)),
  ""
)
</f>
        <v>17-6</v>
      </c>
      <c r="B5640" s="3" t="s">
        <v>25</v>
      </c>
      <c r="C5640" s="12" t="s">
        <v>5671</v>
      </c>
      <c r="D5640" s="13">
        <v>65277.0</v>
      </c>
      <c r="E5640" s="4">
        <v>45891.0</v>
      </c>
      <c r="F5640" s="4" t="str">
        <f>IF(D5640="","", IFNA(VLOOKUP(D5640, SATCAT_DECAY!A:B, 2, FALSE), ""))
</f>
        <v/>
      </c>
      <c r="G5640" s="3" t="str">
        <f t="shared" si="1"/>
        <v>ACTIVE</v>
      </c>
    </row>
    <row r="5641" ht="22.5" customHeight="1">
      <c r="A5641" s="11" t="str">
        <f t="array" ref="A5641">IFERROR(
  INDEX('Starlink Launches'!$A:$A, MATCH($E5641, 'Starlink Launches'!$B:$B, 0)),
  ""
)
</f>
        <v>17-6</v>
      </c>
      <c r="B5641" s="3" t="s">
        <v>25</v>
      </c>
      <c r="C5641" s="12" t="s">
        <v>5672</v>
      </c>
      <c r="D5641" s="13">
        <v>65278.0</v>
      </c>
      <c r="E5641" s="4">
        <v>45891.0</v>
      </c>
      <c r="F5641" s="4" t="str">
        <f>IF(D5641="","", IFNA(VLOOKUP(D5641, SATCAT_DECAY!A:B, 2, FALSE), ""))
</f>
        <v/>
      </c>
      <c r="G5641" s="3" t="str">
        <f t="shared" si="1"/>
        <v>ACTIVE</v>
      </c>
    </row>
    <row r="5642" ht="22.5" customHeight="1">
      <c r="A5642" s="11" t="str">
        <f t="array" ref="A5642">IFERROR(
  INDEX('Starlink Launches'!$A:$A, MATCH($E5642, 'Starlink Launches'!$B:$B, 0)),
  ""
)
</f>
        <v>17-6</v>
      </c>
      <c r="B5642" s="3" t="s">
        <v>25</v>
      </c>
      <c r="C5642" s="12" t="s">
        <v>5673</v>
      </c>
      <c r="D5642" s="13">
        <v>65279.0</v>
      </c>
      <c r="E5642" s="4">
        <v>45891.0</v>
      </c>
      <c r="F5642" s="4" t="str">
        <f>IF(D5642="","", IFNA(VLOOKUP(D5642, SATCAT_DECAY!A:B, 2, FALSE), ""))
</f>
        <v/>
      </c>
      <c r="G5642" s="3" t="str">
        <f t="shared" si="1"/>
        <v>ACTIVE</v>
      </c>
    </row>
    <row r="5643" ht="22.5" customHeight="1">
      <c r="A5643" s="11" t="str">
        <f t="array" ref="A5643">IFERROR(
  INDEX('Starlink Launches'!$A:$A, MATCH($E5643, 'Starlink Launches'!$B:$B, 0)),
  ""
)
</f>
        <v>17-6</v>
      </c>
      <c r="B5643" s="3" t="s">
        <v>25</v>
      </c>
      <c r="C5643" s="12" t="s">
        <v>5674</v>
      </c>
      <c r="D5643" s="13">
        <v>65280.0</v>
      </c>
      <c r="E5643" s="4">
        <v>45891.0</v>
      </c>
      <c r="F5643" s="4" t="str">
        <f>IF(D5643="","", IFNA(VLOOKUP(D5643, SATCAT_DECAY!A:B, 2, FALSE), ""))
</f>
        <v/>
      </c>
      <c r="G5643" s="3" t="str">
        <f t="shared" si="1"/>
        <v>ACTIVE</v>
      </c>
    </row>
    <row r="5644" ht="22.5" customHeight="1">
      <c r="A5644" s="11" t="str">
        <f t="array" ref="A5644">IFERROR(
  INDEX('Starlink Launches'!$A:$A, MATCH($E5644, 'Starlink Launches'!$B:$B, 0)),
  ""
)
</f>
        <v>17-6</v>
      </c>
      <c r="B5644" s="3" t="s">
        <v>25</v>
      </c>
      <c r="C5644" s="12" t="s">
        <v>5675</v>
      </c>
      <c r="D5644" s="13">
        <v>65281.0</v>
      </c>
      <c r="E5644" s="4">
        <v>45891.0</v>
      </c>
      <c r="F5644" s="4" t="str">
        <f>IF(D5644="","", IFNA(VLOOKUP(D5644, SATCAT_DECAY!A:B, 2, FALSE), ""))
</f>
        <v/>
      </c>
      <c r="G5644" s="3" t="str">
        <f t="shared" si="1"/>
        <v>ACTIVE</v>
      </c>
    </row>
    <row r="5645" ht="22.5" customHeight="1">
      <c r="A5645" s="11" t="str">
        <f t="array" ref="A5645">IFERROR(
  INDEX('Starlink Launches'!$A:$A, MATCH($E5645, 'Starlink Launches'!$B:$B, 0)),
  ""
)
</f>
        <v>17-6</v>
      </c>
      <c r="B5645" s="3" t="s">
        <v>25</v>
      </c>
      <c r="C5645" s="12" t="s">
        <v>5676</v>
      </c>
      <c r="D5645" s="13">
        <v>65282.0</v>
      </c>
      <c r="E5645" s="4">
        <v>45891.0</v>
      </c>
      <c r="F5645" s="4" t="str">
        <f>IF(D5645="","", IFNA(VLOOKUP(D5645, SATCAT_DECAY!A:B, 2, FALSE), ""))
</f>
        <v/>
      </c>
      <c r="G5645" s="3" t="str">
        <f t="shared" si="1"/>
        <v>ACTIVE</v>
      </c>
    </row>
    <row r="5646" ht="22.5" customHeight="1">
      <c r="A5646" s="11" t="str">
        <f t="array" ref="A5646">IFERROR(
  INDEX('Starlink Launches'!$A:$A, MATCH($E5646, 'Starlink Launches'!$B:$B, 0)),
  ""
)
</f>
        <v>17-6</v>
      </c>
      <c r="B5646" s="3" t="s">
        <v>25</v>
      </c>
      <c r="C5646" s="12" t="s">
        <v>5677</v>
      </c>
      <c r="D5646" s="13">
        <v>65283.0</v>
      </c>
      <c r="E5646" s="4">
        <v>45891.0</v>
      </c>
      <c r="F5646" s="4" t="str">
        <f>IF(D5646="","", IFNA(VLOOKUP(D5646, SATCAT_DECAY!A:B, 2, FALSE), ""))
</f>
        <v/>
      </c>
      <c r="G5646" s="3" t="str">
        <f t="shared" si="1"/>
        <v>ACTIVE</v>
      </c>
    </row>
    <row r="5647" ht="22.5" customHeight="1">
      <c r="A5647" s="11" t="str">
        <f t="array" ref="A5647">IFERROR(
  INDEX('Starlink Launches'!$A:$A, MATCH($E5647, 'Starlink Launches'!$B:$B, 0)),
  ""
)
</f>
        <v>17-6</v>
      </c>
      <c r="B5647" s="3" t="s">
        <v>25</v>
      </c>
      <c r="C5647" s="12" t="s">
        <v>5678</v>
      </c>
      <c r="D5647" s="13">
        <v>65284.0</v>
      </c>
      <c r="E5647" s="4">
        <v>45891.0</v>
      </c>
      <c r="F5647" s="4" t="str">
        <f>IF(D5647="","", IFNA(VLOOKUP(D5647, SATCAT_DECAY!A:B, 2, FALSE), ""))
</f>
        <v/>
      </c>
      <c r="G5647" s="3" t="str">
        <f t="shared" si="1"/>
        <v>ACTIVE</v>
      </c>
    </row>
    <row r="5648" ht="22.5" customHeight="1">
      <c r="A5648" s="11" t="str">
        <f t="array" ref="A5648">IFERROR(
  INDEX('Starlink Launches'!$A:$A, MATCH($E5648, 'Starlink Launches'!$B:$B, 0)),
  ""
)
</f>
        <v>17-6</v>
      </c>
      <c r="B5648" s="3" t="s">
        <v>25</v>
      </c>
      <c r="C5648" s="12" t="s">
        <v>5679</v>
      </c>
      <c r="D5648" s="13">
        <v>65285.0</v>
      </c>
      <c r="E5648" s="4">
        <v>45891.0</v>
      </c>
      <c r="F5648" s="4" t="str">
        <f>IF(D5648="","", IFNA(VLOOKUP(D5648, SATCAT_DECAY!A:B, 2, FALSE), ""))
</f>
        <v/>
      </c>
      <c r="G5648" s="3" t="str">
        <f t="shared" si="1"/>
        <v>ACTIVE</v>
      </c>
    </row>
    <row r="5649" ht="22.5" customHeight="1">
      <c r="A5649" s="11" t="str">
        <f t="array" ref="A5649">IFERROR(
  INDEX('Starlink Launches'!$A:$A, MATCH($E5649, 'Starlink Launches'!$B:$B, 0)),
  ""
)
</f>
        <v>17-6</v>
      </c>
      <c r="B5649" s="3" t="s">
        <v>25</v>
      </c>
      <c r="C5649" s="12" t="s">
        <v>5680</v>
      </c>
      <c r="D5649" s="13">
        <v>65286.0</v>
      </c>
      <c r="E5649" s="4">
        <v>45891.0</v>
      </c>
      <c r="F5649" s="4" t="str">
        <f>IF(D5649="","", IFNA(VLOOKUP(D5649, SATCAT_DECAY!A:B, 2, FALSE), ""))
</f>
        <v/>
      </c>
      <c r="G5649" s="3" t="str">
        <f t="shared" si="1"/>
        <v>ACTIVE</v>
      </c>
    </row>
    <row r="5650" ht="22.5" customHeight="1">
      <c r="A5650" s="11" t="str">
        <f t="array" ref="A5650">IFERROR(
  INDEX('Starlink Launches'!$A:$A, MATCH($E5650, 'Starlink Launches'!$B:$B, 0)),
  ""
)
</f>
        <v>17-6</v>
      </c>
      <c r="B5650" s="3" t="s">
        <v>25</v>
      </c>
      <c r="C5650" s="12" t="s">
        <v>5681</v>
      </c>
      <c r="D5650" s="13">
        <v>65287.0</v>
      </c>
      <c r="E5650" s="4">
        <v>45891.0</v>
      </c>
      <c r="F5650" s="4" t="str">
        <f>IF(D5650="","", IFNA(VLOOKUP(D5650, SATCAT_DECAY!A:B, 2, FALSE), ""))
</f>
        <v/>
      </c>
      <c r="G5650" s="3" t="str">
        <f t="shared" si="1"/>
        <v>ACTIVE</v>
      </c>
    </row>
    <row r="5651" ht="22.5" customHeight="1">
      <c r="A5651" s="11" t="str">
        <f t="array" ref="A5651">IFERROR(
  INDEX('Starlink Launches'!$A:$A, MATCH($E5651, 'Starlink Launches'!$B:$B, 0)),
  ""
)
</f>
        <v>17-6</v>
      </c>
      <c r="B5651" s="3" t="s">
        <v>25</v>
      </c>
      <c r="C5651" s="12" t="s">
        <v>5682</v>
      </c>
      <c r="D5651" s="13">
        <v>65288.0</v>
      </c>
      <c r="E5651" s="4">
        <v>45891.0</v>
      </c>
      <c r="F5651" s="4" t="str">
        <f>IF(D5651="","", IFNA(VLOOKUP(D5651, SATCAT_DECAY!A:B, 2, FALSE), ""))
</f>
        <v/>
      </c>
      <c r="G5651" s="3" t="str">
        <f t="shared" si="1"/>
        <v>ACTIVE</v>
      </c>
    </row>
    <row r="5652" ht="22.5" customHeight="1">
      <c r="A5652" s="11" t="str">
        <f t="array" ref="A5652">IFERROR(
  INDEX('Starlink Launches'!$A:$A, MATCH($E5652, 'Starlink Launches'!$B:$B, 0)),
  ""
)
</f>
        <v>17-6</v>
      </c>
      <c r="B5652" s="3" t="s">
        <v>25</v>
      </c>
      <c r="C5652" s="12" t="s">
        <v>5683</v>
      </c>
      <c r="D5652" s="13">
        <v>65289.0</v>
      </c>
      <c r="E5652" s="4">
        <v>45891.0</v>
      </c>
      <c r="F5652" s="4" t="str">
        <f>IF(D5652="","", IFNA(VLOOKUP(D5652, SATCAT_DECAY!A:B, 2, FALSE), ""))
</f>
        <v/>
      </c>
      <c r="G5652" s="3" t="str">
        <f t="shared" si="1"/>
        <v>ACTIVE</v>
      </c>
    </row>
    <row r="5653" ht="22.5" customHeight="1">
      <c r="A5653" s="11" t="str">
        <f t="array" ref="A5653">IFERROR(
  INDEX('Starlink Launches'!$A:$A, MATCH($E5653, 'Starlink Launches'!$B:$B, 0)),
  ""
)
</f>
        <v>17-6</v>
      </c>
      <c r="B5653" s="3" t="s">
        <v>25</v>
      </c>
      <c r="C5653" s="12" t="s">
        <v>5684</v>
      </c>
      <c r="D5653" s="13">
        <v>65290.0</v>
      </c>
      <c r="E5653" s="4">
        <v>45891.0</v>
      </c>
      <c r="F5653" s="4" t="str">
        <f>IF(D5653="","", IFNA(VLOOKUP(D5653, SATCAT_DECAY!A:B, 2, FALSE), ""))
</f>
        <v/>
      </c>
      <c r="G5653" s="3" t="str">
        <f t="shared" si="1"/>
        <v>ACTIVE</v>
      </c>
    </row>
    <row r="5654" ht="22.5" customHeight="1">
      <c r="A5654" s="11" t="str">
        <f t="array" ref="A5654">IFERROR(
  INDEX('Starlink Launches'!$A:$A, MATCH($E5654, 'Starlink Launches'!$B:$B, 0)),
  ""
)
</f>
        <v>17-6</v>
      </c>
      <c r="B5654" s="3" t="s">
        <v>25</v>
      </c>
      <c r="C5654" s="12" t="s">
        <v>5685</v>
      </c>
      <c r="D5654" s="13">
        <v>65291.0</v>
      </c>
      <c r="E5654" s="4">
        <v>45891.0</v>
      </c>
      <c r="F5654" s="4" t="str">
        <f>IF(D5654="","", IFNA(VLOOKUP(D5654, SATCAT_DECAY!A:B, 2, FALSE), ""))
</f>
        <v/>
      </c>
      <c r="G5654" s="3" t="str">
        <f t="shared" si="1"/>
        <v>ACTIVE</v>
      </c>
    </row>
    <row r="5655" ht="22.5" customHeight="1">
      <c r="A5655" s="11" t="str">
        <f t="array" ref="A5655">IFERROR(
  INDEX('Starlink Launches'!$A:$A, MATCH($E5655, 'Starlink Launches'!$B:$B, 0)),
  ""
)
</f>
        <v>17-6</v>
      </c>
      <c r="B5655" s="3" t="s">
        <v>25</v>
      </c>
      <c r="C5655" s="12" t="s">
        <v>5686</v>
      </c>
      <c r="D5655" s="13">
        <v>65292.0</v>
      </c>
      <c r="E5655" s="4">
        <v>45891.0</v>
      </c>
      <c r="F5655" s="4" t="str">
        <f>IF(D5655="","", IFNA(VLOOKUP(D5655, SATCAT_DECAY!A:B, 2, FALSE), ""))
</f>
        <v/>
      </c>
      <c r="G5655" s="3" t="str">
        <f t="shared" si="1"/>
        <v>ACTIVE</v>
      </c>
    </row>
    <row r="5656" ht="22.5" customHeight="1">
      <c r="A5656" s="11" t="str">
        <f t="array" ref="A5656">IFERROR(
  INDEX('Starlink Launches'!$A:$A, MATCH($E5656, 'Starlink Launches'!$B:$B, 0)),
  ""
)
</f>
        <v>17-6</v>
      </c>
      <c r="B5656" s="3" t="s">
        <v>25</v>
      </c>
      <c r="C5656" s="12" t="s">
        <v>5687</v>
      </c>
      <c r="D5656" s="13">
        <v>65293.0</v>
      </c>
      <c r="E5656" s="4">
        <v>45891.0</v>
      </c>
      <c r="F5656" s="4" t="str">
        <f>IF(D5656="","", IFNA(VLOOKUP(D5656, SATCAT_DECAY!A:B, 2, FALSE), ""))
</f>
        <v/>
      </c>
      <c r="G5656" s="3" t="str">
        <f t="shared" si="1"/>
        <v>ACTIVE</v>
      </c>
    </row>
    <row r="5657" ht="22.5" customHeight="1">
      <c r="A5657" s="11" t="str">
        <f t="array" ref="A5657">IFERROR(
  INDEX('Starlink Launches'!$A:$A, MATCH($E5657, 'Starlink Launches'!$B:$B, 0)),
  ""
)
</f>
        <v>17-6</v>
      </c>
      <c r="B5657" s="3" t="s">
        <v>25</v>
      </c>
      <c r="C5657" s="12" t="s">
        <v>5688</v>
      </c>
      <c r="D5657" s="13">
        <v>65294.0</v>
      </c>
      <c r="E5657" s="4">
        <v>45891.0</v>
      </c>
      <c r="F5657" s="4" t="str">
        <f>IF(D5657="","", IFNA(VLOOKUP(D5657, SATCAT_DECAY!A:B, 2, FALSE), ""))
</f>
        <v/>
      </c>
      <c r="G5657" s="3" t="str">
        <f t="shared" si="1"/>
        <v>ACTIVE</v>
      </c>
    </row>
    <row r="5658" ht="22.5" customHeight="1">
      <c r="A5658" s="11" t="str">
        <f t="array" ref="A5658">IFERROR(
  INDEX('Starlink Launches'!$A:$A, MATCH($E5658, 'Starlink Launches'!$B:$B, 0)),
  ""
)
</f>
        <v>17-6</v>
      </c>
      <c r="B5658" s="3" t="s">
        <v>25</v>
      </c>
      <c r="C5658" s="12" t="s">
        <v>5689</v>
      </c>
      <c r="D5658" s="13">
        <v>65295.0</v>
      </c>
      <c r="E5658" s="4">
        <v>45891.0</v>
      </c>
      <c r="F5658" s="4" t="str">
        <f>IF(D5658="","", IFNA(VLOOKUP(D5658, SATCAT_DECAY!A:B, 2, FALSE), ""))
</f>
        <v/>
      </c>
      <c r="G5658" s="3" t="str">
        <f t="shared" si="1"/>
        <v>ACTIVE</v>
      </c>
    </row>
    <row r="5659" ht="22.5" customHeight="1">
      <c r="A5659" s="11" t="str">
        <f t="array" ref="A5659">IFERROR(
  INDEX('Starlink Launches'!$A:$A, MATCH($E5659, 'Starlink Launches'!$B:$B, 0)),
  ""
)
</f>
        <v>17-6</v>
      </c>
      <c r="B5659" s="3" t="s">
        <v>25</v>
      </c>
      <c r="C5659" s="12" t="s">
        <v>5690</v>
      </c>
      <c r="D5659" s="13">
        <v>65296.0</v>
      </c>
      <c r="E5659" s="4">
        <v>45891.0</v>
      </c>
      <c r="F5659" s="4" t="str">
        <f>IF(D5659="","", IFNA(VLOOKUP(D5659, SATCAT_DECAY!A:B, 2, FALSE), ""))
</f>
        <v/>
      </c>
      <c r="G5659" s="3" t="str">
        <f t="shared" si="1"/>
        <v>ACTIVE</v>
      </c>
    </row>
    <row r="5660" ht="22.5" customHeight="1">
      <c r="A5660" s="11" t="str">
        <f t="array" ref="A5660">IFERROR(
  INDEX('Starlink Launches'!$A:$A, MATCH($E5660, 'Starlink Launches'!$B:$B, 0)),
  ""
)
</f>
        <v>17-7</v>
      </c>
      <c r="B5660" s="3" t="s">
        <v>25</v>
      </c>
      <c r="C5660" s="12" t="s">
        <v>5691</v>
      </c>
      <c r="D5660" s="13">
        <v>65379.0</v>
      </c>
      <c r="E5660" s="4">
        <v>45899.0</v>
      </c>
      <c r="F5660" s="4" t="str">
        <f>IF(D5660="","", IFNA(VLOOKUP(D5660, SATCAT_DECAY!A:B, 2, FALSE), ""))
</f>
        <v/>
      </c>
      <c r="G5660" s="3" t="str">
        <f t="shared" si="1"/>
        <v>ACTIVE</v>
      </c>
    </row>
    <row r="5661" ht="22.5" customHeight="1">
      <c r="A5661" s="11" t="str">
        <f t="array" ref="A5661">IFERROR(
  INDEX('Starlink Launches'!$A:$A, MATCH($E5661, 'Starlink Launches'!$B:$B, 0)),
  ""
)
</f>
        <v>17-7</v>
      </c>
      <c r="B5661" s="3" t="s">
        <v>25</v>
      </c>
      <c r="C5661" s="12" t="s">
        <v>5692</v>
      </c>
      <c r="D5661" s="13">
        <v>65380.0</v>
      </c>
      <c r="E5661" s="4">
        <v>45899.0</v>
      </c>
      <c r="F5661" s="4" t="str">
        <f>IF(D5661="","", IFNA(VLOOKUP(D5661, SATCAT_DECAY!A:B, 2, FALSE), ""))
</f>
        <v/>
      </c>
      <c r="G5661" s="3" t="str">
        <f t="shared" si="1"/>
        <v>ACTIVE</v>
      </c>
    </row>
    <row r="5662" ht="22.5" customHeight="1">
      <c r="A5662" s="11" t="str">
        <f t="array" ref="A5662">IFERROR(
  INDEX('Starlink Launches'!$A:$A, MATCH($E5662, 'Starlink Launches'!$B:$B, 0)),
  ""
)
</f>
        <v>17-7</v>
      </c>
      <c r="B5662" s="3" t="s">
        <v>25</v>
      </c>
      <c r="C5662" s="12" t="s">
        <v>5693</v>
      </c>
      <c r="D5662" s="13">
        <v>65381.0</v>
      </c>
      <c r="E5662" s="4">
        <v>45899.0</v>
      </c>
      <c r="F5662" s="4" t="str">
        <f>IF(D5662="","", IFNA(VLOOKUP(D5662, SATCAT_DECAY!A:B, 2, FALSE), ""))
</f>
        <v/>
      </c>
      <c r="G5662" s="3" t="str">
        <f t="shared" si="1"/>
        <v>ACTIVE</v>
      </c>
    </row>
    <row r="5663" ht="22.5" customHeight="1">
      <c r="A5663" s="11" t="str">
        <f t="array" ref="A5663">IFERROR(
  INDEX('Starlink Launches'!$A:$A, MATCH($E5663, 'Starlink Launches'!$B:$B, 0)),
  ""
)
</f>
        <v>17-7</v>
      </c>
      <c r="B5663" s="3" t="s">
        <v>25</v>
      </c>
      <c r="C5663" s="12" t="s">
        <v>5694</v>
      </c>
      <c r="D5663" s="13">
        <v>65382.0</v>
      </c>
      <c r="E5663" s="4">
        <v>45899.0</v>
      </c>
      <c r="F5663" s="4" t="str">
        <f>IF(D5663="","", IFNA(VLOOKUP(D5663, SATCAT_DECAY!A:B, 2, FALSE), ""))
</f>
        <v/>
      </c>
      <c r="G5663" s="3" t="str">
        <f t="shared" si="1"/>
        <v>ACTIVE</v>
      </c>
    </row>
    <row r="5664" ht="22.5" customHeight="1">
      <c r="A5664" s="11" t="str">
        <f t="array" ref="A5664">IFERROR(
  INDEX('Starlink Launches'!$A:$A, MATCH($E5664, 'Starlink Launches'!$B:$B, 0)),
  ""
)
</f>
        <v>17-7</v>
      </c>
      <c r="B5664" s="3" t="s">
        <v>25</v>
      </c>
      <c r="C5664" s="12" t="s">
        <v>5695</v>
      </c>
      <c r="D5664" s="13">
        <v>65383.0</v>
      </c>
      <c r="E5664" s="4">
        <v>45899.0</v>
      </c>
      <c r="F5664" s="4" t="str">
        <f>IF(D5664="","", IFNA(VLOOKUP(D5664, SATCAT_DECAY!A:B, 2, FALSE), ""))
</f>
        <v/>
      </c>
      <c r="G5664" s="3" t="str">
        <f t="shared" si="1"/>
        <v>ACTIVE</v>
      </c>
    </row>
    <row r="5665" ht="22.5" customHeight="1">
      <c r="A5665" s="11" t="str">
        <f t="array" ref="A5665">IFERROR(
  INDEX('Starlink Launches'!$A:$A, MATCH($E5665, 'Starlink Launches'!$B:$B, 0)),
  ""
)
</f>
        <v>17-7</v>
      </c>
      <c r="B5665" s="3" t="s">
        <v>25</v>
      </c>
      <c r="C5665" s="12" t="s">
        <v>5696</v>
      </c>
      <c r="D5665" s="13">
        <v>65384.0</v>
      </c>
      <c r="E5665" s="4">
        <v>45899.0</v>
      </c>
      <c r="F5665" s="4" t="str">
        <f>IF(D5665="","", IFNA(VLOOKUP(D5665, SATCAT_DECAY!A:B, 2, FALSE), ""))
</f>
        <v/>
      </c>
      <c r="G5665" s="3" t="str">
        <f t="shared" si="1"/>
        <v>ACTIVE</v>
      </c>
    </row>
    <row r="5666" ht="22.5" customHeight="1">
      <c r="A5666" s="11" t="str">
        <f t="array" ref="A5666">IFERROR(
  INDEX('Starlink Launches'!$A:$A, MATCH($E5666, 'Starlink Launches'!$B:$B, 0)),
  ""
)
</f>
        <v>17-7</v>
      </c>
      <c r="B5666" s="3" t="s">
        <v>25</v>
      </c>
      <c r="C5666" s="12" t="s">
        <v>5697</v>
      </c>
      <c r="D5666" s="13">
        <v>65385.0</v>
      </c>
      <c r="E5666" s="4">
        <v>45899.0</v>
      </c>
      <c r="F5666" s="4" t="str">
        <f>IF(D5666="","", IFNA(VLOOKUP(D5666, SATCAT_DECAY!A:B, 2, FALSE), ""))
</f>
        <v/>
      </c>
      <c r="G5666" s="3" t="str">
        <f t="shared" si="1"/>
        <v>ACTIVE</v>
      </c>
    </row>
    <row r="5667" ht="22.5" customHeight="1">
      <c r="A5667" s="11" t="str">
        <f t="array" ref="A5667">IFERROR(
  INDEX('Starlink Launches'!$A:$A, MATCH($E5667, 'Starlink Launches'!$B:$B, 0)),
  ""
)
</f>
        <v>17-7</v>
      </c>
      <c r="B5667" s="3" t="s">
        <v>25</v>
      </c>
      <c r="C5667" s="12" t="s">
        <v>5698</v>
      </c>
      <c r="D5667" s="13">
        <v>65386.0</v>
      </c>
      <c r="E5667" s="4">
        <v>45899.0</v>
      </c>
      <c r="F5667" s="4" t="str">
        <f>IF(D5667="","", IFNA(VLOOKUP(D5667, SATCAT_DECAY!A:B, 2, FALSE), ""))
</f>
        <v/>
      </c>
      <c r="G5667" s="3" t="str">
        <f t="shared" si="1"/>
        <v>ACTIVE</v>
      </c>
    </row>
    <row r="5668" ht="22.5" customHeight="1">
      <c r="A5668" s="11" t="str">
        <f t="array" ref="A5668">IFERROR(
  INDEX('Starlink Launches'!$A:$A, MATCH($E5668, 'Starlink Launches'!$B:$B, 0)),
  ""
)
</f>
        <v>17-7</v>
      </c>
      <c r="B5668" s="3" t="s">
        <v>25</v>
      </c>
      <c r="C5668" s="12" t="s">
        <v>5699</v>
      </c>
      <c r="D5668" s="13">
        <v>65387.0</v>
      </c>
      <c r="E5668" s="4">
        <v>45899.0</v>
      </c>
      <c r="F5668" s="4" t="str">
        <f>IF(D5668="","", IFNA(VLOOKUP(D5668, SATCAT_DECAY!A:B, 2, FALSE), ""))
</f>
        <v/>
      </c>
      <c r="G5668" s="3" t="str">
        <f t="shared" si="1"/>
        <v>ACTIVE</v>
      </c>
    </row>
    <row r="5669" ht="22.5" customHeight="1">
      <c r="A5669" s="11" t="str">
        <f t="array" ref="A5669">IFERROR(
  INDEX('Starlink Launches'!$A:$A, MATCH($E5669, 'Starlink Launches'!$B:$B, 0)),
  ""
)
</f>
        <v>17-7</v>
      </c>
      <c r="B5669" s="3" t="s">
        <v>25</v>
      </c>
      <c r="C5669" s="12" t="s">
        <v>5700</v>
      </c>
      <c r="D5669" s="13">
        <v>65388.0</v>
      </c>
      <c r="E5669" s="4">
        <v>45899.0</v>
      </c>
      <c r="F5669" s="4" t="str">
        <f>IF(D5669="","", IFNA(VLOOKUP(D5669, SATCAT_DECAY!A:B, 2, FALSE), ""))
</f>
        <v/>
      </c>
      <c r="G5669" s="3" t="str">
        <f t="shared" si="1"/>
        <v>ACTIVE</v>
      </c>
    </row>
    <row r="5670" ht="22.5" customHeight="1">
      <c r="A5670" s="11" t="str">
        <f t="array" ref="A5670">IFERROR(
  INDEX('Starlink Launches'!$A:$A, MATCH($E5670, 'Starlink Launches'!$B:$B, 0)),
  ""
)
</f>
        <v>17-7</v>
      </c>
      <c r="B5670" s="3" t="s">
        <v>25</v>
      </c>
      <c r="C5670" s="12" t="s">
        <v>5701</v>
      </c>
      <c r="D5670" s="13">
        <v>65389.0</v>
      </c>
      <c r="E5670" s="4">
        <v>45899.0</v>
      </c>
      <c r="F5670" s="4" t="str">
        <f>IF(D5670="","", IFNA(VLOOKUP(D5670, SATCAT_DECAY!A:B, 2, FALSE), ""))
</f>
        <v/>
      </c>
      <c r="G5670" s="3" t="str">
        <f t="shared" si="1"/>
        <v>ACTIVE</v>
      </c>
    </row>
    <row r="5671" ht="22.5" customHeight="1">
      <c r="A5671" s="11" t="str">
        <f t="array" ref="A5671">IFERROR(
  INDEX('Starlink Launches'!$A:$A, MATCH($E5671, 'Starlink Launches'!$B:$B, 0)),
  ""
)
</f>
        <v>17-7</v>
      </c>
      <c r="B5671" s="3" t="s">
        <v>25</v>
      </c>
      <c r="C5671" s="12" t="s">
        <v>5702</v>
      </c>
      <c r="D5671" s="13">
        <v>65390.0</v>
      </c>
      <c r="E5671" s="4">
        <v>45899.0</v>
      </c>
      <c r="F5671" s="4" t="str">
        <f>IF(D5671="","", IFNA(VLOOKUP(D5671, SATCAT_DECAY!A:B, 2, FALSE), ""))
</f>
        <v/>
      </c>
      <c r="G5671" s="3" t="str">
        <f t="shared" si="1"/>
        <v>ACTIVE</v>
      </c>
    </row>
    <row r="5672" ht="22.5" customHeight="1">
      <c r="A5672" s="11" t="str">
        <f t="array" ref="A5672">IFERROR(
  INDEX('Starlink Launches'!$A:$A, MATCH($E5672, 'Starlink Launches'!$B:$B, 0)),
  ""
)
</f>
        <v>17-7</v>
      </c>
      <c r="B5672" s="3" t="s">
        <v>25</v>
      </c>
      <c r="C5672" s="12" t="s">
        <v>5703</v>
      </c>
      <c r="D5672" s="13">
        <v>65391.0</v>
      </c>
      <c r="E5672" s="4">
        <v>45899.0</v>
      </c>
      <c r="F5672" s="4" t="str">
        <f>IF(D5672="","", IFNA(VLOOKUP(D5672, SATCAT_DECAY!A:B, 2, FALSE), ""))
</f>
        <v/>
      </c>
      <c r="G5672" s="3" t="str">
        <f t="shared" si="1"/>
        <v>ACTIVE</v>
      </c>
    </row>
    <row r="5673" ht="22.5" customHeight="1">
      <c r="A5673" s="11" t="str">
        <f t="array" ref="A5673">IFERROR(
  INDEX('Starlink Launches'!$A:$A, MATCH($E5673, 'Starlink Launches'!$B:$B, 0)),
  ""
)
</f>
        <v>17-7</v>
      </c>
      <c r="B5673" s="3" t="s">
        <v>25</v>
      </c>
      <c r="C5673" s="12" t="s">
        <v>5704</v>
      </c>
      <c r="D5673" s="13">
        <v>65392.0</v>
      </c>
      <c r="E5673" s="4">
        <v>45899.0</v>
      </c>
      <c r="F5673" s="4" t="str">
        <f>IF(D5673="","", IFNA(VLOOKUP(D5673, SATCAT_DECAY!A:B, 2, FALSE), ""))
</f>
        <v/>
      </c>
      <c r="G5673" s="3" t="str">
        <f t="shared" si="1"/>
        <v>ACTIVE</v>
      </c>
    </row>
    <row r="5674" ht="22.5" customHeight="1">
      <c r="A5674" s="11" t="str">
        <f t="array" ref="A5674">IFERROR(
  INDEX('Starlink Launches'!$A:$A, MATCH($E5674, 'Starlink Launches'!$B:$B, 0)),
  ""
)
</f>
        <v>17-7</v>
      </c>
      <c r="B5674" s="3" t="s">
        <v>25</v>
      </c>
      <c r="C5674" s="12" t="s">
        <v>5705</v>
      </c>
      <c r="D5674" s="13">
        <v>65393.0</v>
      </c>
      <c r="E5674" s="4">
        <v>45899.0</v>
      </c>
      <c r="F5674" s="4" t="str">
        <f>IF(D5674="","", IFNA(VLOOKUP(D5674, SATCAT_DECAY!A:B, 2, FALSE), ""))
</f>
        <v/>
      </c>
      <c r="G5674" s="3" t="str">
        <f t="shared" si="1"/>
        <v>ACTIVE</v>
      </c>
    </row>
    <row r="5675" ht="22.5" customHeight="1">
      <c r="A5675" s="11" t="str">
        <f t="array" ref="A5675">IFERROR(
  INDEX('Starlink Launches'!$A:$A, MATCH($E5675, 'Starlink Launches'!$B:$B, 0)),
  ""
)
</f>
        <v>17-7</v>
      </c>
      <c r="B5675" s="3" t="s">
        <v>25</v>
      </c>
      <c r="C5675" s="12" t="s">
        <v>5706</v>
      </c>
      <c r="D5675" s="13">
        <v>65394.0</v>
      </c>
      <c r="E5675" s="4">
        <v>45899.0</v>
      </c>
      <c r="F5675" s="4" t="str">
        <f>IF(D5675="","", IFNA(VLOOKUP(D5675, SATCAT_DECAY!A:B, 2, FALSE), ""))
</f>
        <v/>
      </c>
      <c r="G5675" s="3" t="str">
        <f t="shared" si="1"/>
        <v>ACTIVE</v>
      </c>
    </row>
    <row r="5676" ht="22.5" customHeight="1">
      <c r="A5676" s="11" t="str">
        <f t="array" ref="A5676">IFERROR(
  INDEX('Starlink Launches'!$A:$A, MATCH($E5676, 'Starlink Launches'!$B:$B, 0)),
  ""
)
</f>
        <v>17-7</v>
      </c>
      <c r="B5676" s="3" t="s">
        <v>25</v>
      </c>
      <c r="C5676" s="12" t="s">
        <v>5707</v>
      </c>
      <c r="D5676" s="13">
        <v>65395.0</v>
      </c>
      <c r="E5676" s="4">
        <v>45899.0</v>
      </c>
      <c r="F5676" s="4" t="str">
        <f>IF(D5676="","", IFNA(VLOOKUP(D5676, SATCAT_DECAY!A:B, 2, FALSE), ""))
</f>
        <v/>
      </c>
      <c r="G5676" s="3" t="str">
        <f t="shared" si="1"/>
        <v>ACTIVE</v>
      </c>
    </row>
    <row r="5677" ht="22.5" customHeight="1">
      <c r="A5677" s="11" t="str">
        <f t="array" ref="A5677">IFERROR(
  INDEX('Starlink Launches'!$A:$A, MATCH($E5677, 'Starlink Launches'!$B:$B, 0)),
  ""
)
</f>
        <v>17-7</v>
      </c>
      <c r="B5677" s="3" t="s">
        <v>25</v>
      </c>
      <c r="C5677" s="12" t="s">
        <v>5708</v>
      </c>
      <c r="D5677" s="13">
        <v>65396.0</v>
      </c>
      <c r="E5677" s="4">
        <v>45899.0</v>
      </c>
      <c r="F5677" s="4" t="str">
        <f>IF(D5677="","", IFNA(VLOOKUP(D5677, SATCAT_DECAY!A:B, 2, FALSE), ""))
</f>
        <v/>
      </c>
      <c r="G5677" s="3" t="str">
        <f t="shared" si="1"/>
        <v>ACTIVE</v>
      </c>
    </row>
    <row r="5678" ht="22.5" customHeight="1">
      <c r="A5678" s="11" t="str">
        <f t="array" ref="A5678">IFERROR(
  INDEX('Starlink Launches'!$A:$A, MATCH($E5678, 'Starlink Launches'!$B:$B, 0)),
  ""
)
</f>
        <v>17-7</v>
      </c>
      <c r="B5678" s="3" t="s">
        <v>25</v>
      </c>
      <c r="C5678" s="12" t="s">
        <v>5709</v>
      </c>
      <c r="D5678" s="13">
        <v>65397.0</v>
      </c>
      <c r="E5678" s="4">
        <v>45899.0</v>
      </c>
      <c r="F5678" s="4" t="str">
        <f>IF(D5678="","", IFNA(VLOOKUP(D5678, SATCAT_DECAY!A:B, 2, FALSE), ""))
</f>
        <v/>
      </c>
      <c r="G5678" s="3" t="str">
        <f t="shared" si="1"/>
        <v>ACTIVE</v>
      </c>
    </row>
    <row r="5679" ht="22.5" customHeight="1">
      <c r="A5679" s="11" t="str">
        <f t="array" ref="A5679">IFERROR(
  INDEX('Starlink Launches'!$A:$A, MATCH($E5679, 'Starlink Launches'!$B:$B, 0)),
  ""
)
</f>
        <v>17-7</v>
      </c>
      <c r="B5679" s="3" t="s">
        <v>25</v>
      </c>
      <c r="C5679" s="12" t="s">
        <v>5710</v>
      </c>
      <c r="D5679" s="13">
        <v>65398.0</v>
      </c>
      <c r="E5679" s="4">
        <v>45899.0</v>
      </c>
      <c r="F5679" s="4" t="str">
        <f>IF(D5679="","", IFNA(VLOOKUP(D5679, SATCAT_DECAY!A:B, 2, FALSE), ""))
</f>
        <v/>
      </c>
      <c r="G5679" s="3" t="str">
        <f t="shared" si="1"/>
        <v>ACTIVE</v>
      </c>
    </row>
    <row r="5680" ht="22.5" customHeight="1">
      <c r="A5680" s="11" t="str">
        <f t="array" ref="A5680">IFERROR(
  INDEX('Starlink Launches'!$A:$A, MATCH($E5680, 'Starlink Launches'!$B:$B, 0)),
  ""
)
</f>
        <v>17-7</v>
      </c>
      <c r="B5680" s="3" t="s">
        <v>25</v>
      </c>
      <c r="C5680" s="12" t="s">
        <v>5711</v>
      </c>
      <c r="D5680" s="13">
        <v>65399.0</v>
      </c>
      <c r="E5680" s="4">
        <v>45899.0</v>
      </c>
      <c r="F5680" s="4" t="str">
        <f>IF(D5680="","", IFNA(VLOOKUP(D5680, SATCAT_DECAY!A:B, 2, FALSE), ""))
</f>
        <v/>
      </c>
      <c r="G5680" s="3" t="str">
        <f t="shared" si="1"/>
        <v>ACTIVE</v>
      </c>
    </row>
    <row r="5681" ht="22.5" customHeight="1">
      <c r="A5681" s="11" t="str">
        <f t="array" ref="A5681">IFERROR(
  INDEX('Starlink Launches'!$A:$A, MATCH($E5681, 'Starlink Launches'!$B:$B, 0)),
  ""
)
</f>
        <v>17-7</v>
      </c>
      <c r="B5681" s="3" t="s">
        <v>25</v>
      </c>
      <c r="C5681" s="12" t="s">
        <v>5712</v>
      </c>
      <c r="D5681" s="13">
        <v>65400.0</v>
      </c>
      <c r="E5681" s="4">
        <v>45899.0</v>
      </c>
      <c r="F5681" s="4" t="str">
        <f>IF(D5681="","", IFNA(VLOOKUP(D5681, SATCAT_DECAY!A:B, 2, FALSE), ""))
</f>
        <v/>
      </c>
      <c r="G5681" s="3" t="str">
        <f t="shared" si="1"/>
        <v>ACTIVE</v>
      </c>
    </row>
    <row r="5682" ht="22.5" customHeight="1">
      <c r="A5682" s="11" t="str">
        <f t="array" ref="A5682">IFERROR(
  INDEX('Starlink Launches'!$A:$A, MATCH($E5682, 'Starlink Launches'!$B:$B, 0)),
  ""
)
</f>
        <v>17-7</v>
      </c>
      <c r="B5682" s="3" t="s">
        <v>25</v>
      </c>
      <c r="C5682" s="12" t="s">
        <v>5713</v>
      </c>
      <c r="D5682" s="13">
        <v>65401.0</v>
      </c>
      <c r="E5682" s="4">
        <v>45899.0</v>
      </c>
      <c r="F5682" s="4" t="str">
        <f>IF(D5682="","", IFNA(VLOOKUP(D5682, SATCAT_DECAY!A:B, 2, FALSE), ""))
</f>
        <v/>
      </c>
      <c r="G5682" s="3" t="str">
        <f t="shared" si="1"/>
        <v>ACTIVE</v>
      </c>
    </row>
    <row r="5683" ht="22.5" customHeight="1">
      <c r="A5683" s="11" t="str">
        <f t="array" ref="A5683">IFERROR(
  INDEX('Starlink Launches'!$A:$A, MATCH($E5683, 'Starlink Launches'!$B:$B, 0)),
  ""
)
</f>
        <v>17-7</v>
      </c>
      <c r="B5683" s="3" t="s">
        <v>25</v>
      </c>
      <c r="C5683" s="12" t="s">
        <v>5714</v>
      </c>
      <c r="D5683" s="13">
        <v>65402.0</v>
      </c>
      <c r="E5683" s="4">
        <v>45899.0</v>
      </c>
      <c r="F5683" s="4" t="str">
        <f>IF(D5683="","", IFNA(VLOOKUP(D5683, SATCAT_DECAY!A:B, 2, FALSE), ""))
</f>
        <v/>
      </c>
      <c r="G5683" s="3" t="str">
        <f t="shared" si="1"/>
        <v>ACTIVE</v>
      </c>
    </row>
    <row r="5684" ht="22.5" customHeight="1">
      <c r="A5684" s="3" t="s">
        <v>5715</v>
      </c>
      <c r="B5684" s="3" t="s">
        <v>25</v>
      </c>
      <c r="C5684" s="12" t="s">
        <v>5716</v>
      </c>
      <c r="D5684" s="13">
        <v>65434.0</v>
      </c>
      <c r="E5684" s="4">
        <v>45903.0</v>
      </c>
      <c r="F5684" s="4" t="str">
        <f>IF(D5684="","", IFNA(VLOOKUP(D5684, SATCAT_DECAY!A:B, 2, FALSE), ""))
</f>
        <v/>
      </c>
      <c r="G5684" s="3" t="str">
        <f t="shared" si="1"/>
        <v>ACTIVE</v>
      </c>
    </row>
    <row r="5685" ht="22.5" customHeight="1">
      <c r="A5685" s="3" t="s">
        <v>5715</v>
      </c>
      <c r="B5685" s="3" t="s">
        <v>25</v>
      </c>
      <c r="C5685" s="12" t="s">
        <v>5717</v>
      </c>
      <c r="D5685" s="13">
        <v>65435.0</v>
      </c>
      <c r="E5685" s="4">
        <v>45903.0</v>
      </c>
      <c r="F5685" s="4" t="str">
        <f>IF(D5685="","", IFNA(VLOOKUP(D5685, SATCAT_DECAY!A:B, 2, FALSE), ""))
</f>
        <v/>
      </c>
      <c r="G5685" s="3" t="str">
        <f t="shared" si="1"/>
        <v>ACTIVE</v>
      </c>
    </row>
    <row r="5686" ht="22.5" customHeight="1">
      <c r="A5686" s="3" t="s">
        <v>5715</v>
      </c>
      <c r="B5686" s="3" t="s">
        <v>25</v>
      </c>
      <c r="C5686" s="12" t="s">
        <v>5718</v>
      </c>
      <c r="D5686" s="13">
        <v>65436.0</v>
      </c>
      <c r="E5686" s="4">
        <v>45903.0</v>
      </c>
      <c r="F5686" s="4" t="str">
        <f>IF(D5686="","", IFNA(VLOOKUP(D5686, SATCAT_DECAY!A:B, 2, FALSE), ""))
</f>
        <v/>
      </c>
      <c r="G5686" s="3" t="str">
        <f t="shared" si="1"/>
        <v>ACTIVE</v>
      </c>
    </row>
    <row r="5687" ht="22.5" customHeight="1">
      <c r="A5687" s="3" t="s">
        <v>5715</v>
      </c>
      <c r="B5687" s="3" t="s">
        <v>25</v>
      </c>
      <c r="C5687" s="12" t="s">
        <v>5719</v>
      </c>
      <c r="D5687" s="13">
        <v>65437.0</v>
      </c>
      <c r="E5687" s="4">
        <v>45903.0</v>
      </c>
      <c r="F5687" s="4" t="str">
        <f>IF(D5687="","", IFNA(VLOOKUP(D5687, SATCAT_DECAY!A:B, 2, FALSE), ""))
</f>
        <v/>
      </c>
      <c r="G5687" s="3" t="str">
        <f t="shared" si="1"/>
        <v>ACTIVE</v>
      </c>
    </row>
    <row r="5688" ht="22.5" customHeight="1">
      <c r="A5688" s="3" t="s">
        <v>5715</v>
      </c>
      <c r="B5688" s="3" t="s">
        <v>25</v>
      </c>
      <c r="C5688" s="12" t="s">
        <v>5720</v>
      </c>
      <c r="D5688" s="13">
        <v>65438.0</v>
      </c>
      <c r="E5688" s="4">
        <v>45903.0</v>
      </c>
      <c r="F5688" s="4" t="str">
        <f>IF(D5688="","", IFNA(VLOOKUP(D5688, SATCAT_DECAY!A:B, 2, FALSE), ""))
</f>
        <v/>
      </c>
      <c r="G5688" s="3" t="str">
        <f t="shared" si="1"/>
        <v>ACTIVE</v>
      </c>
    </row>
    <row r="5689" ht="22.5" customHeight="1">
      <c r="A5689" s="3" t="s">
        <v>5715</v>
      </c>
      <c r="B5689" s="3" t="s">
        <v>25</v>
      </c>
      <c r="C5689" s="12" t="s">
        <v>5721</v>
      </c>
      <c r="D5689" s="13">
        <v>65439.0</v>
      </c>
      <c r="E5689" s="4">
        <v>45903.0</v>
      </c>
      <c r="F5689" s="4" t="str">
        <f>IF(D5689="","", IFNA(VLOOKUP(D5689, SATCAT_DECAY!A:B, 2, FALSE), ""))
</f>
        <v/>
      </c>
      <c r="G5689" s="3" t="str">
        <f t="shared" si="1"/>
        <v>ACTIVE</v>
      </c>
    </row>
    <row r="5690" ht="22.5" customHeight="1">
      <c r="A5690" s="3" t="s">
        <v>5715</v>
      </c>
      <c r="B5690" s="3" t="s">
        <v>25</v>
      </c>
      <c r="C5690" s="12" t="s">
        <v>5722</v>
      </c>
      <c r="D5690" s="13">
        <v>65440.0</v>
      </c>
      <c r="E5690" s="4">
        <v>45903.0</v>
      </c>
      <c r="F5690" s="4" t="str">
        <f>IF(D5690="","", IFNA(VLOOKUP(D5690, SATCAT_DECAY!A:B, 2, FALSE), ""))
</f>
        <v/>
      </c>
      <c r="G5690" s="3" t="str">
        <f t="shared" si="1"/>
        <v>ACTIVE</v>
      </c>
    </row>
    <row r="5691" ht="22.5" customHeight="1">
      <c r="A5691" s="3" t="s">
        <v>5715</v>
      </c>
      <c r="B5691" s="3" t="s">
        <v>25</v>
      </c>
      <c r="C5691" s="12" t="s">
        <v>5723</v>
      </c>
      <c r="D5691" s="13">
        <v>65441.0</v>
      </c>
      <c r="E5691" s="4">
        <v>45903.0</v>
      </c>
      <c r="F5691" s="4" t="str">
        <f>IF(D5691="","", IFNA(VLOOKUP(D5691, SATCAT_DECAY!A:B, 2, FALSE), ""))
</f>
        <v/>
      </c>
      <c r="G5691" s="3" t="str">
        <f t="shared" si="1"/>
        <v>ACTIVE</v>
      </c>
    </row>
    <row r="5692" ht="22.5" customHeight="1">
      <c r="A5692" s="3" t="s">
        <v>5715</v>
      </c>
      <c r="B5692" s="3" t="s">
        <v>25</v>
      </c>
      <c r="C5692" s="12" t="s">
        <v>5724</v>
      </c>
      <c r="D5692" s="13">
        <v>65442.0</v>
      </c>
      <c r="E5692" s="4">
        <v>45903.0</v>
      </c>
      <c r="F5692" s="4" t="str">
        <f>IF(D5692="","", IFNA(VLOOKUP(D5692, SATCAT_DECAY!A:B, 2, FALSE), ""))
</f>
        <v/>
      </c>
      <c r="G5692" s="3" t="str">
        <f t="shared" si="1"/>
        <v>ACTIVE</v>
      </c>
    </row>
    <row r="5693" ht="22.5" customHeight="1">
      <c r="A5693" s="3" t="s">
        <v>5715</v>
      </c>
      <c r="B5693" s="3" t="s">
        <v>25</v>
      </c>
      <c r="C5693" s="12" t="s">
        <v>5725</v>
      </c>
      <c r="D5693" s="13">
        <v>65443.0</v>
      </c>
      <c r="E5693" s="4">
        <v>45903.0</v>
      </c>
      <c r="F5693" s="4" t="str">
        <f>IF(D5693="","", IFNA(VLOOKUP(D5693, SATCAT_DECAY!A:B, 2, FALSE), ""))
</f>
        <v/>
      </c>
      <c r="G5693" s="3" t="str">
        <f t="shared" si="1"/>
        <v>ACTIVE</v>
      </c>
    </row>
    <row r="5694" ht="22.5" customHeight="1">
      <c r="A5694" s="3" t="s">
        <v>5715</v>
      </c>
      <c r="B5694" s="3" t="s">
        <v>25</v>
      </c>
      <c r="C5694" s="12" t="s">
        <v>5726</v>
      </c>
      <c r="D5694" s="13">
        <v>65444.0</v>
      </c>
      <c r="E5694" s="4">
        <v>45903.0</v>
      </c>
      <c r="F5694" s="4" t="str">
        <f>IF(D5694="","", IFNA(VLOOKUP(D5694, SATCAT_DECAY!A:B, 2, FALSE), ""))
</f>
        <v/>
      </c>
      <c r="G5694" s="3" t="str">
        <f t="shared" si="1"/>
        <v>ACTIVE</v>
      </c>
    </row>
    <row r="5695" ht="22.5" customHeight="1">
      <c r="A5695" s="3" t="s">
        <v>5715</v>
      </c>
      <c r="B5695" s="3" t="s">
        <v>25</v>
      </c>
      <c r="C5695" s="12" t="s">
        <v>5727</v>
      </c>
      <c r="D5695" s="13">
        <v>65445.0</v>
      </c>
      <c r="E5695" s="4">
        <v>45903.0</v>
      </c>
      <c r="F5695" s="4" t="str">
        <f>IF(D5695="","", IFNA(VLOOKUP(D5695, SATCAT_DECAY!A:B, 2, FALSE), ""))
</f>
        <v/>
      </c>
      <c r="G5695" s="3" t="str">
        <f t="shared" si="1"/>
        <v>ACTIVE</v>
      </c>
    </row>
    <row r="5696" ht="22.5" customHeight="1">
      <c r="A5696" s="3" t="s">
        <v>5715</v>
      </c>
      <c r="B5696" s="3" t="s">
        <v>25</v>
      </c>
      <c r="C5696" s="12" t="s">
        <v>5728</v>
      </c>
      <c r="D5696" s="13">
        <v>65446.0</v>
      </c>
      <c r="E5696" s="4">
        <v>45903.0</v>
      </c>
      <c r="F5696" s="4" t="str">
        <f>IF(D5696="","", IFNA(VLOOKUP(D5696, SATCAT_DECAY!A:B, 2, FALSE), ""))
</f>
        <v/>
      </c>
      <c r="G5696" s="3" t="str">
        <f t="shared" si="1"/>
        <v>ACTIVE</v>
      </c>
    </row>
    <row r="5697" ht="22.5" customHeight="1">
      <c r="A5697" s="3" t="s">
        <v>5715</v>
      </c>
      <c r="B5697" s="3" t="s">
        <v>25</v>
      </c>
      <c r="C5697" s="12" t="s">
        <v>5729</v>
      </c>
      <c r="D5697" s="13">
        <v>65447.0</v>
      </c>
      <c r="E5697" s="4">
        <v>45903.0</v>
      </c>
      <c r="F5697" s="4" t="str">
        <f>IF(D5697="","", IFNA(VLOOKUP(D5697, SATCAT_DECAY!A:B, 2, FALSE), ""))
</f>
        <v/>
      </c>
      <c r="G5697" s="3" t="str">
        <f t="shared" si="1"/>
        <v>ACTIVE</v>
      </c>
    </row>
    <row r="5698" ht="22.5" customHeight="1">
      <c r="A5698" s="3" t="s">
        <v>5715</v>
      </c>
      <c r="B5698" s="3" t="s">
        <v>25</v>
      </c>
      <c r="C5698" s="12" t="s">
        <v>5730</v>
      </c>
      <c r="D5698" s="13">
        <v>65448.0</v>
      </c>
      <c r="E5698" s="4">
        <v>45903.0</v>
      </c>
      <c r="F5698" s="4" t="str">
        <f>IF(D5698="","", IFNA(VLOOKUP(D5698, SATCAT_DECAY!A:B, 2, FALSE), ""))
</f>
        <v/>
      </c>
      <c r="G5698" s="3" t="str">
        <f t="shared" si="1"/>
        <v>ACTIVE</v>
      </c>
    </row>
    <row r="5699" ht="22.5" customHeight="1">
      <c r="A5699" s="3" t="s">
        <v>5715</v>
      </c>
      <c r="B5699" s="3" t="s">
        <v>25</v>
      </c>
      <c r="C5699" s="12" t="s">
        <v>5731</v>
      </c>
      <c r="D5699" s="13">
        <v>65449.0</v>
      </c>
      <c r="E5699" s="4">
        <v>45903.0</v>
      </c>
      <c r="F5699" s="4" t="str">
        <f>IF(D5699="","", IFNA(VLOOKUP(D5699, SATCAT_DECAY!A:B, 2, FALSE), ""))
</f>
        <v/>
      </c>
      <c r="G5699" s="3" t="str">
        <f t="shared" si="1"/>
        <v>ACTIVE</v>
      </c>
    </row>
    <row r="5700" ht="22.5" customHeight="1">
      <c r="A5700" s="3" t="s">
        <v>5715</v>
      </c>
      <c r="B5700" s="3" t="s">
        <v>25</v>
      </c>
      <c r="C5700" s="12" t="s">
        <v>5732</v>
      </c>
      <c r="D5700" s="13">
        <v>65450.0</v>
      </c>
      <c r="E5700" s="4">
        <v>45903.0</v>
      </c>
      <c r="F5700" s="4" t="str">
        <f>IF(D5700="","", IFNA(VLOOKUP(D5700, SATCAT_DECAY!A:B, 2, FALSE), ""))
</f>
        <v/>
      </c>
      <c r="G5700" s="3" t="str">
        <f t="shared" si="1"/>
        <v>ACTIVE</v>
      </c>
    </row>
    <row r="5701" ht="22.5" customHeight="1">
      <c r="A5701" s="3" t="s">
        <v>5715</v>
      </c>
      <c r="B5701" s="3" t="s">
        <v>25</v>
      </c>
      <c r="C5701" s="12" t="s">
        <v>5733</v>
      </c>
      <c r="D5701" s="13">
        <v>65451.0</v>
      </c>
      <c r="E5701" s="4">
        <v>45903.0</v>
      </c>
      <c r="F5701" s="4" t="str">
        <f>IF(D5701="","", IFNA(VLOOKUP(D5701, SATCAT_DECAY!A:B, 2, FALSE), ""))
</f>
        <v/>
      </c>
      <c r="G5701" s="3" t="str">
        <f t="shared" si="1"/>
        <v>ACTIVE</v>
      </c>
    </row>
    <row r="5702" ht="22.5" customHeight="1">
      <c r="A5702" s="3" t="s">
        <v>5715</v>
      </c>
      <c r="B5702" s="3" t="s">
        <v>25</v>
      </c>
      <c r="C5702" s="12" t="s">
        <v>5734</v>
      </c>
      <c r="D5702" s="13">
        <v>65452.0</v>
      </c>
      <c r="E5702" s="4">
        <v>45903.0</v>
      </c>
      <c r="F5702" s="4" t="str">
        <f>IF(D5702="","", IFNA(VLOOKUP(D5702, SATCAT_DECAY!A:B, 2, FALSE), ""))
</f>
        <v/>
      </c>
      <c r="G5702" s="3" t="str">
        <f t="shared" si="1"/>
        <v>ACTIVE</v>
      </c>
    </row>
    <row r="5703" ht="22.5" customHeight="1">
      <c r="A5703" s="3" t="s">
        <v>5715</v>
      </c>
      <c r="B5703" s="3" t="s">
        <v>25</v>
      </c>
      <c r="C5703" s="12" t="s">
        <v>5735</v>
      </c>
      <c r="D5703" s="13">
        <v>65453.0</v>
      </c>
      <c r="E5703" s="4">
        <v>45903.0</v>
      </c>
      <c r="F5703" s="4" t="str">
        <f>IF(D5703="","", IFNA(VLOOKUP(D5703, SATCAT_DECAY!A:B, 2, FALSE), ""))
</f>
        <v/>
      </c>
      <c r="G5703" s="3" t="str">
        <f t="shared" si="1"/>
        <v>ACTIVE</v>
      </c>
    </row>
    <row r="5704" ht="22.5" customHeight="1">
      <c r="A5704" s="3" t="s">
        <v>5715</v>
      </c>
      <c r="B5704" s="3" t="s">
        <v>25</v>
      </c>
      <c r="C5704" s="12" t="s">
        <v>5736</v>
      </c>
      <c r="D5704" s="13">
        <v>65454.0</v>
      </c>
      <c r="E5704" s="4">
        <v>45903.0</v>
      </c>
      <c r="F5704" s="4" t="str">
        <f>IF(D5704="","", IFNA(VLOOKUP(D5704, SATCAT_DECAY!A:B, 2, FALSE), ""))
</f>
        <v/>
      </c>
      <c r="G5704" s="3" t="str">
        <f t="shared" si="1"/>
        <v>ACTIVE</v>
      </c>
    </row>
    <row r="5705" ht="22.5" customHeight="1">
      <c r="A5705" s="3" t="s">
        <v>5715</v>
      </c>
      <c r="B5705" s="3" t="s">
        <v>25</v>
      </c>
      <c r="C5705" s="12" t="s">
        <v>5737</v>
      </c>
      <c r="D5705" s="13">
        <v>65455.0</v>
      </c>
      <c r="E5705" s="4">
        <v>45903.0</v>
      </c>
      <c r="F5705" s="4" t="str">
        <f>IF(D5705="","", IFNA(VLOOKUP(D5705, SATCAT_DECAY!A:B, 2, FALSE), ""))
</f>
        <v/>
      </c>
      <c r="G5705" s="3" t="str">
        <f t="shared" si="1"/>
        <v>ACTIVE</v>
      </c>
    </row>
    <row r="5706" ht="22.5" customHeight="1">
      <c r="A5706" s="3" t="s">
        <v>5715</v>
      </c>
      <c r="B5706" s="3" t="s">
        <v>25</v>
      </c>
      <c r="C5706" s="12" t="s">
        <v>5738</v>
      </c>
      <c r="D5706" s="13">
        <v>65456.0</v>
      </c>
      <c r="E5706" s="4">
        <v>45903.0</v>
      </c>
      <c r="F5706" s="4" t="str">
        <f>IF(D5706="","", IFNA(VLOOKUP(D5706, SATCAT_DECAY!A:B, 2, FALSE), ""))
</f>
        <v/>
      </c>
      <c r="G5706" s="3" t="str">
        <f t="shared" si="1"/>
        <v>ACTIVE</v>
      </c>
    </row>
    <row r="5707" ht="22.5" customHeight="1">
      <c r="A5707" s="3" t="s">
        <v>5715</v>
      </c>
      <c r="B5707" s="3" t="s">
        <v>25</v>
      </c>
      <c r="C5707" s="12" t="s">
        <v>5739</v>
      </c>
      <c r="D5707" s="13">
        <v>65457.0</v>
      </c>
      <c r="E5707" s="4">
        <v>45903.0</v>
      </c>
      <c r="F5707" s="4" t="str">
        <f>IF(D5707="","", IFNA(VLOOKUP(D5707, SATCAT_DECAY!A:B, 2, FALSE), ""))
</f>
        <v/>
      </c>
      <c r="G5707" s="3" t="str">
        <f t="shared" si="1"/>
        <v>ACTIVE</v>
      </c>
    </row>
    <row r="5708" ht="22.5" customHeight="1">
      <c r="A5708" s="11" t="str">
        <f t="array" ref="A5708">IFERROR(
  INDEX('Starlink Launches'!$A:$A, MATCH($E5708, 'Starlink Launches'!$B:$B, 0)),
  ""
)
</f>
        <v>17-9</v>
      </c>
      <c r="B5708" s="3" t="s">
        <v>25</v>
      </c>
      <c r="C5708" s="12" t="s">
        <v>5740</v>
      </c>
      <c r="D5708" s="13">
        <v>65520.0</v>
      </c>
      <c r="E5708" s="4">
        <v>45906.0</v>
      </c>
      <c r="F5708" s="4" t="str">
        <f>IF(D5708="","", IFNA(VLOOKUP(D5708, SATCAT_DECAY!A:B, 2, FALSE), ""))
</f>
        <v/>
      </c>
      <c r="G5708" s="3" t="str">
        <f t="shared" si="1"/>
        <v>ACTIVE</v>
      </c>
    </row>
    <row r="5709" ht="22.5" customHeight="1">
      <c r="A5709" s="11" t="str">
        <f t="array" ref="A5709">IFERROR(
  INDEX('Starlink Launches'!$A:$A, MATCH($E5709, 'Starlink Launches'!$B:$B, 0)),
  ""
)
</f>
        <v>17-9</v>
      </c>
      <c r="B5709" s="3" t="s">
        <v>25</v>
      </c>
      <c r="C5709" s="12" t="s">
        <v>5741</v>
      </c>
      <c r="D5709" s="13">
        <v>65521.0</v>
      </c>
      <c r="E5709" s="4">
        <v>45906.0</v>
      </c>
      <c r="F5709" s="4" t="str">
        <f>IF(D5709="","", IFNA(VLOOKUP(D5709, SATCAT_DECAY!A:B, 2, FALSE), ""))
</f>
        <v/>
      </c>
      <c r="G5709" s="3" t="str">
        <f t="shared" si="1"/>
        <v>ACTIVE</v>
      </c>
    </row>
    <row r="5710" ht="22.5" customHeight="1">
      <c r="A5710" s="11" t="str">
        <f t="array" ref="A5710">IFERROR(
  INDEX('Starlink Launches'!$A:$A, MATCH($E5710, 'Starlink Launches'!$B:$B, 0)),
  ""
)
</f>
        <v>17-9</v>
      </c>
      <c r="B5710" s="3" t="s">
        <v>25</v>
      </c>
      <c r="C5710" s="12" t="s">
        <v>5742</v>
      </c>
      <c r="D5710" s="13">
        <v>65522.0</v>
      </c>
      <c r="E5710" s="4">
        <v>45906.0</v>
      </c>
      <c r="F5710" s="4" t="str">
        <f>IF(D5710="","", IFNA(VLOOKUP(D5710, SATCAT_DECAY!A:B, 2, FALSE), ""))
</f>
        <v/>
      </c>
      <c r="G5710" s="3" t="str">
        <f t="shared" si="1"/>
        <v>ACTIVE</v>
      </c>
    </row>
    <row r="5711" ht="22.5" customHeight="1">
      <c r="A5711" s="11" t="str">
        <f t="array" ref="A5711">IFERROR(
  INDEX('Starlink Launches'!$A:$A, MATCH($E5711, 'Starlink Launches'!$B:$B, 0)),
  ""
)
</f>
        <v>17-9</v>
      </c>
      <c r="B5711" s="3" t="s">
        <v>25</v>
      </c>
      <c r="C5711" s="12" t="s">
        <v>5743</v>
      </c>
      <c r="D5711" s="13">
        <v>65523.0</v>
      </c>
      <c r="E5711" s="4">
        <v>45906.0</v>
      </c>
      <c r="F5711" s="4" t="str">
        <f>IF(D5711="","", IFNA(VLOOKUP(D5711, SATCAT_DECAY!A:B, 2, FALSE), ""))
</f>
        <v/>
      </c>
      <c r="G5711" s="3" t="str">
        <f t="shared" si="1"/>
        <v>ACTIVE</v>
      </c>
    </row>
    <row r="5712" ht="22.5" customHeight="1">
      <c r="A5712" s="11" t="str">
        <f t="array" ref="A5712">IFERROR(
  INDEX('Starlink Launches'!$A:$A, MATCH($E5712, 'Starlink Launches'!$B:$B, 0)),
  ""
)
</f>
        <v>17-9</v>
      </c>
      <c r="B5712" s="3" t="s">
        <v>25</v>
      </c>
      <c r="C5712" s="12" t="s">
        <v>5744</v>
      </c>
      <c r="D5712" s="13">
        <v>65524.0</v>
      </c>
      <c r="E5712" s="4">
        <v>45906.0</v>
      </c>
      <c r="F5712" s="4" t="str">
        <f>IF(D5712="","", IFNA(VLOOKUP(D5712, SATCAT_DECAY!A:B, 2, FALSE), ""))
</f>
        <v/>
      </c>
      <c r="G5712" s="3" t="str">
        <f t="shared" si="1"/>
        <v>ACTIVE</v>
      </c>
    </row>
    <row r="5713" ht="22.5" customHeight="1">
      <c r="A5713" s="11" t="str">
        <f t="array" ref="A5713">IFERROR(
  INDEX('Starlink Launches'!$A:$A, MATCH($E5713, 'Starlink Launches'!$B:$B, 0)),
  ""
)
</f>
        <v>17-9</v>
      </c>
      <c r="B5713" s="3" t="s">
        <v>25</v>
      </c>
      <c r="C5713" s="12" t="s">
        <v>5745</v>
      </c>
      <c r="D5713" s="13">
        <v>65525.0</v>
      </c>
      <c r="E5713" s="4">
        <v>45906.0</v>
      </c>
      <c r="F5713" s="4" t="str">
        <f>IF(D5713="","", IFNA(VLOOKUP(D5713, SATCAT_DECAY!A:B, 2, FALSE), ""))
</f>
        <v/>
      </c>
      <c r="G5713" s="3" t="str">
        <f t="shared" si="1"/>
        <v>ACTIVE</v>
      </c>
    </row>
    <row r="5714" ht="22.5" customHeight="1">
      <c r="A5714" s="11" t="str">
        <f t="array" ref="A5714">IFERROR(
  INDEX('Starlink Launches'!$A:$A, MATCH($E5714, 'Starlink Launches'!$B:$B, 0)),
  ""
)
</f>
        <v>17-9</v>
      </c>
      <c r="B5714" s="3" t="s">
        <v>25</v>
      </c>
      <c r="C5714" s="12" t="s">
        <v>5746</v>
      </c>
      <c r="D5714" s="13">
        <v>65526.0</v>
      </c>
      <c r="E5714" s="4">
        <v>45906.0</v>
      </c>
      <c r="F5714" s="4" t="str">
        <f>IF(D5714="","", IFNA(VLOOKUP(D5714, SATCAT_DECAY!A:B, 2, FALSE), ""))
</f>
        <v/>
      </c>
      <c r="G5714" s="3" t="str">
        <f t="shared" si="1"/>
        <v>ACTIVE</v>
      </c>
    </row>
    <row r="5715" ht="22.5" customHeight="1">
      <c r="A5715" s="11" t="str">
        <f t="array" ref="A5715">IFERROR(
  INDEX('Starlink Launches'!$A:$A, MATCH($E5715, 'Starlink Launches'!$B:$B, 0)),
  ""
)
</f>
        <v>17-9</v>
      </c>
      <c r="B5715" s="3" t="s">
        <v>25</v>
      </c>
      <c r="C5715" s="12" t="s">
        <v>5747</v>
      </c>
      <c r="D5715" s="13">
        <v>65527.0</v>
      </c>
      <c r="E5715" s="4">
        <v>45906.0</v>
      </c>
      <c r="F5715" s="4" t="str">
        <f>IF(D5715="","", IFNA(VLOOKUP(D5715, SATCAT_DECAY!A:B, 2, FALSE), ""))
</f>
        <v/>
      </c>
      <c r="G5715" s="3" t="str">
        <f t="shared" si="1"/>
        <v>ACTIVE</v>
      </c>
    </row>
    <row r="5716" ht="22.5" customHeight="1">
      <c r="A5716" s="11" t="str">
        <f t="array" ref="A5716">IFERROR(
  INDEX('Starlink Launches'!$A:$A, MATCH($E5716, 'Starlink Launches'!$B:$B, 0)),
  ""
)
</f>
        <v>17-9</v>
      </c>
      <c r="B5716" s="3" t="s">
        <v>25</v>
      </c>
      <c r="C5716" s="12" t="s">
        <v>5748</v>
      </c>
      <c r="D5716" s="13">
        <v>65528.0</v>
      </c>
      <c r="E5716" s="4">
        <v>45906.0</v>
      </c>
      <c r="F5716" s="4" t="str">
        <f>IF(D5716="","", IFNA(VLOOKUP(D5716, SATCAT_DECAY!A:B, 2, FALSE), ""))
</f>
        <v/>
      </c>
      <c r="G5716" s="3" t="str">
        <f t="shared" si="1"/>
        <v>ACTIVE</v>
      </c>
    </row>
    <row r="5717" ht="22.5" customHeight="1">
      <c r="A5717" s="11" t="str">
        <f t="array" ref="A5717">IFERROR(
  INDEX('Starlink Launches'!$A:$A, MATCH($E5717, 'Starlink Launches'!$B:$B, 0)),
  ""
)
</f>
        <v>17-9</v>
      </c>
      <c r="B5717" s="3" t="s">
        <v>25</v>
      </c>
      <c r="C5717" s="12" t="s">
        <v>5749</v>
      </c>
      <c r="D5717" s="13">
        <v>65529.0</v>
      </c>
      <c r="E5717" s="4">
        <v>45906.0</v>
      </c>
      <c r="F5717" s="4" t="str">
        <f>IF(D5717="","", IFNA(VLOOKUP(D5717, SATCAT_DECAY!A:B, 2, FALSE), ""))
</f>
        <v/>
      </c>
      <c r="G5717" s="3" t="str">
        <f t="shared" si="1"/>
        <v>ACTIVE</v>
      </c>
    </row>
    <row r="5718" ht="22.5" customHeight="1">
      <c r="A5718" s="11" t="str">
        <f t="array" ref="A5718">IFERROR(
  INDEX('Starlink Launches'!$A:$A, MATCH($E5718, 'Starlink Launches'!$B:$B, 0)),
  ""
)
</f>
        <v>17-9</v>
      </c>
      <c r="B5718" s="3" t="s">
        <v>25</v>
      </c>
      <c r="C5718" s="12" t="s">
        <v>5750</v>
      </c>
      <c r="D5718" s="13">
        <v>65530.0</v>
      </c>
      <c r="E5718" s="4">
        <v>45906.0</v>
      </c>
      <c r="F5718" s="4" t="str">
        <f>IF(D5718="","", IFNA(VLOOKUP(D5718, SATCAT_DECAY!A:B, 2, FALSE), ""))
</f>
        <v/>
      </c>
      <c r="G5718" s="3" t="str">
        <f t="shared" si="1"/>
        <v>ACTIVE</v>
      </c>
    </row>
    <row r="5719" ht="22.5" customHeight="1">
      <c r="A5719" s="11" t="str">
        <f t="array" ref="A5719">IFERROR(
  INDEX('Starlink Launches'!$A:$A, MATCH($E5719, 'Starlink Launches'!$B:$B, 0)),
  ""
)
</f>
        <v>17-9</v>
      </c>
      <c r="B5719" s="3" t="s">
        <v>25</v>
      </c>
      <c r="C5719" s="12" t="s">
        <v>5751</v>
      </c>
      <c r="D5719" s="13">
        <v>65531.0</v>
      </c>
      <c r="E5719" s="4">
        <v>45906.0</v>
      </c>
      <c r="F5719" s="4" t="str">
        <f>IF(D5719="","", IFNA(VLOOKUP(D5719, SATCAT_DECAY!A:B, 2, FALSE), ""))
</f>
        <v/>
      </c>
      <c r="G5719" s="3" t="str">
        <f t="shared" si="1"/>
        <v>ACTIVE</v>
      </c>
    </row>
    <row r="5720" ht="22.5" customHeight="1">
      <c r="A5720" s="11" t="str">
        <f t="array" ref="A5720">IFERROR(
  INDEX('Starlink Launches'!$A:$A, MATCH($E5720, 'Starlink Launches'!$B:$B, 0)),
  ""
)
</f>
        <v>17-9</v>
      </c>
      <c r="B5720" s="3" t="s">
        <v>25</v>
      </c>
      <c r="C5720" s="12" t="s">
        <v>5752</v>
      </c>
      <c r="D5720" s="13">
        <v>65532.0</v>
      </c>
      <c r="E5720" s="4">
        <v>45906.0</v>
      </c>
      <c r="F5720" s="4" t="str">
        <f>IF(D5720="","", IFNA(VLOOKUP(D5720, SATCAT_DECAY!A:B, 2, FALSE), ""))
</f>
        <v/>
      </c>
      <c r="G5720" s="3" t="str">
        <f t="shared" si="1"/>
        <v>ACTIVE</v>
      </c>
    </row>
    <row r="5721" ht="22.5" customHeight="1">
      <c r="A5721" s="11" t="str">
        <f t="array" ref="A5721">IFERROR(
  INDEX('Starlink Launches'!$A:$A, MATCH($E5721, 'Starlink Launches'!$B:$B, 0)),
  ""
)
</f>
        <v>17-9</v>
      </c>
      <c r="B5721" s="3" t="s">
        <v>25</v>
      </c>
      <c r="C5721" s="12" t="s">
        <v>5753</v>
      </c>
      <c r="D5721" s="13">
        <v>65533.0</v>
      </c>
      <c r="E5721" s="4">
        <v>45906.0</v>
      </c>
      <c r="F5721" s="4" t="str">
        <f>IF(D5721="","", IFNA(VLOOKUP(D5721, SATCAT_DECAY!A:B, 2, FALSE), ""))
</f>
        <v/>
      </c>
      <c r="G5721" s="3" t="str">
        <f t="shared" si="1"/>
        <v>ACTIVE</v>
      </c>
    </row>
    <row r="5722" ht="22.5" customHeight="1">
      <c r="A5722" s="11" t="str">
        <f t="array" ref="A5722">IFERROR(
  INDEX('Starlink Launches'!$A:$A, MATCH($E5722, 'Starlink Launches'!$B:$B, 0)),
  ""
)
</f>
        <v>17-9</v>
      </c>
      <c r="B5722" s="3" t="s">
        <v>25</v>
      </c>
      <c r="C5722" s="12" t="s">
        <v>5754</v>
      </c>
      <c r="D5722" s="13">
        <v>65534.0</v>
      </c>
      <c r="E5722" s="4">
        <v>45906.0</v>
      </c>
      <c r="F5722" s="4" t="str">
        <f>IF(D5722="","", IFNA(VLOOKUP(D5722, SATCAT_DECAY!A:B, 2, FALSE), ""))
</f>
        <v/>
      </c>
      <c r="G5722" s="3" t="str">
        <f t="shared" si="1"/>
        <v>ACTIVE</v>
      </c>
    </row>
    <row r="5723" ht="22.5" customHeight="1">
      <c r="A5723" s="11" t="str">
        <f t="array" ref="A5723">IFERROR(
  INDEX('Starlink Launches'!$A:$A, MATCH($E5723, 'Starlink Launches'!$B:$B, 0)),
  ""
)
</f>
        <v>17-9</v>
      </c>
      <c r="B5723" s="3" t="s">
        <v>25</v>
      </c>
      <c r="C5723" s="12" t="s">
        <v>5755</v>
      </c>
      <c r="D5723" s="13">
        <v>65535.0</v>
      </c>
      <c r="E5723" s="4">
        <v>45906.0</v>
      </c>
      <c r="F5723" s="4" t="str">
        <f>IF(D5723="","", IFNA(VLOOKUP(D5723, SATCAT_DECAY!A:B, 2, FALSE), ""))
</f>
        <v/>
      </c>
      <c r="G5723" s="3" t="str">
        <f t="shared" si="1"/>
        <v>ACTIVE</v>
      </c>
    </row>
    <row r="5724" ht="22.5" customHeight="1">
      <c r="A5724" s="11" t="str">
        <f t="array" ref="A5724">IFERROR(
  INDEX('Starlink Launches'!$A:$A, MATCH($E5724, 'Starlink Launches'!$B:$B, 0)),
  ""
)
</f>
        <v>17-9</v>
      </c>
      <c r="B5724" s="3" t="s">
        <v>25</v>
      </c>
      <c r="C5724" s="12" t="s">
        <v>5756</v>
      </c>
      <c r="D5724" s="13">
        <v>65536.0</v>
      </c>
      <c r="E5724" s="4">
        <v>45906.0</v>
      </c>
      <c r="F5724" s="4" t="str">
        <f>IF(D5724="","", IFNA(VLOOKUP(D5724, SATCAT_DECAY!A:B, 2, FALSE), ""))
</f>
        <v/>
      </c>
      <c r="G5724" s="3" t="str">
        <f t="shared" si="1"/>
        <v>ACTIVE</v>
      </c>
    </row>
    <row r="5725" ht="22.5" customHeight="1">
      <c r="A5725" s="11" t="str">
        <f t="array" ref="A5725">IFERROR(
  INDEX('Starlink Launches'!$A:$A, MATCH($E5725, 'Starlink Launches'!$B:$B, 0)),
  ""
)
</f>
        <v>17-9</v>
      </c>
      <c r="B5725" s="3" t="s">
        <v>25</v>
      </c>
      <c r="C5725" s="12" t="s">
        <v>5757</v>
      </c>
      <c r="D5725" s="13">
        <v>65537.0</v>
      </c>
      <c r="E5725" s="4">
        <v>45906.0</v>
      </c>
      <c r="F5725" s="4" t="str">
        <f>IF(D5725="","", IFNA(VLOOKUP(D5725, SATCAT_DECAY!A:B, 2, FALSE), ""))
</f>
        <v/>
      </c>
      <c r="G5725" s="3" t="str">
        <f t="shared" si="1"/>
        <v>ACTIVE</v>
      </c>
    </row>
    <row r="5726" ht="22.5" customHeight="1">
      <c r="A5726" s="11" t="str">
        <f t="array" ref="A5726">IFERROR(
  INDEX('Starlink Launches'!$A:$A, MATCH($E5726, 'Starlink Launches'!$B:$B, 0)),
  ""
)
</f>
        <v>17-9</v>
      </c>
      <c r="B5726" s="3" t="s">
        <v>25</v>
      </c>
      <c r="C5726" s="12" t="s">
        <v>5758</v>
      </c>
      <c r="D5726" s="13">
        <v>65538.0</v>
      </c>
      <c r="E5726" s="4">
        <v>45906.0</v>
      </c>
      <c r="F5726" s="4" t="str">
        <f>IF(D5726="","", IFNA(VLOOKUP(D5726, SATCAT_DECAY!A:B, 2, FALSE), ""))
</f>
        <v/>
      </c>
      <c r="G5726" s="3" t="str">
        <f t="shared" si="1"/>
        <v>ACTIVE</v>
      </c>
    </row>
    <row r="5727" ht="22.5" customHeight="1">
      <c r="A5727" s="11" t="str">
        <f t="array" ref="A5727">IFERROR(
  INDEX('Starlink Launches'!$A:$A, MATCH($E5727, 'Starlink Launches'!$B:$B, 0)),
  ""
)
</f>
        <v>17-9</v>
      </c>
      <c r="B5727" s="3" t="s">
        <v>25</v>
      </c>
      <c r="C5727" s="12" t="s">
        <v>5759</v>
      </c>
      <c r="D5727" s="13">
        <v>65539.0</v>
      </c>
      <c r="E5727" s="4">
        <v>45906.0</v>
      </c>
      <c r="F5727" s="4" t="str">
        <f>IF(D5727="","", IFNA(VLOOKUP(D5727, SATCAT_DECAY!A:B, 2, FALSE), ""))
</f>
        <v/>
      </c>
      <c r="G5727" s="3" t="str">
        <f t="shared" si="1"/>
        <v>ACTIVE</v>
      </c>
    </row>
    <row r="5728" ht="22.5" customHeight="1">
      <c r="A5728" s="11" t="str">
        <f t="array" ref="A5728">IFERROR(
  INDEX('Starlink Launches'!$A:$A, MATCH($E5728, 'Starlink Launches'!$B:$B, 0)),
  ""
)
</f>
        <v>17-9</v>
      </c>
      <c r="B5728" s="3" t="s">
        <v>25</v>
      </c>
      <c r="C5728" s="12" t="s">
        <v>5760</v>
      </c>
      <c r="D5728" s="13">
        <v>65540.0</v>
      </c>
      <c r="E5728" s="4">
        <v>45906.0</v>
      </c>
      <c r="F5728" s="4" t="str">
        <f>IF(D5728="","", IFNA(VLOOKUP(D5728, SATCAT_DECAY!A:B, 2, FALSE), ""))
</f>
        <v/>
      </c>
      <c r="G5728" s="3" t="str">
        <f t="shared" si="1"/>
        <v>ACTIVE</v>
      </c>
    </row>
    <row r="5729" ht="22.5" customHeight="1">
      <c r="A5729" s="11" t="str">
        <f t="array" ref="A5729">IFERROR(
  INDEX('Starlink Launches'!$A:$A, MATCH($E5729, 'Starlink Launches'!$B:$B, 0)),
  ""
)
</f>
        <v>17-9</v>
      </c>
      <c r="B5729" s="3" t="s">
        <v>25</v>
      </c>
      <c r="C5729" s="12" t="s">
        <v>5761</v>
      </c>
      <c r="D5729" s="13">
        <v>65541.0</v>
      </c>
      <c r="E5729" s="4">
        <v>45906.0</v>
      </c>
      <c r="F5729" s="4" t="str">
        <f>IF(D5729="","", IFNA(VLOOKUP(D5729, SATCAT_DECAY!A:B, 2, FALSE), ""))
</f>
        <v/>
      </c>
      <c r="G5729" s="3" t="str">
        <f t="shared" si="1"/>
        <v>ACTIVE</v>
      </c>
    </row>
    <row r="5730" ht="22.5" customHeight="1">
      <c r="A5730" s="11" t="str">
        <f t="array" ref="A5730">IFERROR(
  INDEX('Starlink Launches'!$A:$A, MATCH($E5730, 'Starlink Launches'!$B:$B, 0)),
  ""
)
</f>
        <v>17-9</v>
      </c>
      <c r="B5730" s="3" t="s">
        <v>25</v>
      </c>
      <c r="C5730" s="12" t="s">
        <v>5762</v>
      </c>
      <c r="D5730" s="13">
        <v>65542.0</v>
      </c>
      <c r="E5730" s="4">
        <v>45906.0</v>
      </c>
      <c r="F5730" s="4" t="str">
        <f>IF(D5730="","", IFNA(VLOOKUP(D5730, SATCAT_DECAY!A:B, 2, FALSE), ""))
</f>
        <v/>
      </c>
      <c r="G5730" s="3" t="str">
        <f t="shared" si="1"/>
        <v>ACTIVE</v>
      </c>
    </row>
    <row r="5731" ht="22.5" customHeight="1">
      <c r="A5731" s="11" t="str">
        <f t="array" ref="A5731">IFERROR(
  INDEX('Starlink Launches'!$A:$A, MATCH($E5731, 'Starlink Launches'!$B:$B, 0)),
  ""
)
</f>
        <v>17-9</v>
      </c>
      <c r="B5731" s="3" t="s">
        <v>25</v>
      </c>
      <c r="C5731" s="12" t="s">
        <v>5763</v>
      </c>
      <c r="D5731" s="13">
        <v>65543.0</v>
      </c>
      <c r="E5731" s="4">
        <v>45906.0</v>
      </c>
      <c r="F5731" s="4" t="str">
        <f>IF(D5731="","", IFNA(VLOOKUP(D5731, SATCAT_DECAY!A:B, 2, FALSE), ""))
</f>
        <v/>
      </c>
      <c r="G5731" s="3" t="str">
        <f t="shared" si="1"/>
        <v>ACTIVE</v>
      </c>
    </row>
    <row r="5732" ht="22.5" customHeight="1">
      <c r="A5732" s="11" t="str">
        <f t="array" ref="A5732">IFERROR(
  INDEX('Starlink Launches'!$A:$A, MATCH($E5732, 'Starlink Launches'!$B:$B, 0)),
  ""
)
</f>
        <v>17-10</v>
      </c>
      <c r="B5732" s="3" t="s">
        <v>25</v>
      </c>
      <c r="C5732" s="12" t="s">
        <v>5764</v>
      </c>
      <c r="D5732" s="13">
        <v>65592.0</v>
      </c>
      <c r="E5732" s="4">
        <v>45913.0</v>
      </c>
      <c r="F5732" s="4" t="str">
        <f>IF(D5732="","", IFNA(VLOOKUP(D5732, SATCAT_DECAY!A:B, 2, FALSE), ""))
</f>
        <v/>
      </c>
      <c r="G5732" s="3" t="str">
        <f t="shared" si="1"/>
        <v>ACTIVE</v>
      </c>
    </row>
    <row r="5733" ht="22.5" customHeight="1">
      <c r="A5733" s="11" t="str">
        <f t="array" ref="A5733">IFERROR(
  INDEX('Starlink Launches'!$A:$A, MATCH($E5733, 'Starlink Launches'!$B:$B, 0)),
  ""
)
</f>
        <v>17-10</v>
      </c>
      <c r="B5733" s="3" t="s">
        <v>25</v>
      </c>
      <c r="C5733" s="12" t="s">
        <v>5765</v>
      </c>
      <c r="D5733" s="13">
        <v>65593.0</v>
      </c>
      <c r="E5733" s="4">
        <v>45913.0</v>
      </c>
      <c r="F5733" s="4" t="str">
        <f>IF(D5733="","", IFNA(VLOOKUP(D5733, SATCAT_DECAY!A:B, 2, FALSE), ""))
</f>
        <v/>
      </c>
      <c r="G5733" s="3" t="str">
        <f t="shared" si="1"/>
        <v>ACTIVE</v>
      </c>
    </row>
    <row r="5734" ht="22.5" customHeight="1">
      <c r="A5734" s="11" t="str">
        <f t="array" ref="A5734">IFERROR(
  INDEX('Starlink Launches'!$A:$A, MATCH($E5734, 'Starlink Launches'!$B:$B, 0)),
  ""
)
</f>
        <v>17-10</v>
      </c>
      <c r="B5734" s="3" t="s">
        <v>25</v>
      </c>
      <c r="C5734" s="12" t="s">
        <v>5766</v>
      </c>
      <c r="D5734" s="13">
        <v>65594.0</v>
      </c>
      <c r="E5734" s="4">
        <v>45913.0</v>
      </c>
      <c r="F5734" s="4" t="str">
        <f>IF(D5734="","", IFNA(VLOOKUP(D5734, SATCAT_DECAY!A:B, 2, FALSE), ""))
</f>
        <v/>
      </c>
      <c r="G5734" s="3" t="str">
        <f t="shared" si="1"/>
        <v>ACTIVE</v>
      </c>
    </row>
    <row r="5735" ht="22.5" customHeight="1">
      <c r="A5735" s="11" t="str">
        <f t="array" ref="A5735">IFERROR(
  INDEX('Starlink Launches'!$A:$A, MATCH($E5735, 'Starlink Launches'!$B:$B, 0)),
  ""
)
</f>
        <v>17-10</v>
      </c>
      <c r="B5735" s="3" t="s">
        <v>25</v>
      </c>
      <c r="C5735" s="12" t="s">
        <v>5767</v>
      </c>
      <c r="D5735" s="13">
        <v>65595.0</v>
      </c>
      <c r="E5735" s="4">
        <v>45913.0</v>
      </c>
      <c r="F5735" s="4" t="str">
        <f>IF(D5735="","", IFNA(VLOOKUP(D5735, SATCAT_DECAY!A:B, 2, FALSE), ""))
</f>
        <v/>
      </c>
      <c r="G5735" s="3" t="str">
        <f t="shared" si="1"/>
        <v>ACTIVE</v>
      </c>
    </row>
    <row r="5736" ht="22.5" customHeight="1">
      <c r="A5736" s="11" t="str">
        <f t="array" ref="A5736">IFERROR(
  INDEX('Starlink Launches'!$A:$A, MATCH($E5736, 'Starlink Launches'!$B:$B, 0)),
  ""
)
</f>
        <v>17-10</v>
      </c>
      <c r="B5736" s="3" t="s">
        <v>25</v>
      </c>
      <c r="C5736" s="12" t="s">
        <v>5768</v>
      </c>
      <c r="D5736" s="13">
        <v>65596.0</v>
      </c>
      <c r="E5736" s="4">
        <v>45913.0</v>
      </c>
      <c r="F5736" s="4" t="str">
        <f>IF(D5736="","", IFNA(VLOOKUP(D5736, SATCAT_DECAY!A:B, 2, FALSE), ""))
</f>
        <v/>
      </c>
      <c r="G5736" s="3" t="str">
        <f t="shared" si="1"/>
        <v>ACTIVE</v>
      </c>
    </row>
    <row r="5737" ht="22.5" customHeight="1">
      <c r="A5737" s="11" t="str">
        <f t="array" ref="A5737">IFERROR(
  INDEX('Starlink Launches'!$A:$A, MATCH($E5737, 'Starlink Launches'!$B:$B, 0)),
  ""
)
</f>
        <v>17-10</v>
      </c>
      <c r="B5737" s="3" t="s">
        <v>25</v>
      </c>
      <c r="C5737" s="12" t="s">
        <v>5769</v>
      </c>
      <c r="D5737" s="13">
        <v>65597.0</v>
      </c>
      <c r="E5737" s="4">
        <v>45913.0</v>
      </c>
      <c r="F5737" s="4" t="str">
        <f>IF(D5737="","", IFNA(VLOOKUP(D5737, SATCAT_DECAY!A:B, 2, FALSE), ""))
</f>
        <v/>
      </c>
      <c r="G5737" s="3" t="str">
        <f t="shared" si="1"/>
        <v>ACTIVE</v>
      </c>
    </row>
    <row r="5738" ht="22.5" customHeight="1">
      <c r="A5738" s="11" t="str">
        <f t="array" ref="A5738">IFERROR(
  INDEX('Starlink Launches'!$A:$A, MATCH($E5738, 'Starlink Launches'!$B:$B, 0)),
  ""
)
</f>
        <v>17-10</v>
      </c>
      <c r="B5738" s="3" t="s">
        <v>25</v>
      </c>
      <c r="C5738" s="12" t="s">
        <v>5770</v>
      </c>
      <c r="D5738" s="13">
        <v>65598.0</v>
      </c>
      <c r="E5738" s="4">
        <v>45913.0</v>
      </c>
      <c r="F5738" s="4" t="str">
        <f>IF(D5738="","", IFNA(VLOOKUP(D5738, SATCAT_DECAY!A:B, 2, FALSE), ""))
</f>
        <v/>
      </c>
      <c r="G5738" s="3" t="str">
        <f t="shared" si="1"/>
        <v>ACTIVE</v>
      </c>
    </row>
    <row r="5739" ht="22.5" customHeight="1">
      <c r="A5739" s="11" t="str">
        <f t="array" ref="A5739">IFERROR(
  INDEX('Starlink Launches'!$A:$A, MATCH($E5739, 'Starlink Launches'!$B:$B, 0)),
  ""
)
</f>
        <v>17-10</v>
      </c>
      <c r="B5739" s="3" t="s">
        <v>25</v>
      </c>
      <c r="C5739" s="12" t="s">
        <v>5771</v>
      </c>
      <c r="D5739" s="13">
        <v>65599.0</v>
      </c>
      <c r="E5739" s="4">
        <v>45913.0</v>
      </c>
      <c r="F5739" s="4" t="str">
        <f>IF(D5739="","", IFNA(VLOOKUP(D5739, SATCAT_DECAY!A:B, 2, FALSE), ""))
</f>
        <v/>
      </c>
      <c r="G5739" s="3" t="str">
        <f t="shared" si="1"/>
        <v>ACTIVE</v>
      </c>
    </row>
    <row r="5740" ht="22.5" customHeight="1">
      <c r="A5740" s="11" t="str">
        <f t="array" ref="A5740">IFERROR(
  INDEX('Starlink Launches'!$A:$A, MATCH($E5740, 'Starlink Launches'!$B:$B, 0)),
  ""
)
</f>
        <v>17-10</v>
      </c>
      <c r="B5740" s="3" t="s">
        <v>25</v>
      </c>
      <c r="C5740" s="12" t="s">
        <v>5772</v>
      </c>
      <c r="D5740" s="13">
        <v>65600.0</v>
      </c>
      <c r="E5740" s="4">
        <v>45913.0</v>
      </c>
      <c r="F5740" s="4" t="str">
        <f>IF(D5740="","", IFNA(VLOOKUP(D5740, SATCAT_DECAY!A:B, 2, FALSE), ""))
</f>
        <v/>
      </c>
      <c r="G5740" s="3" t="str">
        <f t="shared" si="1"/>
        <v>ACTIVE</v>
      </c>
    </row>
    <row r="5741" ht="22.5" customHeight="1">
      <c r="A5741" s="11" t="str">
        <f t="array" ref="A5741">IFERROR(
  INDEX('Starlink Launches'!$A:$A, MATCH($E5741, 'Starlink Launches'!$B:$B, 0)),
  ""
)
</f>
        <v>17-10</v>
      </c>
      <c r="B5741" s="3" t="s">
        <v>25</v>
      </c>
      <c r="C5741" s="12" t="s">
        <v>5773</v>
      </c>
      <c r="D5741" s="13">
        <v>65601.0</v>
      </c>
      <c r="E5741" s="4">
        <v>45913.0</v>
      </c>
      <c r="F5741" s="4" t="str">
        <f>IF(D5741="","", IFNA(VLOOKUP(D5741, SATCAT_DECAY!A:B, 2, FALSE), ""))
</f>
        <v/>
      </c>
      <c r="G5741" s="3" t="str">
        <f t="shared" si="1"/>
        <v>ACTIVE</v>
      </c>
    </row>
    <row r="5742" ht="22.5" customHeight="1">
      <c r="A5742" s="11" t="str">
        <f t="array" ref="A5742">IFERROR(
  INDEX('Starlink Launches'!$A:$A, MATCH($E5742, 'Starlink Launches'!$B:$B, 0)),
  ""
)
</f>
        <v>17-10</v>
      </c>
      <c r="B5742" s="3" t="s">
        <v>25</v>
      </c>
      <c r="C5742" s="12" t="s">
        <v>5774</v>
      </c>
      <c r="D5742" s="13">
        <v>65602.0</v>
      </c>
      <c r="E5742" s="4">
        <v>45913.0</v>
      </c>
      <c r="F5742" s="4" t="str">
        <f>IF(D5742="","", IFNA(VLOOKUP(D5742, SATCAT_DECAY!A:B, 2, FALSE), ""))
</f>
        <v/>
      </c>
      <c r="G5742" s="3" t="str">
        <f t="shared" si="1"/>
        <v>ACTIVE</v>
      </c>
    </row>
    <row r="5743" ht="22.5" customHeight="1">
      <c r="A5743" s="11" t="str">
        <f t="array" ref="A5743">IFERROR(
  INDEX('Starlink Launches'!$A:$A, MATCH($E5743, 'Starlink Launches'!$B:$B, 0)),
  ""
)
</f>
        <v>17-10</v>
      </c>
      <c r="B5743" s="3" t="s">
        <v>25</v>
      </c>
      <c r="C5743" s="12" t="s">
        <v>5775</v>
      </c>
      <c r="D5743" s="13">
        <v>65603.0</v>
      </c>
      <c r="E5743" s="4">
        <v>45913.0</v>
      </c>
      <c r="F5743" s="4" t="str">
        <f>IF(D5743="","", IFNA(VLOOKUP(D5743, SATCAT_DECAY!A:B, 2, FALSE), ""))
</f>
        <v/>
      </c>
      <c r="G5743" s="3" t="str">
        <f t="shared" si="1"/>
        <v>ACTIVE</v>
      </c>
    </row>
    <row r="5744" ht="22.5" customHeight="1">
      <c r="A5744" s="11" t="str">
        <f t="array" ref="A5744">IFERROR(
  INDEX('Starlink Launches'!$A:$A, MATCH($E5744, 'Starlink Launches'!$B:$B, 0)),
  ""
)
</f>
        <v>17-10</v>
      </c>
      <c r="B5744" s="3" t="s">
        <v>25</v>
      </c>
      <c r="C5744" s="12" t="s">
        <v>5776</v>
      </c>
      <c r="D5744" s="13">
        <v>65604.0</v>
      </c>
      <c r="E5744" s="4">
        <v>45913.0</v>
      </c>
      <c r="F5744" s="4" t="str">
        <f>IF(D5744="","", IFNA(VLOOKUP(D5744, SATCAT_DECAY!A:B, 2, FALSE), ""))
</f>
        <v/>
      </c>
      <c r="G5744" s="3" t="str">
        <f t="shared" si="1"/>
        <v>ACTIVE</v>
      </c>
    </row>
    <row r="5745" ht="22.5" customHeight="1">
      <c r="A5745" s="11" t="str">
        <f t="array" ref="A5745">IFERROR(
  INDEX('Starlink Launches'!$A:$A, MATCH($E5745, 'Starlink Launches'!$B:$B, 0)),
  ""
)
</f>
        <v>17-10</v>
      </c>
      <c r="B5745" s="3" t="s">
        <v>25</v>
      </c>
      <c r="C5745" s="12" t="s">
        <v>5777</v>
      </c>
      <c r="D5745" s="13">
        <v>65605.0</v>
      </c>
      <c r="E5745" s="4">
        <v>45913.0</v>
      </c>
      <c r="F5745" s="4" t="str">
        <f>IF(D5745="","", IFNA(VLOOKUP(D5745, SATCAT_DECAY!A:B, 2, FALSE), ""))
</f>
        <v/>
      </c>
      <c r="G5745" s="3" t="str">
        <f t="shared" si="1"/>
        <v>ACTIVE</v>
      </c>
    </row>
    <row r="5746" ht="22.5" customHeight="1">
      <c r="A5746" s="11" t="str">
        <f t="array" ref="A5746">IFERROR(
  INDEX('Starlink Launches'!$A:$A, MATCH($E5746, 'Starlink Launches'!$B:$B, 0)),
  ""
)
</f>
        <v>17-10</v>
      </c>
      <c r="B5746" s="3" t="s">
        <v>25</v>
      </c>
      <c r="C5746" s="12" t="s">
        <v>5778</v>
      </c>
      <c r="D5746" s="13">
        <v>65606.0</v>
      </c>
      <c r="E5746" s="4">
        <v>45913.0</v>
      </c>
      <c r="F5746" s="4" t="str">
        <f>IF(D5746="","", IFNA(VLOOKUP(D5746, SATCAT_DECAY!A:B, 2, FALSE), ""))
</f>
        <v/>
      </c>
      <c r="G5746" s="3" t="str">
        <f t="shared" si="1"/>
        <v>ACTIVE</v>
      </c>
    </row>
    <row r="5747" ht="22.5" customHeight="1">
      <c r="A5747" s="11" t="str">
        <f t="array" ref="A5747">IFERROR(
  INDEX('Starlink Launches'!$A:$A, MATCH($E5747, 'Starlink Launches'!$B:$B, 0)),
  ""
)
</f>
        <v>17-10</v>
      </c>
      <c r="B5747" s="3" t="s">
        <v>25</v>
      </c>
      <c r="C5747" s="12" t="s">
        <v>5779</v>
      </c>
      <c r="D5747" s="13">
        <v>65607.0</v>
      </c>
      <c r="E5747" s="4">
        <v>45913.0</v>
      </c>
      <c r="F5747" s="4" t="str">
        <f>IF(D5747="","", IFNA(VLOOKUP(D5747, SATCAT_DECAY!A:B, 2, FALSE), ""))
</f>
        <v/>
      </c>
      <c r="G5747" s="3" t="str">
        <f t="shared" si="1"/>
        <v>ACTIVE</v>
      </c>
    </row>
    <row r="5748" ht="22.5" customHeight="1">
      <c r="A5748" s="11" t="str">
        <f t="array" ref="A5748">IFERROR(
  INDEX('Starlink Launches'!$A:$A, MATCH($E5748, 'Starlink Launches'!$B:$B, 0)),
  ""
)
</f>
        <v>17-10</v>
      </c>
      <c r="B5748" s="3" t="s">
        <v>25</v>
      </c>
      <c r="C5748" s="12" t="s">
        <v>5780</v>
      </c>
      <c r="D5748" s="13">
        <v>65608.0</v>
      </c>
      <c r="E5748" s="4">
        <v>45913.0</v>
      </c>
      <c r="F5748" s="4" t="str">
        <f>IF(D5748="","", IFNA(VLOOKUP(D5748, SATCAT_DECAY!A:B, 2, FALSE), ""))
</f>
        <v/>
      </c>
      <c r="G5748" s="3" t="str">
        <f t="shared" si="1"/>
        <v>ACTIVE</v>
      </c>
    </row>
    <row r="5749" ht="22.5" customHeight="1">
      <c r="A5749" s="11" t="str">
        <f t="array" ref="A5749">IFERROR(
  INDEX('Starlink Launches'!$A:$A, MATCH($E5749, 'Starlink Launches'!$B:$B, 0)),
  ""
)
</f>
        <v>17-10</v>
      </c>
      <c r="B5749" s="3" t="s">
        <v>25</v>
      </c>
      <c r="C5749" s="12" t="s">
        <v>5781</v>
      </c>
      <c r="D5749" s="13">
        <v>65609.0</v>
      </c>
      <c r="E5749" s="4">
        <v>45913.0</v>
      </c>
      <c r="F5749" s="4" t="str">
        <f>IF(D5749="","", IFNA(VLOOKUP(D5749, SATCAT_DECAY!A:B, 2, FALSE), ""))
</f>
        <v/>
      </c>
      <c r="G5749" s="3" t="str">
        <f t="shared" si="1"/>
        <v>ACTIVE</v>
      </c>
    </row>
    <row r="5750" ht="22.5" customHeight="1">
      <c r="A5750" s="11" t="str">
        <f t="array" ref="A5750">IFERROR(
  INDEX('Starlink Launches'!$A:$A, MATCH($E5750, 'Starlink Launches'!$B:$B, 0)),
  ""
)
</f>
        <v>17-10</v>
      </c>
      <c r="B5750" s="3" t="s">
        <v>25</v>
      </c>
      <c r="C5750" s="12" t="s">
        <v>5782</v>
      </c>
      <c r="D5750" s="13">
        <v>65610.0</v>
      </c>
      <c r="E5750" s="4">
        <v>45913.0</v>
      </c>
      <c r="F5750" s="4" t="str">
        <f>IF(D5750="","", IFNA(VLOOKUP(D5750, SATCAT_DECAY!A:B, 2, FALSE), ""))
</f>
        <v/>
      </c>
      <c r="G5750" s="3" t="str">
        <f t="shared" si="1"/>
        <v>ACTIVE</v>
      </c>
    </row>
    <row r="5751" ht="22.5" customHeight="1">
      <c r="A5751" s="11" t="str">
        <f t="array" ref="A5751">IFERROR(
  INDEX('Starlink Launches'!$A:$A, MATCH($E5751, 'Starlink Launches'!$B:$B, 0)),
  ""
)
</f>
        <v>17-10</v>
      </c>
      <c r="B5751" s="3" t="s">
        <v>25</v>
      </c>
      <c r="C5751" s="12" t="s">
        <v>5783</v>
      </c>
      <c r="D5751" s="13">
        <v>65611.0</v>
      </c>
      <c r="E5751" s="4">
        <v>45913.0</v>
      </c>
      <c r="F5751" s="4" t="str">
        <f>IF(D5751="","", IFNA(VLOOKUP(D5751, SATCAT_DECAY!A:B, 2, FALSE), ""))
</f>
        <v/>
      </c>
      <c r="G5751" s="3" t="str">
        <f t="shared" si="1"/>
        <v>ACTIVE</v>
      </c>
    </row>
    <row r="5752" ht="22.5" customHeight="1">
      <c r="A5752" s="11" t="str">
        <f t="array" ref="A5752">IFERROR(
  INDEX('Starlink Launches'!$A:$A, MATCH($E5752, 'Starlink Launches'!$B:$B, 0)),
  ""
)
</f>
        <v>17-10</v>
      </c>
      <c r="B5752" s="3" t="s">
        <v>25</v>
      </c>
      <c r="C5752" s="12" t="s">
        <v>5784</v>
      </c>
      <c r="D5752" s="13">
        <v>65612.0</v>
      </c>
      <c r="E5752" s="4">
        <v>45913.0</v>
      </c>
      <c r="F5752" s="4" t="str">
        <f>IF(D5752="","", IFNA(VLOOKUP(D5752, SATCAT_DECAY!A:B, 2, FALSE), ""))
</f>
        <v/>
      </c>
      <c r="G5752" s="3" t="str">
        <f t="shared" si="1"/>
        <v>ACTIVE</v>
      </c>
    </row>
    <row r="5753" ht="22.5" customHeight="1">
      <c r="A5753" s="11" t="str">
        <f t="array" ref="A5753">IFERROR(
  INDEX('Starlink Launches'!$A:$A, MATCH($E5753, 'Starlink Launches'!$B:$B, 0)),
  ""
)
</f>
        <v>17-10</v>
      </c>
      <c r="B5753" s="3" t="s">
        <v>25</v>
      </c>
      <c r="C5753" s="12" t="s">
        <v>5785</v>
      </c>
      <c r="D5753" s="13">
        <v>65613.0</v>
      </c>
      <c r="E5753" s="4">
        <v>45913.0</v>
      </c>
      <c r="F5753" s="4" t="str">
        <f>IF(D5753="","", IFNA(VLOOKUP(D5753, SATCAT_DECAY!A:B, 2, FALSE), ""))
</f>
        <v/>
      </c>
      <c r="G5753" s="3" t="str">
        <f t="shared" si="1"/>
        <v>ACTIVE</v>
      </c>
    </row>
    <row r="5754" ht="22.5" customHeight="1">
      <c r="A5754" s="11" t="str">
        <f t="array" ref="A5754">IFERROR(
  INDEX('Starlink Launches'!$A:$A, MATCH($E5754, 'Starlink Launches'!$B:$B, 0)),
  ""
)
</f>
        <v>17-10</v>
      </c>
      <c r="B5754" s="3" t="s">
        <v>25</v>
      </c>
      <c r="C5754" s="12" t="s">
        <v>5786</v>
      </c>
      <c r="D5754" s="13">
        <v>65614.0</v>
      </c>
      <c r="E5754" s="4">
        <v>45913.0</v>
      </c>
      <c r="F5754" s="4" t="str">
        <f>IF(D5754="","", IFNA(VLOOKUP(D5754, SATCAT_DECAY!A:B, 2, FALSE), ""))
</f>
        <v/>
      </c>
      <c r="G5754" s="3" t="str">
        <f t="shared" si="1"/>
        <v>ACTIVE</v>
      </c>
    </row>
    <row r="5755" ht="22.5" customHeight="1">
      <c r="A5755" s="11" t="str">
        <f t="array" ref="A5755">IFERROR(
  INDEX('Starlink Launches'!$A:$A, MATCH($E5755, 'Starlink Launches'!$B:$B, 0)),
  ""
)
</f>
        <v>17-10</v>
      </c>
      <c r="B5755" s="3" t="s">
        <v>25</v>
      </c>
      <c r="C5755" s="12" t="s">
        <v>5787</v>
      </c>
      <c r="D5755" s="13">
        <v>65615.0</v>
      </c>
      <c r="E5755" s="4">
        <v>45913.0</v>
      </c>
      <c r="F5755" s="4" t="str">
        <f>IF(D5755="","", IFNA(VLOOKUP(D5755, SATCAT_DECAY!A:B, 2, FALSE), ""))
</f>
        <v/>
      </c>
      <c r="G5755" s="3" t="str">
        <f t="shared" si="1"/>
        <v>ACTIVE</v>
      </c>
    </row>
    <row r="5756" ht="22.5" customHeight="1">
      <c r="A5756" s="11" t="str">
        <f t="array" ref="A5756">IFERROR(
  INDEX('Starlink Launches'!$A:$A, MATCH($E5756, 'Starlink Launches'!$B:$B, 0)),
  ""
)
</f>
        <v>17-12</v>
      </c>
      <c r="B5756" s="3" t="s">
        <v>25</v>
      </c>
      <c r="C5756" s="12" t="s">
        <v>5788</v>
      </c>
      <c r="D5756" s="13">
        <v>65652.0</v>
      </c>
      <c r="E5756" s="4">
        <v>45919.0</v>
      </c>
      <c r="F5756" s="4" t="str">
        <f>IF(D5756="","", IFNA(VLOOKUP(D5756, SATCAT_DECAY!A:B, 2, FALSE), ""))
</f>
        <v/>
      </c>
      <c r="G5756" s="3" t="str">
        <f t="shared" si="1"/>
        <v>ACTIVE</v>
      </c>
    </row>
    <row r="5757" ht="22.5" customHeight="1">
      <c r="A5757" s="11" t="str">
        <f t="array" ref="A5757">IFERROR(
  INDEX('Starlink Launches'!$A:$A, MATCH($E5757, 'Starlink Launches'!$B:$B, 0)),
  ""
)
</f>
        <v>17-12</v>
      </c>
      <c r="B5757" s="3" t="s">
        <v>25</v>
      </c>
      <c r="C5757" s="12" t="s">
        <v>5789</v>
      </c>
      <c r="D5757" s="13">
        <v>65653.0</v>
      </c>
      <c r="E5757" s="4">
        <v>45919.0</v>
      </c>
      <c r="F5757" s="4" t="str">
        <f>IF(D5757="","", IFNA(VLOOKUP(D5757, SATCAT_DECAY!A:B, 2, FALSE), ""))
</f>
        <v/>
      </c>
      <c r="G5757" s="3" t="str">
        <f t="shared" si="1"/>
        <v>ACTIVE</v>
      </c>
    </row>
    <row r="5758" ht="22.5" customHeight="1">
      <c r="A5758" s="11" t="str">
        <f t="array" ref="A5758">IFERROR(
  INDEX('Starlink Launches'!$A:$A, MATCH($E5758, 'Starlink Launches'!$B:$B, 0)),
  ""
)
</f>
        <v>17-12</v>
      </c>
      <c r="B5758" s="3" t="s">
        <v>25</v>
      </c>
      <c r="C5758" s="12" t="s">
        <v>5790</v>
      </c>
      <c r="D5758" s="13">
        <v>65654.0</v>
      </c>
      <c r="E5758" s="4">
        <v>45919.0</v>
      </c>
      <c r="F5758" s="4" t="str">
        <f>IF(D5758="","", IFNA(VLOOKUP(D5758, SATCAT_DECAY!A:B, 2, FALSE), ""))
</f>
        <v/>
      </c>
      <c r="G5758" s="3" t="str">
        <f t="shared" si="1"/>
        <v>ACTIVE</v>
      </c>
    </row>
    <row r="5759" ht="22.5" customHeight="1">
      <c r="A5759" s="11" t="str">
        <f t="array" ref="A5759">IFERROR(
  INDEX('Starlink Launches'!$A:$A, MATCH($E5759, 'Starlink Launches'!$B:$B, 0)),
  ""
)
</f>
        <v>17-12</v>
      </c>
      <c r="B5759" s="3" t="s">
        <v>25</v>
      </c>
      <c r="C5759" s="12" t="s">
        <v>5791</v>
      </c>
      <c r="D5759" s="13">
        <v>65655.0</v>
      </c>
      <c r="E5759" s="4">
        <v>45919.0</v>
      </c>
      <c r="F5759" s="4" t="str">
        <f>IF(D5759="","", IFNA(VLOOKUP(D5759, SATCAT_DECAY!A:B, 2, FALSE), ""))
</f>
        <v/>
      </c>
      <c r="G5759" s="3" t="str">
        <f t="shared" si="1"/>
        <v>ACTIVE</v>
      </c>
    </row>
    <row r="5760" ht="22.5" customHeight="1">
      <c r="A5760" s="11" t="str">
        <f t="array" ref="A5760">IFERROR(
  INDEX('Starlink Launches'!$A:$A, MATCH($E5760, 'Starlink Launches'!$B:$B, 0)),
  ""
)
</f>
        <v>17-12</v>
      </c>
      <c r="B5760" s="3" t="s">
        <v>25</v>
      </c>
      <c r="C5760" s="12" t="s">
        <v>5792</v>
      </c>
      <c r="D5760" s="13">
        <v>65656.0</v>
      </c>
      <c r="E5760" s="4">
        <v>45919.0</v>
      </c>
      <c r="F5760" s="4" t="str">
        <f>IF(D5760="","", IFNA(VLOOKUP(D5760, SATCAT_DECAY!A:B, 2, FALSE), ""))
</f>
        <v/>
      </c>
      <c r="G5760" s="3" t="str">
        <f t="shared" si="1"/>
        <v>ACTIVE</v>
      </c>
    </row>
    <row r="5761" ht="22.5" customHeight="1">
      <c r="A5761" s="11" t="str">
        <f t="array" ref="A5761">IFERROR(
  INDEX('Starlink Launches'!$A:$A, MATCH($E5761, 'Starlink Launches'!$B:$B, 0)),
  ""
)
</f>
        <v>17-12</v>
      </c>
      <c r="B5761" s="3" t="s">
        <v>25</v>
      </c>
      <c r="C5761" s="12" t="s">
        <v>5793</v>
      </c>
      <c r="D5761" s="13">
        <v>65657.0</v>
      </c>
      <c r="E5761" s="4">
        <v>45919.0</v>
      </c>
      <c r="F5761" s="4" t="str">
        <f>IF(D5761="","", IFNA(VLOOKUP(D5761, SATCAT_DECAY!A:B, 2, FALSE), ""))
</f>
        <v/>
      </c>
      <c r="G5761" s="3" t="str">
        <f t="shared" si="1"/>
        <v>ACTIVE</v>
      </c>
    </row>
    <row r="5762" ht="22.5" customHeight="1">
      <c r="A5762" s="11" t="str">
        <f t="array" ref="A5762">IFERROR(
  INDEX('Starlink Launches'!$A:$A, MATCH($E5762, 'Starlink Launches'!$B:$B, 0)),
  ""
)
</f>
        <v>17-12</v>
      </c>
      <c r="B5762" s="3" t="s">
        <v>25</v>
      </c>
      <c r="C5762" s="12" t="s">
        <v>5794</v>
      </c>
      <c r="D5762" s="13">
        <v>65658.0</v>
      </c>
      <c r="E5762" s="4">
        <v>45919.0</v>
      </c>
      <c r="F5762" s="4" t="str">
        <f>IF(D5762="","", IFNA(VLOOKUP(D5762, SATCAT_DECAY!A:B, 2, FALSE), ""))
</f>
        <v/>
      </c>
      <c r="G5762" s="3" t="str">
        <f t="shared" si="1"/>
        <v>ACTIVE</v>
      </c>
    </row>
    <row r="5763" ht="22.5" customHeight="1">
      <c r="A5763" s="11" t="str">
        <f t="array" ref="A5763">IFERROR(
  INDEX('Starlink Launches'!$A:$A, MATCH($E5763, 'Starlink Launches'!$B:$B, 0)),
  ""
)
</f>
        <v>17-12</v>
      </c>
      <c r="B5763" s="3" t="s">
        <v>25</v>
      </c>
      <c r="C5763" s="12" t="s">
        <v>5795</v>
      </c>
      <c r="D5763" s="13">
        <v>65659.0</v>
      </c>
      <c r="E5763" s="4">
        <v>45919.0</v>
      </c>
      <c r="F5763" s="4" t="str">
        <f>IF(D5763="","", IFNA(VLOOKUP(D5763, SATCAT_DECAY!A:B, 2, FALSE), ""))
</f>
        <v/>
      </c>
      <c r="G5763" s="3" t="str">
        <f t="shared" si="1"/>
        <v>ACTIVE</v>
      </c>
    </row>
    <row r="5764" ht="22.5" customHeight="1">
      <c r="A5764" s="11" t="str">
        <f t="array" ref="A5764">IFERROR(
  INDEX('Starlink Launches'!$A:$A, MATCH($E5764, 'Starlink Launches'!$B:$B, 0)),
  ""
)
</f>
        <v>17-12</v>
      </c>
      <c r="B5764" s="3" t="s">
        <v>25</v>
      </c>
      <c r="C5764" s="12" t="s">
        <v>5796</v>
      </c>
      <c r="D5764" s="13">
        <v>65660.0</v>
      </c>
      <c r="E5764" s="4">
        <v>45919.0</v>
      </c>
      <c r="F5764" s="4" t="str">
        <f>IF(D5764="","", IFNA(VLOOKUP(D5764, SATCAT_DECAY!A:B, 2, FALSE), ""))
</f>
        <v/>
      </c>
      <c r="G5764" s="3" t="str">
        <f t="shared" si="1"/>
        <v>ACTIVE</v>
      </c>
    </row>
    <row r="5765" ht="22.5" customHeight="1">
      <c r="A5765" s="11" t="str">
        <f t="array" ref="A5765">IFERROR(
  INDEX('Starlink Launches'!$A:$A, MATCH($E5765, 'Starlink Launches'!$B:$B, 0)),
  ""
)
</f>
        <v>17-12</v>
      </c>
      <c r="B5765" s="3" t="s">
        <v>25</v>
      </c>
      <c r="C5765" s="12" t="s">
        <v>5797</v>
      </c>
      <c r="D5765" s="13">
        <v>65661.0</v>
      </c>
      <c r="E5765" s="4">
        <v>45919.0</v>
      </c>
      <c r="F5765" s="4" t="str">
        <f>IF(D5765="","", IFNA(VLOOKUP(D5765, SATCAT_DECAY!A:B, 2, FALSE), ""))
</f>
        <v/>
      </c>
      <c r="G5765" s="3" t="str">
        <f t="shared" si="1"/>
        <v>ACTIVE</v>
      </c>
    </row>
    <row r="5766" ht="22.5" customHeight="1">
      <c r="A5766" s="11" t="str">
        <f t="array" ref="A5766">IFERROR(
  INDEX('Starlink Launches'!$A:$A, MATCH($E5766, 'Starlink Launches'!$B:$B, 0)),
  ""
)
</f>
        <v>17-12</v>
      </c>
      <c r="B5766" s="3" t="s">
        <v>25</v>
      </c>
      <c r="C5766" s="12" t="s">
        <v>5798</v>
      </c>
      <c r="D5766" s="13">
        <v>65662.0</v>
      </c>
      <c r="E5766" s="4">
        <v>45919.0</v>
      </c>
      <c r="F5766" s="4" t="str">
        <f>IF(D5766="","", IFNA(VLOOKUP(D5766, SATCAT_DECAY!A:B, 2, FALSE), ""))
</f>
        <v/>
      </c>
      <c r="G5766" s="3" t="str">
        <f t="shared" si="1"/>
        <v>ACTIVE</v>
      </c>
    </row>
    <row r="5767" ht="22.5" customHeight="1">
      <c r="A5767" s="11" t="str">
        <f t="array" ref="A5767">IFERROR(
  INDEX('Starlink Launches'!$A:$A, MATCH($E5767, 'Starlink Launches'!$B:$B, 0)),
  ""
)
</f>
        <v>17-12</v>
      </c>
      <c r="B5767" s="3" t="s">
        <v>25</v>
      </c>
      <c r="C5767" s="12" t="s">
        <v>5799</v>
      </c>
      <c r="D5767" s="13">
        <v>65663.0</v>
      </c>
      <c r="E5767" s="4">
        <v>45919.0</v>
      </c>
      <c r="F5767" s="4" t="str">
        <f>IF(D5767="","", IFNA(VLOOKUP(D5767, SATCAT_DECAY!A:B, 2, FALSE), ""))
</f>
        <v/>
      </c>
      <c r="G5767" s="3" t="str">
        <f t="shared" si="1"/>
        <v>ACTIVE</v>
      </c>
    </row>
    <row r="5768" ht="22.5" customHeight="1">
      <c r="A5768" s="11" t="str">
        <f t="array" ref="A5768">IFERROR(
  INDEX('Starlink Launches'!$A:$A, MATCH($E5768, 'Starlink Launches'!$B:$B, 0)),
  ""
)
</f>
        <v>17-12</v>
      </c>
      <c r="B5768" s="3" t="s">
        <v>25</v>
      </c>
      <c r="C5768" s="12" t="s">
        <v>5800</v>
      </c>
      <c r="D5768" s="13">
        <v>65664.0</v>
      </c>
      <c r="E5768" s="4">
        <v>45919.0</v>
      </c>
      <c r="F5768" s="4" t="str">
        <f>IF(D5768="","", IFNA(VLOOKUP(D5768, SATCAT_DECAY!A:B, 2, FALSE), ""))
</f>
        <v/>
      </c>
      <c r="G5768" s="3" t="str">
        <f t="shared" si="1"/>
        <v>ACTIVE</v>
      </c>
    </row>
    <row r="5769" ht="22.5" customHeight="1">
      <c r="A5769" s="11" t="str">
        <f t="array" ref="A5769">IFERROR(
  INDEX('Starlink Launches'!$A:$A, MATCH($E5769, 'Starlink Launches'!$B:$B, 0)),
  ""
)
</f>
        <v>17-12</v>
      </c>
      <c r="B5769" s="3" t="s">
        <v>25</v>
      </c>
      <c r="C5769" s="12" t="s">
        <v>5801</v>
      </c>
      <c r="D5769" s="13">
        <v>65665.0</v>
      </c>
      <c r="E5769" s="4">
        <v>45919.0</v>
      </c>
      <c r="F5769" s="4" t="str">
        <f>IF(D5769="","", IFNA(VLOOKUP(D5769, SATCAT_DECAY!A:B, 2, FALSE), ""))
</f>
        <v/>
      </c>
      <c r="G5769" s="3" t="str">
        <f t="shared" si="1"/>
        <v>ACTIVE</v>
      </c>
    </row>
    <row r="5770" ht="22.5" customHeight="1">
      <c r="A5770" s="11" t="str">
        <f t="array" ref="A5770">IFERROR(
  INDEX('Starlink Launches'!$A:$A, MATCH($E5770, 'Starlink Launches'!$B:$B, 0)),
  ""
)
</f>
        <v>17-12</v>
      </c>
      <c r="B5770" s="3" t="s">
        <v>25</v>
      </c>
      <c r="C5770" s="12" t="s">
        <v>5802</v>
      </c>
      <c r="D5770" s="13">
        <v>65666.0</v>
      </c>
      <c r="E5770" s="4">
        <v>45919.0</v>
      </c>
      <c r="F5770" s="4" t="str">
        <f>IF(D5770="","", IFNA(VLOOKUP(D5770, SATCAT_DECAY!A:B, 2, FALSE), ""))
</f>
        <v/>
      </c>
      <c r="G5770" s="3" t="str">
        <f t="shared" si="1"/>
        <v>ACTIVE</v>
      </c>
    </row>
    <row r="5771" ht="22.5" customHeight="1">
      <c r="A5771" s="11" t="str">
        <f t="array" ref="A5771">IFERROR(
  INDEX('Starlink Launches'!$A:$A, MATCH($E5771, 'Starlink Launches'!$B:$B, 0)),
  ""
)
</f>
        <v>17-12</v>
      </c>
      <c r="B5771" s="3" t="s">
        <v>25</v>
      </c>
      <c r="C5771" s="12" t="s">
        <v>5803</v>
      </c>
      <c r="D5771" s="13">
        <v>65667.0</v>
      </c>
      <c r="E5771" s="4">
        <v>45919.0</v>
      </c>
      <c r="F5771" s="4" t="str">
        <f>IF(D5771="","", IFNA(VLOOKUP(D5771, SATCAT_DECAY!A:B, 2, FALSE), ""))
</f>
        <v/>
      </c>
      <c r="G5771" s="3" t="str">
        <f t="shared" si="1"/>
        <v>ACTIVE</v>
      </c>
    </row>
    <row r="5772" ht="22.5" customHeight="1">
      <c r="A5772" s="11" t="str">
        <f t="array" ref="A5772">IFERROR(
  INDEX('Starlink Launches'!$A:$A, MATCH($E5772, 'Starlink Launches'!$B:$B, 0)),
  ""
)
</f>
        <v>17-12</v>
      </c>
      <c r="B5772" s="3" t="s">
        <v>25</v>
      </c>
      <c r="C5772" s="12" t="s">
        <v>5804</v>
      </c>
      <c r="D5772" s="13">
        <v>65668.0</v>
      </c>
      <c r="E5772" s="4">
        <v>45919.0</v>
      </c>
      <c r="F5772" s="4" t="str">
        <f>IF(D5772="","", IFNA(VLOOKUP(D5772, SATCAT_DECAY!A:B, 2, FALSE), ""))
</f>
        <v/>
      </c>
      <c r="G5772" s="3" t="str">
        <f t="shared" si="1"/>
        <v>ACTIVE</v>
      </c>
    </row>
    <row r="5773" ht="22.5" customHeight="1">
      <c r="A5773" s="11" t="str">
        <f t="array" ref="A5773">IFERROR(
  INDEX('Starlink Launches'!$A:$A, MATCH($E5773, 'Starlink Launches'!$B:$B, 0)),
  ""
)
</f>
        <v>17-12</v>
      </c>
      <c r="B5773" s="3" t="s">
        <v>25</v>
      </c>
      <c r="C5773" s="12" t="s">
        <v>5805</v>
      </c>
      <c r="D5773" s="13">
        <v>65669.0</v>
      </c>
      <c r="E5773" s="4">
        <v>45919.0</v>
      </c>
      <c r="F5773" s="4" t="str">
        <f>IF(D5773="","", IFNA(VLOOKUP(D5773, SATCAT_DECAY!A:B, 2, FALSE), ""))
</f>
        <v/>
      </c>
      <c r="G5773" s="3" t="str">
        <f t="shared" si="1"/>
        <v>ACTIVE</v>
      </c>
    </row>
    <row r="5774" ht="22.5" customHeight="1">
      <c r="A5774" s="11" t="str">
        <f t="array" ref="A5774">IFERROR(
  INDEX('Starlink Launches'!$A:$A, MATCH($E5774, 'Starlink Launches'!$B:$B, 0)),
  ""
)
</f>
        <v>17-12</v>
      </c>
      <c r="B5774" s="3" t="s">
        <v>25</v>
      </c>
      <c r="C5774" s="12" t="s">
        <v>5806</v>
      </c>
      <c r="D5774" s="13">
        <v>65670.0</v>
      </c>
      <c r="E5774" s="4">
        <v>45919.0</v>
      </c>
      <c r="F5774" s="4" t="str">
        <f>IF(D5774="","", IFNA(VLOOKUP(D5774, SATCAT_DECAY!A:B, 2, FALSE), ""))
</f>
        <v/>
      </c>
      <c r="G5774" s="3" t="str">
        <f t="shared" si="1"/>
        <v>ACTIVE</v>
      </c>
    </row>
    <row r="5775" ht="22.5" customHeight="1">
      <c r="A5775" s="11" t="str">
        <f t="array" ref="A5775">IFERROR(
  INDEX('Starlink Launches'!$A:$A, MATCH($E5775, 'Starlink Launches'!$B:$B, 0)),
  ""
)
</f>
        <v>17-12</v>
      </c>
      <c r="B5775" s="3" t="s">
        <v>25</v>
      </c>
      <c r="C5775" s="12" t="s">
        <v>5807</v>
      </c>
      <c r="D5775" s="13">
        <v>65671.0</v>
      </c>
      <c r="E5775" s="4">
        <v>45919.0</v>
      </c>
      <c r="F5775" s="4" t="str">
        <f>IF(D5775="","", IFNA(VLOOKUP(D5775, SATCAT_DECAY!A:B, 2, FALSE), ""))
</f>
        <v/>
      </c>
      <c r="G5775" s="3" t="str">
        <f t="shared" si="1"/>
        <v>ACTIVE</v>
      </c>
    </row>
    <row r="5776" ht="22.5" customHeight="1">
      <c r="A5776" s="11" t="str">
        <f t="array" ref="A5776">IFERROR(
  INDEX('Starlink Launches'!$A:$A, MATCH($E5776, 'Starlink Launches'!$B:$B, 0)),
  ""
)
</f>
        <v>17-12</v>
      </c>
      <c r="B5776" s="3" t="s">
        <v>25</v>
      </c>
      <c r="C5776" s="12" t="s">
        <v>5808</v>
      </c>
      <c r="D5776" s="13">
        <v>65672.0</v>
      </c>
      <c r="E5776" s="4">
        <v>45919.0</v>
      </c>
      <c r="F5776" s="4" t="str">
        <f>IF(D5776="","", IFNA(VLOOKUP(D5776, SATCAT_DECAY!A:B, 2, FALSE), ""))
</f>
        <v/>
      </c>
      <c r="G5776" s="3" t="str">
        <f t="shared" si="1"/>
        <v>ACTIVE</v>
      </c>
    </row>
    <row r="5777" ht="22.5" customHeight="1">
      <c r="A5777" s="11" t="str">
        <f t="array" ref="A5777">IFERROR(
  INDEX('Starlink Launches'!$A:$A, MATCH($E5777, 'Starlink Launches'!$B:$B, 0)),
  ""
)
</f>
        <v>17-12</v>
      </c>
      <c r="B5777" s="3" t="s">
        <v>25</v>
      </c>
      <c r="C5777" s="12" t="s">
        <v>5809</v>
      </c>
      <c r="D5777" s="13">
        <v>65673.0</v>
      </c>
      <c r="E5777" s="4">
        <v>45919.0</v>
      </c>
      <c r="F5777" s="4" t="str">
        <f>IF(D5777="","", IFNA(VLOOKUP(D5777, SATCAT_DECAY!A:B, 2, FALSE), ""))
</f>
        <v/>
      </c>
      <c r="G5777" s="3" t="str">
        <f t="shared" si="1"/>
        <v>ACTIVE</v>
      </c>
    </row>
    <row r="5778" ht="22.5" customHeight="1">
      <c r="A5778" s="11" t="str">
        <f t="array" ref="A5778">IFERROR(
  INDEX('Starlink Launches'!$A:$A, MATCH($E5778, 'Starlink Launches'!$B:$B, 0)),
  ""
)
</f>
        <v>17-12</v>
      </c>
      <c r="B5778" s="3" t="s">
        <v>25</v>
      </c>
      <c r="C5778" s="12" t="s">
        <v>5810</v>
      </c>
      <c r="D5778" s="13">
        <v>65674.0</v>
      </c>
      <c r="E5778" s="4">
        <v>45919.0</v>
      </c>
      <c r="F5778" s="4" t="str">
        <f>IF(D5778="","", IFNA(VLOOKUP(D5778, SATCAT_DECAY!A:B, 2, FALSE), ""))
</f>
        <v/>
      </c>
      <c r="G5778" s="3" t="str">
        <f t="shared" si="1"/>
        <v>ACTIVE</v>
      </c>
    </row>
    <row r="5779" ht="22.5" customHeight="1">
      <c r="A5779" s="11" t="str">
        <f t="array" ref="A5779">IFERROR(
  INDEX('Starlink Launches'!$A:$A, MATCH($E5779, 'Starlink Launches'!$B:$B, 0)),
  ""
)
</f>
        <v>17-12</v>
      </c>
      <c r="B5779" s="3" t="s">
        <v>25</v>
      </c>
      <c r="C5779" s="12" t="s">
        <v>5811</v>
      </c>
      <c r="D5779" s="13">
        <v>65675.0</v>
      </c>
      <c r="E5779" s="4">
        <v>45919.0</v>
      </c>
      <c r="F5779" s="4" t="str">
        <f>IF(D5779="","", IFNA(VLOOKUP(D5779, SATCAT_DECAY!A:B, 2, FALSE), ""))
</f>
        <v/>
      </c>
      <c r="G5779" s="3" t="str">
        <f t="shared" si="1"/>
        <v>ACTIVE</v>
      </c>
    </row>
    <row r="5780" ht="22.5" customHeight="1">
      <c r="A5780" s="11" t="str">
        <f t="array" ref="A5780">IFERROR(
  INDEX('Starlink Launches'!$A:$A, MATCH($E5780, 'Starlink Launches'!$B:$B, 0)),
  ""
)
</f>
        <v>17-11</v>
      </c>
      <c r="B5780" s="3" t="s">
        <v>25</v>
      </c>
      <c r="C5780" s="12" t="s">
        <v>5812</v>
      </c>
      <c r="D5780" s="13">
        <v>65791.0</v>
      </c>
      <c r="E5780" s="4">
        <v>45926.0</v>
      </c>
      <c r="F5780" s="4" t="str">
        <f>IF(D5780="","", IFNA(VLOOKUP(D5780, SATCAT_DECAY!A:B, 2, FALSE), ""))
</f>
        <v/>
      </c>
      <c r="G5780" s="3" t="str">
        <f t="shared" si="1"/>
        <v>ACTIVE</v>
      </c>
    </row>
    <row r="5781" ht="22.5" customHeight="1">
      <c r="A5781" s="11" t="str">
        <f t="array" ref="A5781">IFERROR(
  INDEX('Starlink Launches'!$A:$A, MATCH($E5781, 'Starlink Launches'!$B:$B, 0)),
  ""
)
</f>
        <v>17-11</v>
      </c>
      <c r="B5781" s="3" t="s">
        <v>25</v>
      </c>
      <c r="C5781" s="12" t="s">
        <v>5813</v>
      </c>
      <c r="D5781" s="13">
        <v>65792.0</v>
      </c>
      <c r="E5781" s="4">
        <v>45926.0</v>
      </c>
      <c r="F5781" s="4" t="str">
        <f>IF(D5781="","", IFNA(VLOOKUP(D5781, SATCAT_DECAY!A:B, 2, FALSE), ""))
</f>
        <v/>
      </c>
      <c r="G5781" s="3" t="str">
        <f t="shared" si="1"/>
        <v>ACTIVE</v>
      </c>
    </row>
    <row r="5782" ht="22.5" customHeight="1">
      <c r="A5782" s="11" t="str">
        <f t="array" ref="A5782">IFERROR(
  INDEX('Starlink Launches'!$A:$A, MATCH($E5782, 'Starlink Launches'!$B:$B, 0)),
  ""
)
</f>
        <v>17-11</v>
      </c>
      <c r="B5782" s="3" t="s">
        <v>25</v>
      </c>
      <c r="C5782" s="12" t="s">
        <v>5814</v>
      </c>
      <c r="D5782" s="13">
        <v>65793.0</v>
      </c>
      <c r="E5782" s="4">
        <v>45926.0</v>
      </c>
      <c r="F5782" s="4" t="str">
        <f>IF(D5782="","", IFNA(VLOOKUP(D5782, SATCAT_DECAY!A:B, 2, FALSE), ""))
</f>
        <v/>
      </c>
      <c r="G5782" s="3" t="str">
        <f t="shared" si="1"/>
        <v>ACTIVE</v>
      </c>
    </row>
    <row r="5783" ht="22.5" customHeight="1">
      <c r="A5783" s="11" t="str">
        <f t="array" ref="A5783">IFERROR(
  INDEX('Starlink Launches'!$A:$A, MATCH($E5783, 'Starlink Launches'!$B:$B, 0)),
  ""
)
</f>
        <v>17-11</v>
      </c>
      <c r="B5783" s="3" t="s">
        <v>25</v>
      </c>
      <c r="C5783" s="12" t="s">
        <v>5815</v>
      </c>
      <c r="D5783" s="13">
        <v>65794.0</v>
      </c>
      <c r="E5783" s="4">
        <v>45926.0</v>
      </c>
      <c r="F5783" s="4" t="str">
        <f>IF(D5783="","", IFNA(VLOOKUP(D5783, SATCAT_DECAY!A:B, 2, FALSE), ""))
</f>
        <v/>
      </c>
      <c r="G5783" s="3" t="str">
        <f t="shared" si="1"/>
        <v>ACTIVE</v>
      </c>
    </row>
    <row r="5784" ht="22.5" customHeight="1">
      <c r="A5784" s="11" t="str">
        <f t="array" ref="A5784">IFERROR(
  INDEX('Starlink Launches'!$A:$A, MATCH($E5784, 'Starlink Launches'!$B:$B, 0)),
  ""
)
</f>
        <v>17-11</v>
      </c>
      <c r="B5784" s="3" t="s">
        <v>25</v>
      </c>
      <c r="C5784" s="12" t="s">
        <v>5816</v>
      </c>
      <c r="D5784" s="13">
        <v>65795.0</v>
      </c>
      <c r="E5784" s="4">
        <v>45926.0</v>
      </c>
      <c r="F5784" s="4" t="str">
        <f>IF(D5784="","", IFNA(VLOOKUP(D5784, SATCAT_DECAY!A:B, 2, FALSE), ""))
</f>
        <v/>
      </c>
      <c r="G5784" s="3" t="str">
        <f t="shared" si="1"/>
        <v>ACTIVE</v>
      </c>
    </row>
    <row r="5785" ht="22.5" customHeight="1">
      <c r="A5785" s="11" t="str">
        <f t="array" ref="A5785">IFERROR(
  INDEX('Starlink Launches'!$A:$A, MATCH($E5785, 'Starlink Launches'!$B:$B, 0)),
  ""
)
</f>
        <v>17-11</v>
      </c>
      <c r="B5785" s="3" t="s">
        <v>25</v>
      </c>
      <c r="C5785" s="12" t="s">
        <v>5817</v>
      </c>
      <c r="D5785" s="13">
        <v>65796.0</v>
      </c>
      <c r="E5785" s="4">
        <v>45926.0</v>
      </c>
      <c r="F5785" s="4" t="str">
        <f>IF(D5785="","", IFNA(VLOOKUP(D5785, SATCAT_DECAY!A:B, 2, FALSE), ""))
</f>
        <v/>
      </c>
      <c r="G5785" s="3" t="str">
        <f t="shared" si="1"/>
        <v>ACTIVE</v>
      </c>
    </row>
    <row r="5786" ht="22.5" customHeight="1">
      <c r="A5786" s="11" t="str">
        <f t="array" ref="A5786">IFERROR(
  INDEX('Starlink Launches'!$A:$A, MATCH($E5786, 'Starlink Launches'!$B:$B, 0)),
  ""
)
</f>
        <v>17-11</v>
      </c>
      <c r="B5786" s="3" t="s">
        <v>25</v>
      </c>
      <c r="C5786" s="12" t="s">
        <v>5818</v>
      </c>
      <c r="D5786" s="13">
        <v>65797.0</v>
      </c>
      <c r="E5786" s="4">
        <v>45926.0</v>
      </c>
      <c r="F5786" s="4" t="str">
        <f>IF(D5786="","", IFNA(VLOOKUP(D5786, SATCAT_DECAY!A:B, 2, FALSE), ""))
</f>
        <v/>
      </c>
      <c r="G5786" s="3" t="str">
        <f t="shared" si="1"/>
        <v>ACTIVE</v>
      </c>
    </row>
    <row r="5787" ht="22.5" customHeight="1">
      <c r="A5787" s="11" t="str">
        <f t="array" ref="A5787">IFERROR(
  INDEX('Starlink Launches'!$A:$A, MATCH($E5787, 'Starlink Launches'!$B:$B, 0)),
  ""
)
</f>
        <v>17-11</v>
      </c>
      <c r="B5787" s="3" t="s">
        <v>25</v>
      </c>
      <c r="C5787" s="12" t="s">
        <v>5819</v>
      </c>
      <c r="D5787" s="13">
        <v>65798.0</v>
      </c>
      <c r="E5787" s="4">
        <v>45926.0</v>
      </c>
      <c r="F5787" s="4" t="str">
        <f>IF(D5787="","", IFNA(VLOOKUP(D5787, SATCAT_DECAY!A:B, 2, FALSE), ""))
</f>
        <v/>
      </c>
      <c r="G5787" s="3" t="str">
        <f t="shared" si="1"/>
        <v>ACTIVE</v>
      </c>
    </row>
    <row r="5788" ht="22.5" customHeight="1">
      <c r="A5788" s="11" t="str">
        <f t="array" ref="A5788">IFERROR(
  INDEX('Starlink Launches'!$A:$A, MATCH($E5788, 'Starlink Launches'!$B:$B, 0)),
  ""
)
</f>
        <v>17-11</v>
      </c>
      <c r="B5788" s="3" t="s">
        <v>25</v>
      </c>
      <c r="C5788" s="12" t="s">
        <v>5820</v>
      </c>
      <c r="D5788" s="13">
        <v>65799.0</v>
      </c>
      <c r="E5788" s="4">
        <v>45926.0</v>
      </c>
      <c r="F5788" s="4" t="str">
        <f>IF(D5788="","", IFNA(VLOOKUP(D5788, SATCAT_DECAY!A:B, 2, FALSE), ""))
</f>
        <v/>
      </c>
      <c r="G5788" s="3" t="str">
        <f t="shared" si="1"/>
        <v>ACTIVE</v>
      </c>
    </row>
    <row r="5789" ht="22.5" customHeight="1">
      <c r="A5789" s="11" t="str">
        <f t="array" ref="A5789">IFERROR(
  INDEX('Starlink Launches'!$A:$A, MATCH($E5789, 'Starlink Launches'!$B:$B, 0)),
  ""
)
</f>
        <v>17-11</v>
      </c>
      <c r="B5789" s="3" t="s">
        <v>25</v>
      </c>
      <c r="C5789" s="12" t="s">
        <v>5821</v>
      </c>
      <c r="D5789" s="13">
        <v>65800.0</v>
      </c>
      <c r="E5789" s="4">
        <v>45926.0</v>
      </c>
      <c r="F5789" s="4" t="str">
        <f>IF(D5789="","", IFNA(VLOOKUP(D5789, SATCAT_DECAY!A:B, 2, FALSE), ""))
</f>
        <v/>
      </c>
      <c r="G5789" s="3" t="str">
        <f t="shared" si="1"/>
        <v>ACTIVE</v>
      </c>
    </row>
    <row r="5790" ht="22.5" customHeight="1">
      <c r="A5790" s="11" t="str">
        <f t="array" ref="A5790">IFERROR(
  INDEX('Starlink Launches'!$A:$A, MATCH($E5790, 'Starlink Launches'!$B:$B, 0)),
  ""
)
</f>
        <v>17-11</v>
      </c>
      <c r="B5790" s="3" t="s">
        <v>25</v>
      </c>
      <c r="C5790" s="12" t="s">
        <v>5822</v>
      </c>
      <c r="D5790" s="13">
        <v>65801.0</v>
      </c>
      <c r="E5790" s="4">
        <v>45926.0</v>
      </c>
      <c r="F5790" s="4" t="str">
        <f>IF(D5790="","", IFNA(VLOOKUP(D5790, SATCAT_DECAY!A:B, 2, FALSE), ""))
</f>
        <v/>
      </c>
      <c r="G5790" s="3" t="str">
        <f t="shared" si="1"/>
        <v>ACTIVE</v>
      </c>
    </row>
    <row r="5791" ht="22.5" customHeight="1">
      <c r="A5791" s="11" t="str">
        <f t="array" ref="A5791">IFERROR(
  INDEX('Starlink Launches'!$A:$A, MATCH($E5791, 'Starlink Launches'!$B:$B, 0)),
  ""
)
</f>
        <v>17-11</v>
      </c>
      <c r="B5791" s="3" t="s">
        <v>25</v>
      </c>
      <c r="C5791" s="12" t="s">
        <v>5823</v>
      </c>
      <c r="D5791" s="13">
        <v>65802.0</v>
      </c>
      <c r="E5791" s="4">
        <v>45926.0</v>
      </c>
      <c r="F5791" s="4" t="str">
        <f>IF(D5791="","", IFNA(VLOOKUP(D5791, SATCAT_DECAY!A:B, 2, FALSE), ""))
</f>
        <v/>
      </c>
      <c r="G5791" s="3" t="str">
        <f t="shared" si="1"/>
        <v>ACTIVE</v>
      </c>
    </row>
    <row r="5792" ht="22.5" customHeight="1">
      <c r="A5792" s="11" t="str">
        <f t="array" ref="A5792">IFERROR(
  INDEX('Starlink Launches'!$A:$A, MATCH($E5792, 'Starlink Launches'!$B:$B, 0)),
  ""
)
</f>
        <v>17-11</v>
      </c>
      <c r="B5792" s="3" t="s">
        <v>25</v>
      </c>
      <c r="C5792" s="12" t="s">
        <v>5824</v>
      </c>
      <c r="D5792" s="13">
        <v>65803.0</v>
      </c>
      <c r="E5792" s="4">
        <v>45926.0</v>
      </c>
      <c r="F5792" s="4" t="str">
        <f>IF(D5792="","", IFNA(VLOOKUP(D5792, SATCAT_DECAY!A:B, 2, FALSE), ""))
</f>
        <v/>
      </c>
      <c r="G5792" s="3" t="str">
        <f t="shared" si="1"/>
        <v>ACTIVE</v>
      </c>
    </row>
    <row r="5793" ht="22.5" customHeight="1">
      <c r="A5793" s="11" t="str">
        <f t="array" ref="A5793">IFERROR(
  INDEX('Starlink Launches'!$A:$A, MATCH($E5793, 'Starlink Launches'!$B:$B, 0)),
  ""
)
</f>
        <v>17-11</v>
      </c>
      <c r="B5793" s="3" t="s">
        <v>25</v>
      </c>
      <c r="C5793" s="12" t="s">
        <v>5825</v>
      </c>
      <c r="D5793" s="13">
        <v>65804.0</v>
      </c>
      <c r="E5793" s="4">
        <v>45926.0</v>
      </c>
      <c r="F5793" s="4" t="str">
        <f>IF(D5793="","", IFNA(VLOOKUP(D5793, SATCAT_DECAY!A:B, 2, FALSE), ""))
</f>
        <v/>
      </c>
      <c r="G5793" s="3" t="str">
        <f t="shared" si="1"/>
        <v>ACTIVE</v>
      </c>
    </row>
    <row r="5794" ht="22.5" customHeight="1">
      <c r="A5794" s="11" t="str">
        <f t="array" ref="A5794">IFERROR(
  INDEX('Starlink Launches'!$A:$A, MATCH($E5794, 'Starlink Launches'!$B:$B, 0)),
  ""
)
</f>
        <v>17-11</v>
      </c>
      <c r="B5794" s="3" t="s">
        <v>25</v>
      </c>
      <c r="C5794" s="12" t="s">
        <v>5826</v>
      </c>
      <c r="D5794" s="13">
        <v>65805.0</v>
      </c>
      <c r="E5794" s="4">
        <v>45926.0</v>
      </c>
      <c r="F5794" s="4" t="str">
        <f>IF(D5794="","", IFNA(VLOOKUP(D5794, SATCAT_DECAY!A:B, 2, FALSE), ""))
</f>
        <v/>
      </c>
      <c r="G5794" s="3" t="str">
        <f t="shared" si="1"/>
        <v>ACTIVE</v>
      </c>
    </row>
    <row r="5795" ht="22.5" customHeight="1">
      <c r="A5795" s="11" t="str">
        <f t="array" ref="A5795">IFERROR(
  INDEX('Starlink Launches'!$A:$A, MATCH($E5795, 'Starlink Launches'!$B:$B, 0)),
  ""
)
</f>
        <v>17-11</v>
      </c>
      <c r="B5795" s="3" t="s">
        <v>25</v>
      </c>
      <c r="C5795" s="12" t="s">
        <v>5827</v>
      </c>
      <c r="D5795" s="13">
        <v>65806.0</v>
      </c>
      <c r="E5795" s="4">
        <v>45926.0</v>
      </c>
      <c r="F5795" s="4" t="str">
        <f>IF(D5795="","", IFNA(VLOOKUP(D5795, SATCAT_DECAY!A:B, 2, FALSE), ""))
</f>
        <v/>
      </c>
      <c r="G5795" s="3" t="str">
        <f t="shared" si="1"/>
        <v>ACTIVE</v>
      </c>
    </row>
    <row r="5796" ht="22.5" customHeight="1">
      <c r="A5796" s="11" t="str">
        <f t="array" ref="A5796">IFERROR(
  INDEX('Starlink Launches'!$A:$A, MATCH($E5796, 'Starlink Launches'!$B:$B, 0)),
  ""
)
</f>
        <v>17-11</v>
      </c>
      <c r="B5796" s="3" t="s">
        <v>25</v>
      </c>
      <c r="C5796" s="12" t="s">
        <v>5828</v>
      </c>
      <c r="D5796" s="13">
        <v>65807.0</v>
      </c>
      <c r="E5796" s="4">
        <v>45926.0</v>
      </c>
      <c r="F5796" s="4" t="str">
        <f>IF(D5796="","", IFNA(VLOOKUP(D5796, SATCAT_DECAY!A:B, 2, FALSE), ""))
</f>
        <v/>
      </c>
      <c r="G5796" s="3" t="str">
        <f t="shared" si="1"/>
        <v>ACTIVE</v>
      </c>
    </row>
    <row r="5797" ht="22.5" customHeight="1">
      <c r="A5797" s="11" t="str">
        <f t="array" ref="A5797">IFERROR(
  INDEX('Starlink Launches'!$A:$A, MATCH($E5797, 'Starlink Launches'!$B:$B, 0)),
  ""
)
</f>
        <v>17-11</v>
      </c>
      <c r="B5797" s="3" t="s">
        <v>25</v>
      </c>
      <c r="C5797" s="12" t="s">
        <v>5829</v>
      </c>
      <c r="D5797" s="13">
        <v>65808.0</v>
      </c>
      <c r="E5797" s="4">
        <v>45926.0</v>
      </c>
      <c r="F5797" s="4" t="str">
        <f>IF(D5797="","", IFNA(VLOOKUP(D5797, SATCAT_DECAY!A:B, 2, FALSE), ""))
</f>
        <v/>
      </c>
      <c r="G5797" s="3" t="str">
        <f t="shared" si="1"/>
        <v>ACTIVE</v>
      </c>
    </row>
    <row r="5798" ht="22.5" customHeight="1">
      <c r="A5798" s="11" t="str">
        <f t="array" ref="A5798">IFERROR(
  INDEX('Starlink Launches'!$A:$A, MATCH($E5798, 'Starlink Launches'!$B:$B, 0)),
  ""
)
</f>
        <v>17-11</v>
      </c>
      <c r="B5798" s="3" t="s">
        <v>25</v>
      </c>
      <c r="C5798" s="12" t="s">
        <v>5830</v>
      </c>
      <c r="D5798" s="13">
        <v>65809.0</v>
      </c>
      <c r="E5798" s="4">
        <v>45926.0</v>
      </c>
      <c r="F5798" s="4" t="str">
        <f>IF(D5798="","", IFNA(VLOOKUP(D5798, SATCAT_DECAY!A:B, 2, FALSE), ""))
</f>
        <v/>
      </c>
      <c r="G5798" s="3" t="str">
        <f t="shared" si="1"/>
        <v>ACTIVE</v>
      </c>
    </row>
    <row r="5799" ht="22.5" customHeight="1">
      <c r="A5799" s="11" t="str">
        <f t="array" ref="A5799">IFERROR(
  INDEX('Starlink Launches'!$A:$A, MATCH($E5799, 'Starlink Launches'!$B:$B, 0)),
  ""
)
</f>
        <v>17-11</v>
      </c>
      <c r="B5799" s="3" t="s">
        <v>25</v>
      </c>
      <c r="C5799" s="12" t="s">
        <v>5831</v>
      </c>
      <c r="D5799" s="13">
        <v>65810.0</v>
      </c>
      <c r="E5799" s="4">
        <v>45926.0</v>
      </c>
      <c r="F5799" s="4" t="str">
        <f>IF(D5799="","", IFNA(VLOOKUP(D5799, SATCAT_DECAY!A:B, 2, FALSE), ""))
</f>
        <v/>
      </c>
      <c r="G5799" s="3" t="str">
        <f t="shared" si="1"/>
        <v>ACTIVE</v>
      </c>
    </row>
    <row r="5800" ht="22.5" customHeight="1">
      <c r="A5800" s="11" t="str">
        <f t="array" ref="A5800">IFERROR(
  INDEX('Starlink Launches'!$A:$A, MATCH($E5800, 'Starlink Launches'!$B:$B, 0)),
  ""
)
</f>
        <v>17-11</v>
      </c>
      <c r="B5800" s="3" t="s">
        <v>25</v>
      </c>
      <c r="C5800" s="12" t="s">
        <v>5832</v>
      </c>
      <c r="D5800" s="13">
        <v>65811.0</v>
      </c>
      <c r="E5800" s="4">
        <v>45926.0</v>
      </c>
      <c r="F5800" s="4" t="str">
        <f>IF(D5800="","", IFNA(VLOOKUP(D5800, SATCAT_DECAY!A:B, 2, FALSE), ""))
</f>
        <v/>
      </c>
      <c r="G5800" s="3" t="str">
        <f t="shared" si="1"/>
        <v>ACTIVE</v>
      </c>
    </row>
    <row r="5801" ht="22.5" customHeight="1">
      <c r="A5801" s="11" t="str">
        <f t="array" ref="A5801">IFERROR(
  INDEX('Starlink Launches'!$A:$A, MATCH($E5801, 'Starlink Launches'!$B:$B, 0)),
  ""
)
</f>
        <v>17-11</v>
      </c>
      <c r="B5801" s="3" t="s">
        <v>25</v>
      </c>
      <c r="C5801" s="12" t="s">
        <v>5833</v>
      </c>
      <c r="D5801" s="13">
        <v>65812.0</v>
      </c>
      <c r="E5801" s="4">
        <v>45926.0</v>
      </c>
      <c r="F5801" s="4" t="str">
        <f>IF(D5801="","", IFNA(VLOOKUP(D5801, SATCAT_DECAY!A:B, 2, FALSE), ""))
</f>
        <v/>
      </c>
      <c r="G5801" s="3" t="str">
        <f t="shared" si="1"/>
        <v>ACTIVE</v>
      </c>
    </row>
    <row r="5802" ht="22.5" customHeight="1">
      <c r="A5802" s="11" t="str">
        <f t="array" ref="A5802">IFERROR(
  INDEX('Starlink Launches'!$A:$A, MATCH($E5802, 'Starlink Launches'!$B:$B, 0)),
  ""
)
</f>
        <v>17-11</v>
      </c>
      <c r="B5802" s="3" t="s">
        <v>25</v>
      </c>
      <c r="C5802" s="12" t="s">
        <v>5834</v>
      </c>
      <c r="D5802" s="13">
        <v>65813.0</v>
      </c>
      <c r="E5802" s="4">
        <v>45926.0</v>
      </c>
      <c r="F5802" s="4" t="str">
        <f>IF(D5802="","", IFNA(VLOOKUP(D5802, SATCAT_DECAY!A:B, 2, FALSE), ""))
</f>
        <v/>
      </c>
      <c r="G5802" s="3" t="str">
        <f t="shared" si="1"/>
        <v>ACTIVE</v>
      </c>
    </row>
    <row r="5803" ht="22.5" customHeight="1">
      <c r="A5803" s="11" t="str">
        <f t="array" ref="A5803">IFERROR(
  INDEX('Starlink Launches'!$A:$A, MATCH($E5803, 'Starlink Launches'!$B:$B, 0)),
  ""
)
</f>
        <v>17-11</v>
      </c>
      <c r="B5803" s="3" t="s">
        <v>25</v>
      </c>
      <c r="C5803" s="12" t="s">
        <v>5835</v>
      </c>
      <c r="D5803" s="13">
        <v>65814.0</v>
      </c>
      <c r="E5803" s="4">
        <v>45926.0</v>
      </c>
      <c r="F5803" s="4" t="str">
        <f>IF(D5803="","", IFNA(VLOOKUP(D5803, SATCAT_DECAY!A:B, 2, FALSE), ""))
</f>
        <v/>
      </c>
      <c r="G5803" s="3" t="str">
        <f t="shared" si="1"/>
        <v>ACTIVE</v>
      </c>
    </row>
    <row r="5804" ht="22.5" customHeight="1">
      <c r="A5804" s="11" t="str">
        <f t="array" ref="A5804">IFERROR(
  INDEX('Starlink Launches'!$A:$A, MATCH($E5804, 'Starlink Launches'!$B:$B, 0)),
  ""
)
</f>
        <v>17-30</v>
      </c>
      <c r="B5804" s="3" t="s">
        <v>25</v>
      </c>
      <c r="C5804" s="12" t="s">
        <v>5836</v>
      </c>
      <c r="D5804" s="13">
        <v>67532.0</v>
      </c>
      <c r="E5804" s="4">
        <v>46044.0</v>
      </c>
      <c r="F5804" s="4" t="str">
        <f>IF(D5804="","", IFNA(VLOOKUP(D5804, SATCAT_DECAY!A:B, 2, FALSE), ""))
</f>
        <v/>
      </c>
      <c r="G5804" s="3" t="str">
        <f t="shared" si="1"/>
        <v>ACTIVE</v>
      </c>
    </row>
    <row r="5805" ht="22.5" customHeight="1">
      <c r="A5805" s="11" t="str">
        <f t="array" ref="A5805">IFERROR(
  INDEX('Starlink Launches'!$A:$A, MATCH($E5805, 'Starlink Launches'!$B:$B, 0)),
  ""
)
</f>
        <v>17-30</v>
      </c>
      <c r="B5805" s="3" t="s">
        <v>25</v>
      </c>
      <c r="C5805" s="12" t="s">
        <v>5837</v>
      </c>
      <c r="D5805" s="13">
        <v>67533.0</v>
      </c>
      <c r="E5805" s="4">
        <v>46044.0</v>
      </c>
      <c r="F5805" s="4" t="str">
        <f>IF(D5805="","", IFNA(VLOOKUP(D5805, SATCAT_DECAY!A:B, 2, FALSE), ""))
</f>
        <v/>
      </c>
      <c r="G5805" s="3" t="str">
        <f t="shared" si="1"/>
        <v>ACTIVE</v>
      </c>
    </row>
    <row r="5806" ht="22.5" customHeight="1">
      <c r="A5806" s="11" t="str">
        <f t="array" ref="A5806">IFERROR(
  INDEX('Starlink Launches'!$A:$A, MATCH($E5806, 'Starlink Launches'!$B:$B, 0)),
  ""
)
</f>
        <v>17-30</v>
      </c>
      <c r="B5806" s="3" t="s">
        <v>25</v>
      </c>
      <c r="C5806" s="12" t="s">
        <v>5838</v>
      </c>
      <c r="D5806" s="13">
        <v>67534.0</v>
      </c>
      <c r="E5806" s="4">
        <v>46044.0</v>
      </c>
      <c r="F5806" s="4" t="str">
        <f>IF(D5806="","", IFNA(VLOOKUP(D5806, SATCAT_DECAY!A:B, 2, FALSE), ""))
</f>
        <v/>
      </c>
      <c r="G5806" s="3" t="str">
        <f t="shared" si="1"/>
        <v>ACTIVE</v>
      </c>
    </row>
    <row r="5807" ht="22.5" customHeight="1">
      <c r="A5807" s="11" t="str">
        <f t="array" ref="A5807">IFERROR(
  INDEX('Starlink Launches'!$A:$A, MATCH($E5807, 'Starlink Launches'!$B:$B, 0)),
  ""
)
</f>
        <v>17-30</v>
      </c>
      <c r="B5807" s="3" t="s">
        <v>25</v>
      </c>
      <c r="C5807" s="12" t="s">
        <v>5839</v>
      </c>
      <c r="D5807" s="13">
        <v>67535.0</v>
      </c>
      <c r="E5807" s="4">
        <v>46044.0</v>
      </c>
      <c r="F5807" s="4" t="str">
        <f>IF(D5807="","", IFNA(VLOOKUP(D5807, SATCAT_DECAY!A:B, 2, FALSE), ""))
</f>
        <v/>
      </c>
      <c r="G5807" s="3" t="str">
        <f t="shared" si="1"/>
        <v>ACTIVE</v>
      </c>
    </row>
    <row r="5808" ht="22.5" customHeight="1">
      <c r="A5808" s="11" t="str">
        <f t="array" ref="A5808">IFERROR(
  INDEX('Starlink Launches'!$A:$A, MATCH($E5808, 'Starlink Launches'!$B:$B, 0)),
  ""
)
</f>
        <v>17-30</v>
      </c>
      <c r="B5808" s="3" t="s">
        <v>25</v>
      </c>
      <c r="C5808" s="12" t="s">
        <v>5840</v>
      </c>
      <c r="D5808" s="13">
        <v>67536.0</v>
      </c>
      <c r="E5808" s="4">
        <v>46044.0</v>
      </c>
      <c r="F5808" s="4" t="str">
        <f>IF(D5808="","", IFNA(VLOOKUP(D5808, SATCAT_DECAY!A:B, 2, FALSE), ""))
</f>
        <v/>
      </c>
      <c r="G5808" s="3" t="str">
        <f t="shared" si="1"/>
        <v>ACTIVE</v>
      </c>
    </row>
    <row r="5809" ht="22.5" customHeight="1">
      <c r="A5809" s="11" t="str">
        <f t="array" ref="A5809">IFERROR(
  INDEX('Starlink Launches'!$A:$A, MATCH($E5809, 'Starlink Launches'!$B:$B, 0)),
  ""
)
</f>
        <v>17-30</v>
      </c>
      <c r="B5809" s="3" t="s">
        <v>25</v>
      </c>
      <c r="C5809" s="12" t="s">
        <v>5841</v>
      </c>
      <c r="D5809" s="13">
        <v>67537.0</v>
      </c>
      <c r="E5809" s="4">
        <v>46044.0</v>
      </c>
      <c r="F5809" s="4" t="str">
        <f>IF(D5809="","", IFNA(VLOOKUP(D5809, SATCAT_DECAY!A:B, 2, FALSE), ""))
</f>
        <v/>
      </c>
      <c r="G5809" s="3" t="str">
        <f t="shared" si="1"/>
        <v>ACTIVE</v>
      </c>
    </row>
    <row r="5810" ht="22.5" customHeight="1">
      <c r="A5810" s="11" t="str">
        <f t="array" ref="A5810">IFERROR(
  INDEX('Starlink Launches'!$A:$A, MATCH($E5810, 'Starlink Launches'!$B:$B, 0)),
  ""
)
</f>
        <v>17-30</v>
      </c>
      <c r="B5810" s="3" t="s">
        <v>25</v>
      </c>
      <c r="C5810" s="12" t="s">
        <v>5842</v>
      </c>
      <c r="D5810" s="13">
        <v>67538.0</v>
      </c>
      <c r="E5810" s="4">
        <v>46044.0</v>
      </c>
      <c r="F5810" s="4" t="str">
        <f>IF(D5810="","", IFNA(VLOOKUP(D5810, SATCAT_DECAY!A:B, 2, FALSE), ""))
</f>
        <v/>
      </c>
      <c r="G5810" s="3" t="str">
        <f t="shared" si="1"/>
        <v>ACTIVE</v>
      </c>
    </row>
    <row r="5811" ht="22.5" customHeight="1">
      <c r="A5811" s="11" t="str">
        <f t="array" ref="A5811">IFERROR(
  INDEX('Starlink Launches'!$A:$A, MATCH($E5811, 'Starlink Launches'!$B:$B, 0)),
  ""
)
</f>
        <v>17-30</v>
      </c>
      <c r="B5811" s="3" t="s">
        <v>25</v>
      </c>
      <c r="C5811" s="12" t="s">
        <v>5843</v>
      </c>
      <c r="D5811" s="13">
        <v>67539.0</v>
      </c>
      <c r="E5811" s="4">
        <v>46044.0</v>
      </c>
      <c r="F5811" s="4" t="str">
        <f>IF(D5811="","", IFNA(VLOOKUP(D5811, SATCAT_DECAY!A:B, 2, FALSE), ""))
</f>
        <v/>
      </c>
      <c r="G5811" s="3" t="str">
        <f t="shared" si="1"/>
        <v>ACTIVE</v>
      </c>
    </row>
    <row r="5812" ht="22.5" customHeight="1">
      <c r="A5812" s="11" t="str">
        <f t="array" ref="A5812">IFERROR(
  INDEX('Starlink Launches'!$A:$A, MATCH($E5812, 'Starlink Launches'!$B:$B, 0)),
  ""
)
</f>
        <v>17-30</v>
      </c>
      <c r="B5812" s="3" t="s">
        <v>25</v>
      </c>
      <c r="C5812" s="12" t="s">
        <v>5844</v>
      </c>
      <c r="D5812" s="13">
        <v>67540.0</v>
      </c>
      <c r="E5812" s="4">
        <v>46044.0</v>
      </c>
      <c r="F5812" s="4" t="str">
        <f>IF(D5812="","", IFNA(VLOOKUP(D5812, SATCAT_DECAY!A:B, 2, FALSE), ""))
</f>
        <v/>
      </c>
      <c r="G5812" s="3" t="str">
        <f t="shared" si="1"/>
        <v>ACTIVE</v>
      </c>
    </row>
    <row r="5813" ht="22.5" customHeight="1">
      <c r="A5813" s="11" t="str">
        <f t="array" ref="A5813">IFERROR(
  INDEX('Starlink Launches'!$A:$A, MATCH($E5813, 'Starlink Launches'!$B:$B, 0)),
  ""
)
</f>
        <v>17-30</v>
      </c>
      <c r="B5813" s="3" t="s">
        <v>25</v>
      </c>
      <c r="C5813" s="12" t="s">
        <v>5845</v>
      </c>
      <c r="D5813" s="13">
        <v>67541.0</v>
      </c>
      <c r="E5813" s="4">
        <v>46044.0</v>
      </c>
      <c r="F5813" s="4" t="str">
        <f>IF(D5813="","", IFNA(VLOOKUP(D5813, SATCAT_DECAY!A:B, 2, FALSE), ""))
</f>
        <v/>
      </c>
      <c r="G5813" s="3" t="str">
        <f t="shared" si="1"/>
        <v>ACTIVE</v>
      </c>
    </row>
    <row r="5814" ht="22.5" customHeight="1">
      <c r="A5814" s="11" t="str">
        <f t="array" ref="A5814">IFERROR(
  INDEX('Starlink Launches'!$A:$A, MATCH($E5814, 'Starlink Launches'!$B:$B, 0)),
  ""
)
</f>
        <v>17-30</v>
      </c>
      <c r="B5814" s="3" t="s">
        <v>25</v>
      </c>
      <c r="C5814" s="12" t="s">
        <v>5846</v>
      </c>
      <c r="D5814" s="13">
        <v>67542.0</v>
      </c>
      <c r="E5814" s="4">
        <v>46044.0</v>
      </c>
      <c r="F5814" s="4" t="str">
        <f>IF(D5814="","", IFNA(VLOOKUP(D5814, SATCAT_DECAY!A:B, 2, FALSE), ""))
</f>
        <v/>
      </c>
      <c r="G5814" s="3" t="str">
        <f t="shared" si="1"/>
        <v>ACTIVE</v>
      </c>
    </row>
    <row r="5815" ht="22.5" customHeight="1">
      <c r="A5815" s="11" t="str">
        <f t="array" ref="A5815">IFERROR(
  INDEX('Starlink Launches'!$A:$A, MATCH($E5815, 'Starlink Launches'!$B:$B, 0)),
  ""
)
</f>
        <v>17-30</v>
      </c>
      <c r="B5815" s="3" t="s">
        <v>25</v>
      </c>
      <c r="C5815" s="12" t="s">
        <v>5847</v>
      </c>
      <c r="D5815" s="13">
        <v>67543.0</v>
      </c>
      <c r="E5815" s="4">
        <v>46044.0</v>
      </c>
      <c r="F5815" s="4" t="str">
        <f>IF(D5815="","", IFNA(VLOOKUP(D5815, SATCAT_DECAY!A:B, 2, FALSE), ""))
</f>
        <v/>
      </c>
      <c r="G5815" s="3" t="str">
        <f t="shared" si="1"/>
        <v>ACTIVE</v>
      </c>
    </row>
    <row r="5816" ht="22.5" customHeight="1">
      <c r="A5816" s="11" t="str">
        <f t="array" ref="A5816">IFERROR(
  INDEX('Starlink Launches'!$A:$A, MATCH($E5816, 'Starlink Launches'!$B:$B, 0)),
  ""
)
</f>
        <v>17-30</v>
      </c>
      <c r="B5816" s="3" t="s">
        <v>25</v>
      </c>
      <c r="C5816" s="12" t="s">
        <v>5848</v>
      </c>
      <c r="D5816" s="13">
        <v>67544.0</v>
      </c>
      <c r="E5816" s="4">
        <v>46044.0</v>
      </c>
      <c r="F5816" s="4" t="str">
        <f>IF(D5816="","", IFNA(VLOOKUP(D5816, SATCAT_DECAY!A:B, 2, FALSE), ""))
</f>
        <v/>
      </c>
      <c r="G5816" s="3" t="str">
        <f t="shared" si="1"/>
        <v>ACTIVE</v>
      </c>
    </row>
    <row r="5817" ht="22.5" customHeight="1">
      <c r="A5817" s="11" t="str">
        <f t="array" ref="A5817">IFERROR(
  INDEX('Starlink Launches'!$A:$A, MATCH($E5817, 'Starlink Launches'!$B:$B, 0)),
  ""
)
</f>
        <v>17-30</v>
      </c>
      <c r="B5817" s="3" t="s">
        <v>25</v>
      </c>
      <c r="C5817" s="12" t="s">
        <v>5849</v>
      </c>
      <c r="D5817" s="13">
        <v>67545.0</v>
      </c>
      <c r="E5817" s="4">
        <v>46044.0</v>
      </c>
      <c r="F5817" s="4" t="str">
        <f>IF(D5817="","", IFNA(VLOOKUP(D5817, SATCAT_DECAY!A:B, 2, FALSE), ""))
</f>
        <v/>
      </c>
      <c r="G5817" s="3" t="str">
        <f t="shared" si="1"/>
        <v>ACTIVE</v>
      </c>
    </row>
    <row r="5818" ht="22.5" customHeight="1">
      <c r="A5818" s="11" t="str">
        <f t="array" ref="A5818">IFERROR(
  INDEX('Starlink Launches'!$A:$A, MATCH($E5818, 'Starlink Launches'!$B:$B, 0)),
  ""
)
</f>
        <v>17-30</v>
      </c>
      <c r="B5818" s="3" t="s">
        <v>25</v>
      </c>
      <c r="C5818" s="12" t="s">
        <v>5850</v>
      </c>
      <c r="D5818" s="13">
        <v>67546.0</v>
      </c>
      <c r="E5818" s="4">
        <v>46044.0</v>
      </c>
      <c r="F5818" s="4" t="str">
        <f>IF(D5818="","", IFNA(VLOOKUP(D5818, SATCAT_DECAY!A:B, 2, FALSE), ""))
</f>
        <v/>
      </c>
      <c r="G5818" s="3" t="str">
        <f t="shared" si="1"/>
        <v>ACTIVE</v>
      </c>
    </row>
    <row r="5819" ht="22.5" customHeight="1">
      <c r="A5819" s="11" t="str">
        <f t="array" ref="A5819">IFERROR(
  INDEX('Starlink Launches'!$A:$A, MATCH($E5819, 'Starlink Launches'!$B:$B, 0)),
  ""
)
</f>
        <v>17-30</v>
      </c>
      <c r="B5819" s="3" t="s">
        <v>25</v>
      </c>
      <c r="C5819" s="12" t="s">
        <v>5851</v>
      </c>
      <c r="D5819" s="13">
        <v>67547.0</v>
      </c>
      <c r="E5819" s="4">
        <v>46044.0</v>
      </c>
      <c r="F5819" s="4" t="str">
        <f>IF(D5819="","", IFNA(VLOOKUP(D5819, SATCAT_DECAY!A:B, 2, FALSE), ""))
</f>
        <v/>
      </c>
      <c r="G5819" s="3" t="str">
        <f t="shared" si="1"/>
        <v>ACTIVE</v>
      </c>
    </row>
    <row r="5820" ht="22.5" customHeight="1">
      <c r="A5820" s="11" t="str">
        <f t="array" ref="A5820">IFERROR(
  INDEX('Starlink Launches'!$A:$A, MATCH($E5820, 'Starlink Launches'!$B:$B, 0)),
  ""
)
</f>
        <v>17-30</v>
      </c>
      <c r="B5820" s="3" t="s">
        <v>25</v>
      </c>
      <c r="C5820" s="12" t="s">
        <v>5852</v>
      </c>
      <c r="D5820" s="13">
        <v>67548.0</v>
      </c>
      <c r="E5820" s="4">
        <v>46044.0</v>
      </c>
      <c r="F5820" s="4" t="str">
        <f>IF(D5820="","", IFNA(VLOOKUP(D5820, SATCAT_DECAY!A:B, 2, FALSE), ""))
</f>
        <v/>
      </c>
      <c r="G5820" s="3" t="str">
        <f t="shared" si="1"/>
        <v>ACTIVE</v>
      </c>
    </row>
    <row r="5821" ht="22.5" customHeight="1">
      <c r="A5821" s="11" t="str">
        <f t="array" ref="A5821">IFERROR(
  INDEX('Starlink Launches'!$A:$A, MATCH($E5821, 'Starlink Launches'!$B:$B, 0)),
  ""
)
</f>
        <v>17-30</v>
      </c>
      <c r="B5821" s="3" t="s">
        <v>25</v>
      </c>
      <c r="C5821" s="12" t="s">
        <v>5853</v>
      </c>
      <c r="D5821" s="13">
        <v>67549.0</v>
      </c>
      <c r="E5821" s="4">
        <v>46044.0</v>
      </c>
      <c r="F5821" s="4" t="str">
        <f>IF(D5821="","", IFNA(VLOOKUP(D5821, SATCAT_DECAY!A:B, 2, FALSE), ""))
</f>
        <v/>
      </c>
      <c r="G5821" s="3" t="str">
        <f t="shared" si="1"/>
        <v>ACTIVE</v>
      </c>
    </row>
    <row r="5822" ht="22.5" customHeight="1">
      <c r="A5822" s="11" t="str">
        <f t="array" ref="A5822">IFERROR(
  INDEX('Starlink Launches'!$A:$A, MATCH($E5822, 'Starlink Launches'!$B:$B, 0)),
  ""
)
</f>
        <v>17-30</v>
      </c>
      <c r="B5822" s="3" t="s">
        <v>25</v>
      </c>
      <c r="C5822" s="12" t="s">
        <v>5854</v>
      </c>
      <c r="D5822" s="13">
        <v>67550.0</v>
      </c>
      <c r="E5822" s="4">
        <v>46044.0</v>
      </c>
      <c r="F5822" s="4" t="str">
        <f>IF(D5822="","", IFNA(VLOOKUP(D5822, SATCAT_DECAY!A:B, 2, FALSE), ""))
</f>
        <v/>
      </c>
      <c r="G5822" s="3" t="str">
        <f t="shared" si="1"/>
        <v>ACTIVE</v>
      </c>
    </row>
    <row r="5823" ht="22.5" customHeight="1">
      <c r="A5823" s="11" t="str">
        <f t="array" ref="A5823">IFERROR(
  INDEX('Starlink Launches'!$A:$A, MATCH($E5823, 'Starlink Launches'!$B:$B, 0)),
  ""
)
</f>
        <v>17-30</v>
      </c>
      <c r="B5823" s="3" t="s">
        <v>25</v>
      </c>
      <c r="C5823" s="12" t="s">
        <v>5855</v>
      </c>
      <c r="D5823" s="13">
        <v>67551.0</v>
      </c>
      <c r="E5823" s="4">
        <v>46044.0</v>
      </c>
      <c r="F5823" s="4" t="str">
        <f>IF(D5823="","", IFNA(VLOOKUP(D5823, SATCAT_DECAY!A:B, 2, FALSE), ""))
</f>
        <v/>
      </c>
      <c r="G5823" s="3" t="str">
        <f t="shared" si="1"/>
        <v>ACTIVE</v>
      </c>
    </row>
    <row r="5824" ht="22.5" customHeight="1">
      <c r="A5824" s="11" t="str">
        <f t="array" ref="A5824">IFERROR(
  INDEX('Starlink Launches'!$A:$A, MATCH($E5824, 'Starlink Launches'!$B:$B, 0)),
  ""
)
</f>
        <v>17-30</v>
      </c>
      <c r="B5824" s="3" t="s">
        <v>25</v>
      </c>
      <c r="C5824" s="12" t="s">
        <v>5856</v>
      </c>
      <c r="D5824" s="13">
        <v>67552.0</v>
      </c>
      <c r="E5824" s="4">
        <v>46044.0</v>
      </c>
      <c r="F5824" s="4" t="str">
        <f>IF(D5824="","", IFNA(VLOOKUP(D5824, SATCAT_DECAY!A:B, 2, FALSE), ""))
</f>
        <v/>
      </c>
      <c r="G5824" s="3" t="str">
        <f t="shared" si="1"/>
        <v>ACTIVE</v>
      </c>
    </row>
    <row r="5825" ht="22.5" customHeight="1">
      <c r="A5825" s="11" t="str">
        <f t="array" ref="A5825">IFERROR(
  INDEX('Starlink Launches'!$A:$A, MATCH($E5825, 'Starlink Launches'!$B:$B, 0)),
  ""
)
</f>
        <v>17-30</v>
      </c>
      <c r="B5825" s="3" t="s">
        <v>25</v>
      </c>
      <c r="C5825" s="12" t="s">
        <v>5857</v>
      </c>
      <c r="D5825" s="13">
        <v>67553.0</v>
      </c>
      <c r="E5825" s="4">
        <v>46044.0</v>
      </c>
      <c r="F5825" s="4" t="str">
        <f>IF(D5825="","", IFNA(VLOOKUP(D5825, SATCAT_DECAY!A:B, 2, FALSE), ""))
</f>
        <v/>
      </c>
      <c r="G5825" s="3" t="str">
        <f t="shared" si="1"/>
        <v>ACTIVE</v>
      </c>
    </row>
    <row r="5826" ht="22.5" customHeight="1">
      <c r="A5826" s="11" t="str">
        <f t="array" ref="A5826">IFERROR(
  INDEX('Starlink Launches'!$A:$A, MATCH($E5826, 'Starlink Launches'!$B:$B, 0)),
  ""
)
</f>
        <v>17-30</v>
      </c>
      <c r="B5826" s="3" t="s">
        <v>25</v>
      </c>
      <c r="C5826" s="12" t="s">
        <v>5858</v>
      </c>
      <c r="D5826" s="13">
        <v>67554.0</v>
      </c>
      <c r="E5826" s="4">
        <v>46044.0</v>
      </c>
      <c r="F5826" s="4" t="str">
        <f>IF(D5826="","", IFNA(VLOOKUP(D5826, SATCAT_DECAY!A:B, 2, FALSE), ""))
</f>
        <v/>
      </c>
      <c r="G5826" s="3" t="str">
        <f t="shared" si="1"/>
        <v>ACTIVE</v>
      </c>
    </row>
    <row r="5827" ht="22.5" customHeight="1">
      <c r="A5827" s="11" t="str">
        <f t="array" ref="A5827">IFERROR(
  INDEX('Starlink Launches'!$A:$A, MATCH($E5827, 'Starlink Launches'!$B:$B, 0)),
  ""
)
</f>
        <v>17-30</v>
      </c>
      <c r="B5827" s="3" t="s">
        <v>25</v>
      </c>
      <c r="C5827" s="12" t="s">
        <v>5859</v>
      </c>
      <c r="D5827" s="13">
        <v>67555.0</v>
      </c>
      <c r="E5827" s="4">
        <v>46044.0</v>
      </c>
      <c r="F5827" s="4" t="str">
        <f>IF(D5827="","", IFNA(VLOOKUP(D5827, SATCAT_DECAY!A:B, 2, FALSE), ""))
</f>
        <v/>
      </c>
      <c r="G5827" s="3" t="str">
        <f t="shared" si="1"/>
        <v>ACTIVE</v>
      </c>
    </row>
    <row r="5828" ht="22.5" customHeight="1">
      <c r="A5828" s="11" t="str">
        <f t="array" ref="A5828">IFERROR(
  INDEX('Starlink Launches'!$A:$A, MATCH($E5828, 'Starlink Launches'!$B:$B, 0)),
  ""
)
</f>
        <v>17-30</v>
      </c>
      <c r="B5828" s="3" t="s">
        <v>25</v>
      </c>
      <c r="C5828" s="12" t="s">
        <v>5860</v>
      </c>
      <c r="D5828" s="13">
        <v>67560.0</v>
      </c>
      <c r="E5828" s="4">
        <v>46044.0</v>
      </c>
      <c r="F5828" s="4" t="str">
        <f>IF(D5828="","", IFNA(VLOOKUP(D5828, SATCAT_DECAY!A:B, 2, FALSE), ""))
</f>
        <v/>
      </c>
      <c r="G5828" s="3" t="str">
        <f t="shared" si="1"/>
        <v>ACTIVE</v>
      </c>
    </row>
    <row r="5829" ht="22.5" customHeight="1">
      <c r="A5829" s="11" t="str">
        <f t="array" ref="A5829">IFERROR(
  INDEX('Starlink Launches'!$A:$A, MATCH($E5829, 'Starlink Launches'!$B:$B, 0)),
  ""
)
</f>
        <v>17-20</v>
      </c>
      <c r="B5829" s="3" t="s">
        <v>25</v>
      </c>
      <c r="C5829" s="12" t="s">
        <v>5861</v>
      </c>
      <c r="D5829" s="13">
        <v>67561.0</v>
      </c>
      <c r="E5829" s="4">
        <v>46047.0</v>
      </c>
      <c r="F5829" s="4" t="str">
        <f>IF(D5829="","", IFNA(VLOOKUP(D5829, SATCAT_DECAY!A:B, 2, FALSE), ""))
</f>
        <v/>
      </c>
      <c r="G5829" s="3" t="str">
        <f t="shared" si="1"/>
        <v>ACTIVE</v>
      </c>
    </row>
    <row r="5830" ht="22.5" customHeight="1">
      <c r="A5830" s="11" t="str">
        <f t="array" ref="A5830">IFERROR(
  INDEX('Starlink Launches'!$A:$A, MATCH($E5830, 'Starlink Launches'!$B:$B, 0)),
  ""
)
</f>
        <v>17-20</v>
      </c>
      <c r="B5830" s="3" t="s">
        <v>25</v>
      </c>
      <c r="C5830" s="12" t="s">
        <v>5862</v>
      </c>
      <c r="D5830" s="13">
        <v>67562.0</v>
      </c>
      <c r="E5830" s="4">
        <v>46047.0</v>
      </c>
      <c r="F5830" s="4" t="str">
        <f>IF(D5830="","", IFNA(VLOOKUP(D5830, SATCAT_DECAY!A:B, 2, FALSE), ""))
</f>
        <v/>
      </c>
      <c r="G5830" s="3" t="str">
        <f t="shared" si="1"/>
        <v>ACTIVE</v>
      </c>
    </row>
    <row r="5831" ht="22.5" customHeight="1">
      <c r="A5831" s="11" t="str">
        <f t="array" ref="A5831">IFERROR(
  INDEX('Starlink Launches'!$A:$A, MATCH($E5831, 'Starlink Launches'!$B:$B, 0)),
  ""
)
</f>
        <v>17-20</v>
      </c>
      <c r="B5831" s="3" t="s">
        <v>25</v>
      </c>
      <c r="C5831" s="12" t="s">
        <v>5863</v>
      </c>
      <c r="D5831" s="13">
        <v>67563.0</v>
      </c>
      <c r="E5831" s="4">
        <v>46047.0</v>
      </c>
      <c r="F5831" s="4" t="str">
        <f>IF(D5831="","", IFNA(VLOOKUP(D5831, SATCAT_DECAY!A:B, 2, FALSE), ""))
</f>
        <v/>
      </c>
      <c r="G5831" s="3" t="str">
        <f t="shared" si="1"/>
        <v>ACTIVE</v>
      </c>
    </row>
    <row r="5832" ht="22.5" customHeight="1">
      <c r="A5832" s="11" t="str">
        <f t="array" ref="A5832">IFERROR(
  INDEX('Starlink Launches'!$A:$A, MATCH($E5832, 'Starlink Launches'!$B:$B, 0)),
  ""
)
</f>
        <v>17-20</v>
      </c>
      <c r="B5832" s="3" t="s">
        <v>25</v>
      </c>
      <c r="C5832" s="12" t="s">
        <v>5864</v>
      </c>
      <c r="D5832" s="13">
        <v>67564.0</v>
      </c>
      <c r="E5832" s="4">
        <v>46047.0</v>
      </c>
      <c r="F5832" s="4" t="str">
        <f>IF(D5832="","", IFNA(VLOOKUP(D5832, SATCAT_DECAY!A:B, 2, FALSE), ""))
</f>
        <v/>
      </c>
      <c r="G5832" s="3" t="str">
        <f t="shared" si="1"/>
        <v>ACTIVE</v>
      </c>
    </row>
    <row r="5833" ht="22.5" customHeight="1">
      <c r="A5833" s="11" t="str">
        <f t="array" ref="A5833">IFERROR(
  INDEX('Starlink Launches'!$A:$A, MATCH($E5833, 'Starlink Launches'!$B:$B, 0)),
  ""
)
</f>
        <v>17-20</v>
      </c>
      <c r="B5833" s="3" t="s">
        <v>25</v>
      </c>
      <c r="C5833" s="12" t="s">
        <v>5865</v>
      </c>
      <c r="D5833" s="13">
        <v>67565.0</v>
      </c>
      <c r="E5833" s="4">
        <v>46047.0</v>
      </c>
      <c r="F5833" s="4" t="str">
        <f>IF(D5833="","", IFNA(VLOOKUP(D5833, SATCAT_DECAY!A:B, 2, FALSE), ""))
</f>
        <v/>
      </c>
      <c r="G5833" s="3" t="str">
        <f t="shared" si="1"/>
        <v>ACTIVE</v>
      </c>
    </row>
    <row r="5834" ht="22.5" customHeight="1">
      <c r="A5834" s="11" t="str">
        <f t="array" ref="A5834">IFERROR(
  INDEX('Starlink Launches'!$A:$A, MATCH($E5834, 'Starlink Launches'!$B:$B, 0)),
  ""
)
</f>
        <v>17-20</v>
      </c>
      <c r="B5834" s="3" t="s">
        <v>25</v>
      </c>
      <c r="C5834" s="12" t="s">
        <v>5866</v>
      </c>
      <c r="D5834" s="13">
        <v>67566.0</v>
      </c>
      <c r="E5834" s="4">
        <v>46047.0</v>
      </c>
      <c r="F5834" s="4" t="str">
        <f>IF(D5834="","", IFNA(VLOOKUP(D5834, SATCAT_DECAY!A:B, 2, FALSE), ""))
</f>
        <v/>
      </c>
      <c r="G5834" s="3" t="str">
        <f t="shared" si="1"/>
        <v>ACTIVE</v>
      </c>
    </row>
    <row r="5835" ht="22.5" customHeight="1">
      <c r="A5835" s="11" t="str">
        <f t="array" ref="A5835">IFERROR(
  INDEX('Starlink Launches'!$A:$A, MATCH($E5835, 'Starlink Launches'!$B:$B, 0)),
  ""
)
</f>
        <v>17-20</v>
      </c>
      <c r="B5835" s="3" t="s">
        <v>25</v>
      </c>
      <c r="C5835" s="12" t="s">
        <v>5867</v>
      </c>
      <c r="D5835" s="13">
        <v>67567.0</v>
      </c>
      <c r="E5835" s="4">
        <v>46047.0</v>
      </c>
      <c r="F5835" s="4" t="str">
        <f>IF(D5835="","", IFNA(VLOOKUP(D5835, SATCAT_DECAY!A:B, 2, FALSE), ""))
</f>
        <v/>
      </c>
      <c r="G5835" s="3" t="str">
        <f t="shared" si="1"/>
        <v>ACTIVE</v>
      </c>
    </row>
    <row r="5836" ht="22.5" customHeight="1">
      <c r="A5836" s="11" t="str">
        <f t="array" ref="A5836">IFERROR(
  INDEX('Starlink Launches'!$A:$A, MATCH($E5836, 'Starlink Launches'!$B:$B, 0)),
  ""
)
</f>
        <v>17-20</v>
      </c>
      <c r="B5836" s="3" t="s">
        <v>25</v>
      </c>
      <c r="C5836" s="12" t="s">
        <v>5868</v>
      </c>
      <c r="D5836" s="13">
        <v>67568.0</v>
      </c>
      <c r="E5836" s="4">
        <v>46047.0</v>
      </c>
      <c r="F5836" s="4" t="str">
        <f>IF(D5836="","", IFNA(VLOOKUP(D5836, SATCAT_DECAY!A:B, 2, FALSE), ""))
</f>
        <v/>
      </c>
      <c r="G5836" s="3" t="str">
        <f t="shared" si="1"/>
        <v>ACTIVE</v>
      </c>
    </row>
    <row r="5837" ht="22.5" customHeight="1">
      <c r="A5837" s="11" t="str">
        <f t="array" ref="A5837">IFERROR(
  INDEX('Starlink Launches'!$A:$A, MATCH($E5837, 'Starlink Launches'!$B:$B, 0)),
  ""
)
</f>
        <v>17-20</v>
      </c>
      <c r="B5837" s="3" t="s">
        <v>25</v>
      </c>
      <c r="C5837" s="12" t="s">
        <v>5869</v>
      </c>
      <c r="D5837" s="13">
        <v>67569.0</v>
      </c>
      <c r="E5837" s="4">
        <v>46047.0</v>
      </c>
      <c r="F5837" s="4" t="str">
        <f>IF(D5837="","", IFNA(VLOOKUP(D5837, SATCAT_DECAY!A:B, 2, FALSE), ""))
</f>
        <v/>
      </c>
      <c r="G5837" s="3" t="str">
        <f t="shared" si="1"/>
        <v>ACTIVE</v>
      </c>
    </row>
    <row r="5838" ht="22.5" customHeight="1">
      <c r="A5838" s="11" t="str">
        <f t="array" ref="A5838">IFERROR(
  INDEX('Starlink Launches'!$A:$A, MATCH($E5838, 'Starlink Launches'!$B:$B, 0)),
  ""
)
</f>
        <v>17-20</v>
      </c>
      <c r="B5838" s="3" t="s">
        <v>25</v>
      </c>
      <c r="C5838" s="12" t="s">
        <v>5870</v>
      </c>
      <c r="D5838" s="13">
        <v>67570.0</v>
      </c>
      <c r="E5838" s="4">
        <v>46047.0</v>
      </c>
      <c r="F5838" s="4" t="str">
        <f>IF(D5838="","", IFNA(VLOOKUP(D5838, SATCAT_DECAY!A:B, 2, FALSE), ""))
</f>
        <v/>
      </c>
      <c r="G5838" s="3" t="str">
        <f t="shared" si="1"/>
        <v>ACTIVE</v>
      </c>
    </row>
    <row r="5839" ht="22.5" customHeight="1">
      <c r="A5839" s="11" t="str">
        <f t="array" ref="A5839">IFERROR(
  INDEX('Starlink Launches'!$A:$A, MATCH($E5839, 'Starlink Launches'!$B:$B, 0)),
  ""
)
</f>
        <v>17-20</v>
      </c>
      <c r="B5839" s="3" t="s">
        <v>25</v>
      </c>
      <c r="C5839" s="12" t="s">
        <v>5871</v>
      </c>
      <c r="D5839" s="13">
        <v>67571.0</v>
      </c>
      <c r="E5839" s="4">
        <v>46047.0</v>
      </c>
      <c r="F5839" s="4" t="str">
        <f>IF(D5839="","", IFNA(VLOOKUP(D5839, SATCAT_DECAY!A:B, 2, FALSE), ""))
</f>
        <v/>
      </c>
      <c r="G5839" s="3" t="str">
        <f t="shared" si="1"/>
        <v>ACTIVE</v>
      </c>
    </row>
    <row r="5840" ht="22.5" customHeight="1">
      <c r="A5840" s="11" t="str">
        <f t="array" ref="A5840">IFERROR(
  INDEX('Starlink Launches'!$A:$A, MATCH($E5840, 'Starlink Launches'!$B:$B, 0)),
  ""
)
</f>
        <v>17-20</v>
      </c>
      <c r="B5840" s="3" t="s">
        <v>25</v>
      </c>
      <c r="C5840" s="12" t="s">
        <v>5872</v>
      </c>
      <c r="D5840" s="13">
        <v>67572.0</v>
      </c>
      <c r="E5840" s="4">
        <v>46047.0</v>
      </c>
      <c r="F5840" s="4" t="str">
        <f>IF(D5840="","", IFNA(VLOOKUP(D5840, SATCAT_DECAY!A:B, 2, FALSE), ""))
</f>
        <v/>
      </c>
      <c r="G5840" s="3" t="str">
        <f t="shared" si="1"/>
        <v>ACTIVE</v>
      </c>
    </row>
    <row r="5841" ht="22.5" customHeight="1">
      <c r="A5841" s="11" t="str">
        <f t="array" ref="A5841">IFERROR(
  INDEX('Starlink Launches'!$A:$A, MATCH($E5841, 'Starlink Launches'!$B:$B, 0)),
  ""
)
</f>
        <v>17-20</v>
      </c>
      <c r="B5841" s="3" t="s">
        <v>25</v>
      </c>
      <c r="C5841" s="12" t="s">
        <v>5873</v>
      </c>
      <c r="D5841" s="13">
        <v>67573.0</v>
      </c>
      <c r="E5841" s="4">
        <v>46047.0</v>
      </c>
      <c r="F5841" s="4" t="str">
        <f>IF(D5841="","", IFNA(VLOOKUP(D5841, SATCAT_DECAY!A:B, 2, FALSE), ""))
</f>
        <v/>
      </c>
      <c r="G5841" s="3" t="str">
        <f t="shared" si="1"/>
        <v>ACTIVE</v>
      </c>
    </row>
    <row r="5842" ht="22.5" customHeight="1">
      <c r="A5842" s="11" t="str">
        <f t="array" ref="A5842">IFERROR(
  INDEX('Starlink Launches'!$A:$A, MATCH($E5842, 'Starlink Launches'!$B:$B, 0)),
  ""
)
</f>
        <v>17-20</v>
      </c>
      <c r="B5842" s="3" t="s">
        <v>25</v>
      </c>
      <c r="C5842" s="12" t="s">
        <v>5874</v>
      </c>
      <c r="D5842" s="13">
        <v>67574.0</v>
      </c>
      <c r="E5842" s="4">
        <v>46047.0</v>
      </c>
      <c r="F5842" s="4" t="str">
        <f>IF(D5842="","", IFNA(VLOOKUP(D5842, SATCAT_DECAY!A:B, 2, FALSE), ""))
</f>
        <v/>
      </c>
      <c r="G5842" s="3" t="str">
        <f t="shared" si="1"/>
        <v>ACTIVE</v>
      </c>
    </row>
    <row r="5843" ht="22.5" customHeight="1">
      <c r="A5843" s="11" t="str">
        <f t="array" ref="A5843">IFERROR(
  INDEX('Starlink Launches'!$A:$A, MATCH($E5843, 'Starlink Launches'!$B:$B, 0)),
  ""
)
</f>
        <v>17-20</v>
      </c>
      <c r="B5843" s="3" t="s">
        <v>25</v>
      </c>
      <c r="C5843" s="12" t="s">
        <v>5875</v>
      </c>
      <c r="D5843" s="13">
        <v>67575.0</v>
      </c>
      <c r="E5843" s="4">
        <v>46047.0</v>
      </c>
      <c r="F5843" s="4" t="str">
        <f>IF(D5843="","", IFNA(VLOOKUP(D5843, SATCAT_DECAY!A:B, 2, FALSE), ""))
</f>
        <v/>
      </c>
      <c r="G5843" s="3" t="str">
        <f t="shared" si="1"/>
        <v>ACTIVE</v>
      </c>
    </row>
    <row r="5844" ht="22.5" customHeight="1">
      <c r="A5844" s="11" t="str">
        <f t="array" ref="A5844">IFERROR(
  INDEX('Starlink Launches'!$A:$A, MATCH($E5844, 'Starlink Launches'!$B:$B, 0)),
  ""
)
</f>
        <v>17-20</v>
      </c>
      <c r="B5844" s="3" t="s">
        <v>25</v>
      </c>
      <c r="C5844" s="12" t="s">
        <v>5876</v>
      </c>
      <c r="D5844" s="13">
        <v>67576.0</v>
      </c>
      <c r="E5844" s="4">
        <v>46047.0</v>
      </c>
      <c r="F5844" s="4" t="str">
        <f>IF(D5844="","", IFNA(VLOOKUP(D5844, SATCAT_DECAY!A:B, 2, FALSE), ""))
</f>
        <v/>
      </c>
      <c r="G5844" s="3" t="str">
        <f t="shared" si="1"/>
        <v>ACTIVE</v>
      </c>
    </row>
    <row r="5845" ht="22.5" customHeight="1">
      <c r="A5845" s="11" t="str">
        <f t="array" ref="A5845">IFERROR(
  INDEX('Starlink Launches'!$A:$A, MATCH($E5845, 'Starlink Launches'!$B:$B, 0)),
  ""
)
</f>
        <v>17-20</v>
      </c>
      <c r="B5845" s="3" t="s">
        <v>25</v>
      </c>
      <c r="C5845" s="12" t="s">
        <v>5877</v>
      </c>
      <c r="D5845" s="13">
        <v>67577.0</v>
      </c>
      <c r="E5845" s="4">
        <v>46047.0</v>
      </c>
      <c r="F5845" s="4" t="str">
        <f>IF(D5845="","", IFNA(VLOOKUP(D5845, SATCAT_DECAY!A:B, 2, FALSE), ""))
</f>
        <v/>
      </c>
      <c r="G5845" s="3" t="str">
        <f t="shared" si="1"/>
        <v>ACTIVE</v>
      </c>
    </row>
    <row r="5846" ht="22.5" customHeight="1">
      <c r="A5846" s="11" t="str">
        <f t="array" ref="A5846">IFERROR(
  INDEX('Starlink Launches'!$A:$A, MATCH($E5846, 'Starlink Launches'!$B:$B, 0)),
  ""
)
</f>
        <v>17-20</v>
      </c>
      <c r="B5846" s="3" t="s">
        <v>25</v>
      </c>
      <c r="C5846" s="12" t="s">
        <v>5878</v>
      </c>
      <c r="D5846" s="13">
        <v>67578.0</v>
      </c>
      <c r="E5846" s="4">
        <v>46047.0</v>
      </c>
      <c r="F5846" s="4" t="str">
        <f>IF(D5846="","", IFNA(VLOOKUP(D5846, SATCAT_DECAY!A:B, 2, FALSE), ""))
</f>
        <v/>
      </c>
      <c r="G5846" s="3" t="str">
        <f t="shared" si="1"/>
        <v>ACTIVE</v>
      </c>
    </row>
    <row r="5847" ht="22.5" customHeight="1">
      <c r="A5847" s="11" t="str">
        <f t="array" ref="A5847">IFERROR(
  INDEX('Starlink Launches'!$A:$A, MATCH($E5847, 'Starlink Launches'!$B:$B, 0)),
  ""
)
</f>
        <v>17-20</v>
      </c>
      <c r="B5847" s="3" t="s">
        <v>25</v>
      </c>
      <c r="C5847" s="12" t="s">
        <v>5879</v>
      </c>
      <c r="D5847" s="13">
        <v>67579.0</v>
      </c>
      <c r="E5847" s="4">
        <v>46047.0</v>
      </c>
      <c r="F5847" s="4" t="str">
        <f>IF(D5847="","", IFNA(VLOOKUP(D5847, SATCAT_DECAY!A:B, 2, FALSE), ""))
</f>
        <v/>
      </c>
      <c r="G5847" s="3" t="str">
        <f t="shared" si="1"/>
        <v>ACTIVE</v>
      </c>
    </row>
    <row r="5848" ht="22.5" customHeight="1">
      <c r="A5848" s="11" t="str">
        <f t="array" ref="A5848">IFERROR(
  INDEX('Starlink Launches'!$A:$A, MATCH($E5848, 'Starlink Launches'!$B:$B, 0)),
  ""
)
</f>
        <v>17-20</v>
      </c>
      <c r="B5848" s="3" t="s">
        <v>25</v>
      </c>
      <c r="C5848" s="12" t="s">
        <v>5880</v>
      </c>
      <c r="D5848" s="13">
        <v>67580.0</v>
      </c>
      <c r="E5848" s="4">
        <v>46047.0</v>
      </c>
      <c r="F5848" s="4" t="str">
        <f>IF(D5848="","", IFNA(VLOOKUP(D5848, SATCAT_DECAY!A:B, 2, FALSE), ""))
</f>
        <v/>
      </c>
      <c r="G5848" s="3" t="str">
        <f t="shared" si="1"/>
        <v>ACTIVE</v>
      </c>
    </row>
    <row r="5849" ht="22.5" customHeight="1">
      <c r="A5849" s="11" t="str">
        <f t="array" ref="A5849">IFERROR(
  INDEX('Starlink Launches'!$A:$A, MATCH($E5849, 'Starlink Launches'!$B:$B, 0)),
  ""
)
</f>
        <v>17-20</v>
      </c>
      <c r="B5849" s="3" t="s">
        <v>25</v>
      </c>
      <c r="C5849" s="12" t="s">
        <v>5881</v>
      </c>
      <c r="D5849" s="13">
        <v>67581.0</v>
      </c>
      <c r="E5849" s="4">
        <v>46047.0</v>
      </c>
      <c r="F5849" s="4" t="str">
        <f>IF(D5849="","", IFNA(VLOOKUP(D5849, SATCAT_DECAY!A:B, 2, FALSE), ""))
</f>
        <v/>
      </c>
      <c r="G5849" s="3" t="str">
        <f t="shared" si="1"/>
        <v>ACTIVE</v>
      </c>
    </row>
    <row r="5850" ht="22.5" customHeight="1">
      <c r="A5850" s="11" t="str">
        <f t="array" ref="A5850">IFERROR(
  INDEX('Starlink Launches'!$A:$A, MATCH($E5850, 'Starlink Launches'!$B:$B, 0)),
  ""
)
</f>
        <v>17-20</v>
      </c>
      <c r="B5850" s="3" t="s">
        <v>25</v>
      </c>
      <c r="C5850" s="12" t="s">
        <v>5882</v>
      </c>
      <c r="D5850" s="13">
        <v>67582.0</v>
      </c>
      <c r="E5850" s="4">
        <v>46047.0</v>
      </c>
      <c r="F5850" s="4" t="str">
        <f>IF(D5850="","", IFNA(VLOOKUP(D5850, SATCAT_DECAY!A:B, 2, FALSE), ""))
</f>
        <v/>
      </c>
      <c r="G5850" s="3" t="str">
        <f t="shared" si="1"/>
        <v>ACTIVE</v>
      </c>
    </row>
    <row r="5851" ht="22.5" customHeight="1">
      <c r="A5851" s="11" t="str">
        <f t="array" ref="A5851">IFERROR(
  INDEX('Starlink Launches'!$A:$A, MATCH($E5851, 'Starlink Launches'!$B:$B, 0)),
  ""
)
</f>
        <v>17-20</v>
      </c>
      <c r="B5851" s="3" t="s">
        <v>25</v>
      </c>
      <c r="C5851" s="12" t="s">
        <v>5883</v>
      </c>
      <c r="D5851" s="13">
        <v>67583.0</v>
      </c>
      <c r="E5851" s="4">
        <v>46047.0</v>
      </c>
      <c r="F5851" s="4" t="str">
        <f>IF(D5851="","", IFNA(VLOOKUP(D5851, SATCAT_DECAY!A:B, 2, FALSE), ""))
</f>
        <v/>
      </c>
      <c r="G5851" s="3" t="str">
        <f t="shared" si="1"/>
        <v>ACTIVE</v>
      </c>
    </row>
    <row r="5852" ht="22.5" customHeight="1">
      <c r="A5852" s="11" t="str">
        <f t="array" ref="A5852">IFERROR(
  INDEX('Starlink Launches'!$A:$A, MATCH($E5852, 'Starlink Launches'!$B:$B, 0)),
  ""
)
</f>
        <v>17-20</v>
      </c>
      <c r="B5852" s="3" t="s">
        <v>25</v>
      </c>
      <c r="C5852" s="12" t="s">
        <v>5884</v>
      </c>
      <c r="D5852" s="13">
        <v>67584.0</v>
      </c>
      <c r="E5852" s="4">
        <v>46047.0</v>
      </c>
      <c r="F5852" s="4" t="str">
        <f>IF(D5852="","", IFNA(VLOOKUP(D5852, SATCAT_DECAY!A:B, 2, FALSE), ""))
</f>
        <v/>
      </c>
      <c r="G5852" s="3" t="str">
        <f t="shared" si="1"/>
        <v>ACTIVE</v>
      </c>
    </row>
    <row r="5853" ht="22.5" customHeight="1">
      <c r="A5853" s="11" t="str">
        <f t="array" ref="A5853">IFERROR(
  INDEX('Starlink Launches'!$A:$A, MATCH($E5853, 'Starlink Launches'!$B:$B, 0)),
  ""
)
</f>
        <v>17-20</v>
      </c>
      <c r="B5853" s="3" t="s">
        <v>25</v>
      </c>
      <c r="C5853" s="12" t="s">
        <v>5885</v>
      </c>
      <c r="D5853" s="13">
        <v>67585.0</v>
      </c>
      <c r="E5853" s="4">
        <v>46047.0</v>
      </c>
      <c r="F5853" s="4" t="str">
        <f>IF(D5853="","", IFNA(VLOOKUP(D5853, SATCAT_DECAY!A:B, 2, FALSE), ""))
</f>
        <v/>
      </c>
      <c r="G5853" s="3" t="str">
        <f t="shared" si="1"/>
        <v>ACTIVE</v>
      </c>
    </row>
    <row r="5854" ht="22.5" customHeight="1">
      <c r="A5854" s="11" t="str">
        <f t="array" ref="A5854">IFERROR(
  INDEX('Starlink Launches'!$A:$A, MATCH($E5854, 'Starlink Launches'!$B:$B, 0)),
  ""
)
</f>
        <v>17-19</v>
      </c>
      <c r="B5854" s="3" t="s">
        <v>25</v>
      </c>
      <c r="C5854" s="12" t="s">
        <v>5886</v>
      </c>
      <c r="D5854" s="13">
        <v>67589.0</v>
      </c>
      <c r="E5854" s="4">
        <v>46051.0</v>
      </c>
      <c r="F5854" s="4" t="str">
        <f>IF(D5854="","", IFNA(VLOOKUP(D5854, SATCAT_DECAY!A:B, 2, FALSE), ""))
</f>
        <v/>
      </c>
      <c r="G5854" s="3" t="str">
        <f t="shared" si="1"/>
        <v>ACTIVE</v>
      </c>
    </row>
    <row r="5855" ht="22.5" customHeight="1">
      <c r="A5855" s="11" t="str">
        <f t="array" ref="A5855">IFERROR(
  INDEX('Starlink Launches'!$A:$A, MATCH($E5855, 'Starlink Launches'!$B:$B, 0)),
  ""
)
</f>
        <v>17-19</v>
      </c>
      <c r="B5855" s="3" t="s">
        <v>25</v>
      </c>
      <c r="C5855" s="12" t="s">
        <v>5887</v>
      </c>
      <c r="D5855" s="13">
        <v>67590.0</v>
      </c>
      <c r="E5855" s="4">
        <v>46051.0</v>
      </c>
      <c r="F5855" s="4" t="str">
        <f>IF(D5855="","", IFNA(VLOOKUP(D5855, SATCAT_DECAY!A:B, 2, FALSE), ""))
</f>
        <v/>
      </c>
      <c r="G5855" s="3" t="str">
        <f t="shared" si="1"/>
        <v>ACTIVE</v>
      </c>
    </row>
    <row r="5856" ht="22.5" customHeight="1">
      <c r="A5856" s="11" t="str">
        <f t="array" ref="A5856">IFERROR(
  INDEX('Starlink Launches'!$A:$A, MATCH($E5856, 'Starlink Launches'!$B:$B, 0)),
  ""
)
</f>
        <v>17-19</v>
      </c>
      <c r="B5856" s="3" t="s">
        <v>25</v>
      </c>
      <c r="C5856" s="12" t="s">
        <v>5888</v>
      </c>
      <c r="D5856" s="13">
        <v>67591.0</v>
      </c>
      <c r="E5856" s="4">
        <v>46051.0</v>
      </c>
      <c r="F5856" s="4" t="str">
        <f>IF(D5856="","", IFNA(VLOOKUP(D5856, SATCAT_DECAY!A:B, 2, FALSE), ""))
</f>
        <v/>
      </c>
      <c r="G5856" s="3" t="str">
        <f t="shared" si="1"/>
        <v>ACTIVE</v>
      </c>
    </row>
    <row r="5857" ht="22.5" customHeight="1">
      <c r="A5857" s="11" t="str">
        <f t="array" ref="A5857">IFERROR(
  INDEX('Starlink Launches'!$A:$A, MATCH($E5857, 'Starlink Launches'!$B:$B, 0)),
  ""
)
</f>
        <v>17-19</v>
      </c>
      <c r="B5857" s="3" t="s">
        <v>25</v>
      </c>
      <c r="C5857" s="12" t="s">
        <v>5889</v>
      </c>
      <c r="D5857" s="13">
        <v>67592.0</v>
      </c>
      <c r="E5857" s="4">
        <v>46051.0</v>
      </c>
      <c r="F5857" s="4" t="str">
        <f>IF(D5857="","", IFNA(VLOOKUP(D5857, SATCAT_DECAY!A:B, 2, FALSE), ""))
</f>
        <v/>
      </c>
      <c r="G5857" s="3" t="str">
        <f t="shared" si="1"/>
        <v>ACTIVE</v>
      </c>
    </row>
    <row r="5858" ht="22.5" customHeight="1">
      <c r="A5858" s="11" t="str">
        <f t="array" ref="A5858">IFERROR(
  INDEX('Starlink Launches'!$A:$A, MATCH($E5858, 'Starlink Launches'!$B:$B, 0)),
  ""
)
</f>
        <v>17-19</v>
      </c>
      <c r="B5858" s="3" t="s">
        <v>25</v>
      </c>
      <c r="C5858" s="12" t="s">
        <v>5890</v>
      </c>
      <c r="D5858" s="13">
        <v>67593.0</v>
      </c>
      <c r="E5858" s="4">
        <v>46051.0</v>
      </c>
      <c r="F5858" s="4" t="str">
        <f>IF(D5858="","", IFNA(VLOOKUP(D5858, SATCAT_DECAY!A:B, 2, FALSE), ""))
</f>
        <v/>
      </c>
      <c r="G5858" s="3" t="str">
        <f t="shared" si="1"/>
        <v>ACTIVE</v>
      </c>
    </row>
    <row r="5859" ht="22.5" customHeight="1">
      <c r="A5859" s="11" t="str">
        <f t="array" ref="A5859">IFERROR(
  INDEX('Starlink Launches'!$A:$A, MATCH($E5859, 'Starlink Launches'!$B:$B, 0)),
  ""
)
</f>
        <v>17-19</v>
      </c>
      <c r="B5859" s="3" t="s">
        <v>25</v>
      </c>
      <c r="C5859" s="12" t="s">
        <v>5891</v>
      </c>
      <c r="D5859" s="13">
        <v>67594.0</v>
      </c>
      <c r="E5859" s="4">
        <v>46051.0</v>
      </c>
      <c r="F5859" s="4" t="str">
        <f>IF(D5859="","", IFNA(VLOOKUP(D5859, SATCAT_DECAY!A:B, 2, FALSE), ""))
</f>
        <v/>
      </c>
      <c r="G5859" s="3" t="str">
        <f t="shared" si="1"/>
        <v>ACTIVE</v>
      </c>
    </row>
    <row r="5860" ht="22.5" customHeight="1">
      <c r="A5860" s="11" t="str">
        <f t="array" ref="A5860">IFERROR(
  INDEX('Starlink Launches'!$A:$A, MATCH($E5860, 'Starlink Launches'!$B:$B, 0)),
  ""
)
</f>
        <v>17-19</v>
      </c>
      <c r="B5860" s="3" t="s">
        <v>25</v>
      </c>
      <c r="C5860" s="12" t="s">
        <v>5892</v>
      </c>
      <c r="D5860" s="13">
        <v>67595.0</v>
      </c>
      <c r="E5860" s="4">
        <v>46051.0</v>
      </c>
      <c r="F5860" s="4" t="str">
        <f>IF(D5860="","", IFNA(VLOOKUP(D5860, SATCAT_DECAY!A:B, 2, FALSE), ""))
</f>
        <v/>
      </c>
      <c r="G5860" s="3" t="str">
        <f t="shared" si="1"/>
        <v>ACTIVE</v>
      </c>
    </row>
    <row r="5861" ht="22.5" customHeight="1">
      <c r="A5861" s="11" t="str">
        <f t="array" ref="A5861">IFERROR(
  INDEX('Starlink Launches'!$A:$A, MATCH($E5861, 'Starlink Launches'!$B:$B, 0)),
  ""
)
</f>
        <v>17-19</v>
      </c>
      <c r="B5861" s="3" t="s">
        <v>25</v>
      </c>
      <c r="C5861" s="12" t="s">
        <v>5893</v>
      </c>
      <c r="D5861" s="13">
        <v>67596.0</v>
      </c>
      <c r="E5861" s="4">
        <v>46051.0</v>
      </c>
      <c r="F5861" s="4" t="str">
        <f>IF(D5861="","", IFNA(VLOOKUP(D5861, SATCAT_DECAY!A:B, 2, FALSE), ""))
</f>
        <v/>
      </c>
      <c r="G5861" s="3" t="str">
        <f t="shared" si="1"/>
        <v>ACTIVE</v>
      </c>
    </row>
    <row r="5862" ht="22.5" customHeight="1">
      <c r="A5862" s="11" t="str">
        <f t="array" ref="A5862">IFERROR(
  INDEX('Starlink Launches'!$A:$A, MATCH($E5862, 'Starlink Launches'!$B:$B, 0)),
  ""
)
</f>
        <v>17-19</v>
      </c>
      <c r="B5862" s="3" t="s">
        <v>25</v>
      </c>
      <c r="C5862" s="12" t="s">
        <v>5894</v>
      </c>
      <c r="D5862" s="13">
        <v>67597.0</v>
      </c>
      <c r="E5862" s="4">
        <v>46051.0</v>
      </c>
      <c r="F5862" s="4" t="str">
        <f>IF(D5862="","", IFNA(VLOOKUP(D5862, SATCAT_DECAY!A:B, 2, FALSE), ""))
</f>
        <v/>
      </c>
      <c r="G5862" s="3" t="str">
        <f t="shared" si="1"/>
        <v>ACTIVE</v>
      </c>
    </row>
    <row r="5863" ht="22.5" customHeight="1">
      <c r="A5863" s="11" t="str">
        <f t="array" ref="A5863">IFERROR(
  INDEX('Starlink Launches'!$A:$A, MATCH($E5863, 'Starlink Launches'!$B:$B, 0)),
  ""
)
</f>
        <v>17-19</v>
      </c>
      <c r="B5863" s="3" t="s">
        <v>25</v>
      </c>
      <c r="C5863" s="12" t="s">
        <v>5895</v>
      </c>
      <c r="D5863" s="13">
        <v>67598.0</v>
      </c>
      <c r="E5863" s="4">
        <v>46051.0</v>
      </c>
      <c r="F5863" s="4" t="str">
        <f>IF(D5863="","", IFNA(VLOOKUP(D5863, SATCAT_DECAY!A:B, 2, FALSE), ""))
</f>
        <v/>
      </c>
      <c r="G5863" s="3" t="str">
        <f t="shared" si="1"/>
        <v>ACTIVE</v>
      </c>
    </row>
    <row r="5864" ht="22.5" customHeight="1">
      <c r="A5864" s="11" t="str">
        <f t="array" ref="A5864">IFERROR(
  INDEX('Starlink Launches'!$A:$A, MATCH($E5864, 'Starlink Launches'!$B:$B, 0)),
  ""
)
</f>
        <v>17-19</v>
      </c>
      <c r="B5864" s="3" t="s">
        <v>25</v>
      </c>
      <c r="C5864" s="12" t="s">
        <v>5896</v>
      </c>
      <c r="D5864" s="13">
        <v>67599.0</v>
      </c>
      <c r="E5864" s="4">
        <v>46051.0</v>
      </c>
      <c r="F5864" s="4" t="str">
        <f>IF(D5864="","", IFNA(VLOOKUP(D5864, SATCAT_DECAY!A:B, 2, FALSE), ""))
</f>
        <v/>
      </c>
      <c r="G5864" s="3" t="str">
        <f t="shared" si="1"/>
        <v>ACTIVE</v>
      </c>
    </row>
    <row r="5865" ht="22.5" customHeight="1">
      <c r="A5865" s="11" t="str">
        <f t="array" ref="A5865">IFERROR(
  INDEX('Starlink Launches'!$A:$A, MATCH($E5865, 'Starlink Launches'!$B:$B, 0)),
  ""
)
</f>
        <v>17-19</v>
      </c>
      <c r="B5865" s="3" t="s">
        <v>25</v>
      </c>
      <c r="C5865" s="12" t="s">
        <v>5897</v>
      </c>
      <c r="D5865" s="13">
        <v>67600.0</v>
      </c>
      <c r="E5865" s="4">
        <v>46051.0</v>
      </c>
      <c r="F5865" s="4" t="str">
        <f>IF(D5865="","", IFNA(VLOOKUP(D5865, SATCAT_DECAY!A:B, 2, FALSE), ""))
</f>
        <v/>
      </c>
      <c r="G5865" s="3" t="str">
        <f t="shared" si="1"/>
        <v>ACTIVE</v>
      </c>
    </row>
    <row r="5866" ht="22.5" customHeight="1">
      <c r="A5866" s="11" t="str">
        <f t="array" ref="A5866">IFERROR(
  INDEX('Starlink Launches'!$A:$A, MATCH($E5866, 'Starlink Launches'!$B:$B, 0)),
  ""
)
</f>
        <v>17-19</v>
      </c>
      <c r="B5866" s="3" t="s">
        <v>25</v>
      </c>
      <c r="C5866" s="12" t="s">
        <v>5898</v>
      </c>
      <c r="D5866" s="13">
        <v>67601.0</v>
      </c>
      <c r="E5866" s="4">
        <v>46051.0</v>
      </c>
      <c r="F5866" s="4" t="str">
        <f>IF(D5866="","", IFNA(VLOOKUP(D5866, SATCAT_DECAY!A:B, 2, FALSE), ""))
</f>
        <v/>
      </c>
      <c r="G5866" s="3" t="str">
        <f t="shared" si="1"/>
        <v>ACTIVE</v>
      </c>
    </row>
    <row r="5867" ht="22.5" customHeight="1">
      <c r="A5867" s="11" t="str">
        <f t="array" ref="A5867">IFERROR(
  INDEX('Starlink Launches'!$A:$A, MATCH($E5867, 'Starlink Launches'!$B:$B, 0)),
  ""
)
</f>
        <v>17-19</v>
      </c>
      <c r="B5867" s="3" t="s">
        <v>25</v>
      </c>
      <c r="C5867" s="12" t="s">
        <v>5899</v>
      </c>
      <c r="D5867" s="13">
        <v>67602.0</v>
      </c>
      <c r="E5867" s="4">
        <v>46051.0</v>
      </c>
      <c r="F5867" s="4" t="str">
        <f>IF(D5867="","", IFNA(VLOOKUP(D5867, SATCAT_DECAY!A:B, 2, FALSE), ""))
</f>
        <v/>
      </c>
      <c r="G5867" s="3" t="str">
        <f t="shared" si="1"/>
        <v>ACTIVE</v>
      </c>
    </row>
    <row r="5868" ht="22.5" customHeight="1">
      <c r="A5868" s="11" t="str">
        <f t="array" ref="A5868">IFERROR(
  INDEX('Starlink Launches'!$A:$A, MATCH($E5868, 'Starlink Launches'!$B:$B, 0)),
  ""
)
</f>
        <v>17-19</v>
      </c>
      <c r="B5868" s="3" t="s">
        <v>25</v>
      </c>
      <c r="C5868" s="12" t="s">
        <v>5900</v>
      </c>
      <c r="D5868" s="13">
        <v>67603.0</v>
      </c>
      <c r="E5868" s="4">
        <v>46051.0</v>
      </c>
      <c r="F5868" s="4" t="str">
        <f>IF(D5868="","", IFNA(VLOOKUP(D5868, SATCAT_DECAY!A:B, 2, FALSE), ""))
</f>
        <v/>
      </c>
      <c r="G5868" s="3" t="str">
        <f t="shared" si="1"/>
        <v>ACTIVE</v>
      </c>
    </row>
    <row r="5869" ht="22.5" customHeight="1">
      <c r="A5869" s="11" t="str">
        <f t="array" ref="A5869">IFERROR(
  INDEX('Starlink Launches'!$A:$A, MATCH($E5869, 'Starlink Launches'!$B:$B, 0)),
  ""
)
</f>
        <v>17-19</v>
      </c>
      <c r="B5869" s="3" t="s">
        <v>25</v>
      </c>
      <c r="C5869" s="12" t="s">
        <v>5901</v>
      </c>
      <c r="D5869" s="13">
        <v>67604.0</v>
      </c>
      <c r="E5869" s="4">
        <v>46051.0</v>
      </c>
      <c r="F5869" s="4" t="str">
        <f>IF(D5869="","", IFNA(VLOOKUP(D5869, SATCAT_DECAY!A:B, 2, FALSE), ""))
</f>
        <v/>
      </c>
      <c r="G5869" s="3" t="str">
        <f t="shared" si="1"/>
        <v>ACTIVE</v>
      </c>
    </row>
    <row r="5870" ht="22.5" customHeight="1">
      <c r="A5870" s="11" t="str">
        <f t="array" ref="A5870">IFERROR(
  INDEX('Starlink Launches'!$A:$A, MATCH($E5870, 'Starlink Launches'!$B:$B, 0)),
  ""
)
</f>
        <v>17-19</v>
      </c>
      <c r="B5870" s="3" t="s">
        <v>25</v>
      </c>
      <c r="C5870" s="12" t="s">
        <v>5902</v>
      </c>
      <c r="D5870" s="13">
        <v>67605.0</v>
      </c>
      <c r="E5870" s="4">
        <v>46051.0</v>
      </c>
      <c r="F5870" s="4" t="str">
        <f>IF(D5870="","", IFNA(VLOOKUP(D5870, SATCAT_DECAY!A:B, 2, FALSE), ""))
</f>
        <v/>
      </c>
      <c r="G5870" s="3" t="str">
        <f t="shared" si="1"/>
        <v>ACTIVE</v>
      </c>
    </row>
    <row r="5871" ht="22.5" customHeight="1">
      <c r="A5871" s="11" t="str">
        <f t="array" ref="A5871">IFERROR(
  INDEX('Starlink Launches'!$A:$A, MATCH($E5871, 'Starlink Launches'!$B:$B, 0)),
  ""
)
</f>
        <v>17-19</v>
      </c>
      <c r="B5871" s="3" t="s">
        <v>25</v>
      </c>
      <c r="C5871" s="12" t="s">
        <v>5903</v>
      </c>
      <c r="D5871" s="13">
        <v>67606.0</v>
      </c>
      <c r="E5871" s="4">
        <v>46051.0</v>
      </c>
      <c r="F5871" s="4" t="str">
        <f>IF(D5871="","", IFNA(VLOOKUP(D5871, SATCAT_DECAY!A:B, 2, FALSE), ""))
</f>
        <v/>
      </c>
      <c r="G5871" s="3" t="str">
        <f t="shared" si="1"/>
        <v>ACTIVE</v>
      </c>
    </row>
    <row r="5872" ht="22.5" customHeight="1">
      <c r="A5872" s="11" t="str">
        <f t="array" ref="A5872">IFERROR(
  INDEX('Starlink Launches'!$A:$A, MATCH($E5872, 'Starlink Launches'!$B:$B, 0)),
  ""
)
</f>
        <v>17-19</v>
      </c>
      <c r="B5872" s="3" t="s">
        <v>25</v>
      </c>
      <c r="C5872" s="12" t="s">
        <v>5904</v>
      </c>
      <c r="D5872" s="13">
        <v>67607.0</v>
      </c>
      <c r="E5872" s="4">
        <v>46051.0</v>
      </c>
      <c r="F5872" s="4" t="str">
        <f>IF(D5872="","", IFNA(VLOOKUP(D5872, SATCAT_DECAY!A:B, 2, FALSE), ""))
</f>
        <v/>
      </c>
      <c r="G5872" s="3" t="str">
        <f t="shared" si="1"/>
        <v>ACTIVE</v>
      </c>
    </row>
    <row r="5873" ht="22.5" customHeight="1">
      <c r="A5873" s="11" t="str">
        <f t="array" ref="A5873">IFERROR(
  INDEX('Starlink Launches'!$A:$A, MATCH($E5873, 'Starlink Launches'!$B:$B, 0)),
  ""
)
</f>
        <v>17-19</v>
      </c>
      <c r="B5873" s="3" t="s">
        <v>25</v>
      </c>
      <c r="C5873" s="12" t="s">
        <v>5905</v>
      </c>
      <c r="D5873" s="13">
        <v>67608.0</v>
      </c>
      <c r="E5873" s="4">
        <v>46051.0</v>
      </c>
      <c r="F5873" s="4" t="str">
        <f>IF(D5873="","", IFNA(VLOOKUP(D5873, SATCAT_DECAY!A:B, 2, FALSE), ""))
</f>
        <v/>
      </c>
      <c r="G5873" s="3" t="str">
        <f t="shared" si="1"/>
        <v>ACTIVE</v>
      </c>
    </row>
    <row r="5874" ht="22.5" customHeight="1">
      <c r="A5874" s="11" t="str">
        <f t="array" ref="A5874">IFERROR(
  INDEX('Starlink Launches'!$A:$A, MATCH($E5874, 'Starlink Launches'!$B:$B, 0)),
  ""
)
</f>
        <v>17-19</v>
      </c>
      <c r="B5874" s="3" t="s">
        <v>25</v>
      </c>
      <c r="C5874" s="12" t="s">
        <v>5906</v>
      </c>
      <c r="D5874" s="13">
        <v>67609.0</v>
      </c>
      <c r="E5874" s="4">
        <v>46051.0</v>
      </c>
      <c r="F5874" s="4" t="str">
        <f>IF(D5874="","", IFNA(VLOOKUP(D5874, SATCAT_DECAY!A:B, 2, FALSE), ""))
</f>
        <v/>
      </c>
      <c r="G5874" s="3" t="str">
        <f t="shared" si="1"/>
        <v>ACTIVE</v>
      </c>
    </row>
    <row r="5875" ht="22.5" customHeight="1">
      <c r="A5875" s="11" t="str">
        <f t="array" ref="A5875">IFERROR(
  INDEX('Starlink Launches'!$A:$A, MATCH($E5875, 'Starlink Launches'!$B:$B, 0)),
  ""
)
</f>
        <v>17-19</v>
      </c>
      <c r="B5875" s="3" t="s">
        <v>25</v>
      </c>
      <c r="C5875" s="12" t="s">
        <v>5907</v>
      </c>
      <c r="D5875" s="13">
        <v>67610.0</v>
      </c>
      <c r="E5875" s="4">
        <v>46051.0</v>
      </c>
      <c r="F5875" s="4" t="str">
        <f>IF(D5875="","", IFNA(VLOOKUP(D5875, SATCAT_DECAY!A:B, 2, FALSE), ""))
</f>
        <v/>
      </c>
      <c r="G5875" s="3" t="str">
        <f t="shared" si="1"/>
        <v>ACTIVE</v>
      </c>
    </row>
    <row r="5876" ht="22.5" customHeight="1">
      <c r="A5876" s="11" t="str">
        <f t="array" ref="A5876">IFERROR(
  INDEX('Starlink Launches'!$A:$A, MATCH($E5876, 'Starlink Launches'!$B:$B, 0)),
  ""
)
</f>
        <v>17-19</v>
      </c>
      <c r="B5876" s="3" t="s">
        <v>25</v>
      </c>
      <c r="C5876" s="12" t="s">
        <v>5908</v>
      </c>
      <c r="D5876" s="13">
        <v>67611.0</v>
      </c>
      <c r="E5876" s="4">
        <v>46051.0</v>
      </c>
      <c r="F5876" s="4" t="str">
        <f>IF(D5876="","", IFNA(VLOOKUP(D5876, SATCAT_DECAY!A:B, 2, FALSE), ""))
</f>
        <v/>
      </c>
      <c r="G5876" s="3" t="str">
        <f t="shared" si="1"/>
        <v>ACTIVE</v>
      </c>
    </row>
    <row r="5877" ht="22.5" customHeight="1">
      <c r="A5877" s="11" t="str">
        <f t="array" ref="A5877">IFERROR(
  INDEX('Starlink Launches'!$A:$A, MATCH($E5877, 'Starlink Launches'!$B:$B, 0)),
  ""
)
</f>
        <v>17-19</v>
      </c>
      <c r="B5877" s="3" t="s">
        <v>25</v>
      </c>
      <c r="C5877" s="12" t="s">
        <v>5909</v>
      </c>
      <c r="D5877" s="13">
        <v>67612.0</v>
      </c>
      <c r="E5877" s="4">
        <v>46051.0</v>
      </c>
      <c r="F5877" s="4" t="str">
        <f>IF(D5877="","", IFNA(VLOOKUP(D5877, SATCAT_DECAY!A:B, 2, FALSE), ""))
</f>
        <v/>
      </c>
      <c r="G5877" s="3" t="str">
        <f t="shared" si="1"/>
        <v>ACTIVE</v>
      </c>
    </row>
    <row r="5878" ht="22.5" customHeight="1">
      <c r="A5878" s="11" t="str">
        <f t="array" ref="A5878">IFERROR(
  INDEX('Starlink Launches'!$A:$A, MATCH($E5878, 'Starlink Launches'!$B:$B, 0)),
  ""
)
</f>
        <v>17-19</v>
      </c>
      <c r="B5878" s="3" t="s">
        <v>25</v>
      </c>
      <c r="C5878" s="12" t="s">
        <v>5910</v>
      </c>
      <c r="D5878" s="13">
        <v>67613.0</v>
      </c>
      <c r="E5878" s="4">
        <v>46051.0</v>
      </c>
      <c r="F5878" s="4" t="str">
        <f>IF(D5878="","", IFNA(VLOOKUP(D5878, SATCAT_DECAY!A:B, 2, FALSE), ""))
</f>
        <v/>
      </c>
      <c r="G5878" s="3" t="str">
        <f t="shared" si="1"/>
        <v>ACTIVE</v>
      </c>
    </row>
    <row r="5879" ht="22.5" customHeight="1">
      <c r="A5879" s="11" t="str">
        <f t="array" ref="A5879">IFERROR(
  INDEX('Starlink Launches'!$A:$A, MATCH($E5879, 'Starlink Launches'!$B:$B, 0)),
  ""
)
</f>
        <v>17-32</v>
      </c>
      <c r="B5879" s="3" t="s">
        <v>25</v>
      </c>
      <c r="C5879" s="12" t="s">
        <v>5911</v>
      </c>
      <c r="D5879" s="13">
        <v>67648.0</v>
      </c>
      <c r="E5879" s="4">
        <v>46055.0</v>
      </c>
      <c r="F5879" s="4" t="str">
        <f>IF(D5879="","", IFNA(VLOOKUP(D5879, SATCAT_DECAY!A:B, 2, FALSE), ""))
</f>
        <v/>
      </c>
      <c r="G5879" s="3" t="str">
        <f t="shared" si="1"/>
        <v>ACTIVE</v>
      </c>
    </row>
    <row r="5880" ht="22.5" customHeight="1">
      <c r="A5880" s="11" t="str">
        <f t="array" ref="A5880">IFERROR(
  INDEX('Starlink Launches'!$A:$A, MATCH($E5880, 'Starlink Launches'!$B:$B, 0)),
  ""
)
</f>
        <v>17-32</v>
      </c>
      <c r="B5880" s="3" t="s">
        <v>25</v>
      </c>
      <c r="C5880" s="12" t="s">
        <v>5912</v>
      </c>
      <c r="D5880" s="13">
        <v>67649.0</v>
      </c>
      <c r="E5880" s="4">
        <v>46055.0</v>
      </c>
      <c r="F5880" s="4" t="str">
        <f>IF(D5880="","", IFNA(VLOOKUP(D5880, SATCAT_DECAY!A:B, 2, FALSE), ""))
</f>
        <v/>
      </c>
      <c r="G5880" s="3" t="str">
        <f t="shared" si="1"/>
        <v>ACTIVE</v>
      </c>
    </row>
    <row r="5881" ht="22.5" customHeight="1">
      <c r="A5881" s="11" t="str">
        <f t="array" ref="A5881">IFERROR(
  INDEX('Starlink Launches'!$A:$A, MATCH($E5881, 'Starlink Launches'!$B:$B, 0)),
  ""
)
</f>
        <v>17-32</v>
      </c>
      <c r="B5881" s="3" t="s">
        <v>25</v>
      </c>
      <c r="C5881" s="12" t="s">
        <v>5913</v>
      </c>
      <c r="D5881" s="13">
        <v>67650.0</v>
      </c>
      <c r="E5881" s="4">
        <v>46055.0</v>
      </c>
      <c r="F5881" s="4" t="str">
        <f>IF(D5881="","", IFNA(VLOOKUP(D5881, SATCAT_DECAY!A:B, 2, FALSE), ""))
</f>
        <v/>
      </c>
      <c r="G5881" s="3" t="str">
        <f t="shared" si="1"/>
        <v>ACTIVE</v>
      </c>
    </row>
    <row r="5882" ht="22.5" customHeight="1">
      <c r="A5882" s="11" t="str">
        <f t="array" ref="A5882">IFERROR(
  INDEX('Starlink Launches'!$A:$A, MATCH($E5882, 'Starlink Launches'!$B:$B, 0)),
  ""
)
</f>
        <v>17-32</v>
      </c>
      <c r="B5882" s="3" t="s">
        <v>25</v>
      </c>
      <c r="C5882" s="12" t="s">
        <v>5914</v>
      </c>
      <c r="D5882" s="13">
        <v>67651.0</v>
      </c>
      <c r="E5882" s="4">
        <v>46055.0</v>
      </c>
      <c r="F5882" s="4" t="str">
        <f>IF(D5882="","", IFNA(VLOOKUP(D5882, SATCAT_DECAY!A:B, 2, FALSE), ""))
</f>
        <v/>
      </c>
      <c r="G5882" s="3" t="str">
        <f t="shared" si="1"/>
        <v>ACTIVE</v>
      </c>
    </row>
    <row r="5883" ht="22.5" customHeight="1">
      <c r="A5883" s="11" t="str">
        <f t="array" ref="A5883">IFERROR(
  INDEX('Starlink Launches'!$A:$A, MATCH($E5883, 'Starlink Launches'!$B:$B, 0)),
  ""
)
</f>
        <v>17-32</v>
      </c>
      <c r="B5883" s="3" t="s">
        <v>25</v>
      </c>
      <c r="C5883" s="12" t="s">
        <v>5915</v>
      </c>
      <c r="D5883" s="13">
        <v>67652.0</v>
      </c>
      <c r="E5883" s="4">
        <v>46055.0</v>
      </c>
      <c r="F5883" s="4" t="str">
        <f>IF(D5883="","", IFNA(VLOOKUP(D5883, SATCAT_DECAY!A:B, 2, FALSE), ""))
</f>
        <v/>
      </c>
      <c r="G5883" s="3" t="str">
        <f t="shared" si="1"/>
        <v>ACTIVE</v>
      </c>
    </row>
    <row r="5884" ht="22.5" customHeight="1">
      <c r="A5884" s="11" t="str">
        <f t="array" ref="A5884">IFERROR(
  INDEX('Starlink Launches'!$A:$A, MATCH($E5884, 'Starlink Launches'!$B:$B, 0)),
  ""
)
</f>
        <v>17-32</v>
      </c>
      <c r="B5884" s="3" t="s">
        <v>25</v>
      </c>
      <c r="C5884" s="12" t="s">
        <v>5916</v>
      </c>
      <c r="D5884" s="13">
        <v>67653.0</v>
      </c>
      <c r="E5884" s="4">
        <v>46055.0</v>
      </c>
      <c r="F5884" s="4" t="str">
        <f>IF(D5884="","", IFNA(VLOOKUP(D5884, SATCAT_DECAY!A:B, 2, FALSE), ""))
</f>
        <v/>
      </c>
      <c r="G5884" s="3" t="str">
        <f t="shared" si="1"/>
        <v>ACTIVE</v>
      </c>
    </row>
    <row r="5885" ht="22.5" customHeight="1">
      <c r="A5885" s="11" t="str">
        <f t="array" ref="A5885">IFERROR(
  INDEX('Starlink Launches'!$A:$A, MATCH($E5885, 'Starlink Launches'!$B:$B, 0)),
  ""
)
</f>
        <v>17-32</v>
      </c>
      <c r="B5885" s="3" t="s">
        <v>25</v>
      </c>
      <c r="C5885" s="12" t="s">
        <v>5917</v>
      </c>
      <c r="D5885" s="13">
        <v>67654.0</v>
      </c>
      <c r="E5885" s="4">
        <v>46055.0</v>
      </c>
      <c r="F5885" s="4" t="str">
        <f>IF(D5885="","", IFNA(VLOOKUP(D5885, SATCAT_DECAY!A:B, 2, FALSE), ""))
</f>
        <v/>
      </c>
      <c r="G5885" s="3" t="str">
        <f t="shared" si="1"/>
        <v>ACTIVE</v>
      </c>
    </row>
    <row r="5886" ht="22.5" customHeight="1">
      <c r="A5886" s="11" t="str">
        <f t="array" ref="A5886">IFERROR(
  INDEX('Starlink Launches'!$A:$A, MATCH($E5886, 'Starlink Launches'!$B:$B, 0)),
  ""
)
</f>
        <v>17-32</v>
      </c>
      <c r="B5886" s="3" t="s">
        <v>25</v>
      </c>
      <c r="C5886" s="12" t="s">
        <v>5918</v>
      </c>
      <c r="D5886" s="13">
        <v>67655.0</v>
      </c>
      <c r="E5886" s="4">
        <v>46055.0</v>
      </c>
      <c r="F5886" s="4" t="str">
        <f>IF(D5886="","", IFNA(VLOOKUP(D5886, SATCAT_DECAY!A:B, 2, FALSE), ""))
</f>
        <v/>
      </c>
      <c r="G5886" s="3" t="str">
        <f t="shared" si="1"/>
        <v>ACTIVE</v>
      </c>
    </row>
    <row r="5887" ht="22.5" customHeight="1">
      <c r="A5887" s="11" t="str">
        <f t="array" ref="A5887">IFERROR(
  INDEX('Starlink Launches'!$A:$A, MATCH($E5887, 'Starlink Launches'!$B:$B, 0)),
  ""
)
</f>
        <v>17-32</v>
      </c>
      <c r="B5887" s="3" t="s">
        <v>25</v>
      </c>
      <c r="C5887" s="12" t="s">
        <v>5919</v>
      </c>
      <c r="D5887" s="13">
        <v>67656.0</v>
      </c>
      <c r="E5887" s="4">
        <v>46055.0</v>
      </c>
      <c r="F5887" s="4" t="str">
        <f>IF(D5887="","", IFNA(VLOOKUP(D5887, SATCAT_DECAY!A:B, 2, FALSE), ""))
</f>
        <v/>
      </c>
      <c r="G5887" s="3" t="str">
        <f t="shared" si="1"/>
        <v>ACTIVE</v>
      </c>
    </row>
    <row r="5888" ht="22.5" customHeight="1">
      <c r="A5888" s="11" t="str">
        <f t="array" ref="A5888">IFERROR(
  INDEX('Starlink Launches'!$A:$A, MATCH($E5888, 'Starlink Launches'!$B:$B, 0)),
  ""
)
</f>
        <v>17-32</v>
      </c>
      <c r="B5888" s="3" t="s">
        <v>25</v>
      </c>
      <c r="C5888" s="12" t="s">
        <v>5920</v>
      </c>
      <c r="D5888" s="13">
        <v>67657.0</v>
      </c>
      <c r="E5888" s="4">
        <v>46055.0</v>
      </c>
      <c r="F5888" s="4" t="str">
        <f>IF(D5888="","", IFNA(VLOOKUP(D5888, SATCAT_DECAY!A:B, 2, FALSE), ""))
</f>
        <v/>
      </c>
      <c r="G5888" s="3" t="str">
        <f t="shared" si="1"/>
        <v>ACTIVE</v>
      </c>
    </row>
    <row r="5889" ht="22.5" customHeight="1">
      <c r="A5889" s="11" t="str">
        <f t="array" ref="A5889">IFERROR(
  INDEX('Starlink Launches'!$A:$A, MATCH($E5889, 'Starlink Launches'!$B:$B, 0)),
  ""
)
</f>
        <v>17-32</v>
      </c>
      <c r="B5889" s="3" t="s">
        <v>25</v>
      </c>
      <c r="C5889" s="12" t="s">
        <v>5921</v>
      </c>
      <c r="D5889" s="13">
        <v>67658.0</v>
      </c>
      <c r="E5889" s="4">
        <v>46055.0</v>
      </c>
      <c r="F5889" s="4" t="str">
        <f>IF(D5889="","", IFNA(VLOOKUP(D5889, SATCAT_DECAY!A:B, 2, FALSE), ""))
</f>
        <v/>
      </c>
      <c r="G5889" s="3" t="str">
        <f t="shared" si="1"/>
        <v>ACTIVE</v>
      </c>
    </row>
    <row r="5890" ht="22.5" customHeight="1">
      <c r="A5890" s="11" t="str">
        <f t="array" ref="A5890">IFERROR(
  INDEX('Starlink Launches'!$A:$A, MATCH($E5890, 'Starlink Launches'!$B:$B, 0)),
  ""
)
</f>
        <v>17-32</v>
      </c>
      <c r="B5890" s="3" t="s">
        <v>25</v>
      </c>
      <c r="C5890" s="12" t="s">
        <v>5922</v>
      </c>
      <c r="D5890" s="13">
        <v>67659.0</v>
      </c>
      <c r="E5890" s="4">
        <v>46055.0</v>
      </c>
      <c r="F5890" s="4" t="str">
        <f>IF(D5890="","", IFNA(VLOOKUP(D5890, SATCAT_DECAY!A:B, 2, FALSE), ""))
</f>
        <v/>
      </c>
      <c r="G5890" s="3" t="str">
        <f t="shared" si="1"/>
        <v>ACTIVE</v>
      </c>
    </row>
    <row r="5891" ht="22.5" customHeight="1">
      <c r="A5891" s="11" t="str">
        <f t="array" ref="A5891">IFERROR(
  INDEX('Starlink Launches'!$A:$A, MATCH($E5891, 'Starlink Launches'!$B:$B, 0)),
  ""
)
</f>
        <v>17-32</v>
      </c>
      <c r="B5891" s="3" t="s">
        <v>25</v>
      </c>
      <c r="C5891" s="12" t="s">
        <v>5923</v>
      </c>
      <c r="D5891" s="13">
        <v>67660.0</v>
      </c>
      <c r="E5891" s="4">
        <v>46055.0</v>
      </c>
      <c r="F5891" s="4" t="str">
        <f>IF(D5891="","", IFNA(VLOOKUP(D5891, SATCAT_DECAY!A:B, 2, FALSE), ""))
</f>
        <v/>
      </c>
      <c r="G5891" s="3" t="str">
        <f t="shared" si="1"/>
        <v>ACTIVE</v>
      </c>
    </row>
    <row r="5892" ht="22.5" customHeight="1">
      <c r="A5892" s="11" t="str">
        <f t="array" ref="A5892">IFERROR(
  INDEX('Starlink Launches'!$A:$A, MATCH($E5892, 'Starlink Launches'!$B:$B, 0)),
  ""
)
</f>
        <v>17-32</v>
      </c>
      <c r="B5892" s="3" t="s">
        <v>25</v>
      </c>
      <c r="C5892" s="12" t="s">
        <v>5924</v>
      </c>
      <c r="D5892" s="13">
        <v>67661.0</v>
      </c>
      <c r="E5892" s="4">
        <v>46055.0</v>
      </c>
      <c r="F5892" s="4" t="str">
        <f>IF(D5892="","", IFNA(VLOOKUP(D5892, SATCAT_DECAY!A:B, 2, FALSE), ""))
</f>
        <v/>
      </c>
      <c r="G5892" s="3" t="str">
        <f t="shared" si="1"/>
        <v>ACTIVE</v>
      </c>
    </row>
    <row r="5893" ht="22.5" customHeight="1">
      <c r="A5893" s="11" t="str">
        <f t="array" ref="A5893">IFERROR(
  INDEX('Starlink Launches'!$A:$A, MATCH($E5893, 'Starlink Launches'!$B:$B, 0)),
  ""
)
</f>
        <v>17-32</v>
      </c>
      <c r="B5893" s="3" t="s">
        <v>25</v>
      </c>
      <c r="C5893" s="12" t="s">
        <v>5925</v>
      </c>
      <c r="D5893" s="13">
        <v>67662.0</v>
      </c>
      <c r="E5893" s="4">
        <v>46055.0</v>
      </c>
      <c r="F5893" s="4" t="str">
        <f>IF(D5893="","", IFNA(VLOOKUP(D5893, SATCAT_DECAY!A:B, 2, FALSE), ""))
</f>
        <v/>
      </c>
      <c r="G5893" s="3" t="str">
        <f t="shared" si="1"/>
        <v>ACTIVE</v>
      </c>
    </row>
    <row r="5894" ht="22.5" customHeight="1">
      <c r="A5894" s="11" t="str">
        <f t="array" ref="A5894">IFERROR(
  INDEX('Starlink Launches'!$A:$A, MATCH($E5894, 'Starlink Launches'!$B:$B, 0)),
  ""
)
</f>
        <v>17-32</v>
      </c>
      <c r="B5894" s="3" t="s">
        <v>25</v>
      </c>
      <c r="C5894" s="12" t="s">
        <v>5926</v>
      </c>
      <c r="D5894" s="13">
        <v>67663.0</v>
      </c>
      <c r="E5894" s="4">
        <v>46055.0</v>
      </c>
      <c r="F5894" s="4" t="str">
        <f>IF(D5894="","", IFNA(VLOOKUP(D5894, SATCAT_DECAY!A:B, 2, FALSE), ""))
</f>
        <v/>
      </c>
      <c r="G5894" s="3" t="str">
        <f t="shared" si="1"/>
        <v>ACTIVE</v>
      </c>
    </row>
    <row r="5895" ht="22.5" customHeight="1">
      <c r="A5895" s="11" t="str">
        <f t="array" ref="A5895">IFERROR(
  INDEX('Starlink Launches'!$A:$A, MATCH($E5895, 'Starlink Launches'!$B:$B, 0)),
  ""
)
</f>
        <v>17-32</v>
      </c>
      <c r="B5895" s="3" t="s">
        <v>25</v>
      </c>
      <c r="C5895" s="12" t="s">
        <v>5927</v>
      </c>
      <c r="D5895" s="13">
        <v>67664.0</v>
      </c>
      <c r="E5895" s="4">
        <v>46055.0</v>
      </c>
      <c r="F5895" s="4" t="str">
        <f>IF(D5895="","", IFNA(VLOOKUP(D5895, SATCAT_DECAY!A:B, 2, FALSE), ""))
</f>
        <v/>
      </c>
      <c r="G5895" s="3" t="str">
        <f t="shared" si="1"/>
        <v>ACTIVE</v>
      </c>
    </row>
    <row r="5896" ht="22.5" customHeight="1">
      <c r="A5896" s="11" t="str">
        <f t="array" ref="A5896">IFERROR(
  INDEX('Starlink Launches'!$A:$A, MATCH($E5896, 'Starlink Launches'!$B:$B, 0)),
  ""
)
</f>
        <v>17-32</v>
      </c>
      <c r="B5896" s="3" t="s">
        <v>25</v>
      </c>
      <c r="C5896" s="12" t="s">
        <v>5928</v>
      </c>
      <c r="D5896" s="13">
        <v>67665.0</v>
      </c>
      <c r="E5896" s="4">
        <v>46055.0</v>
      </c>
      <c r="F5896" s="4" t="str">
        <f>IF(D5896="","", IFNA(VLOOKUP(D5896, SATCAT_DECAY!A:B, 2, FALSE), ""))
</f>
        <v/>
      </c>
      <c r="G5896" s="3" t="str">
        <f t="shared" si="1"/>
        <v>ACTIVE</v>
      </c>
    </row>
    <row r="5897" ht="22.5" customHeight="1">
      <c r="A5897" s="11" t="str">
        <f t="array" ref="A5897">IFERROR(
  INDEX('Starlink Launches'!$A:$A, MATCH($E5897, 'Starlink Launches'!$B:$B, 0)),
  ""
)
</f>
        <v>17-32</v>
      </c>
      <c r="B5897" s="3" t="s">
        <v>25</v>
      </c>
      <c r="C5897" s="12" t="s">
        <v>5929</v>
      </c>
      <c r="D5897" s="13">
        <v>67666.0</v>
      </c>
      <c r="E5897" s="4">
        <v>46055.0</v>
      </c>
      <c r="F5897" s="4" t="str">
        <f>IF(D5897="","", IFNA(VLOOKUP(D5897, SATCAT_DECAY!A:B, 2, FALSE), ""))
</f>
        <v/>
      </c>
      <c r="G5897" s="3" t="str">
        <f t="shared" si="1"/>
        <v>ACTIVE</v>
      </c>
    </row>
    <row r="5898" ht="22.5" customHeight="1">
      <c r="A5898" s="11" t="str">
        <f t="array" ref="A5898">IFERROR(
  INDEX('Starlink Launches'!$A:$A, MATCH($E5898, 'Starlink Launches'!$B:$B, 0)),
  ""
)
</f>
        <v>17-32</v>
      </c>
      <c r="B5898" s="3" t="s">
        <v>25</v>
      </c>
      <c r="C5898" s="12" t="s">
        <v>5930</v>
      </c>
      <c r="D5898" s="13">
        <v>67667.0</v>
      </c>
      <c r="E5898" s="4">
        <v>46055.0</v>
      </c>
      <c r="F5898" s="4" t="str">
        <f>IF(D5898="","", IFNA(VLOOKUP(D5898, SATCAT_DECAY!A:B, 2, FALSE), ""))
</f>
        <v/>
      </c>
      <c r="G5898" s="3" t="str">
        <f t="shared" si="1"/>
        <v>ACTIVE</v>
      </c>
    </row>
    <row r="5899" ht="22.5" customHeight="1">
      <c r="A5899" s="11" t="str">
        <f t="array" ref="A5899">IFERROR(
  INDEX('Starlink Launches'!$A:$A, MATCH($E5899, 'Starlink Launches'!$B:$B, 0)),
  ""
)
</f>
        <v>17-32</v>
      </c>
      <c r="B5899" s="3" t="s">
        <v>25</v>
      </c>
      <c r="C5899" s="12" t="s">
        <v>5931</v>
      </c>
      <c r="D5899" s="13">
        <v>67668.0</v>
      </c>
      <c r="E5899" s="4">
        <v>46055.0</v>
      </c>
      <c r="F5899" s="4" t="str">
        <f>IF(D5899="","", IFNA(VLOOKUP(D5899, SATCAT_DECAY!A:B, 2, FALSE), ""))
</f>
        <v/>
      </c>
      <c r="G5899" s="3" t="str">
        <f t="shared" si="1"/>
        <v>ACTIVE</v>
      </c>
    </row>
    <row r="5900" ht="22.5" customHeight="1">
      <c r="A5900" s="11" t="str">
        <f t="array" ref="A5900">IFERROR(
  INDEX('Starlink Launches'!$A:$A, MATCH($E5900, 'Starlink Launches'!$B:$B, 0)),
  ""
)
</f>
        <v>17-32</v>
      </c>
      <c r="B5900" s="3" t="s">
        <v>25</v>
      </c>
      <c r="C5900" s="12" t="s">
        <v>5932</v>
      </c>
      <c r="D5900" s="13">
        <v>67669.0</v>
      </c>
      <c r="E5900" s="4">
        <v>46055.0</v>
      </c>
      <c r="F5900" s="4" t="str">
        <f>IF(D5900="","", IFNA(VLOOKUP(D5900, SATCAT_DECAY!A:B, 2, FALSE), ""))
</f>
        <v/>
      </c>
      <c r="G5900" s="3" t="str">
        <f t="shared" si="1"/>
        <v>ACTIVE</v>
      </c>
    </row>
    <row r="5901" ht="22.5" customHeight="1">
      <c r="A5901" s="11" t="str">
        <f t="array" ref="A5901">IFERROR(
  INDEX('Starlink Launches'!$A:$A, MATCH($E5901, 'Starlink Launches'!$B:$B, 0)),
  ""
)
</f>
        <v>17-32</v>
      </c>
      <c r="B5901" s="3" t="s">
        <v>25</v>
      </c>
      <c r="C5901" s="12" t="s">
        <v>5933</v>
      </c>
      <c r="D5901" s="13">
        <v>67670.0</v>
      </c>
      <c r="E5901" s="4">
        <v>46055.0</v>
      </c>
      <c r="F5901" s="4" t="str">
        <f>IF(D5901="","", IFNA(VLOOKUP(D5901, SATCAT_DECAY!A:B, 2, FALSE), ""))
</f>
        <v/>
      </c>
      <c r="G5901" s="3" t="str">
        <f t="shared" si="1"/>
        <v>ACTIVE</v>
      </c>
    </row>
    <row r="5902" ht="22.5" customHeight="1">
      <c r="A5902" s="11" t="str">
        <f t="array" ref="A5902">IFERROR(
  INDEX('Starlink Launches'!$A:$A, MATCH($E5902, 'Starlink Launches'!$B:$B, 0)),
  ""
)
</f>
        <v>17-32</v>
      </c>
      <c r="B5902" s="3" t="s">
        <v>25</v>
      </c>
      <c r="C5902" s="12" t="s">
        <v>5934</v>
      </c>
      <c r="D5902" s="13">
        <v>67671.0</v>
      </c>
      <c r="E5902" s="4">
        <v>46055.0</v>
      </c>
      <c r="F5902" s="4" t="str">
        <f>IF(D5902="","", IFNA(VLOOKUP(D5902, SATCAT_DECAY!A:B, 2, FALSE), ""))
</f>
        <v/>
      </c>
      <c r="G5902" s="3" t="str">
        <f t="shared" si="1"/>
        <v>ACTIVE</v>
      </c>
    </row>
    <row r="5903" ht="22.5" customHeight="1">
      <c r="A5903" s="11" t="str">
        <f t="array" ref="A5903">IFERROR(
  INDEX('Starlink Launches'!$A:$A, MATCH($E5903, 'Starlink Launches'!$B:$B, 0)),
  ""
)
</f>
        <v>17-32</v>
      </c>
      <c r="B5903" s="3" t="s">
        <v>25</v>
      </c>
      <c r="C5903" s="12" t="s">
        <v>5935</v>
      </c>
      <c r="D5903" s="13">
        <v>67672.0</v>
      </c>
      <c r="E5903" s="4">
        <v>46055.0</v>
      </c>
      <c r="F5903" s="4" t="str">
        <f>IF(D5903="","", IFNA(VLOOKUP(D5903, SATCAT_DECAY!A:B, 2, FALSE), ""))
</f>
        <v/>
      </c>
      <c r="G5903" s="3" t="str">
        <f t="shared" si="1"/>
        <v>ACTIVE</v>
      </c>
    </row>
    <row r="5904" ht="22.5" customHeight="1">
      <c r="A5904" s="22" t="s">
        <v>5936</v>
      </c>
      <c r="B5904" s="22" t="s">
        <v>5937</v>
      </c>
      <c r="C5904" s="23" t="s">
        <v>5938</v>
      </c>
      <c r="D5904" s="24">
        <v>56162.0</v>
      </c>
      <c r="E5904" s="25">
        <v>45018.0</v>
      </c>
      <c r="F5904" s="4" t="str">
        <f>IF(D5904="","", IFNA(VLOOKUP(D5904, SATCAT_DECAY!A:B, 2, FALSE), ""))
</f>
        <v/>
      </c>
      <c r="G5904" s="3" t="str">
        <f t="shared" si="1"/>
        <v>ACTIVE</v>
      </c>
    </row>
    <row r="5905" ht="22.5" customHeight="1">
      <c r="A5905" s="3" t="s">
        <v>5936</v>
      </c>
      <c r="B5905" s="3" t="s">
        <v>5937</v>
      </c>
      <c r="C5905" s="12" t="s">
        <v>5939</v>
      </c>
      <c r="D5905" s="13">
        <v>56163.0</v>
      </c>
      <c r="E5905" s="4">
        <v>45018.0</v>
      </c>
      <c r="F5905" s="4" t="str">
        <f>IF(D5905="","", IFNA(VLOOKUP(D5905, SATCAT_DECAY!A:B, 2, FALSE), ""))
</f>
        <v/>
      </c>
      <c r="G5905" s="3" t="str">
        <f t="shared" si="1"/>
        <v>ACTIVE</v>
      </c>
    </row>
    <row r="5906" ht="22.5" customHeight="1">
      <c r="A5906" s="3" t="s">
        <v>5936</v>
      </c>
      <c r="B5906" s="3" t="s">
        <v>5937</v>
      </c>
      <c r="C5906" s="12" t="s">
        <v>5940</v>
      </c>
      <c r="D5906" s="13">
        <v>56164.0</v>
      </c>
      <c r="E5906" s="4">
        <v>45018.0</v>
      </c>
      <c r="F5906" s="4" t="str">
        <f>IF(D5906="","", IFNA(VLOOKUP(D5906, SATCAT_DECAY!A:B, 2, FALSE), ""))
</f>
        <v/>
      </c>
      <c r="G5906" s="3" t="str">
        <f t="shared" si="1"/>
        <v>ACTIVE</v>
      </c>
    </row>
    <row r="5907" ht="22.5" customHeight="1">
      <c r="A5907" s="3" t="s">
        <v>5936</v>
      </c>
      <c r="B5907" s="3" t="s">
        <v>5937</v>
      </c>
      <c r="C5907" s="12" t="s">
        <v>5941</v>
      </c>
      <c r="D5907" s="13">
        <v>56165.0</v>
      </c>
      <c r="E5907" s="4">
        <v>45018.0</v>
      </c>
      <c r="F5907" s="4" t="str">
        <f>IF(D5907="","", IFNA(VLOOKUP(D5907, SATCAT_DECAY!A:B, 2, FALSE), ""))
</f>
        <v/>
      </c>
      <c r="G5907" s="3" t="str">
        <f t="shared" si="1"/>
        <v>ACTIVE</v>
      </c>
    </row>
    <row r="5908" ht="22.5" customHeight="1">
      <c r="A5908" s="3" t="s">
        <v>5936</v>
      </c>
      <c r="B5908" s="3" t="s">
        <v>5937</v>
      </c>
      <c r="C5908" s="12" t="s">
        <v>5942</v>
      </c>
      <c r="D5908" s="13">
        <v>56166.0</v>
      </c>
      <c r="E5908" s="4">
        <v>45018.0</v>
      </c>
      <c r="F5908" s="4" t="str">
        <f>IF(D5908="","", IFNA(VLOOKUP(D5908, SATCAT_DECAY!A:B, 2, FALSE), ""))
</f>
        <v/>
      </c>
      <c r="G5908" s="3" t="str">
        <f t="shared" si="1"/>
        <v>ACTIVE</v>
      </c>
    </row>
    <row r="5909" ht="22.5" customHeight="1">
      <c r="A5909" s="3" t="s">
        <v>5936</v>
      </c>
      <c r="B5909" s="3" t="s">
        <v>5937</v>
      </c>
      <c r="C5909" s="12" t="s">
        <v>5943</v>
      </c>
      <c r="D5909" s="13">
        <v>56167.0</v>
      </c>
      <c r="E5909" s="4">
        <v>45018.0</v>
      </c>
      <c r="F5909" s="4" t="str">
        <f>IF(D5909="","", IFNA(VLOOKUP(D5909, SATCAT_DECAY!A:B, 2, FALSE), ""))
</f>
        <v/>
      </c>
      <c r="G5909" s="3" t="str">
        <f t="shared" si="1"/>
        <v>ACTIVE</v>
      </c>
    </row>
    <row r="5910" ht="22.5" customHeight="1">
      <c r="A5910" s="3" t="s">
        <v>5936</v>
      </c>
      <c r="B5910" s="3" t="s">
        <v>5937</v>
      </c>
      <c r="C5910" s="12" t="s">
        <v>5944</v>
      </c>
      <c r="D5910" s="13">
        <v>56168.0</v>
      </c>
      <c r="E5910" s="4">
        <v>45018.0</v>
      </c>
      <c r="F5910" s="4" t="str">
        <f>IF(D5910="","", IFNA(VLOOKUP(D5910, SATCAT_DECAY!A:B, 2, FALSE), ""))
</f>
        <v/>
      </c>
      <c r="G5910" s="3" t="str">
        <f t="shared" si="1"/>
        <v>ACTIVE</v>
      </c>
    </row>
    <row r="5911" ht="22.5" customHeight="1">
      <c r="A5911" s="3" t="s">
        <v>5936</v>
      </c>
      <c r="B5911" s="3" t="s">
        <v>5937</v>
      </c>
      <c r="C5911" s="12" t="s">
        <v>5945</v>
      </c>
      <c r="D5911" s="13">
        <v>56169.0</v>
      </c>
      <c r="E5911" s="4">
        <v>45018.0</v>
      </c>
      <c r="F5911" s="4" t="str">
        <f>IF(D5911="","", IFNA(VLOOKUP(D5911, SATCAT_DECAY!A:B, 2, FALSE), ""))
</f>
        <v/>
      </c>
      <c r="G5911" s="3" t="str">
        <f t="shared" si="1"/>
        <v>ACTIVE</v>
      </c>
    </row>
    <row r="5912" ht="22.5" customHeight="1">
      <c r="A5912" s="3" t="s">
        <v>5936</v>
      </c>
      <c r="B5912" s="3" t="s">
        <v>5937</v>
      </c>
      <c r="C5912" s="12" t="s">
        <v>5946</v>
      </c>
      <c r="D5912" s="13">
        <v>56171.0</v>
      </c>
      <c r="E5912" s="4">
        <v>45018.0</v>
      </c>
      <c r="F5912" s="4" t="str">
        <f>IF(D5912="","", IFNA(VLOOKUP(D5912, SATCAT_DECAY!A:B, 2, FALSE), ""))
</f>
        <v/>
      </c>
      <c r="G5912" s="3" t="str">
        <f t="shared" si="1"/>
        <v>ACTIVE</v>
      </c>
    </row>
    <row r="5913" ht="22.5" customHeight="1">
      <c r="A5913" s="3" t="s">
        <v>5936</v>
      </c>
      <c r="B5913" s="3" t="s">
        <v>5937</v>
      </c>
      <c r="C5913" s="12" t="s">
        <v>5947</v>
      </c>
      <c r="D5913" s="13">
        <v>56170.0</v>
      </c>
      <c r="E5913" s="4">
        <v>45018.0</v>
      </c>
      <c r="F5913" s="4" t="str">
        <f>IF(D5913="","", IFNA(VLOOKUP(D5913, SATCAT_DECAY!A:B, 2, FALSE), ""))
</f>
        <v/>
      </c>
      <c r="G5913" s="3" t="str">
        <f t="shared" si="1"/>
        <v>ACTIVE</v>
      </c>
    </row>
    <row r="5914" ht="22.5" customHeight="1">
      <c r="A5914" s="3" t="s">
        <v>5936</v>
      </c>
      <c r="B5914" s="3" t="s">
        <v>5937</v>
      </c>
      <c r="C5914" s="12" t="s">
        <v>5948</v>
      </c>
      <c r="D5914" s="13">
        <v>57756.0</v>
      </c>
      <c r="E5914" s="4">
        <v>45171.0</v>
      </c>
      <c r="F5914" s="4" t="str">
        <f>IF(D5914="","", IFNA(VLOOKUP(D5914, SATCAT_DECAY!A:B, 2, FALSE), ""))
</f>
        <v/>
      </c>
      <c r="G5914" s="3" t="str">
        <f t="shared" si="1"/>
        <v>ACTIVE</v>
      </c>
    </row>
    <row r="5915" ht="22.5" customHeight="1">
      <c r="A5915" s="3" t="s">
        <v>5936</v>
      </c>
      <c r="B5915" s="3" t="s">
        <v>5937</v>
      </c>
      <c r="C5915" s="12" t="s">
        <v>5949</v>
      </c>
      <c r="D5915" s="13">
        <v>57758.0</v>
      </c>
      <c r="E5915" s="4">
        <v>45171.0</v>
      </c>
      <c r="F5915" s="4" t="str">
        <f>IF(D5915="","", IFNA(VLOOKUP(D5915, SATCAT_DECAY!A:B, 2, FALSE), ""))
</f>
        <v/>
      </c>
      <c r="G5915" s="3" t="str">
        <f t="shared" si="1"/>
        <v>ACTIVE</v>
      </c>
    </row>
    <row r="5916" ht="22.5" customHeight="1">
      <c r="A5916" s="3" t="s">
        <v>5936</v>
      </c>
      <c r="B5916" s="3" t="s">
        <v>5937</v>
      </c>
      <c r="C5916" s="12" t="s">
        <v>5950</v>
      </c>
      <c r="D5916" s="13">
        <v>57761.0</v>
      </c>
      <c r="E5916" s="4">
        <v>45171.0</v>
      </c>
      <c r="F5916" s="4" t="str">
        <f>IF(D5916="","", IFNA(VLOOKUP(D5916, SATCAT_DECAY!A:B, 2, FALSE), ""))
</f>
        <v/>
      </c>
      <c r="G5916" s="3" t="str">
        <f t="shared" si="1"/>
        <v>ACTIVE</v>
      </c>
    </row>
    <row r="5917" ht="22.5" customHeight="1">
      <c r="A5917" s="3" t="s">
        <v>5936</v>
      </c>
      <c r="B5917" s="3" t="s">
        <v>5937</v>
      </c>
      <c r="C5917" s="12" t="s">
        <v>5951</v>
      </c>
      <c r="D5917" s="13">
        <v>57763.0</v>
      </c>
      <c r="E5917" s="4">
        <v>45171.0</v>
      </c>
      <c r="F5917" s="4" t="str">
        <f>IF(D5917="","", IFNA(VLOOKUP(D5917, SATCAT_DECAY!A:B, 2, FALSE), ""))
</f>
        <v/>
      </c>
      <c r="G5917" s="3" t="str">
        <f t="shared" si="1"/>
        <v>ACTIVE</v>
      </c>
    </row>
    <row r="5918" ht="22.5" customHeight="1">
      <c r="A5918" s="3" t="s">
        <v>5936</v>
      </c>
      <c r="B5918" s="3" t="s">
        <v>5937</v>
      </c>
      <c r="C5918" s="12" t="s">
        <v>5952</v>
      </c>
      <c r="D5918" s="13">
        <v>57764.0</v>
      </c>
      <c r="E5918" s="4">
        <v>45171.0</v>
      </c>
      <c r="F5918" s="4" t="str">
        <f>IF(D5918="","", IFNA(VLOOKUP(D5918, SATCAT_DECAY!A:B, 2, FALSE), ""))
</f>
        <v/>
      </c>
      <c r="G5918" s="3" t="str">
        <f t="shared" si="1"/>
        <v>ACTIVE</v>
      </c>
    </row>
    <row r="5919" ht="22.5" customHeight="1">
      <c r="A5919" s="3" t="s">
        <v>5936</v>
      </c>
      <c r="B5919" s="3" t="s">
        <v>5937</v>
      </c>
      <c r="C5919" s="12" t="s">
        <v>5953</v>
      </c>
      <c r="D5919" s="13">
        <v>57765.0</v>
      </c>
      <c r="E5919" s="4">
        <v>45171.0</v>
      </c>
      <c r="F5919" s="4" t="str">
        <f>IF(D5919="","", IFNA(VLOOKUP(D5919, SATCAT_DECAY!A:B, 2, FALSE), ""))
</f>
        <v/>
      </c>
      <c r="G5919" s="3" t="str">
        <f t="shared" si="1"/>
        <v>ACTIVE</v>
      </c>
    </row>
    <row r="5920" ht="22.5" customHeight="1">
      <c r="A5920" s="3" t="s">
        <v>5936</v>
      </c>
      <c r="B5920" s="3" t="s">
        <v>5937</v>
      </c>
      <c r="C5920" s="12" t="s">
        <v>5954</v>
      </c>
      <c r="D5920" s="13">
        <v>57766.0</v>
      </c>
      <c r="E5920" s="4">
        <v>45171.0</v>
      </c>
      <c r="F5920" s="4" t="str">
        <f>IF(D5920="","", IFNA(VLOOKUP(D5920, SATCAT_DECAY!A:B, 2, FALSE), ""))
</f>
        <v/>
      </c>
      <c r="G5920" s="3" t="str">
        <f t="shared" si="1"/>
        <v>ACTIVE</v>
      </c>
    </row>
    <row r="5921" ht="22.5" customHeight="1">
      <c r="A5921" s="3" t="s">
        <v>5936</v>
      </c>
      <c r="B5921" s="3" t="s">
        <v>5937</v>
      </c>
      <c r="C5921" s="12" t="s">
        <v>5955</v>
      </c>
      <c r="D5921" s="13">
        <v>57767.0</v>
      </c>
      <c r="E5921" s="4">
        <v>45171.0</v>
      </c>
      <c r="F5921" s="4" t="str">
        <f>IF(D5921="","", IFNA(VLOOKUP(D5921, SATCAT_DECAY!A:B, 2, FALSE), ""))
</f>
        <v/>
      </c>
      <c r="G5921" s="3" t="str">
        <f t="shared" si="1"/>
        <v>ACTIVE</v>
      </c>
    </row>
    <row r="5922" ht="22.5" customHeight="1">
      <c r="A5922" s="3" t="s">
        <v>5936</v>
      </c>
      <c r="B5922" s="3" t="s">
        <v>5937</v>
      </c>
      <c r="C5922" s="12" t="s">
        <v>5956</v>
      </c>
      <c r="D5922" s="13">
        <v>57768.0</v>
      </c>
      <c r="E5922" s="4">
        <v>45171.0</v>
      </c>
      <c r="F5922" s="4" t="str">
        <f>IF(D5922="","", IFNA(VLOOKUP(D5922, SATCAT_DECAY!A:B, 2, FALSE), ""))
</f>
        <v/>
      </c>
      <c r="G5922" s="3" t="str">
        <f t="shared" si="1"/>
        <v>ACTIVE</v>
      </c>
    </row>
    <row r="5923" ht="22.5" customHeight="1">
      <c r="A5923" s="3" t="s">
        <v>5936</v>
      </c>
      <c r="B5923" s="3" t="s">
        <v>5937</v>
      </c>
      <c r="C5923" s="12" t="s">
        <v>5957</v>
      </c>
      <c r="D5923" s="13">
        <v>57769.0</v>
      </c>
      <c r="E5923" s="4">
        <v>45171.0</v>
      </c>
      <c r="F5923" s="4" t="str">
        <f>IF(D5923="","", IFNA(VLOOKUP(D5923, SATCAT_DECAY!A:B, 2, FALSE), ""))
</f>
        <v/>
      </c>
      <c r="G5923" s="3" t="str">
        <f t="shared" si="1"/>
        <v>ACTIVE</v>
      </c>
    </row>
    <row r="5924" ht="22.5" customHeight="1">
      <c r="A5924" s="3" t="s">
        <v>5936</v>
      </c>
      <c r="B5924" s="3" t="s">
        <v>5937</v>
      </c>
      <c r="C5924" s="12" t="s">
        <v>5958</v>
      </c>
      <c r="D5924" s="13">
        <v>57757.0</v>
      </c>
      <c r="E5924" s="4">
        <v>45171.0</v>
      </c>
      <c r="F5924" s="4" t="str">
        <f>IF(D5924="","", IFNA(VLOOKUP(D5924, SATCAT_DECAY!A:B, 2, FALSE), ""))
</f>
        <v/>
      </c>
      <c r="G5924" s="3" t="str">
        <f t="shared" si="1"/>
        <v>ACTIVE</v>
      </c>
    </row>
    <row r="5925" ht="22.5" customHeight="1">
      <c r="A5925" s="3" t="s">
        <v>5936</v>
      </c>
      <c r="B5925" s="3" t="s">
        <v>5937</v>
      </c>
      <c r="C5925" s="12" t="s">
        <v>5959</v>
      </c>
      <c r="D5925" s="13">
        <v>57760.0</v>
      </c>
      <c r="E5925" s="4">
        <v>45171.0</v>
      </c>
      <c r="F5925" s="4" t="str">
        <f>IF(D5925="","", IFNA(VLOOKUP(D5925, SATCAT_DECAY!A:B, 2, FALSE), ""))
</f>
        <v/>
      </c>
      <c r="G5925" s="3" t="str">
        <f t="shared" si="1"/>
        <v>ACTIVE</v>
      </c>
    </row>
    <row r="5926" ht="22.5" customHeight="1">
      <c r="A5926" s="3" t="s">
        <v>5936</v>
      </c>
      <c r="B5926" s="3" t="s">
        <v>5937</v>
      </c>
      <c r="C5926" s="12" t="s">
        <v>5960</v>
      </c>
      <c r="D5926" s="13">
        <v>57762.0</v>
      </c>
      <c r="E5926" s="4">
        <v>45171.0</v>
      </c>
      <c r="F5926" s="4" t="str">
        <f>IF(D5926="","", IFNA(VLOOKUP(D5926, SATCAT_DECAY!A:B, 2, FALSE), ""))
</f>
        <v/>
      </c>
      <c r="G5926" s="3" t="str">
        <f t="shared" si="1"/>
        <v>ACTIVE</v>
      </c>
    </row>
    <row r="5927" ht="22.5" customHeight="1">
      <c r="A5927" s="3" t="s">
        <v>5936</v>
      </c>
      <c r="B5927" s="3" t="s">
        <v>5937</v>
      </c>
      <c r="C5927" s="12" t="s">
        <v>5961</v>
      </c>
      <c r="D5927" s="13">
        <v>58956.0</v>
      </c>
      <c r="E5927" s="4">
        <v>45336.0</v>
      </c>
      <c r="F5927" s="4" t="str">
        <f>IF(D5927="","", IFNA(VLOOKUP(D5927, SATCAT_DECAY!A:B, 2, FALSE), ""))
</f>
        <v/>
      </c>
      <c r="G5927" s="3" t="str">
        <f t="shared" si="1"/>
        <v>ACTIVE</v>
      </c>
    </row>
    <row r="5928" ht="22.5" customHeight="1">
      <c r="A5928" s="3" t="s">
        <v>5936</v>
      </c>
      <c r="B5928" s="3" t="s">
        <v>5937</v>
      </c>
      <c r="C5928" s="12" t="s">
        <v>5962</v>
      </c>
      <c r="D5928" s="13">
        <v>58957.0</v>
      </c>
      <c r="E5928" s="4">
        <v>45336.0</v>
      </c>
      <c r="F5928" s="4" t="str">
        <f>IF(D5928="","", IFNA(VLOOKUP(D5928, SATCAT_DECAY!A:B, 2, FALSE), ""))
</f>
        <v/>
      </c>
      <c r="G5928" s="3" t="str">
        <f t="shared" si="1"/>
        <v>ACTIVE</v>
      </c>
    </row>
    <row r="5929" ht="22.5" customHeight="1">
      <c r="A5929" s="3" t="s">
        <v>5936</v>
      </c>
      <c r="B5929" s="3" t="s">
        <v>5937</v>
      </c>
      <c r="C5929" s="12" t="s">
        <v>5963</v>
      </c>
      <c r="D5929" s="13">
        <v>58958.0</v>
      </c>
      <c r="E5929" s="4">
        <v>45336.0</v>
      </c>
      <c r="F5929" s="4" t="str">
        <f>IF(D5929="","", IFNA(VLOOKUP(D5929, SATCAT_DECAY!A:B, 2, FALSE), ""))
</f>
        <v/>
      </c>
      <c r="G5929" s="3" t="str">
        <f t="shared" si="1"/>
        <v>ACTIVE</v>
      </c>
    </row>
    <row r="5930" ht="22.5" customHeight="1">
      <c r="A5930" s="9" t="s">
        <v>5936</v>
      </c>
      <c r="B5930" s="9" t="s">
        <v>5937</v>
      </c>
      <c r="C5930" s="18" t="s">
        <v>5964</v>
      </c>
      <c r="D5930" s="19">
        <v>58959.0</v>
      </c>
      <c r="E5930" s="10">
        <v>45336.0</v>
      </c>
      <c r="F5930" s="4" t="str">
        <f>IF(D5930="","", IFNA(VLOOKUP(D5930, SATCAT_DECAY!A:B, 2, FALSE), ""))
</f>
        <v/>
      </c>
      <c r="G5930" s="9" t="str">
        <f t="shared" si="1"/>
        <v>ACTIVE</v>
      </c>
    </row>
    <row r="5931" ht="22.5" customHeight="1">
      <c r="A5931" s="3" t="s">
        <v>5965</v>
      </c>
      <c r="B5931" s="3" t="s">
        <v>5937</v>
      </c>
      <c r="C5931" s="12" t="s">
        <v>5966</v>
      </c>
      <c r="D5931" s="13">
        <v>65585.0</v>
      </c>
      <c r="E5931" s="4">
        <v>45910.0</v>
      </c>
      <c r="F5931" s="4" t="str">
        <f>IF(D5931="","", IFNA(VLOOKUP(D5931, SATCAT_DECAY!A:B, 2, FALSE), ""))
</f>
        <v/>
      </c>
      <c r="G5931" s="3" t="str">
        <f t="shared" si="1"/>
        <v>ACTIVE</v>
      </c>
    </row>
    <row r="5932" ht="22.5" customHeight="1">
      <c r="A5932" s="3" t="s">
        <v>5965</v>
      </c>
      <c r="B5932" s="3" t="s">
        <v>5937</v>
      </c>
      <c r="C5932" s="12" t="s">
        <v>5967</v>
      </c>
      <c r="D5932" s="13">
        <v>65565.0</v>
      </c>
      <c r="E5932" s="4">
        <v>45910.0</v>
      </c>
      <c r="F5932" s="4" t="str">
        <f>IF(D5932="","", IFNA(VLOOKUP(D5932, SATCAT_DECAY!A:B, 2, FALSE), ""))
</f>
        <v/>
      </c>
      <c r="G5932" s="3" t="str">
        <f t="shared" si="1"/>
        <v>ACTIVE</v>
      </c>
    </row>
    <row r="5933" ht="22.5" customHeight="1">
      <c r="A5933" s="3" t="s">
        <v>5965</v>
      </c>
      <c r="B5933" s="3" t="s">
        <v>5937</v>
      </c>
      <c r="C5933" s="12" t="s">
        <v>5968</v>
      </c>
      <c r="D5933" s="13">
        <v>65566.0</v>
      </c>
      <c r="E5933" s="4">
        <v>45910.0</v>
      </c>
      <c r="F5933" s="4" t="str">
        <f>IF(D5933="","", IFNA(VLOOKUP(D5933, SATCAT_DECAY!A:B, 2, FALSE), ""))
</f>
        <v/>
      </c>
      <c r="G5933" s="3" t="str">
        <f t="shared" si="1"/>
        <v>ACTIVE</v>
      </c>
    </row>
    <row r="5934" ht="22.5" customHeight="1">
      <c r="A5934" s="3" t="s">
        <v>5965</v>
      </c>
      <c r="B5934" s="3" t="s">
        <v>5937</v>
      </c>
      <c r="C5934" s="12" t="s">
        <v>5969</v>
      </c>
      <c r="D5934" s="13">
        <v>65567.0</v>
      </c>
      <c r="E5934" s="4">
        <v>45910.0</v>
      </c>
      <c r="F5934" s="4" t="str">
        <f>IF(D5934="","", IFNA(VLOOKUP(D5934, SATCAT_DECAY!A:B, 2, FALSE), ""))
</f>
        <v/>
      </c>
      <c r="G5934" s="3" t="str">
        <f t="shared" si="1"/>
        <v>ACTIVE</v>
      </c>
    </row>
    <row r="5935" ht="22.5" customHeight="1">
      <c r="A5935" s="3" t="s">
        <v>5965</v>
      </c>
      <c r="B5935" s="3" t="s">
        <v>5937</v>
      </c>
      <c r="C5935" s="12" t="s">
        <v>5970</v>
      </c>
      <c r="D5935" s="13">
        <v>65568.0</v>
      </c>
      <c r="E5935" s="4">
        <v>45910.0</v>
      </c>
      <c r="F5935" s="4" t="str">
        <f>IF(D5935="","", IFNA(VLOOKUP(D5935, SATCAT_DECAY!A:B, 2, FALSE), ""))
</f>
        <v/>
      </c>
      <c r="G5935" s="3" t="str">
        <f t="shared" si="1"/>
        <v>ACTIVE</v>
      </c>
    </row>
    <row r="5936" ht="22.5" customHeight="1">
      <c r="A5936" s="3" t="s">
        <v>5965</v>
      </c>
      <c r="B5936" s="3" t="s">
        <v>5937</v>
      </c>
      <c r="C5936" s="12" t="s">
        <v>5971</v>
      </c>
      <c r="D5936" s="13">
        <v>65569.0</v>
      </c>
      <c r="E5936" s="4">
        <v>45910.0</v>
      </c>
      <c r="F5936" s="4" t="str">
        <f>IF(D5936="","", IFNA(VLOOKUP(D5936, SATCAT_DECAY!A:B, 2, FALSE), ""))
</f>
        <v/>
      </c>
      <c r="G5936" s="3" t="str">
        <f t="shared" si="1"/>
        <v>ACTIVE</v>
      </c>
    </row>
    <row r="5937" ht="22.5" customHeight="1">
      <c r="A5937" s="3" t="s">
        <v>5965</v>
      </c>
      <c r="B5937" s="3" t="s">
        <v>5937</v>
      </c>
      <c r="C5937" s="12" t="s">
        <v>5972</v>
      </c>
      <c r="D5937" s="13">
        <v>65570.0</v>
      </c>
      <c r="E5937" s="4">
        <v>45910.0</v>
      </c>
      <c r="F5937" s="4" t="str">
        <f>IF(D5937="","", IFNA(VLOOKUP(D5937, SATCAT_DECAY!A:B, 2, FALSE), ""))
</f>
        <v/>
      </c>
      <c r="G5937" s="3" t="str">
        <f t="shared" si="1"/>
        <v>ACTIVE</v>
      </c>
    </row>
    <row r="5938" ht="22.5" customHeight="1">
      <c r="A5938" s="3" t="s">
        <v>5965</v>
      </c>
      <c r="B5938" s="3" t="s">
        <v>5937</v>
      </c>
      <c r="C5938" s="12" t="s">
        <v>5973</v>
      </c>
      <c r="D5938" s="13">
        <v>65571.0</v>
      </c>
      <c r="E5938" s="4">
        <v>45910.0</v>
      </c>
      <c r="F5938" s="4" t="str">
        <f>IF(D5938="","", IFNA(VLOOKUP(D5938, SATCAT_DECAY!A:B, 2, FALSE), ""))
</f>
        <v/>
      </c>
      <c r="G5938" s="3" t="str">
        <f t="shared" si="1"/>
        <v>ACTIVE</v>
      </c>
    </row>
    <row r="5939" ht="22.5" customHeight="1">
      <c r="A5939" s="3" t="s">
        <v>5965</v>
      </c>
      <c r="B5939" s="3" t="s">
        <v>5937</v>
      </c>
      <c r="C5939" s="12" t="s">
        <v>5974</v>
      </c>
      <c r="D5939" s="13">
        <v>65572.0</v>
      </c>
      <c r="E5939" s="4">
        <v>45910.0</v>
      </c>
      <c r="F5939" s="4" t="str">
        <f>IF(D5939="","", IFNA(VLOOKUP(D5939, SATCAT_DECAY!A:B, 2, FALSE), ""))
</f>
        <v/>
      </c>
      <c r="G5939" s="3" t="str">
        <f t="shared" si="1"/>
        <v>ACTIVE</v>
      </c>
    </row>
    <row r="5940" ht="22.5" customHeight="1">
      <c r="A5940" s="3" t="s">
        <v>5965</v>
      </c>
      <c r="B5940" s="3" t="s">
        <v>5937</v>
      </c>
      <c r="C5940" s="12" t="s">
        <v>5975</v>
      </c>
      <c r="D5940" s="13">
        <v>65573.0</v>
      </c>
      <c r="E5940" s="4">
        <v>45910.0</v>
      </c>
      <c r="F5940" s="4" t="str">
        <f>IF(D5940="","", IFNA(VLOOKUP(D5940, SATCAT_DECAY!A:B, 2, FALSE), ""))
</f>
        <v/>
      </c>
      <c r="G5940" s="3" t="str">
        <f t="shared" si="1"/>
        <v>ACTIVE</v>
      </c>
    </row>
    <row r="5941" ht="22.5" customHeight="1">
      <c r="A5941" s="3" t="s">
        <v>5965</v>
      </c>
      <c r="B5941" s="3" t="s">
        <v>5937</v>
      </c>
      <c r="C5941" s="12" t="s">
        <v>5976</v>
      </c>
      <c r="D5941" s="13">
        <v>65574.0</v>
      </c>
      <c r="E5941" s="4">
        <v>45910.0</v>
      </c>
      <c r="F5941" s="4" t="str">
        <f>IF(D5941="","", IFNA(VLOOKUP(D5941, SATCAT_DECAY!A:B, 2, FALSE), ""))
</f>
        <v/>
      </c>
      <c r="G5941" s="3" t="str">
        <f t="shared" si="1"/>
        <v>ACTIVE</v>
      </c>
    </row>
    <row r="5942" ht="22.5" customHeight="1">
      <c r="A5942" s="3" t="s">
        <v>5965</v>
      </c>
      <c r="B5942" s="3" t="s">
        <v>5937</v>
      </c>
      <c r="C5942" s="12" t="s">
        <v>5977</v>
      </c>
      <c r="D5942" s="13">
        <v>65575.0</v>
      </c>
      <c r="E5942" s="4">
        <v>45910.0</v>
      </c>
      <c r="F5942" s="4" t="str">
        <f>IF(D5942="","", IFNA(VLOOKUP(D5942, SATCAT_DECAY!A:B, 2, FALSE), ""))
</f>
        <v/>
      </c>
      <c r="G5942" s="3" t="str">
        <f t="shared" si="1"/>
        <v>ACTIVE</v>
      </c>
    </row>
    <row r="5943" ht="22.5" customHeight="1">
      <c r="A5943" s="3" t="s">
        <v>5965</v>
      </c>
      <c r="B5943" s="3" t="s">
        <v>5937</v>
      </c>
      <c r="C5943" s="12" t="s">
        <v>5978</v>
      </c>
      <c r="D5943" s="13">
        <v>65576.0</v>
      </c>
      <c r="E5943" s="4">
        <v>45910.0</v>
      </c>
      <c r="F5943" s="4" t="str">
        <f>IF(D5943="","", IFNA(VLOOKUP(D5943, SATCAT_DECAY!A:B, 2, FALSE), ""))
</f>
        <v/>
      </c>
      <c r="G5943" s="3" t="str">
        <f t="shared" si="1"/>
        <v>ACTIVE</v>
      </c>
    </row>
    <row r="5944" ht="22.5" customHeight="1">
      <c r="A5944" s="3" t="s">
        <v>5965</v>
      </c>
      <c r="B5944" s="3" t="s">
        <v>5937</v>
      </c>
      <c r="C5944" s="12" t="s">
        <v>5979</v>
      </c>
      <c r="D5944" s="13">
        <v>65577.0</v>
      </c>
      <c r="E5944" s="4">
        <v>45910.0</v>
      </c>
      <c r="F5944" s="4" t="str">
        <f>IF(D5944="","", IFNA(VLOOKUP(D5944, SATCAT_DECAY!A:B, 2, FALSE), ""))
</f>
        <v/>
      </c>
      <c r="G5944" s="3" t="str">
        <f t="shared" si="1"/>
        <v>ACTIVE</v>
      </c>
    </row>
    <row r="5945" ht="22.5" customHeight="1">
      <c r="A5945" s="3" t="s">
        <v>5965</v>
      </c>
      <c r="B5945" s="3" t="s">
        <v>5937</v>
      </c>
      <c r="C5945" s="12" t="s">
        <v>5980</v>
      </c>
      <c r="D5945" s="13">
        <v>65578.0</v>
      </c>
      <c r="E5945" s="4">
        <v>45910.0</v>
      </c>
      <c r="F5945" s="4" t="str">
        <f>IF(D5945="","", IFNA(VLOOKUP(D5945, SATCAT_DECAY!A:B, 2, FALSE), ""))
</f>
        <v/>
      </c>
      <c r="G5945" s="3" t="str">
        <f t="shared" si="1"/>
        <v>ACTIVE</v>
      </c>
    </row>
    <row r="5946" ht="22.5" customHeight="1">
      <c r="A5946" s="3" t="s">
        <v>5965</v>
      </c>
      <c r="B5946" s="3" t="s">
        <v>5937</v>
      </c>
      <c r="C5946" s="12" t="s">
        <v>5981</v>
      </c>
      <c r="D5946" s="13">
        <v>65579.0</v>
      </c>
      <c r="E5946" s="4">
        <v>45910.0</v>
      </c>
      <c r="F5946" s="4" t="str">
        <f>IF(D5946="","", IFNA(VLOOKUP(D5946, SATCAT_DECAY!A:B, 2, FALSE), ""))
</f>
        <v/>
      </c>
      <c r="G5946" s="3" t="str">
        <f t="shared" si="1"/>
        <v>ACTIVE</v>
      </c>
    </row>
    <row r="5947" ht="22.5" customHeight="1">
      <c r="A5947" s="3" t="s">
        <v>5965</v>
      </c>
      <c r="B5947" s="3" t="s">
        <v>5937</v>
      </c>
      <c r="C5947" s="12" t="s">
        <v>5982</v>
      </c>
      <c r="D5947" s="13">
        <v>65580.0</v>
      </c>
      <c r="E5947" s="4">
        <v>45910.0</v>
      </c>
      <c r="F5947" s="4" t="str">
        <f>IF(D5947="","", IFNA(VLOOKUP(D5947, SATCAT_DECAY!A:B, 2, FALSE), ""))
</f>
        <v/>
      </c>
      <c r="G5947" s="3" t="str">
        <f t="shared" si="1"/>
        <v>ACTIVE</v>
      </c>
    </row>
    <row r="5948" ht="22.5" customHeight="1">
      <c r="A5948" s="3" t="s">
        <v>5965</v>
      </c>
      <c r="B5948" s="3" t="s">
        <v>5937</v>
      </c>
      <c r="C5948" s="12" t="s">
        <v>5983</v>
      </c>
      <c r="D5948" s="13">
        <v>65581.0</v>
      </c>
      <c r="E5948" s="4">
        <v>45910.0</v>
      </c>
      <c r="F5948" s="4" t="str">
        <f>IF(D5948="","", IFNA(VLOOKUP(D5948, SATCAT_DECAY!A:B, 2, FALSE), ""))
</f>
        <v/>
      </c>
      <c r="G5948" s="3" t="str">
        <f t="shared" si="1"/>
        <v>ACTIVE</v>
      </c>
    </row>
    <row r="5949" ht="22.5" customHeight="1">
      <c r="A5949" s="3" t="s">
        <v>5965</v>
      </c>
      <c r="B5949" s="3" t="s">
        <v>5937</v>
      </c>
      <c r="C5949" s="12" t="s">
        <v>5984</v>
      </c>
      <c r="D5949" s="13">
        <v>65582.0</v>
      </c>
      <c r="E5949" s="4">
        <v>45910.0</v>
      </c>
      <c r="F5949" s="4" t="str">
        <f>IF(D5949="","", IFNA(VLOOKUP(D5949, SATCAT_DECAY!A:B, 2, FALSE), ""))
</f>
        <v/>
      </c>
      <c r="G5949" s="3" t="str">
        <f t="shared" si="1"/>
        <v>ACTIVE</v>
      </c>
    </row>
    <row r="5950" ht="22.5" customHeight="1">
      <c r="A5950" s="3" t="s">
        <v>5965</v>
      </c>
      <c r="B5950" s="3" t="s">
        <v>5937</v>
      </c>
      <c r="C5950" s="12" t="s">
        <v>5985</v>
      </c>
      <c r="D5950" s="13">
        <v>65583.0</v>
      </c>
      <c r="E5950" s="4">
        <v>45910.0</v>
      </c>
      <c r="F5950" s="4" t="str">
        <f>IF(D5950="","", IFNA(VLOOKUP(D5950, SATCAT_DECAY!A:B, 2, FALSE), ""))
</f>
        <v/>
      </c>
      <c r="G5950" s="3" t="str">
        <f t="shared" si="1"/>
        <v>ACTIVE</v>
      </c>
    </row>
    <row r="5951" ht="22.5" customHeight="1">
      <c r="A5951" s="3" t="s">
        <v>5965</v>
      </c>
      <c r="B5951" s="3" t="s">
        <v>5937</v>
      </c>
      <c r="C5951" s="12" t="s">
        <v>5986</v>
      </c>
      <c r="D5951" s="13">
        <v>65584.0</v>
      </c>
      <c r="E5951" s="4">
        <v>45910.0</v>
      </c>
      <c r="F5951" s="4" t="str">
        <f>IF(D5951="","", IFNA(VLOOKUP(D5951, SATCAT_DECAY!A:B, 2, FALSE), ""))
</f>
        <v/>
      </c>
      <c r="G5951" s="3" t="str">
        <f t="shared" si="1"/>
        <v>ACTIVE</v>
      </c>
    </row>
    <row r="5952" ht="22.5" customHeight="1">
      <c r="A5952" s="3" t="s">
        <v>5987</v>
      </c>
      <c r="B5952" s="3" t="s">
        <v>5937</v>
      </c>
      <c r="C5952" s="3" t="s">
        <v>5988</v>
      </c>
      <c r="D5952" s="13">
        <v>65974.0</v>
      </c>
      <c r="E5952" s="4">
        <v>45945.0</v>
      </c>
      <c r="F5952" s="4" t="str">
        <f>IF(D5952="","", IFNA(VLOOKUP(D5952, SATCAT_DECAY!A:B, 2, FALSE), ""))
</f>
        <v/>
      </c>
      <c r="G5952" s="3" t="str">
        <f t="shared" si="1"/>
        <v>ACTIVE</v>
      </c>
    </row>
    <row r="5953" ht="22.5" customHeight="1">
      <c r="A5953" s="3" t="s">
        <v>5987</v>
      </c>
      <c r="B5953" s="3" t="s">
        <v>5937</v>
      </c>
      <c r="C5953" s="3" t="s">
        <v>5989</v>
      </c>
      <c r="D5953" s="13">
        <v>65975.0</v>
      </c>
      <c r="E5953" s="4">
        <v>45945.0</v>
      </c>
      <c r="F5953" s="4" t="str">
        <f>IF(D5953="","", IFNA(VLOOKUP(D5953, SATCAT_DECAY!A:B, 2, FALSE), ""))
</f>
        <v/>
      </c>
      <c r="G5953" s="3" t="str">
        <f t="shared" si="1"/>
        <v>ACTIVE</v>
      </c>
    </row>
    <row r="5954" ht="22.5" customHeight="1">
      <c r="A5954" s="3" t="s">
        <v>5987</v>
      </c>
      <c r="B5954" s="3" t="s">
        <v>5937</v>
      </c>
      <c r="C5954" s="3" t="s">
        <v>5990</v>
      </c>
      <c r="D5954" s="13">
        <v>65976.0</v>
      </c>
      <c r="E5954" s="4">
        <v>45945.0</v>
      </c>
      <c r="F5954" s="4" t="str">
        <f>IF(D5954="","", IFNA(VLOOKUP(D5954, SATCAT_DECAY!A:B, 2, FALSE), ""))
</f>
        <v/>
      </c>
      <c r="G5954" s="3" t="str">
        <f t="shared" si="1"/>
        <v>ACTIVE</v>
      </c>
    </row>
    <row r="5955" ht="22.5" customHeight="1">
      <c r="A5955" s="3" t="s">
        <v>5987</v>
      </c>
      <c r="B5955" s="3" t="s">
        <v>5937</v>
      </c>
      <c r="C5955" s="3" t="s">
        <v>5991</v>
      </c>
      <c r="D5955" s="13">
        <v>65977.0</v>
      </c>
      <c r="E5955" s="4">
        <v>45945.0</v>
      </c>
      <c r="F5955" s="4" t="str">
        <f>IF(D5955="","", IFNA(VLOOKUP(D5955, SATCAT_DECAY!A:B, 2, FALSE), ""))
</f>
        <v/>
      </c>
      <c r="G5955" s="3" t="str">
        <f t="shared" si="1"/>
        <v>ACTIVE</v>
      </c>
    </row>
    <row r="5956" ht="22.5" customHeight="1">
      <c r="A5956" s="3" t="s">
        <v>5987</v>
      </c>
      <c r="B5956" s="3" t="s">
        <v>5937</v>
      </c>
      <c r="C5956" s="3" t="s">
        <v>5992</v>
      </c>
      <c r="D5956" s="13">
        <v>65978.0</v>
      </c>
      <c r="E5956" s="4">
        <v>45945.0</v>
      </c>
      <c r="F5956" s="4" t="str">
        <f>IF(D5956="","", IFNA(VLOOKUP(D5956, SATCAT_DECAY!A:B, 2, FALSE), ""))
</f>
        <v/>
      </c>
      <c r="G5956" s="3" t="str">
        <f t="shared" si="1"/>
        <v>ACTIVE</v>
      </c>
    </row>
    <row r="5957" ht="22.5" customHeight="1">
      <c r="A5957" s="3" t="s">
        <v>5987</v>
      </c>
      <c r="B5957" s="3" t="s">
        <v>5937</v>
      </c>
      <c r="C5957" s="3" t="s">
        <v>5993</v>
      </c>
      <c r="D5957" s="13">
        <v>65979.0</v>
      </c>
      <c r="E5957" s="4">
        <v>45945.0</v>
      </c>
      <c r="F5957" s="4" t="str">
        <f>IF(D5957="","", IFNA(VLOOKUP(D5957, SATCAT_DECAY!A:B, 2, FALSE), ""))
</f>
        <v/>
      </c>
      <c r="G5957" s="3" t="str">
        <f t="shared" si="1"/>
        <v>ACTIVE</v>
      </c>
    </row>
    <row r="5958" ht="22.5" customHeight="1">
      <c r="A5958" s="3" t="s">
        <v>5987</v>
      </c>
      <c r="B5958" s="3" t="s">
        <v>5937</v>
      </c>
      <c r="C5958" s="3" t="s">
        <v>5994</v>
      </c>
      <c r="D5958" s="13">
        <v>65980.0</v>
      </c>
      <c r="E5958" s="4">
        <v>45945.0</v>
      </c>
      <c r="F5958" s="4" t="str">
        <f>IF(D5958="","", IFNA(VLOOKUP(D5958, SATCAT_DECAY!A:B, 2, FALSE), ""))
</f>
        <v/>
      </c>
      <c r="G5958" s="3" t="str">
        <f t="shared" si="1"/>
        <v>ACTIVE</v>
      </c>
    </row>
    <row r="5959" ht="22.5" customHeight="1">
      <c r="A5959" s="3" t="s">
        <v>5987</v>
      </c>
      <c r="B5959" s="3" t="s">
        <v>5937</v>
      </c>
      <c r="C5959" s="3" t="s">
        <v>5995</v>
      </c>
      <c r="D5959" s="13">
        <v>65981.0</v>
      </c>
      <c r="E5959" s="4">
        <v>45945.0</v>
      </c>
      <c r="F5959" s="4" t="str">
        <f>IF(D5959="","", IFNA(VLOOKUP(D5959, SATCAT_DECAY!A:B, 2, FALSE), ""))
</f>
        <v/>
      </c>
      <c r="G5959" s="3" t="str">
        <f t="shared" si="1"/>
        <v>ACTIVE</v>
      </c>
    </row>
    <row r="5960" ht="22.5" customHeight="1">
      <c r="A5960" s="3" t="s">
        <v>5987</v>
      </c>
      <c r="B5960" s="3" t="s">
        <v>5937</v>
      </c>
      <c r="C5960" s="3" t="s">
        <v>5996</v>
      </c>
      <c r="D5960" s="13">
        <v>65982.0</v>
      </c>
      <c r="E5960" s="4">
        <v>45945.0</v>
      </c>
      <c r="F5960" s="4" t="str">
        <f>IF(D5960="","", IFNA(VLOOKUP(D5960, SATCAT_DECAY!A:B, 2, FALSE), ""))
</f>
        <v/>
      </c>
      <c r="G5960" s="3" t="str">
        <f t="shared" si="1"/>
        <v>ACTIVE</v>
      </c>
    </row>
    <row r="5961" ht="22.5" customHeight="1">
      <c r="A5961" s="3" t="s">
        <v>5987</v>
      </c>
      <c r="B5961" s="3" t="s">
        <v>5937</v>
      </c>
      <c r="C5961" s="3" t="s">
        <v>5997</v>
      </c>
      <c r="D5961" s="13">
        <v>65983.0</v>
      </c>
      <c r="E5961" s="4">
        <v>45945.0</v>
      </c>
      <c r="F5961" s="4" t="str">
        <f>IF(D5961="","", IFNA(VLOOKUP(D5961, SATCAT_DECAY!A:B, 2, FALSE), ""))
</f>
        <v/>
      </c>
      <c r="G5961" s="3" t="str">
        <f t="shared" si="1"/>
        <v>ACTIVE</v>
      </c>
    </row>
    <row r="5962" ht="22.5" customHeight="1">
      <c r="A5962" s="3" t="s">
        <v>5987</v>
      </c>
      <c r="B5962" s="3" t="s">
        <v>5937</v>
      </c>
      <c r="C5962" s="3" t="s">
        <v>5998</v>
      </c>
      <c r="D5962" s="13">
        <v>65984.0</v>
      </c>
      <c r="E5962" s="4">
        <v>45945.0</v>
      </c>
      <c r="F5962" s="4" t="str">
        <f>IF(D5962="","", IFNA(VLOOKUP(D5962, SATCAT_DECAY!A:B, 2, FALSE), ""))
</f>
        <v/>
      </c>
      <c r="G5962" s="3" t="str">
        <f t="shared" si="1"/>
        <v>ACTIVE</v>
      </c>
    </row>
    <row r="5963" ht="22.5" customHeight="1">
      <c r="A5963" s="3" t="s">
        <v>5987</v>
      </c>
      <c r="B5963" s="3" t="s">
        <v>5937</v>
      </c>
      <c r="C5963" s="3" t="s">
        <v>5999</v>
      </c>
      <c r="D5963" s="13">
        <v>65985.0</v>
      </c>
      <c r="E5963" s="4">
        <v>45945.0</v>
      </c>
      <c r="F5963" s="4" t="str">
        <f>IF(D5963="","", IFNA(VLOOKUP(D5963, SATCAT_DECAY!A:B, 2, FALSE), ""))
</f>
        <v/>
      </c>
      <c r="G5963" s="3" t="str">
        <f t="shared" si="1"/>
        <v>ACTIVE</v>
      </c>
    </row>
    <row r="5964" ht="22.5" customHeight="1">
      <c r="A5964" s="3" t="s">
        <v>5987</v>
      </c>
      <c r="B5964" s="3" t="s">
        <v>5937</v>
      </c>
      <c r="C5964" s="3" t="s">
        <v>6000</v>
      </c>
      <c r="D5964" s="13">
        <v>65986.0</v>
      </c>
      <c r="E5964" s="4">
        <v>45945.0</v>
      </c>
      <c r="F5964" s="4" t="str">
        <f>IF(D5964="","", IFNA(VLOOKUP(D5964, SATCAT_DECAY!A:B, 2, FALSE), ""))
</f>
        <v/>
      </c>
      <c r="G5964" s="3" t="str">
        <f t="shared" si="1"/>
        <v>ACTIVE</v>
      </c>
    </row>
    <row r="5965" ht="22.5" customHeight="1">
      <c r="A5965" s="3" t="s">
        <v>5987</v>
      </c>
      <c r="B5965" s="3" t="s">
        <v>5937</v>
      </c>
      <c r="C5965" s="3" t="s">
        <v>6001</v>
      </c>
      <c r="D5965" s="13">
        <v>65987.0</v>
      </c>
      <c r="E5965" s="4">
        <v>45945.0</v>
      </c>
      <c r="F5965" s="4" t="str">
        <f>IF(D5965="","", IFNA(VLOOKUP(D5965, SATCAT_DECAY!A:B, 2, FALSE), ""))
</f>
        <v/>
      </c>
      <c r="G5965" s="3" t="str">
        <f t="shared" si="1"/>
        <v>ACTIVE</v>
      </c>
    </row>
    <row r="5966" ht="22.5" customHeight="1">
      <c r="A5966" s="3" t="s">
        <v>5987</v>
      </c>
      <c r="B5966" s="3" t="s">
        <v>5937</v>
      </c>
      <c r="C5966" s="3" t="s">
        <v>6002</v>
      </c>
      <c r="D5966" s="13">
        <v>65988.0</v>
      </c>
      <c r="E5966" s="4">
        <v>45945.0</v>
      </c>
      <c r="F5966" s="4" t="str">
        <f>IF(D5966="","", IFNA(VLOOKUP(D5966, SATCAT_DECAY!A:B, 2, FALSE), ""))
</f>
        <v/>
      </c>
      <c r="G5966" s="3" t="str">
        <f t="shared" si="1"/>
        <v>ACTIVE</v>
      </c>
    </row>
    <row r="5967" ht="22.5" customHeight="1">
      <c r="A5967" s="3" t="s">
        <v>5987</v>
      </c>
      <c r="B5967" s="3" t="s">
        <v>5937</v>
      </c>
      <c r="C5967" s="3" t="s">
        <v>6003</v>
      </c>
      <c r="D5967" s="13">
        <v>65989.0</v>
      </c>
      <c r="E5967" s="4">
        <v>45945.0</v>
      </c>
      <c r="F5967" s="4" t="str">
        <f>IF(D5967="","", IFNA(VLOOKUP(D5967, SATCAT_DECAY!A:B, 2, FALSE), ""))
</f>
        <v/>
      </c>
      <c r="G5967" s="3" t="str">
        <f t="shared" si="1"/>
        <v>ACTIVE</v>
      </c>
    </row>
    <row r="5968" ht="22.5" customHeight="1">
      <c r="A5968" s="3" t="s">
        <v>5987</v>
      </c>
      <c r="B5968" s="3" t="s">
        <v>5937</v>
      </c>
      <c r="C5968" s="3" t="s">
        <v>6004</v>
      </c>
      <c r="D5968" s="13">
        <v>65990.0</v>
      </c>
      <c r="E5968" s="4">
        <v>45945.0</v>
      </c>
      <c r="F5968" s="4" t="str">
        <f>IF(D5968="","", IFNA(VLOOKUP(D5968, SATCAT_DECAY!A:B, 2, FALSE), ""))
</f>
        <v/>
      </c>
      <c r="G5968" s="3" t="str">
        <f t="shared" si="1"/>
        <v>ACTIVE</v>
      </c>
    </row>
    <row r="5969" ht="22.5" customHeight="1">
      <c r="A5969" s="3" t="s">
        <v>5987</v>
      </c>
      <c r="B5969" s="3" t="s">
        <v>5937</v>
      </c>
      <c r="C5969" s="3" t="s">
        <v>6005</v>
      </c>
      <c r="D5969" s="13">
        <v>65991.0</v>
      </c>
      <c r="E5969" s="4">
        <v>45945.0</v>
      </c>
      <c r="F5969" s="4" t="str">
        <f>IF(D5969="","", IFNA(VLOOKUP(D5969, SATCAT_DECAY!A:B, 2, FALSE), ""))
</f>
        <v/>
      </c>
      <c r="G5969" s="3" t="str">
        <f t="shared" si="1"/>
        <v>ACTIVE</v>
      </c>
    </row>
    <row r="5970" ht="22.5" customHeight="1">
      <c r="A5970" s="3" t="s">
        <v>5987</v>
      </c>
      <c r="B5970" s="3" t="s">
        <v>5937</v>
      </c>
      <c r="C5970" s="3" t="s">
        <v>6006</v>
      </c>
      <c r="D5970" s="13">
        <v>65992.0</v>
      </c>
      <c r="E5970" s="4">
        <v>45945.0</v>
      </c>
      <c r="F5970" s="4" t="str">
        <f>IF(D5970="","", IFNA(VLOOKUP(D5970, SATCAT_DECAY!A:B, 2, FALSE), ""))
</f>
        <v/>
      </c>
      <c r="G5970" s="3" t="str">
        <f t="shared" si="1"/>
        <v>ACTIVE</v>
      </c>
    </row>
    <row r="5971" ht="22.5" customHeight="1">
      <c r="A5971" s="3" t="s">
        <v>5987</v>
      </c>
      <c r="B5971" s="3" t="s">
        <v>5937</v>
      </c>
      <c r="C5971" s="3" t="s">
        <v>6007</v>
      </c>
      <c r="D5971" s="13">
        <v>65993.0</v>
      </c>
      <c r="E5971" s="4">
        <v>45945.0</v>
      </c>
      <c r="F5971" s="4" t="str">
        <f>IF(D5971="","", IFNA(VLOOKUP(D5971, SATCAT_DECAY!A:B, 2, FALSE), ""))
</f>
        <v/>
      </c>
      <c r="G5971" s="3" t="str">
        <f t="shared" si="1"/>
        <v>ACTIVE</v>
      </c>
    </row>
    <row r="5972" ht="22.5" customHeight="1">
      <c r="A5972" s="9" t="s">
        <v>5987</v>
      </c>
      <c r="B5972" s="9" t="s">
        <v>5937</v>
      </c>
      <c r="C5972" s="9" t="s">
        <v>6008</v>
      </c>
      <c r="D5972" s="19">
        <v>65994.0</v>
      </c>
      <c r="E5972" s="10">
        <v>45945.0</v>
      </c>
      <c r="F5972" s="4" t="str">
        <f>IF(D5972="","", IFNA(VLOOKUP(D5972, SATCAT_DECAY!A:B, 2, FALSE), ""))
</f>
        <v/>
      </c>
      <c r="G5972" s="3" t="str">
        <f t="shared" si="1"/>
        <v>ACTIVE</v>
      </c>
    </row>
    <row r="5973" ht="22.5" hidden="1" customHeight="1">
      <c r="A5973" s="3" t="s">
        <v>6009</v>
      </c>
      <c r="B5973" s="3" t="s">
        <v>6010</v>
      </c>
      <c r="C5973" s="12" t="s">
        <v>6011</v>
      </c>
      <c r="D5973" s="13">
        <v>58013.0</v>
      </c>
      <c r="E5973" s="4">
        <v>44932.0</v>
      </c>
      <c r="F5973" s="4" t="str">
        <f>IF(D5973="","", IFNA(VLOOKUP(D5973, SATCAT_DECAY!A:B, 2, FALSE), ""))
</f>
        <v/>
      </c>
      <c r="G5973" s="22" t="s">
        <v>6012</v>
      </c>
    </row>
    <row r="5974" ht="22.5" hidden="1" customHeight="1">
      <c r="A5974" s="3" t="s">
        <v>6009</v>
      </c>
      <c r="B5974" s="3" t="s">
        <v>6010</v>
      </c>
      <c r="C5974" s="12" t="s">
        <v>6013</v>
      </c>
      <c r="D5974" s="13">
        <v>58014.0</v>
      </c>
      <c r="E5974" s="4">
        <v>44932.0</v>
      </c>
      <c r="F5974" s="4" t="str">
        <f>IF(D5974="","", IFNA(VLOOKUP(D5974, SATCAT_DECAY!A:B, 2, FALSE), ""))
</f>
        <v/>
      </c>
      <c r="G5974" s="3" t="s">
        <v>6012</v>
      </c>
    </row>
    <row r="5975" ht="22.5" customHeight="1">
      <c r="A5975" s="3" t="s">
        <v>6009</v>
      </c>
      <c r="B5975" s="3" t="s">
        <v>6010</v>
      </c>
      <c r="C5975" s="12" t="s">
        <v>6014</v>
      </c>
      <c r="D5975" s="13">
        <v>63724.0</v>
      </c>
      <c r="E5975" s="4">
        <v>45775.0</v>
      </c>
      <c r="F5975" s="4" t="str">
        <f>IF(D5975="","", IFNA(VLOOKUP(D5975, SATCAT_DECAY!A:B, 2, FALSE), ""))
</f>
        <v/>
      </c>
      <c r="G5975" s="3" t="str">
        <f t="shared" ref="G5975:G6156" si="2">IF(D5975="","", IF(F5975&lt;&gt;"","DECAYED","ACTIVE"))</f>
        <v>ACTIVE</v>
      </c>
    </row>
    <row r="5976" ht="22.5" customHeight="1">
      <c r="A5976" s="3" t="s">
        <v>6009</v>
      </c>
      <c r="B5976" s="3" t="s">
        <v>6010</v>
      </c>
      <c r="C5976" s="12" t="s">
        <v>6015</v>
      </c>
      <c r="D5976" s="13">
        <v>63725.0</v>
      </c>
      <c r="E5976" s="4">
        <v>45775.0</v>
      </c>
      <c r="F5976" s="4" t="str">
        <f>IF(D5976="","", IFNA(VLOOKUP(D5976, SATCAT_DECAY!A:B, 2, FALSE), ""))
</f>
        <v/>
      </c>
      <c r="G5976" s="3" t="str">
        <f t="shared" si="2"/>
        <v>ACTIVE</v>
      </c>
    </row>
    <row r="5977" ht="22.5" customHeight="1">
      <c r="A5977" s="3" t="s">
        <v>6009</v>
      </c>
      <c r="B5977" s="3" t="s">
        <v>6010</v>
      </c>
      <c r="C5977" s="12" t="s">
        <v>6016</v>
      </c>
      <c r="D5977" s="13">
        <v>63726.0</v>
      </c>
      <c r="E5977" s="4">
        <v>45775.0</v>
      </c>
      <c r="F5977" s="4" t="str">
        <f>IF(D5977="","", IFNA(VLOOKUP(D5977, SATCAT_DECAY!A:B, 2, FALSE), ""))
</f>
        <v/>
      </c>
      <c r="G5977" s="3" t="str">
        <f t="shared" si="2"/>
        <v>ACTIVE</v>
      </c>
    </row>
    <row r="5978" ht="22.5" customHeight="1">
      <c r="A5978" s="3" t="s">
        <v>6009</v>
      </c>
      <c r="B5978" s="3" t="s">
        <v>6010</v>
      </c>
      <c r="C5978" s="12" t="s">
        <v>6017</v>
      </c>
      <c r="D5978" s="13">
        <v>63727.0</v>
      </c>
      <c r="E5978" s="4">
        <v>45775.0</v>
      </c>
      <c r="F5978" s="4" t="str">
        <f>IF(D5978="","", IFNA(VLOOKUP(D5978, SATCAT_DECAY!A:B, 2, FALSE), ""))
</f>
        <v/>
      </c>
      <c r="G5978" s="3" t="str">
        <f t="shared" si="2"/>
        <v>ACTIVE</v>
      </c>
    </row>
    <row r="5979" ht="22.5" customHeight="1">
      <c r="A5979" s="3" t="s">
        <v>6009</v>
      </c>
      <c r="B5979" s="3" t="s">
        <v>6010</v>
      </c>
      <c r="C5979" s="12" t="s">
        <v>6018</v>
      </c>
      <c r="D5979" s="13">
        <v>63728.0</v>
      </c>
      <c r="E5979" s="4">
        <v>45775.0</v>
      </c>
      <c r="F5979" s="4" t="str">
        <f>IF(D5979="","", IFNA(VLOOKUP(D5979, SATCAT_DECAY!A:B, 2, FALSE), ""))
</f>
        <v/>
      </c>
      <c r="G5979" s="3" t="str">
        <f t="shared" si="2"/>
        <v>ACTIVE</v>
      </c>
    </row>
    <row r="5980" ht="22.5" customHeight="1">
      <c r="A5980" s="3" t="s">
        <v>6009</v>
      </c>
      <c r="B5980" s="3" t="s">
        <v>6010</v>
      </c>
      <c r="C5980" s="12" t="s">
        <v>6019</v>
      </c>
      <c r="D5980" s="13">
        <v>63729.0</v>
      </c>
      <c r="E5980" s="4">
        <v>45775.0</v>
      </c>
      <c r="F5980" s="4" t="str">
        <f>IF(D5980="","", IFNA(VLOOKUP(D5980, SATCAT_DECAY!A:B, 2, FALSE), ""))
</f>
        <v/>
      </c>
      <c r="G5980" s="3" t="str">
        <f t="shared" si="2"/>
        <v>ACTIVE</v>
      </c>
    </row>
    <row r="5981" ht="22.5" customHeight="1">
      <c r="A5981" s="3" t="s">
        <v>6009</v>
      </c>
      <c r="B5981" s="3" t="s">
        <v>6010</v>
      </c>
      <c r="C5981" s="12" t="s">
        <v>6020</v>
      </c>
      <c r="D5981" s="13">
        <v>63730.0</v>
      </c>
      <c r="E5981" s="4">
        <v>45775.0</v>
      </c>
      <c r="F5981" s="4" t="str">
        <f>IF(D5981="","", IFNA(VLOOKUP(D5981, SATCAT_DECAY!A:B, 2, FALSE), ""))
</f>
        <v/>
      </c>
      <c r="G5981" s="3" t="str">
        <f t="shared" si="2"/>
        <v>ACTIVE</v>
      </c>
    </row>
    <row r="5982" ht="22.5" customHeight="1">
      <c r="A5982" s="3" t="s">
        <v>6009</v>
      </c>
      <c r="B5982" s="3" t="s">
        <v>6010</v>
      </c>
      <c r="C5982" s="12" t="s">
        <v>6021</v>
      </c>
      <c r="D5982" s="13">
        <v>63731.0</v>
      </c>
      <c r="E5982" s="4">
        <v>45775.0</v>
      </c>
      <c r="F5982" s="4" t="str">
        <f>IF(D5982="","", IFNA(VLOOKUP(D5982, SATCAT_DECAY!A:B, 2, FALSE), ""))
</f>
        <v/>
      </c>
      <c r="G5982" s="3" t="str">
        <f t="shared" si="2"/>
        <v>ACTIVE</v>
      </c>
    </row>
    <row r="5983" ht="22.5" customHeight="1">
      <c r="A5983" s="3" t="s">
        <v>6009</v>
      </c>
      <c r="B5983" s="3" t="s">
        <v>6010</v>
      </c>
      <c r="C5983" s="12" t="s">
        <v>6022</v>
      </c>
      <c r="D5983" s="13">
        <v>63732.0</v>
      </c>
      <c r="E5983" s="4">
        <v>45775.0</v>
      </c>
      <c r="F5983" s="4" t="str">
        <f>IF(D5983="","", IFNA(VLOOKUP(D5983, SATCAT_DECAY!A:B, 2, FALSE), ""))
</f>
        <v/>
      </c>
      <c r="G5983" s="3" t="str">
        <f t="shared" si="2"/>
        <v>ACTIVE</v>
      </c>
    </row>
    <row r="5984" ht="22.5" customHeight="1">
      <c r="A5984" s="3" t="s">
        <v>6009</v>
      </c>
      <c r="B5984" s="3" t="s">
        <v>6010</v>
      </c>
      <c r="C5984" s="12" t="s">
        <v>6023</v>
      </c>
      <c r="D5984" s="13">
        <v>63733.0</v>
      </c>
      <c r="E5984" s="4">
        <v>45775.0</v>
      </c>
      <c r="F5984" s="4" t="str">
        <f>IF(D5984="","", IFNA(VLOOKUP(D5984, SATCAT_DECAY!A:B, 2, FALSE), ""))
</f>
        <v/>
      </c>
      <c r="G5984" s="3" t="str">
        <f t="shared" si="2"/>
        <v>ACTIVE</v>
      </c>
    </row>
    <row r="5985" ht="22.5" customHeight="1">
      <c r="A5985" s="3" t="s">
        <v>6009</v>
      </c>
      <c r="B5985" s="3" t="s">
        <v>6010</v>
      </c>
      <c r="C5985" s="12" t="s">
        <v>6024</v>
      </c>
      <c r="D5985" s="13">
        <v>63734.0</v>
      </c>
      <c r="E5985" s="4">
        <v>45775.0</v>
      </c>
      <c r="F5985" s="4" t="str">
        <f>IF(D5985="","", IFNA(VLOOKUP(D5985, SATCAT_DECAY!A:B, 2, FALSE), ""))
</f>
        <v/>
      </c>
      <c r="G5985" s="3" t="str">
        <f t="shared" si="2"/>
        <v>ACTIVE</v>
      </c>
    </row>
    <row r="5986" ht="22.5" customHeight="1">
      <c r="A5986" s="3" t="s">
        <v>6009</v>
      </c>
      <c r="B5986" s="3" t="s">
        <v>6010</v>
      </c>
      <c r="C5986" s="12" t="s">
        <v>6025</v>
      </c>
      <c r="D5986" s="13">
        <v>63735.0</v>
      </c>
      <c r="E5986" s="4">
        <v>45775.0</v>
      </c>
      <c r="F5986" s="4" t="str">
        <f>IF(D5986="","", IFNA(VLOOKUP(D5986, SATCAT_DECAY!A:B, 2, FALSE), ""))
</f>
        <v/>
      </c>
      <c r="G5986" s="3" t="str">
        <f t="shared" si="2"/>
        <v>ACTIVE</v>
      </c>
    </row>
    <row r="5987" ht="22.5" customHeight="1">
      <c r="A5987" s="3" t="s">
        <v>6009</v>
      </c>
      <c r="B5987" s="3" t="s">
        <v>6010</v>
      </c>
      <c r="C5987" s="12" t="s">
        <v>6026</v>
      </c>
      <c r="D5987" s="13">
        <v>63736.0</v>
      </c>
      <c r="E5987" s="4">
        <v>45775.0</v>
      </c>
      <c r="F5987" s="4" t="str">
        <f>IF(D5987="","", IFNA(VLOOKUP(D5987, SATCAT_DECAY!A:B, 2, FALSE), ""))
</f>
        <v/>
      </c>
      <c r="G5987" s="3" t="str">
        <f t="shared" si="2"/>
        <v>ACTIVE</v>
      </c>
    </row>
    <row r="5988" ht="22.5" customHeight="1">
      <c r="A5988" s="3" t="s">
        <v>6009</v>
      </c>
      <c r="B5988" s="3" t="s">
        <v>6010</v>
      </c>
      <c r="C5988" s="12" t="s">
        <v>6027</v>
      </c>
      <c r="D5988" s="13">
        <v>63737.0</v>
      </c>
      <c r="E5988" s="4">
        <v>45775.0</v>
      </c>
      <c r="F5988" s="4" t="str">
        <f>IF(D5988="","", IFNA(VLOOKUP(D5988, SATCAT_DECAY!A:B, 2, FALSE), ""))
</f>
        <v/>
      </c>
      <c r="G5988" s="3" t="str">
        <f t="shared" si="2"/>
        <v>ACTIVE</v>
      </c>
    </row>
    <row r="5989" ht="22.5" customHeight="1">
      <c r="A5989" s="3" t="s">
        <v>6009</v>
      </c>
      <c r="B5989" s="3" t="s">
        <v>6010</v>
      </c>
      <c r="C5989" s="12" t="s">
        <v>6028</v>
      </c>
      <c r="D5989" s="13">
        <v>63738.0</v>
      </c>
      <c r="E5989" s="4">
        <v>45775.0</v>
      </c>
      <c r="F5989" s="4" t="str">
        <f>IF(D5989="","", IFNA(VLOOKUP(D5989, SATCAT_DECAY!A:B, 2, FALSE), ""))
</f>
        <v/>
      </c>
      <c r="G5989" s="3" t="str">
        <f t="shared" si="2"/>
        <v>ACTIVE</v>
      </c>
    </row>
    <row r="5990" ht="22.5" customHeight="1">
      <c r="A5990" s="3" t="s">
        <v>6009</v>
      </c>
      <c r="B5990" s="3" t="s">
        <v>6010</v>
      </c>
      <c r="C5990" s="12" t="s">
        <v>6029</v>
      </c>
      <c r="D5990" s="13">
        <v>63739.0</v>
      </c>
      <c r="E5990" s="4">
        <v>45775.0</v>
      </c>
      <c r="F5990" s="4" t="str">
        <f>IF(D5990="","", IFNA(VLOOKUP(D5990, SATCAT_DECAY!A:B, 2, FALSE), ""))
</f>
        <v/>
      </c>
      <c r="G5990" s="3" t="str">
        <f t="shared" si="2"/>
        <v>ACTIVE</v>
      </c>
    </row>
    <row r="5991" ht="22.5" customHeight="1">
      <c r="A5991" s="3" t="s">
        <v>6009</v>
      </c>
      <c r="B5991" s="3" t="s">
        <v>6010</v>
      </c>
      <c r="C5991" s="12" t="s">
        <v>6030</v>
      </c>
      <c r="D5991" s="13">
        <v>63740.0</v>
      </c>
      <c r="E5991" s="4">
        <v>45775.0</v>
      </c>
      <c r="F5991" s="4" t="str">
        <f>IF(D5991="","", IFNA(VLOOKUP(D5991, SATCAT_DECAY!A:B, 2, FALSE), ""))
</f>
        <v/>
      </c>
      <c r="G5991" s="3" t="str">
        <f t="shared" si="2"/>
        <v>ACTIVE</v>
      </c>
    </row>
    <row r="5992" ht="22.5" customHeight="1">
      <c r="A5992" s="3" t="s">
        <v>6009</v>
      </c>
      <c r="B5992" s="3" t="s">
        <v>6010</v>
      </c>
      <c r="C5992" s="12" t="s">
        <v>6031</v>
      </c>
      <c r="D5992" s="13">
        <v>63741.0</v>
      </c>
      <c r="E5992" s="4">
        <v>45775.0</v>
      </c>
      <c r="F5992" s="4" t="str">
        <f>IF(D5992="","", IFNA(VLOOKUP(D5992, SATCAT_DECAY!A:B, 2, FALSE), ""))
</f>
        <v/>
      </c>
      <c r="G5992" s="3" t="str">
        <f t="shared" si="2"/>
        <v>ACTIVE</v>
      </c>
    </row>
    <row r="5993" ht="22.5" customHeight="1">
      <c r="A5993" s="3" t="s">
        <v>6009</v>
      </c>
      <c r="B5993" s="3" t="s">
        <v>6010</v>
      </c>
      <c r="C5993" s="12" t="s">
        <v>6032</v>
      </c>
      <c r="D5993" s="13">
        <v>63742.0</v>
      </c>
      <c r="E5993" s="4">
        <v>45775.0</v>
      </c>
      <c r="F5993" s="4" t="str">
        <f>IF(D5993="","", IFNA(VLOOKUP(D5993, SATCAT_DECAY!A:B, 2, FALSE), ""))
</f>
        <v/>
      </c>
      <c r="G5993" s="3" t="str">
        <f t="shared" si="2"/>
        <v>ACTIVE</v>
      </c>
    </row>
    <row r="5994" ht="22.5" customHeight="1">
      <c r="A5994" s="3" t="s">
        <v>6009</v>
      </c>
      <c r="B5994" s="3" t="s">
        <v>6010</v>
      </c>
      <c r="C5994" s="12" t="s">
        <v>6033</v>
      </c>
      <c r="D5994" s="13">
        <v>63743.0</v>
      </c>
      <c r="E5994" s="4">
        <v>45775.0</v>
      </c>
      <c r="F5994" s="4" t="str">
        <f>IF(D5994="","", IFNA(VLOOKUP(D5994, SATCAT_DECAY!A:B, 2, FALSE), ""))
</f>
        <v/>
      </c>
      <c r="G5994" s="3" t="str">
        <f t="shared" si="2"/>
        <v>ACTIVE</v>
      </c>
    </row>
    <row r="5995" ht="22.5" customHeight="1">
      <c r="A5995" s="3" t="s">
        <v>6009</v>
      </c>
      <c r="B5995" s="3" t="s">
        <v>6010</v>
      </c>
      <c r="C5995" s="12" t="s">
        <v>6034</v>
      </c>
      <c r="D5995" s="13">
        <v>63744.0</v>
      </c>
      <c r="E5995" s="4">
        <v>45775.0</v>
      </c>
      <c r="F5995" s="4" t="str">
        <f>IF(D5995="","", IFNA(VLOOKUP(D5995, SATCAT_DECAY!A:B, 2, FALSE), ""))
</f>
        <v/>
      </c>
      <c r="G5995" s="3" t="str">
        <f t="shared" si="2"/>
        <v>ACTIVE</v>
      </c>
    </row>
    <row r="5996" ht="22.5" customHeight="1">
      <c r="A5996" s="3" t="s">
        <v>6009</v>
      </c>
      <c r="B5996" s="3" t="s">
        <v>6010</v>
      </c>
      <c r="C5996" s="12" t="s">
        <v>6035</v>
      </c>
      <c r="D5996" s="13">
        <v>63745.0</v>
      </c>
      <c r="E5996" s="4">
        <v>45775.0</v>
      </c>
      <c r="F5996" s="4" t="str">
        <f>IF(D5996="","", IFNA(VLOOKUP(D5996, SATCAT_DECAY!A:B, 2, FALSE), ""))
</f>
        <v/>
      </c>
      <c r="G5996" s="3" t="str">
        <f t="shared" si="2"/>
        <v>ACTIVE</v>
      </c>
    </row>
    <row r="5997" ht="22.5" customHeight="1">
      <c r="A5997" s="3" t="s">
        <v>6009</v>
      </c>
      <c r="B5997" s="3" t="s">
        <v>6010</v>
      </c>
      <c r="C5997" s="12" t="s">
        <v>6036</v>
      </c>
      <c r="D5997" s="13">
        <v>63746.0</v>
      </c>
      <c r="E5997" s="4">
        <v>45775.0</v>
      </c>
      <c r="F5997" s="4" t="str">
        <f>IF(D5997="","", IFNA(VLOOKUP(D5997, SATCAT_DECAY!A:B, 2, FALSE), ""))
</f>
        <v/>
      </c>
      <c r="G5997" s="3" t="str">
        <f t="shared" si="2"/>
        <v>ACTIVE</v>
      </c>
    </row>
    <row r="5998" ht="22.5" customHeight="1">
      <c r="A5998" s="3" t="s">
        <v>6009</v>
      </c>
      <c r="B5998" s="3" t="s">
        <v>6010</v>
      </c>
      <c r="C5998" s="12" t="s">
        <v>6037</v>
      </c>
      <c r="D5998" s="13">
        <v>63747.0</v>
      </c>
      <c r="E5998" s="4">
        <v>45775.0</v>
      </c>
      <c r="F5998" s="4" t="str">
        <f>IF(D5998="","", IFNA(VLOOKUP(D5998, SATCAT_DECAY!A:B, 2, FALSE), ""))
</f>
        <v/>
      </c>
      <c r="G5998" s="3" t="str">
        <f t="shared" si="2"/>
        <v>ACTIVE</v>
      </c>
    </row>
    <row r="5999" ht="22.5" customHeight="1">
      <c r="A5999" s="3" t="s">
        <v>6009</v>
      </c>
      <c r="B5999" s="3" t="s">
        <v>6010</v>
      </c>
      <c r="C5999" s="12" t="s">
        <v>6038</v>
      </c>
      <c r="D5999" s="13">
        <v>63748.0</v>
      </c>
      <c r="E5999" s="4">
        <v>45775.0</v>
      </c>
      <c r="F5999" s="4" t="str">
        <f>IF(D5999="","", IFNA(VLOOKUP(D5999, SATCAT_DECAY!A:B, 2, FALSE), ""))
</f>
        <v/>
      </c>
      <c r="G5999" s="3" t="str">
        <f t="shared" si="2"/>
        <v>ACTIVE</v>
      </c>
    </row>
    <row r="6000" ht="22.5" customHeight="1">
      <c r="A6000" s="3" t="s">
        <v>6009</v>
      </c>
      <c r="B6000" s="3" t="s">
        <v>6010</v>
      </c>
      <c r="C6000" s="12" t="s">
        <v>6039</v>
      </c>
      <c r="D6000" s="13">
        <v>63749.0</v>
      </c>
      <c r="E6000" s="4">
        <v>45775.0</v>
      </c>
      <c r="F6000" s="4" t="str">
        <f>IF(D6000="","", IFNA(VLOOKUP(D6000, SATCAT_DECAY!A:B, 2, FALSE), ""))
</f>
        <v/>
      </c>
      <c r="G6000" s="3" t="str">
        <f t="shared" si="2"/>
        <v>ACTIVE</v>
      </c>
    </row>
    <row r="6001" ht="22.5" customHeight="1">
      <c r="A6001" s="3" t="s">
        <v>6009</v>
      </c>
      <c r="B6001" s="3" t="s">
        <v>6010</v>
      </c>
      <c r="C6001" s="12" t="s">
        <v>6040</v>
      </c>
      <c r="D6001" s="13">
        <v>63750.0</v>
      </c>
      <c r="E6001" s="4">
        <v>45775.0</v>
      </c>
      <c r="F6001" s="4" t="str">
        <f>IF(D6001="","", IFNA(VLOOKUP(D6001, SATCAT_DECAY!A:B, 2, FALSE), ""))
</f>
        <v/>
      </c>
      <c r="G6001" s="3" t="str">
        <f t="shared" si="2"/>
        <v>ACTIVE</v>
      </c>
    </row>
    <row r="6002" ht="22.5" customHeight="1">
      <c r="A6002" s="3" t="s">
        <v>6009</v>
      </c>
      <c r="B6002" s="3" t="s">
        <v>6010</v>
      </c>
      <c r="C6002" s="12" t="s">
        <v>6041</v>
      </c>
      <c r="D6002" s="13">
        <v>64500.0</v>
      </c>
      <c r="E6002" s="4">
        <v>45831.0</v>
      </c>
      <c r="F6002" s="4" t="str">
        <f>IF(D6002="","", IFNA(VLOOKUP(D6002, SATCAT_DECAY!A:B, 2, FALSE), ""))
</f>
        <v/>
      </c>
      <c r="G6002" s="3" t="str">
        <f t="shared" si="2"/>
        <v>ACTIVE</v>
      </c>
    </row>
    <row r="6003" ht="22.5" customHeight="1">
      <c r="A6003" s="3" t="s">
        <v>6009</v>
      </c>
      <c r="B6003" s="3" t="s">
        <v>6010</v>
      </c>
      <c r="C6003" s="12" t="s">
        <v>6042</v>
      </c>
      <c r="D6003" s="13">
        <v>64501.0</v>
      </c>
      <c r="E6003" s="4">
        <v>45831.0</v>
      </c>
      <c r="F6003" s="4" t="str">
        <f>IF(D6003="","", IFNA(VLOOKUP(D6003, SATCAT_DECAY!A:B, 2, FALSE), ""))
</f>
        <v/>
      </c>
      <c r="G6003" s="3" t="str">
        <f t="shared" si="2"/>
        <v>ACTIVE</v>
      </c>
    </row>
    <row r="6004" ht="22.5" customHeight="1">
      <c r="A6004" s="3" t="s">
        <v>6009</v>
      </c>
      <c r="B6004" s="3" t="s">
        <v>6010</v>
      </c>
      <c r="C6004" s="12" t="s">
        <v>6043</v>
      </c>
      <c r="D6004" s="13">
        <v>64502.0</v>
      </c>
      <c r="E6004" s="4">
        <v>45831.0</v>
      </c>
      <c r="F6004" s="4" t="str">
        <f>IF(D6004="","", IFNA(VLOOKUP(D6004, SATCAT_DECAY!A:B, 2, FALSE), ""))
</f>
        <v/>
      </c>
      <c r="G6004" s="3" t="str">
        <f t="shared" si="2"/>
        <v>ACTIVE</v>
      </c>
    </row>
    <row r="6005" ht="22.5" customHeight="1">
      <c r="A6005" s="3" t="s">
        <v>6009</v>
      </c>
      <c r="B6005" s="3" t="s">
        <v>6010</v>
      </c>
      <c r="C6005" s="12" t="s">
        <v>6044</v>
      </c>
      <c r="D6005" s="13">
        <v>64503.0</v>
      </c>
      <c r="E6005" s="4">
        <v>45831.0</v>
      </c>
      <c r="F6005" s="4" t="str">
        <f>IF(D6005="","", IFNA(VLOOKUP(D6005, SATCAT_DECAY!A:B, 2, FALSE), ""))
</f>
        <v/>
      </c>
      <c r="G6005" s="3" t="str">
        <f t="shared" si="2"/>
        <v>ACTIVE</v>
      </c>
    </row>
    <row r="6006" ht="22.5" customHeight="1">
      <c r="A6006" s="3" t="s">
        <v>6009</v>
      </c>
      <c r="B6006" s="3" t="s">
        <v>6010</v>
      </c>
      <c r="C6006" s="12" t="s">
        <v>6045</v>
      </c>
      <c r="D6006" s="13">
        <v>64504.0</v>
      </c>
      <c r="E6006" s="4">
        <v>45831.0</v>
      </c>
      <c r="F6006" s="4" t="str">
        <f>IF(D6006="","", IFNA(VLOOKUP(D6006, SATCAT_DECAY!A:B, 2, FALSE), ""))
</f>
        <v/>
      </c>
      <c r="G6006" s="3" t="str">
        <f t="shared" si="2"/>
        <v>ACTIVE</v>
      </c>
    </row>
    <row r="6007" ht="22.5" customHeight="1">
      <c r="A6007" s="3" t="s">
        <v>6009</v>
      </c>
      <c r="B6007" s="3" t="s">
        <v>6010</v>
      </c>
      <c r="C6007" s="12" t="s">
        <v>6046</v>
      </c>
      <c r="D6007" s="13">
        <v>64505.0</v>
      </c>
      <c r="E6007" s="4">
        <v>45831.0</v>
      </c>
      <c r="F6007" s="4" t="str">
        <f>IF(D6007="","", IFNA(VLOOKUP(D6007, SATCAT_DECAY!A:B, 2, FALSE), ""))
</f>
        <v/>
      </c>
      <c r="G6007" s="3" t="str">
        <f t="shared" si="2"/>
        <v>ACTIVE</v>
      </c>
    </row>
    <row r="6008" ht="22.5" customHeight="1">
      <c r="A6008" s="3" t="s">
        <v>6009</v>
      </c>
      <c r="B6008" s="3" t="s">
        <v>6010</v>
      </c>
      <c r="C6008" s="12" t="s">
        <v>6047</v>
      </c>
      <c r="D6008" s="13">
        <v>64506.0</v>
      </c>
      <c r="E6008" s="4">
        <v>45831.0</v>
      </c>
      <c r="F6008" s="4" t="str">
        <f>IF(D6008="","", IFNA(VLOOKUP(D6008, SATCAT_DECAY!A:B, 2, FALSE), ""))
</f>
        <v/>
      </c>
      <c r="G6008" s="3" t="str">
        <f t="shared" si="2"/>
        <v>ACTIVE</v>
      </c>
    </row>
    <row r="6009" ht="22.5" customHeight="1">
      <c r="A6009" s="3" t="s">
        <v>6009</v>
      </c>
      <c r="B6009" s="3" t="s">
        <v>6010</v>
      </c>
      <c r="C6009" s="12" t="s">
        <v>6048</v>
      </c>
      <c r="D6009" s="13">
        <v>64507.0</v>
      </c>
      <c r="E6009" s="4">
        <v>45831.0</v>
      </c>
      <c r="F6009" s="4" t="str">
        <f>IF(D6009="","", IFNA(VLOOKUP(D6009, SATCAT_DECAY!A:B, 2, FALSE), ""))
</f>
        <v/>
      </c>
      <c r="G6009" s="3" t="str">
        <f t="shared" si="2"/>
        <v>ACTIVE</v>
      </c>
    </row>
    <row r="6010" ht="22.5" customHeight="1">
      <c r="A6010" s="3" t="s">
        <v>6009</v>
      </c>
      <c r="B6010" s="3" t="s">
        <v>6010</v>
      </c>
      <c r="C6010" s="12" t="s">
        <v>6049</v>
      </c>
      <c r="D6010" s="13">
        <v>64508.0</v>
      </c>
      <c r="E6010" s="4">
        <v>45831.0</v>
      </c>
      <c r="F6010" s="4" t="str">
        <f>IF(D6010="","", IFNA(VLOOKUP(D6010, SATCAT_DECAY!A:B, 2, FALSE), ""))
</f>
        <v/>
      </c>
      <c r="G6010" s="3" t="str">
        <f t="shared" si="2"/>
        <v>ACTIVE</v>
      </c>
    </row>
    <row r="6011" ht="22.5" customHeight="1">
      <c r="A6011" s="3" t="s">
        <v>6009</v>
      </c>
      <c r="B6011" s="3" t="s">
        <v>6010</v>
      </c>
      <c r="C6011" s="12" t="s">
        <v>6050</v>
      </c>
      <c r="D6011" s="13">
        <v>64509.0</v>
      </c>
      <c r="E6011" s="4">
        <v>45831.0</v>
      </c>
      <c r="F6011" s="4" t="str">
        <f>IF(D6011="","", IFNA(VLOOKUP(D6011, SATCAT_DECAY!A:B, 2, FALSE), ""))
</f>
        <v/>
      </c>
      <c r="G6011" s="3" t="str">
        <f t="shared" si="2"/>
        <v>ACTIVE</v>
      </c>
    </row>
    <row r="6012" ht="22.5" customHeight="1">
      <c r="A6012" s="3" t="s">
        <v>6009</v>
      </c>
      <c r="B6012" s="3" t="s">
        <v>6010</v>
      </c>
      <c r="C6012" s="12" t="s">
        <v>6051</v>
      </c>
      <c r="D6012" s="13">
        <v>64510.0</v>
      </c>
      <c r="E6012" s="4">
        <v>45831.0</v>
      </c>
      <c r="F6012" s="4" t="str">
        <f>IF(D6012="","", IFNA(VLOOKUP(D6012, SATCAT_DECAY!A:B, 2, FALSE), ""))
</f>
        <v/>
      </c>
      <c r="G6012" s="3" t="str">
        <f t="shared" si="2"/>
        <v>ACTIVE</v>
      </c>
    </row>
    <row r="6013" ht="22.5" customHeight="1">
      <c r="A6013" s="3" t="s">
        <v>6009</v>
      </c>
      <c r="B6013" s="3" t="s">
        <v>6010</v>
      </c>
      <c r="C6013" s="12" t="s">
        <v>6052</v>
      </c>
      <c r="D6013" s="13">
        <v>64511.0</v>
      </c>
      <c r="E6013" s="4">
        <v>45831.0</v>
      </c>
      <c r="F6013" s="4" t="str">
        <f>IF(D6013="","", IFNA(VLOOKUP(D6013, SATCAT_DECAY!A:B, 2, FALSE), ""))
</f>
        <v/>
      </c>
      <c r="G6013" s="3" t="str">
        <f t="shared" si="2"/>
        <v>ACTIVE</v>
      </c>
    </row>
    <row r="6014" ht="22.5" customHeight="1">
      <c r="A6014" s="3" t="s">
        <v>6009</v>
      </c>
      <c r="B6014" s="3" t="s">
        <v>6010</v>
      </c>
      <c r="C6014" s="12" t="s">
        <v>6053</v>
      </c>
      <c r="D6014" s="13">
        <v>64512.0</v>
      </c>
      <c r="E6014" s="4">
        <v>45831.0</v>
      </c>
      <c r="F6014" s="4" t="str">
        <f>IF(D6014="","", IFNA(VLOOKUP(D6014, SATCAT_DECAY!A:B, 2, FALSE), ""))
</f>
        <v/>
      </c>
      <c r="G6014" s="3" t="str">
        <f t="shared" si="2"/>
        <v>ACTIVE</v>
      </c>
    </row>
    <row r="6015" ht="22.5" customHeight="1">
      <c r="A6015" s="3" t="s">
        <v>6009</v>
      </c>
      <c r="B6015" s="3" t="s">
        <v>6010</v>
      </c>
      <c r="C6015" s="12" t="s">
        <v>6054</v>
      </c>
      <c r="D6015" s="13">
        <v>64513.0</v>
      </c>
      <c r="E6015" s="4">
        <v>45831.0</v>
      </c>
      <c r="F6015" s="4" t="str">
        <f>IF(D6015="","", IFNA(VLOOKUP(D6015, SATCAT_DECAY!A:B, 2, FALSE), ""))
</f>
        <v/>
      </c>
      <c r="G6015" s="3" t="str">
        <f t="shared" si="2"/>
        <v>ACTIVE</v>
      </c>
    </row>
    <row r="6016" ht="22.5" customHeight="1">
      <c r="A6016" s="3" t="s">
        <v>6009</v>
      </c>
      <c r="B6016" s="3" t="s">
        <v>6010</v>
      </c>
      <c r="C6016" s="12" t="s">
        <v>6055</v>
      </c>
      <c r="D6016" s="13">
        <v>64514.0</v>
      </c>
      <c r="E6016" s="4">
        <v>45831.0</v>
      </c>
      <c r="F6016" s="4" t="str">
        <f>IF(D6016="","", IFNA(VLOOKUP(D6016, SATCAT_DECAY!A:B, 2, FALSE), ""))
</f>
        <v/>
      </c>
      <c r="G6016" s="3" t="str">
        <f t="shared" si="2"/>
        <v>ACTIVE</v>
      </c>
    </row>
    <row r="6017" ht="22.5" customHeight="1">
      <c r="A6017" s="3" t="s">
        <v>6009</v>
      </c>
      <c r="B6017" s="3" t="s">
        <v>6010</v>
      </c>
      <c r="C6017" s="12" t="s">
        <v>6056</v>
      </c>
      <c r="D6017" s="13">
        <v>64515.0</v>
      </c>
      <c r="E6017" s="4">
        <v>45831.0</v>
      </c>
      <c r="F6017" s="4" t="str">
        <f>IF(D6017="","", IFNA(VLOOKUP(D6017, SATCAT_DECAY!A:B, 2, FALSE), ""))
</f>
        <v/>
      </c>
      <c r="G6017" s="3" t="str">
        <f t="shared" si="2"/>
        <v>ACTIVE</v>
      </c>
    </row>
    <row r="6018" ht="22.5" customHeight="1">
      <c r="A6018" s="3" t="s">
        <v>6009</v>
      </c>
      <c r="B6018" s="3" t="s">
        <v>6010</v>
      </c>
      <c r="C6018" s="12" t="s">
        <v>6057</v>
      </c>
      <c r="D6018" s="13">
        <v>64516.0</v>
      </c>
      <c r="E6018" s="4">
        <v>45831.0</v>
      </c>
      <c r="F6018" s="4" t="str">
        <f>IF(D6018="","", IFNA(VLOOKUP(D6018, SATCAT_DECAY!A:B, 2, FALSE), ""))
</f>
        <v/>
      </c>
      <c r="G6018" s="3" t="str">
        <f t="shared" si="2"/>
        <v>ACTIVE</v>
      </c>
    </row>
    <row r="6019" ht="22.5" customHeight="1">
      <c r="A6019" s="3" t="s">
        <v>6009</v>
      </c>
      <c r="B6019" s="3" t="s">
        <v>6010</v>
      </c>
      <c r="C6019" s="12" t="s">
        <v>6058</v>
      </c>
      <c r="D6019" s="13">
        <v>64517.0</v>
      </c>
      <c r="E6019" s="4">
        <v>45831.0</v>
      </c>
      <c r="F6019" s="4" t="str">
        <f>IF(D6019="","", IFNA(VLOOKUP(D6019, SATCAT_DECAY!A:B, 2, FALSE), ""))
</f>
        <v/>
      </c>
      <c r="G6019" s="3" t="str">
        <f t="shared" si="2"/>
        <v>ACTIVE</v>
      </c>
    </row>
    <row r="6020" ht="22.5" customHeight="1">
      <c r="A6020" s="3" t="s">
        <v>6009</v>
      </c>
      <c r="B6020" s="3" t="s">
        <v>6010</v>
      </c>
      <c r="C6020" s="12" t="s">
        <v>6059</v>
      </c>
      <c r="D6020" s="13">
        <v>64518.0</v>
      </c>
      <c r="E6020" s="4">
        <v>45831.0</v>
      </c>
      <c r="F6020" s="4" t="str">
        <f>IF(D6020="","", IFNA(VLOOKUP(D6020, SATCAT_DECAY!A:B, 2, FALSE), ""))
</f>
        <v/>
      </c>
      <c r="G6020" s="3" t="str">
        <f t="shared" si="2"/>
        <v>ACTIVE</v>
      </c>
    </row>
    <row r="6021" ht="22.5" customHeight="1">
      <c r="A6021" s="3" t="s">
        <v>6009</v>
      </c>
      <c r="B6021" s="3" t="s">
        <v>6010</v>
      </c>
      <c r="C6021" s="12" t="s">
        <v>6060</v>
      </c>
      <c r="D6021" s="13">
        <v>64519.0</v>
      </c>
      <c r="E6021" s="4">
        <v>45831.0</v>
      </c>
      <c r="F6021" s="4" t="str">
        <f>IF(D6021="","", IFNA(VLOOKUP(D6021, SATCAT_DECAY!A:B, 2, FALSE), ""))
</f>
        <v/>
      </c>
      <c r="G6021" s="3" t="str">
        <f t="shared" si="2"/>
        <v>ACTIVE</v>
      </c>
    </row>
    <row r="6022" ht="22.5" customHeight="1">
      <c r="A6022" s="3" t="s">
        <v>6009</v>
      </c>
      <c r="B6022" s="3" t="s">
        <v>6010</v>
      </c>
      <c r="C6022" s="12" t="s">
        <v>6061</v>
      </c>
      <c r="D6022" s="13">
        <v>64520.0</v>
      </c>
      <c r="E6022" s="4">
        <v>45831.0</v>
      </c>
      <c r="F6022" s="4" t="str">
        <f>IF(D6022="","", IFNA(VLOOKUP(D6022, SATCAT_DECAY!A:B, 2, FALSE), ""))
</f>
        <v/>
      </c>
      <c r="G6022" s="3" t="str">
        <f t="shared" si="2"/>
        <v>ACTIVE</v>
      </c>
    </row>
    <row r="6023" ht="22.5" customHeight="1">
      <c r="A6023" s="3" t="s">
        <v>6009</v>
      </c>
      <c r="B6023" s="3" t="s">
        <v>6010</v>
      </c>
      <c r="C6023" s="12" t="s">
        <v>6062</v>
      </c>
      <c r="D6023" s="13">
        <v>64521.0</v>
      </c>
      <c r="E6023" s="4">
        <v>45831.0</v>
      </c>
      <c r="F6023" s="4" t="str">
        <f>IF(D6023="","", IFNA(VLOOKUP(D6023, SATCAT_DECAY!A:B, 2, FALSE), ""))
</f>
        <v/>
      </c>
      <c r="G6023" s="3" t="str">
        <f t="shared" si="2"/>
        <v>ACTIVE</v>
      </c>
    </row>
    <row r="6024" ht="22.5" customHeight="1">
      <c r="A6024" s="3" t="s">
        <v>6009</v>
      </c>
      <c r="B6024" s="3" t="s">
        <v>6010</v>
      </c>
      <c r="C6024" s="12" t="s">
        <v>6063</v>
      </c>
      <c r="D6024" s="13">
        <v>64522.0</v>
      </c>
      <c r="E6024" s="4">
        <v>45831.0</v>
      </c>
      <c r="F6024" s="4" t="str">
        <f>IF(D6024="","", IFNA(VLOOKUP(D6024, SATCAT_DECAY!A:B, 2, FALSE), ""))
</f>
        <v/>
      </c>
      <c r="G6024" s="3" t="str">
        <f t="shared" si="2"/>
        <v>ACTIVE</v>
      </c>
    </row>
    <row r="6025" ht="22.5" customHeight="1">
      <c r="A6025" s="3" t="s">
        <v>6009</v>
      </c>
      <c r="B6025" s="3" t="s">
        <v>6010</v>
      </c>
      <c r="C6025" s="12" t="s">
        <v>6064</v>
      </c>
      <c r="D6025" s="13">
        <v>64523.0</v>
      </c>
      <c r="E6025" s="4">
        <v>45831.0</v>
      </c>
      <c r="F6025" s="4" t="str">
        <f>IF(D6025="","", IFNA(VLOOKUP(D6025, SATCAT_DECAY!A:B, 2, FALSE), ""))
</f>
        <v/>
      </c>
      <c r="G6025" s="3" t="str">
        <f t="shared" si="2"/>
        <v>ACTIVE</v>
      </c>
    </row>
    <row r="6026" ht="22.5" customHeight="1">
      <c r="A6026" s="3" t="s">
        <v>6009</v>
      </c>
      <c r="B6026" s="3" t="s">
        <v>6010</v>
      </c>
      <c r="C6026" s="12" t="s">
        <v>6065</v>
      </c>
      <c r="D6026" s="13">
        <v>64524.0</v>
      </c>
      <c r="E6026" s="4">
        <v>45831.0</v>
      </c>
      <c r="F6026" s="4" t="str">
        <f>IF(D6026="","", IFNA(VLOOKUP(D6026, SATCAT_DECAY!A:B, 2, FALSE), ""))
</f>
        <v/>
      </c>
      <c r="G6026" s="3" t="str">
        <f t="shared" si="2"/>
        <v>ACTIVE</v>
      </c>
    </row>
    <row r="6027" ht="22.5" customHeight="1">
      <c r="A6027" s="3" t="s">
        <v>6009</v>
      </c>
      <c r="B6027" s="3" t="s">
        <v>6010</v>
      </c>
      <c r="C6027" s="12" t="s">
        <v>6066</v>
      </c>
      <c r="D6027" s="13">
        <v>64525.0</v>
      </c>
      <c r="E6027" s="4">
        <v>45831.0</v>
      </c>
      <c r="F6027" s="4" t="str">
        <f>IF(D6027="","", IFNA(VLOOKUP(D6027, SATCAT_DECAY!A:B, 2, FALSE), ""))
</f>
        <v/>
      </c>
      <c r="G6027" s="3" t="str">
        <f t="shared" si="2"/>
        <v>ACTIVE</v>
      </c>
    </row>
    <row r="6028" ht="22.5" customHeight="1">
      <c r="A6028" s="3" t="s">
        <v>6009</v>
      </c>
      <c r="B6028" s="3" t="s">
        <v>6010</v>
      </c>
      <c r="C6028" s="12" t="s">
        <v>6067</v>
      </c>
      <c r="D6028" s="13">
        <v>64526.0</v>
      </c>
      <c r="E6028" s="4">
        <v>45831.0</v>
      </c>
      <c r="F6028" s="4" t="str">
        <f>IF(D6028="","", IFNA(VLOOKUP(D6028, SATCAT_DECAY!A:B, 2, FALSE), ""))
</f>
        <v/>
      </c>
      <c r="G6028" s="3" t="str">
        <f t="shared" si="2"/>
        <v>ACTIVE</v>
      </c>
    </row>
    <row r="6029" ht="22.5" customHeight="1">
      <c r="A6029" s="3" t="s">
        <v>6009</v>
      </c>
      <c r="B6029" s="3" t="s">
        <v>6010</v>
      </c>
      <c r="C6029" s="12" t="s">
        <v>6068</v>
      </c>
      <c r="D6029" s="13">
        <v>64816.0</v>
      </c>
      <c r="E6029" s="4">
        <v>45854.0</v>
      </c>
      <c r="F6029" s="4" t="str">
        <f>IF(D6029="","", IFNA(VLOOKUP(D6029, SATCAT_DECAY!A:B, 2, FALSE), ""))
</f>
        <v/>
      </c>
      <c r="G6029" s="3" t="str">
        <f t="shared" si="2"/>
        <v>ACTIVE</v>
      </c>
    </row>
    <row r="6030" ht="22.5" customHeight="1">
      <c r="A6030" s="3" t="s">
        <v>6009</v>
      </c>
      <c r="B6030" s="3" t="s">
        <v>6010</v>
      </c>
      <c r="C6030" s="12" t="s">
        <v>6069</v>
      </c>
      <c r="D6030" s="13">
        <v>64817.0</v>
      </c>
      <c r="E6030" s="4">
        <v>45854.0</v>
      </c>
      <c r="F6030" s="4" t="str">
        <f>IF(D6030="","", IFNA(VLOOKUP(D6030, SATCAT_DECAY!A:B, 2, FALSE), ""))
</f>
        <v/>
      </c>
      <c r="G6030" s="3" t="str">
        <f t="shared" si="2"/>
        <v>ACTIVE</v>
      </c>
    </row>
    <row r="6031" ht="22.5" customHeight="1">
      <c r="A6031" s="3" t="s">
        <v>6009</v>
      </c>
      <c r="B6031" s="3" t="s">
        <v>6010</v>
      </c>
      <c r="C6031" s="12" t="s">
        <v>6070</v>
      </c>
      <c r="D6031" s="13">
        <v>64818.0</v>
      </c>
      <c r="E6031" s="4">
        <v>45854.0</v>
      </c>
      <c r="F6031" s="4" t="str">
        <f>IF(D6031="","", IFNA(VLOOKUP(D6031, SATCAT_DECAY!A:B, 2, FALSE), ""))
</f>
        <v/>
      </c>
      <c r="G6031" s="3" t="str">
        <f t="shared" si="2"/>
        <v>ACTIVE</v>
      </c>
    </row>
    <row r="6032" ht="22.5" customHeight="1">
      <c r="A6032" s="3" t="s">
        <v>6009</v>
      </c>
      <c r="B6032" s="3" t="s">
        <v>6010</v>
      </c>
      <c r="C6032" s="12" t="s">
        <v>6071</v>
      </c>
      <c r="D6032" s="13">
        <v>64819.0</v>
      </c>
      <c r="E6032" s="4">
        <v>45854.0</v>
      </c>
      <c r="F6032" s="4" t="str">
        <f>IF(D6032="","", IFNA(VLOOKUP(D6032, SATCAT_DECAY!A:B, 2, FALSE), ""))
</f>
        <v/>
      </c>
      <c r="G6032" s="3" t="str">
        <f t="shared" si="2"/>
        <v>ACTIVE</v>
      </c>
    </row>
    <row r="6033" ht="22.5" customHeight="1">
      <c r="A6033" s="3" t="s">
        <v>6009</v>
      </c>
      <c r="B6033" s="3" t="s">
        <v>6010</v>
      </c>
      <c r="C6033" s="12" t="s">
        <v>6072</v>
      </c>
      <c r="D6033" s="13">
        <v>64820.0</v>
      </c>
      <c r="E6033" s="4">
        <v>45854.0</v>
      </c>
      <c r="F6033" s="4" t="str">
        <f>IF(D6033="","", IFNA(VLOOKUP(D6033, SATCAT_DECAY!A:B, 2, FALSE), ""))
</f>
        <v/>
      </c>
      <c r="G6033" s="3" t="str">
        <f t="shared" si="2"/>
        <v>ACTIVE</v>
      </c>
    </row>
    <row r="6034" ht="22.5" customHeight="1">
      <c r="A6034" s="3" t="s">
        <v>6009</v>
      </c>
      <c r="B6034" s="3" t="s">
        <v>6010</v>
      </c>
      <c r="C6034" s="12" t="s">
        <v>6073</v>
      </c>
      <c r="D6034" s="13">
        <v>64821.0</v>
      </c>
      <c r="E6034" s="4">
        <v>45854.0</v>
      </c>
      <c r="F6034" s="4" t="str">
        <f>IF(D6034="","", IFNA(VLOOKUP(D6034, SATCAT_DECAY!A:B, 2, FALSE), ""))
</f>
        <v/>
      </c>
      <c r="G6034" s="3" t="str">
        <f t="shared" si="2"/>
        <v>ACTIVE</v>
      </c>
    </row>
    <row r="6035" ht="22.5" customHeight="1">
      <c r="A6035" s="3" t="s">
        <v>6009</v>
      </c>
      <c r="B6035" s="3" t="s">
        <v>6010</v>
      </c>
      <c r="C6035" s="12" t="s">
        <v>6074</v>
      </c>
      <c r="D6035" s="13">
        <v>64822.0</v>
      </c>
      <c r="E6035" s="4">
        <v>45854.0</v>
      </c>
      <c r="F6035" s="4" t="str">
        <f>IF(D6035="","", IFNA(VLOOKUP(D6035, SATCAT_DECAY!A:B, 2, FALSE), ""))
</f>
        <v/>
      </c>
      <c r="G6035" s="3" t="str">
        <f t="shared" si="2"/>
        <v>ACTIVE</v>
      </c>
    </row>
    <row r="6036" ht="22.5" customHeight="1">
      <c r="A6036" s="3" t="s">
        <v>6009</v>
      </c>
      <c r="B6036" s="3" t="s">
        <v>6010</v>
      </c>
      <c r="C6036" s="12" t="s">
        <v>6075</v>
      </c>
      <c r="D6036" s="13">
        <v>64823.0</v>
      </c>
      <c r="E6036" s="4">
        <v>45854.0</v>
      </c>
      <c r="F6036" s="4" t="str">
        <f>IF(D6036="","", IFNA(VLOOKUP(D6036, SATCAT_DECAY!A:B, 2, FALSE), ""))
</f>
        <v/>
      </c>
      <c r="G6036" s="3" t="str">
        <f t="shared" si="2"/>
        <v>ACTIVE</v>
      </c>
    </row>
    <row r="6037" ht="22.5" customHeight="1">
      <c r="A6037" s="3" t="s">
        <v>6009</v>
      </c>
      <c r="B6037" s="3" t="s">
        <v>6010</v>
      </c>
      <c r="C6037" s="12" t="s">
        <v>6076</v>
      </c>
      <c r="D6037" s="13">
        <v>64824.0</v>
      </c>
      <c r="E6037" s="4">
        <v>45854.0</v>
      </c>
      <c r="F6037" s="4" t="str">
        <f>IF(D6037="","", IFNA(VLOOKUP(D6037, SATCAT_DECAY!A:B, 2, FALSE), ""))
</f>
        <v/>
      </c>
      <c r="G6037" s="3" t="str">
        <f t="shared" si="2"/>
        <v>ACTIVE</v>
      </c>
    </row>
    <row r="6038" ht="22.5" customHeight="1">
      <c r="A6038" s="3" t="s">
        <v>6009</v>
      </c>
      <c r="B6038" s="3" t="s">
        <v>6010</v>
      </c>
      <c r="C6038" s="12" t="s">
        <v>6077</v>
      </c>
      <c r="D6038" s="13">
        <v>64825.0</v>
      </c>
      <c r="E6038" s="4">
        <v>45854.0</v>
      </c>
      <c r="F6038" s="4" t="str">
        <f>IF(D6038="","", IFNA(VLOOKUP(D6038, SATCAT_DECAY!A:B, 2, FALSE), ""))
</f>
        <v/>
      </c>
      <c r="G6038" s="3" t="str">
        <f t="shared" si="2"/>
        <v>ACTIVE</v>
      </c>
    </row>
    <row r="6039" ht="22.5" customHeight="1">
      <c r="A6039" s="3" t="s">
        <v>6009</v>
      </c>
      <c r="B6039" s="3" t="s">
        <v>6010</v>
      </c>
      <c r="C6039" s="12" t="s">
        <v>6078</v>
      </c>
      <c r="D6039" s="13">
        <v>64826.0</v>
      </c>
      <c r="E6039" s="4">
        <v>45854.0</v>
      </c>
      <c r="F6039" s="4" t="str">
        <f>IF(D6039="","", IFNA(VLOOKUP(D6039, SATCAT_DECAY!A:B, 2, FALSE), ""))
</f>
        <v/>
      </c>
      <c r="G6039" s="3" t="str">
        <f t="shared" si="2"/>
        <v>ACTIVE</v>
      </c>
    </row>
    <row r="6040" ht="22.5" customHeight="1">
      <c r="A6040" s="3" t="s">
        <v>6009</v>
      </c>
      <c r="B6040" s="3" t="s">
        <v>6010</v>
      </c>
      <c r="C6040" s="12" t="s">
        <v>6079</v>
      </c>
      <c r="D6040" s="13">
        <v>64827.0</v>
      </c>
      <c r="E6040" s="4">
        <v>45854.0</v>
      </c>
      <c r="F6040" s="4" t="str">
        <f>IF(D6040="","", IFNA(VLOOKUP(D6040, SATCAT_DECAY!A:B, 2, FALSE), ""))
</f>
        <v/>
      </c>
      <c r="G6040" s="3" t="str">
        <f t="shared" si="2"/>
        <v>ACTIVE</v>
      </c>
    </row>
    <row r="6041" ht="22.5" customHeight="1">
      <c r="A6041" s="3" t="s">
        <v>6009</v>
      </c>
      <c r="B6041" s="3" t="s">
        <v>6010</v>
      </c>
      <c r="C6041" s="12" t="s">
        <v>6080</v>
      </c>
      <c r="D6041" s="13">
        <v>64828.0</v>
      </c>
      <c r="E6041" s="4">
        <v>45854.0</v>
      </c>
      <c r="F6041" s="4" t="str">
        <f>IF(D6041="","", IFNA(VLOOKUP(D6041, SATCAT_DECAY!A:B, 2, FALSE), ""))
</f>
        <v/>
      </c>
      <c r="G6041" s="3" t="str">
        <f t="shared" si="2"/>
        <v>ACTIVE</v>
      </c>
    </row>
    <row r="6042" ht="22.5" customHeight="1">
      <c r="A6042" s="3" t="s">
        <v>6009</v>
      </c>
      <c r="B6042" s="3" t="s">
        <v>6010</v>
      </c>
      <c r="C6042" s="12" t="s">
        <v>6081</v>
      </c>
      <c r="D6042" s="13">
        <v>64829.0</v>
      </c>
      <c r="E6042" s="4">
        <v>45854.0</v>
      </c>
      <c r="F6042" s="4" t="str">
        <f>IF(D6042="","", IFNA(VLOOKUP(D6042, SATCAT_DECAY!A:B, 2, FALSE), ""))
</f>
        <v/>
      </c>
      <c r="G6042" s="3" t="str">
        <f t="shared" si="2"/>
        <v>ACTIVE</v>
      </c>
    </row>
    <row r="6043" ht="22.5" customHeight="1">
      <c r="A6043" s="3" t="s">
        <v>6009</v>
      </c>
      <c r="B6043" s="3" t="s">
        <v>6010</v>
      </c>
      <c r="C6043" s="12" t="s">
        <v>6082</v>
      </c>
      <c r="D6043" s="13">
        <v>64830.0</v>
      </c>
      <c r="E6043" s="4">
        <v>45854.0</v>
      </c>
      <c r="F6043" s="4" t="str">
        <f>IF(D6043="","", IFNA(VLOOKUP(D6043, SATCAT_DECAY!A:B, 2, FALSE), ""))
</f>
        <v/>
      </c>
      <c r="G6043" s="3" t="str">
        <f t="shared" si="2"/>
        <v>ACTIVE</v>
      </c>
    </row>
    <row r="6044" ht="22.5" customHeight="1">
      <c r="A6044" s="3" t="s">
        <v>6009</v>
      </c>
      <c r="B6044" s="3" t="s">
        <v>6010</v>
      </c>
      <c r="C6044" s="12" t="s">
        <v>6083</v>
      </c>
      <c r="D6044" s="13">
        <v>64831.0</v>
      </c>
      <c r="E6044" s="4">
        <v>45854.0</v>
      </c>
      <c r="F6044" s="4" t="str">
        <f>IF(D6044="","", IFNA(VLOOKUP(D6044, SATCAT_DECAY!A:B, 2, FALSE), ""))
</f>
        <v/>
      </c>
      <c r="G6044" s="3" t="str">
        <f t="shared" si="2"/>
        <v>ACTIVE</v>
      </c>
    </row>
    <row r="6045" ht="22.5" customHeight="1">
      <c r="A6045" s="3" t="s">
        <v>6009</v>
      </c>
      <c r="B6045" s="3" t="s">
        <v>6010</v>
      </c>
      <c r="C6045" s="12" t="s">
        <v>6084</v>
      </c>
      <c r="D6045" s="13">
        <v>64832.0</v>
      </c>
      <c r="E6045" s="4">
        <v>45854.0</v>
      </c>
      <c r="F6045" s="4" t="str">
        <f>IF(D6045="","", IFNA(VLOOKUP(D6045, SATCAT_DECAY!A:B, 2, FALSE), ""))
</f>
        <v/>
      </c>
      <c r="G6045" s="3" t="str">
        <f t="shared" si="2"/>
        <v>ACTIVE</v>
      </c>
    </row>
    <row r="6046" ht="22.5" customHeight="1">
      <c r="A6046" s="3" t="s">
        <v>6009</v>
      </c>
      <c r="B6046" s="3" t="s">
        <v>6010</v>
      </c>
      <c r="C6046" s="12" t="s">
        <v>6085</v>
      </c>
      <c r="D6046" s="13">
        <v>64833.0</v>
      </c>
      <c r="E6046" s="4">
        <v>45854.0</v>
      </c>
      <c r="F6046" s="4" t="str">
        <f>IF(D6046="","", IFNA(VLOOKUP(D6046, SATCAT_DECAY!A:B, 2, FALSE), ""))
</f>
        <v/>
      </c>
      <c r="G6046" s="3" t="str">
        <f t="shared" si="2"/>
        <v>ACTIVE</v>
      </c>
    </row>
    <row r="6047" ht="22.5" customHeight="1">
      <c r="A6047" s="3" t="s">
        <v>6009</v>
      </c>
      <c r="B6047" s="3" t="s">
        <v>6010</v>
      </c>
      <c r="C6047" s="12" t="s">
        <v>6086</v>
      </c>
      <c r="D6047" s="13">
        <v>64834.0</v>
      </c>
      <c r="E6047" s="4">
        <v>45854.0</v>
      </c>
      <c r="F6047" s="4" t="str">
        <f>IF(D6047="","", IFNA(VLOOKUP(D6047, SATCAT_DECAY!A:B, 2, FALSE), ""))
</f>
        <v/>
      </c>
      <c r="G6047" s="3" t="str">
        <f t="shared" si="2"/>
        <v>ACTIVE</v>
      </c>
    </row>
    <row r="6048" ht="22.5" customHeight="1">
      <c r="A6048" s="3" t="s">
        <v>6009</v>
      </c>
      <c r="B6048" s="3" t="s">
        <v>6010</v>
      </c>
      <c r="C6048" s="12" t="s">
        <v>6087</v>
      </c>
      <c r="D6048" s="13">
        <v>64835.0</v>
      </c>
      <c r="E6048" s="4">
        <v>45854.0</v>
      </c>
      <c r="F6048" s="4" t="str">
        <f>IF(D6048="","", IFNA(VLOOKUP(D6048, SATCAT_DECAY!A:B, 2, FALSE), ""))
</f>
        <v/>
      </c>
      <c r="G6048" s="3" t="str">
        <f t="shared" si="2"/>
        <v>ACTIVE</v>
      </c>
    </row>
    <row r="6049" ht="22.5" customHeight="1">
      <c r="A6049" s="3" t="s">
        <v>6009</v>
      </c>
      <c r="B6049" s="3" t="s">
        <v>6010</v>
      </c>
      <c r="C6049" s="12" t="s">
        <v>6088</v>
      </c>
      <c r="D6049" s="13">
        <v>64836.0</v>
      </c>
      <c r="E6049" s="4">
        <v>45854.0</v>
      </c>
      <c r="F6049" s="4" t="str">
        <f>IF(D6049="","", IFNA(VLOOKUP(D6049, SATCAT_DECAY!A:B, 2, FALSE), ""))
</f>
        <v/>
      </c>
      <c r="G6049" s="3" t="str">
        <f t="shared" si="2"/>
        <v>ACTIVE</v>
      </c>
    </row>
    <row r="6050" ht="22.5" customHeight="1">
      <c r="A6050" s="3" t="s">
        <v>6009</v>
      </c>
      <c r="B6050" s="3" t="s">
        <v>6010</v>
      </c>
      <c r="C6050" s="12" t="s">
        <v>6089</v>
      </c>
      <c r="D6050" s="13">
        <v>64837.0</v>
      </c>
      <c r="E6050" s="4">
        <v>45854.0</v>
      </c>
      <c r="F6050" s="4" t="str">
        <f>IF(D6050="","", IFNA(VLOOKUP(D6050, SATCAT_DECAY!A:B, 2, FALSE), ""))
</f>
        <v/>
      </c>
      <c r="G6050" s="3" t="str">
        <f t="shared" si="2"/>
        <v>ACTIVE</v>
      </c>
    </row>
    <row r="6051" ht="22.5" customHeight="1">
      <c r="A6051" s="3" t="s">
        <v>6009</v>
      </c>
      <c r="B6051" s="3" t="s">
        <v>6010</v>
      </c>
      <c r="C6051" s="12" t="s">
        <v>6090</v>
      </c>
      <c r="D6051" s="13">
        <v>64838.0</v>
      </c>
      <c r="E6051" s="4">
        <v>45854.0</v>
      </c>
      <c r="F6051" s="4" t="str">
        <f>IF(D6051="","", IFNA(VLOOKUP(D6051, SATCAT_DECAY!A:B, 2, FALSE), ""))
</f>
        <v/>
      </c>
      <c r="G6051" s="3" t="str">
        <f t="shared" si="2"/>
        <v>ACTIVE</v>
      </c>
    </row>
    <row r="6052" ht="22.5" customHeight="1">
      <c r="A6052" s="3" t="s">
        <v>6009</v>
      </c>
      <c r="B6052" s="3" t="s">
        <v>6010</v>
      </c>
      <c r="C6052" s="12" t="s">
        <v>6091</v>
      </c>
      <c r="D6052" s="13">
        <v>64839.0</v>
      </c>
      <c r="E6052" s="4">
        <v>45854.0</v>
      </c>
      <c r="F6052" s="4" t="str">
        <f>IF(D6052="","", IFNA(VLOOKUP(D6052, SATCAT_DECAY!A:B, 2, FALSE), ""))
</f>
        <v/>
      </c>
      <c r="G6052" s="3" t="str">
        <f t="shared" si="2"/>
        <v>ACTIVE</v>
      </c>
    </row>
    <row r="6053" ht="22.5" customHeight="1">
      <c r="A6053" s="3" t="s">
        <v>6009</v>
      </c>
      <c r="B6053" s="3" t="s">
        <v>6010</v>
      </c>
      <c r="C6053" s="12" t="s">
        <v>6092</v>
      </c>
      <c r="D6053" s="13">
        <v>65132.0</v>
      </c>
      <c r="E6053" s="4">
        <v>45880.0</v>
      </c>
      <c r="F6053" s="4" t="str">
        <f>IF(D6053="","", IFNA(VLOOKUP(D6053, SATCAT_DECAY!A:B, 2, FALSE), ""))
</f>
        <v/>
      </c>
      <c r="G6053" s="3" t="str">
        <f t="shared" si="2"/>
        <v>ACTIVE</v>
      </c>
    </row>
    <row r="6054" ht="22.5" customHeight="1">
      <c r="A6054" s="3" t="s">
        <v>6009</v>
      </c>
      <c r="B6054" s="3" t="s">
        <v>6010</v>
      </c>
      <c r="C6054" s="12" t="s">
        <v>6093</v>
      </c>
      <c r="D6054" s="13">
        <v>65133.0</v>
      </c>
      <c r="E6054" s="4">
        <v>45880.0</v>
      </c>
      <c r="F6054" s="4" t="str">
        <f>IF(D6054="","", IFNA(VLOOKUP(D6054, SATCAT_DECAY!A:B, 2, FALSE), ""))
</f>
        <v/>
      </c>
      <c r="G6054" s="3" t="str">
        <f t="shared" si="2"/>
        <v>ACTIVE</v>
      </c>
    </row>
    <row r="6055" ht="22.5" customHeight="1">
      <c r="A6055" s="3" t="s">
        <v>6009</v>
      </c>
      <c r="B6055" s="3" t="s">
        <v>6010</v>
      </c>
      <c r="C6055" s="12" t="s">
        <v>6094</v>
      </c>
      <c r="D6055" s="13">
        <v>65134.0</v>
      </c>
      <c r="E6055" s="4">
        <v>45880.0</v>
      </c>
      <c r="F6055" s="4" t="str">
        <f>IF(D6055="","", IFNA(VLOOKUP(D6055, SATCAT_DECAY!A:B, 2, FALSE), ""))
</f>
        <v/>
      </c>
      <c r="G6055" s="3" t="str">
        <f t="shared" si="2"/>
        <v>ACTIVE</v>
      </c>
    </row>
    <row r="6056" ht="22.5" customHeight="1">
      <c r="A6056" s="3" t="s">
        <v>6009</v>
      </c>
      <c r="B6056" s="3" t="s">
        <v>6010</v>
      </c>
      <c r="C6056" s="12" t="s">
        <v>6095</v>
      </c>
      <c r="D6056" s="13">
        <v>65135.0</v>
      </c>
      <c r="E6056" s="4">
        <v>45880.0</v>
      </c>
      <c r="F6056" s="4" t="str">
        <f>IF(D6056="","", IFNA(VLOOKUP(D6056, SATCAT_DECAY!A:B, 2, FALSE), ""))
</f>
        <v/>
      </c>
      <c r="G6056" s="3" t="str">
        <f t="shared" si="2"/>
        <v>ACTIVE</v>
      </c>
    </row>
    <row r="6057" ht="22.5" customHeight="1">
      <c r="A6057" s="3" t="s">
        <v>6009</v>
      </c>
      <c r="B6057" s="3" t="s">
        <v>6010</v>
      </c>
      <c r="C6057" s="12" t="s">
        <v>6096</v>
      </c>
      <c r="D6057" s="13">
        <v>65136.0</v>
      </c>
      <c r="E6057" s="4">
        <v>45880.0</v>
      </c>
      <c r="F6057" s="4" t="str">
        <f>IF(D6057="","", IFNA(VLOOKUP(D6057, SATCAT_DECAY!A:B, 2, FALSE), ""))
</f>
        <v/>
      </c>
      <c r="G6057" s="3" t="str">
        <f t="shared" si="2"/>
        <v>ACTIVE</v>
      </c>
    </row>
    <row r="6058" ht="22.5" customHeight="1">
      <c r="A6058" s="3" t="s">
        <v>6009</v>
      </c>
      <c r="B6058" s="3" t="s">
        <v>6010</v>
      </c>
      <c r="C6058" s="12" t="s">
        <v>6097</v>
      </c>
      <c r="D6058" s="13">
        <v>65137.0</v>
      </c>
      <c r="E6058" s="4">
        <v>45880.0</v>
      </c>
      <c r="F6058" s="4" t="str">
        <f>IF(D6058="","", IFNA(VLOOKUP(D6058, SATCAT_DECAY!A:B, 2, FALSE), ""))
</f>
        <v/>
      </c>
      <c r="G6058" s="3" t="str">
        <f t="shared" si="2"/>
        <v>ACTIVE</v>
      </c>
    </row>
    <row r="6059" ht="22.5" customHeight="1">
      <c r="A6059" s="3" t="s">
        <v>6009</v>
      </c>
      <c r="B6059" s="3" t="s">
        <v>6010</v>
      </c>
      <c r="C6059" s="12" t="s">
        <v>6098</v>
      </c>
      <c r="D6059" s="13">
        <v>65138.0</v>
      </c>
      <c r="E6059" s="4">
        <v>45880.0</v>
      </c>
      <c r="F6059" s="4" t="str">
        <f>IF(D6059="","", IFNA(VLOOKUP(D6059, SATCAT_DECAY!A:B, 2, FALSE), ""))
</f>
        <v/>
      </c>
      <c r="G6059" s="3" t="str">
        <f t="shared" si="2"/>
        <v>ACTIVE</v>
      </c>
    </row>
    <row r="6060" ht="22.5" customHeight="1">
      <c r="A6060" s="3" t="s">
        <v>6009</v>
      </c>
      <c r="B6060" s="3" t="s">
        <v>6010</v>
      </c>
      <c r="C6060" s="12" t="s">
        <v>6099</v>
      </c>
      <c r="D6060" s="13">
        <v>65139.0</v>
      </c>
      <c r="E6060" s="4">
        <v>45880.0</v>
      </c>
      <c r="F6060" s="4" t="str">
        <f>IF(D6060="","", IFNA(VLOOKUP(D6060, SATCAT_DECAY!A:B, 2, FALSE), ""))
</f>
        <v/>
      </c>
      <c r="G6060" s="3" t="str">
        <f t="shared" si="2"/>
        <v>ACTIVE</v>
      </c>
    </row>
    <row r="6061" ht="22.5" customHeight="1">
      <c r="A6061" s="3" t="s">
        <v>6009</v>
      </c>
      <c r="B6061" s="3" t="s">
        <v>6010</v>
      </c>
      <c r="C6061" s="12" t="s">
        <v>6100</v>
      </c>
      <c r="D6061" s="13">
        <v>65140.0</v>
      </c>
      <c r="E6061" s="4">
        <v>45880.0</v>
      </c>
      <c r="F6061" s="4" t="str">
        <f>IF(D6061="","", IFNA(VLOOKUP(D6061, SATCAT_DECAY!A:B, 2, FALSE), ""))
</f>
        <v/>
      </c>
      <c r="G6061" s="3" t="str">
        <f t="shared" si="2"/>
        <v>ACTIVE</v>
      </c>
    </row>
    <row r="6062" ht="22.5" customHeight="1">
      <c r="A6062" s="3" t="s">
        <v>6009</v>
      </c>
      <c r="B6062" s="3" t="s">
        <v>6010</v>
      </c>
      <c r="C6062" s="12" t="s">
        <v>6101</v>
      </c>
      <c r="D6062" s="13">
        <v>65141.0</v>
      </c>
      <c r="E6062" s="4">
        <v>45880.0</v>
      </c>
      <c r="F6062" s="4" t="str">
        <f>IF(D6062="","", IFNA(VLOOKUP(D6062, SATCAT_DECAY!A:B, 2, FALSE), ""))
</f>
        <v/>
      </c>
      <c r="G6062" s="3" t="str">
        <f t="shared" si="2"/>
        <v>ACTIVE</v>
      </c>
    </row>
    <row r="6063" ht="22.5" customHeight="1">
      <c r="A6063" s="3" t="s">
        <v>6009</v>
      </c>
      <c r="B6063" s="3" t="s">
        <v>6010</v>
      </c>
      <c r="C6063" s="12" t="s">
        <v>6102</v>
      </c>
      <c r="D6063" s="13">
        <v>65142.0</v>
      </c>
      <c r="E6063" s="4">
        <v>45880.0</v>
      </c>
      <c r="F6063" s="4" t="str">
        <f>IF(D6063="","", IFNA(VLOOKUP(D6063, SATCAT_DECAY!A:B, 2, FALSE), ""))
</f>
        <v/>
      </c>
      <c r="G6063" s="3" t="str">
        <f t="shared" si="2"/>
        <v>ACTIVE</v>
      </c>
    </row>
    <row r="6064" ht="22.5" customHeight="1">
      <c r="A6064" s="3" t="s">
        <v>6009</v>
      </c>
      <c r="B6064" s="3" t="s">
        <v>6010</v>
      </c>
      <c r="C6064" s="12" t="s">
        <v>6103</v>
      </c>
      <c r="D6064" s="13">
        <v>65143.0</v>
      </c>
      <c r="E6064" s="4">
        <v>45880.0</v>
      </c>
      <c r="F6064" s="4" t="str">
        <f>IF(D6064="","", IFNA(VLOOKUP(D6064, SATCAT_DECAY!A:B, 2, FALSE), ""))
</f>
        <v/>
      </c>
      <c r="G6064" s="3" t="str">
        <f t="shared" si="2"/>
        <v>ACTIVE</v>
      </c>
    </row>
    <row r="6065" ht="22.5" customHeight="1">
      <c r="A6065" s="3" t="s">
        <v>6009</v>
      </c>
      <c r="B6065" s="3" t="s">
        <v>6010</v>
      </c>
      <c r="C6065" s="12" t="s">
        <v>6104</v>
      </c>
      <c r="D6065" s="13">
        <v>65144.0</v>
      </c>
      <c r="E6065" s="4">
        <v>45880.0</v>
      </c>
      <c r="F6065" s="4" t="str">
        <f>IF(D6065="","", IFNA(VLOOKUP(D6065, SATCAT_DECAY!A:B, 2, FALSE), ""))
</f>
        <v/>
      </c>
      <c r="G6065" s="3" t="str">
        <f t="shared" si="2"/>
        <v>ACTIVE</v>
      </c>
    </row>
    <row r="6066" ht="22.5" customHeight="1">
      <c r="A6066" s="3" t="s">
        <v>6009</v>
      </c>
      <c r="B6066" s="3" t="s">
        <v>6010</v>
      </c>
      <c r="C6066" s="12" t="s">
        <v>6105</v>
      </c>
      <c r="D6066" s="13">
        <v>65145.0</v>
      </c>
      <c r="E6066" s="4">
        <v>45880.0</v>
      </c>
      <c r="F6066" s="4" t="str">
        <f>IF(D6066="","", IFNA(VLOOKUP(D6066, SATCAT_DECAY!A:B, 2, FALSE), ""))
</f>
        <v/>
      </c>
      <c r="G6066" s="3" t="str">
        <f t="shared" si="2"/>
        <v>ACTIVE</v>
      </c>
    </row>
    <row r="6067" ht="22.5" customHeight="1">
      <c r="A6067" s="3" t="s">
        <v>6009</v>
      </c>
      <c r="B6067" s="3" t="s">
        <v>6010</v>
      </c>
      <c r="C6067" s="12" t="s">
        <v>6106</v>
      </c>
      <c r="D6067" s="13">
        <v>65146.0</v>
      </c>
      <c r="E6067" s="4">
        <v>45880.0</v>
      </c>
      <c r="F6067" s="4" t="str">
        <f>IF(D6067="","", IFNA(VLOOKUP(D6067, SATCAT_DECAY!A:B, 2, FALSE), ""))
</f>
        <v/>
      </c>
      <c r="G6067" s="3" t="str">
        <f t="shared" si="2"/>
        <v>ACTIVE</v>
      </c>
    </row>
    <row r="6068" ht="22.5" customHeight="1">
      <c r="A6068" s="3" t="s">
        <v>6009</v>
      </c>
      <c r="B6068" s="3" t="s">
        <v>6010</v>
      </c>
      <c r="C6068" s="12" t="s">
        <v>6107</v>
      </c>
      <c r="D6068" s="13">
        <v>65147.0</v>
      </c>
      <c r="E6068" s="4">
        <v>45880.0</v>
      </c>
      <c r="F6068" s="4" t="str">
        <f>IF(D6068="","", IFNA(VLOOKUP(D6068, SATCAT_DECAY!A:B, 2, FALSE), ""))
</f>
        <v/>
      </c>
      <c r="G6068" s="3" t="str">
        <f t="shared" si="2"/>
        <v>ACTIVE</v>
      </c>
    </row>
    <row r="6069" ht="22.5" customHeight="1">
      <c r="A6069" s="3" t="s">
        <v>6009</v>
      </c>
      <c r="B6069" s="3" t="s">
        <v>6010</v>
      </c>
      <c r="C6069" s="12" t="s">
        <v>6108</v>
      </c>
      <c r="D6069" s="13">
        <v>65148.0</v>
      </c>
      <c r="E6069" s="4">
        <v>45880.0</v>
      </c>
      <c r="F6069" s="4" t="str">
        <f>IF(D6069="","", IFNA(VLOOKUP(D6069, SATCAT_DECAY!A:B, 2, FALSE), ""))
</f>
        <v/>
      </c>
      <c r="G6069" s="3" t="str">
        <f t="shared" si="2"/>
        <v>ACTIVE</v>
      </c>
    </row>
    <row r="6070" ht="22.5" customHeight="1">
      <c r="A6070" s="3" t="s">
        <v>6009</v>
      </c>
      <c r="B6070" s="3" t="s">
        <v>6010</v>
      </c>
      <c r="C6070" s="12" t="s">
        <v>6109</v>
      </c>
      <c r="D6070" s="13">
        <v>65149.0</v>
      </c>
      <c r="E6070" s="4">
        <v>45880.0</v>
      </c>
      <c r="F6070" s="4" t="str">
        <f>IF(D6070="","", IFNA(VLOOKUP(D6070, SATCAT_DECAY!A:B, 2, FALSE), ""))
</f>
        <v/>
      </c>
      <c r="G6070" s="3" t="str">
        <f t="shared" si="2"/>
        <v>ACTIVE</v>
      </c>
    </row>
    <row r="6071" ht="22.5" customHeight="1">
      <c r="A6071" s="3" t="s">
        <v>6009</v>
      </c>
      <c r="B6071" s="3" t="s">
        <v>6010</v>
      </c>
      <c r="C6071" s="12" t="s">
        <v>6110</v>
      </c>
      <c r="D6071" s="13">
        <v>65150.0</v>
      </c>
      <c r="E6071" s="4">
        <v>45880.0</v>
      </c>
      <c r="F6071" s="4" t="str">
        <f>IF(D6071="","", IFNA(VLOOKUP(D6071, SATCAT_DECAY!A:B, 2, FALSE), ""))
</f>
        <v/>
      </c>
      <c r="G6071" s="3" t="str">
        <f t="shared" si="2"/>
        <v>ACTIVE</v>
      </c>
    </row>
    <row r="6072" ht="22.5" customHeight="1">
      <c r="A6072" s="3" t="s">
        <v>6009</v>
      </c>
      <c r="B6072" s="3" t="s">
        <v>6010</v>
      </c>
      <c r="C6072" s="12" t="s">
        <v>6111</v>
      </c>
      <c r="D6072" s="13">
        <v>65151.0</v>
      </c>
      <c r="E6072" s="4">
        <v>45880.0</v>
      </c>
      <c r="F6072" s="4" t="str">
        <f>IF(D6072="","", IFNA(VLOOKUP(D6072, SATCAT_DECAY!A:B, 2, FALSE), ""))
</f>
        <v/>
      </c>
      <c r="G6072" s="3" t="str">
        <f t="shared" si="2"/>
        <v>ACTIVE</v>
      </c>
    </row>
    <row r="6073" ht="22.5" customHeight="1">
      <c r="A6073" s="3" t="s">
        <v>6009</v>
      </c>
      <c r="B6073" s="3" t="s">
        <v>6010</v>
      </c>
      <c r="C6073" s="12" t="s">
        <v>6112</v>
      </c>
      <c r="D6073" s="13">
        <v>65152.0</v>
      </c>
      <c r="E6073" s="4">
        <v>45880.0</v>
      </c>
      <c r="F6073" s="4" t="str">
        <f>IF(D6073="","", IFNA(VLOOKUP(D6073, SATCAT_DECAY!A:B, 2, FALSE), ""))
</f>
        <v/>
      </c>
      <c r="G6073" s="3" t="str">
        <f t="shared" si="2"/>
        <v>ACTIVE</v>
      </c>
    </row>
    <row r="6074" ht="22.5" customHeight="1">
      <c r="A6074" s="3" t="s">
        <v>6009</v>
      </c>
      <c r="B6074" s="3" t="s">
        <v>6010</v>
      </c>
      <c r="C6074" s="12" t="s">
        <v>6113</v>
      </c>
      <c r="D6074" s="13">
        <v>65153.0</v>
      </c>
      <c r="E6074" s="4">
        <v>45880.0</v>
      </c>
      <c r="F6074" s="4" t="str">
        <f>IF(D6074="","", IFNA(VLOOKUP(D6074, SATCAT_DECAY!A:B, 2, FALSE), ""))
</f>
        <v/>
      </c>
      <c r="G6074" s="3" t="str">
        <f t="shared" si="2"/>
        <v>ACTIVE</v>
      </c>
    </row>
    <row r="6075" ht="22.5" customHeight="1">
      <c r="A6075" s="3" t="s">
        <v>6009</v>
      </c>
      <c r="B6075" s="3" t="s">
        <v>6010</v>
      </c>
      <c r="C6075" s="12" t="s">
        <v>6114</v>
      </c>
      <c r="D6075" s="13">
        <v>65154.0</v>
      </c>
      <c r="E6075" s="4">
        <v>45880.0</v>
      </c>
      <c r="F6075" s="4" t="str">
        <f>IF(D6075="","", IFNA(VLOOKUP(D6075, SATCAT_DECAY!A:B, 2, FALSE), ""))
</f>
        <v/>
      </c>
      <c r="G6075" s="3" t="str">
        <f t="shared" si="2"/>
        <v>ACTIVE</v>
      </c>
    </row>
    <row r="6076" ht="22.5" customHeight="1">
      <c r="A6076" s="3" t="s">
        <v>6009</v>
      </c>
      <c r="B6076" s="3" t="s">
        <v>6010</v>
      </c>
      <c r="C6076" s="12" t="s">
        <v>6115</v>
      </c>
      <c r="D6076" s="13">
        <v>65155.0</v>
      </c>
      <c r="E6076" s="4">
        <v>45880.0</v>
      </c>
      <c r="F6076" s="4" t="str">
        <f>IF(D6076="","", IFNA(VLOOKUP(D6076, SATCAT_DECAY!A:B, 2, FALSE), ""))
</f>
        <v/>
      </c>
      <c r="G6076" s="3" t="str">
        <f t="shared" si="2"/>
        <v>ACTIVE</v>
      </c>
    </row>
    <row r="6077" ht="22.5" customHeight="1">
      <c r="A6077" s="3" t="s">
        <v>6009</v>
      </c>
      <c r="B6077" s="3" t="s">
        <v>6010</v>
      </c>
      <c r="C6077" s="12" t="s">
        <v>6116</v>
      </c>
      <c r="D6077" s="13">
        <v>65762.0</v>
      </c>
      <c r="E6077" s="4">
        <v>45925.0</v>
      </c>
      <c r="F6077" s="4" t="str">
        <f>IF(D6077="","", IFNA(VLOOKUP(D6077, SATCAT_DECAY!A:B, 2, FALSE), ""))
</f>
        <v/>
      </c>
      <c r="G6077" s="3" t="str">
        <f t="shared" si="2"/>
        <v>ACTIVE</v>
      </c>
    </row>
    <row r="6078" ht="22.5" customHeight="1">
      <c r="A6078" s="3" t="s">
        <v>6009</v>
      </c>
      <c r="B6078" s="3" t="s">
        <v>6010</v>
      </c>
      <c r="C6078" s="12" t="s">
        <v>6117</v>
      </c>
      <c r="D6078" s="13">
        <v>65763.0</v>
      </c>
      <c r="E6078" s="4">
        <v>45925.0</v>
      </c>
      <c r="F6078" s="4" t="str">
        <f>IF(D6078="","", IFNA(VLOOKUP(D6078, SATCAT_DECAY!A:B, 2, FALSE), ""))
</f>
        <v/>
      </c>
      <c r="G6078" s="3" t="str">
        <f t="shared" si="2"/>
        <v>ACTIVE</v>
      </c>
    </row>
    <row r="6079" ht="22.5" customHeight="1">
      <c r="A6079" s="3" t="s">
        <v>6009</v>
      </c>
      <c r="B6079" s="3" t="s">
        <v>6010</v>
      </c>
      <c r="C6079" s="12" t="s">
        <v>6118</v>
      </c>
      <c r="D6079" s="13">
        <v>65764.0</v>
      </c>
      <c r="E6079" s="4">
        <v>45925.0</v>
      </c>
      <c r="F6079" s="4" t="str">
        <f>IF(D6079="","", IFNA(VLOOKUP(D6079, SATCAT_DECAY!A:B, 2, FALSE), ""))
</f>
        <v/>
      </c>
      <c r="G6079" s="3" t="str">
        <f t="shared" si="2"/>
        <v>ACTIVE</v>
      </c>
    </row>
    <row r="6080" ht="22.5" customHeight="1">
      <c r="A6080" s="3" t="s">
        <v>6009</v>
      </c>
      <c r="B6080" s="3" t="s">
        <v>6010</v>
      </c>
      <c r="C6080" s="12" t="s">
        <v>6119</v>
      </c>
      <c r="D6080" s="13">
        <v>65765.0</v>
      </c>
      <c r="E6080" s="4">
        <v>45925.0</v>
      </c>
      <c r="F6080" s="4" t="str">
        <f>IF(D6080="","", IFNA(VLOOKUP(D6080, SATCAT_DECAY!A:B, 2, FALSE), ""))
</f>
        <v/>
      </c>
      <c r="G6080" s="3" t="str">
        <f t="shared" si="2"/>
        <v>ACTIVE</v>
      </c>
    </row>
    <row r="6081" ht="22.5" customHeight="1">
      <c r="A6081" s="3" t="s">
        <v>6009</v>
      </c>
      <c r="B6081" s="3" t="s">
        <v>6010</v>
      </c>
      <c r="C6081" s="12" t="s">
        <v>6120</v>
      </c>
      <c r="D6081" s="13">
        <v>65766.0</v>
      </c>
      <c r="E6081" s="4">
        <v>45925.0</v>
      </c>
      <c r="F6081" s="4" t="str">
        <f>IF(D6081="","", IFNA(VLOOKUP(D6081, SATCAT_DECAY!A:B, 2, FALSE), ""))
</f>
        <v/>
      </c>
      <c r="G6081" s="3" t="str">
        <f t="shared" si="2"/>
        <v>ACTIVE</v>
      </c>
    </row>
    <row r="6082" ht="22.5" customHeight="1">
      <c r="A6082" s="3" t="s">
        <v>6009</v>
      </c>
      <c r="B6082" s="3" t="s">
        <v>6010</v>
      </c>
      <c r="C6082" s="12" t="s">
        <v>6121</v>
      </c>
      <c r="D6082" s="13">
        <v>65767.0</v>
      </c>
      <c r="E6082" s="4">
        <v>45925.0</v>
      </c>
      <c r="F6082" s="4" t="str">
        <f>IF(D6082="","", IFNA(VLOOKUP(D6082, SATCAT_DECAY!A:B, 2, FALSE), ""))
</f>
        <v/>
      </c>
      <c r="G6082" s="3" t="str">
        <f t="shared" si="2"/>
        <v>ACTIVE</v>
      </c>
    </row>
    <row r="6083" ht="22.5" customHeight="1">
      <c r="A6083" s="3" t="s">
        <v>6009</v>
      </c>
      <c r="B6083" s="3" t="s">
        <v>6010</v>
      </c>
      <c r="C6083" s="12" t="s">
        <v>6122</v>
      </c>
      <c r="D6083" s="13">
        <v>65768.0</v>
      </c>
      <c r="E6083" s="4">
        <v>45925.0</v>
      </c>
      <c r="F6083" s="4" t="str">
        <f>IF(D6083="","", IFNA(VLOOKUP(D6083, SATCAT_DECAY!A:B, 2, FALSE), ""))
</f>
        <v/>
      </c>
      <c r="G6083" s="3" t="str">
        <f t="shared" si="2"/>
        <v>ACTIVE</v>
      </c>
    </row>
    <row r="6084" ht="22.5" customHeight="1">
      <c r="A6084" s="3" t="s">
        <v>6009</v>
      </c>
      <c r="B6084" s="3" t="s">
        <v>6010</v>
      </c>
      <c r="C6084" s="12" t="s">
        <v>6123</v>
      </c>
      <c r="D6084" s="13">
        <v>65769.0</v>
      </c>
      <c r="E6084" s="4">
        <v>45925.0</v>
      </c>
      <c r="F6084" s="4" t="str">
        <f>IF(D6084="","", IFNA(VLOOKUP(D6084, SATCAT_DECAY!A:B, 2, FALSE), ""))
</f>
        <v/>
      </c>
      <c r="G6084" s="3" t="str">
        <f t="shared" si="2"/>
        <v>ACTIVE</v>
      </c>
    </row>
    <row r="6085" ht="22.5" customHeight="1">
      <c r="A6085" s="3" t="s">
        <v>6009</v>
      </c>
      <c r="B6085" s="3" t="s">
        <v>6010</v>
      </c>
      <c r="C6085" s="12" t="s">
        <v>6124</v>
      </c>
      <c r="D6085" s="13">
        <v>65770.0</v>
      </c>
      <c r="E6085" s="4">
        <v>45925.0</v>
      </c>
      <c r="F6085" s="4" t="str">
        <f>IF(D6085="","", IFNA(VLOOKUP(D6085, SATCAT_DECAY!A:B, 2, FALSE), ""))
</f>
        <v/>
      </c>
      <c r="G6085" s="3" t="str">
        <f t="shared" si="2"/>
        <v>ACTIVE</v>
      </c>
    </row>
    <row r="6086" ht="22.5" customHeight="1">
      <c r="A6086" s="3" t="s">
        <v>6009</v>
      </c>
      <c r="B6086" s="3" t="s">
        <v>6010</v>
      </c>
      <c r="C6086" s="12" t="s">
        <v>6125</v>
      </c>
      <c r="D6086" s="13">
        <v>65771.0</v>
      </c>
      <c r="E6086" s="4">
        <v>45925.0</v>
      </c>
      <c r="F6086" s="4" t="str">
        <f>IF(D6086="","", IFNA(VLOOKUP(D6086, SATCAT_DECAY!A:B, 2, FALSE), ""))
</f>
        <v/>
      </c>
      <c r="G6086" s="3" t="str">
        <f t="shared" si="2"/>
        <v>ACTIVE</v>
      </c>
    </row>
    <row r="6087" ht="22.5" customHeight="1">
      <c r="A6087" s="3" t="s">
        <v>6009</v>
      </c>
      <c r="B6087" s="3" t="s">
        <v>6010</v>
      </c>
      <c r="C6087" s="12" t="s">
        <v>6126</v>
      </c>
      <c r="D6087" s="13">
        <v>65772.0</v>
      </c>
      <c r="E6087" s="4">
        <v>45925.0</v>
      </c>
      <c r="F6087" s="4" t="str">
        <f>IF(D6087="","", IFNA(VLOOKUP(D6087, SATCAT_DECAY!A:B, 2, FALSE), ""))
</f>
        <v/>
      </c>
      <c r="G6087" s="3" t="str">
        <f t="shared" si="2"/>
        <v>ACTIVE</v>
      </c>
    </row>
    <row r="6088" ht="22.5" customHeight="1">
      <c r="A6088" s="3" t="s">
        <v>6009</v>
      </c>
      <c r="B6088" s="3" t="s">
        <v>6010</v>
      </c>
      <c r="C6088" s="12" t="s">
        <v>6127</v>
      </c>
      <c r="D6088" s="13">
        <v>65773.0</v>
      </c>
      <c r="E6088" s="4">
        <v>45925.0</v>
      </c>
      <c r="F6088" s="4" t="str">
        <f>IF(D6088="","", IFNA(VLOOKUP(D6088, SATCAT_DECAY!A:B, 2, FALSE), ""))
</f>
        <v/>
      </c>
      <c r="G6088" s="3" t="str">
        <f t="shared" si="2"/>
        <v>ACTIVE</v>
      </c>
    </row>
    <row r="6089" ht="22.5" customHeight="1">
      <c r="A6089" s="3" t="s">
        <v>6009</v>
      </c>
      <c r="B6089" s="3" t="s">
        <v>6010</v>
      </c>
      <c r="C6089" s="12" t="s">
        <v>6128</v>
      </c>
      <c r="D6089" s="13">
        <v>65774.0</v>
      </c>
      <c r="E6089" s="4">
        <v>45925.0</v>
      </c>
      <c r="F6089" s="4" t="str">
        <f>IF(D6089="","", IFNA(VLOOKUP(D6089, SATCAT_DECAY!A:B, 2, FALSE), ""))
</f>
        <v/>
      </c>
      <c r="G6089" s="3" t="str">
        <f t="shared" si="2"/>
        <v>ACTIVE</v>
      </c>
    </row>
    <row r="6090" ht="22.5" customHeight="1">
      <c r="A6090" s="3" t="s">
        <v>6009</v>
      </c>
      <c r="B6090" s="3" t="s">
        <v>6010</v>
      </c>
      <c r="C6090" s="12" t="s">
        <v>6129</v>
      </c>
      <c r="D6090" s="13">
        <v>65775.0</v>
      </c>
      <c r="E6090" s="4">
        <v>45925.0</v>
      </c>
      <c r="F6090" s="4" t="str">
        <f>IF(D6090="","", IFNA(VLOOKUP(D6090, SATCAT_DECAY!A:B, 2, FALSE), ""))
</f>
        <v/>
      </c>
      <c r="G6090" s="3" t="str">
        <f t="shared" si="2"/>
        <v>ACTIVE</v>
      </c>
    </row>
    <row r="6091" ht="22.5" customHeight="1">
      <c r="A6091" s="3" t="s">
        <v>6009</v>
      </c>
      <c r="B6091" s="3" t="s">
        <v>6010</v>
      </c>
      <c r="C6091" s="12" t="s">
        <v>6130</v>
      </c>
      <c r="D6091" s="13">
        <v>65776.0</v>
      </c>
      <c r="E6091" s="4">
        <v>45925.0</v>
      </c>
      <c r="F6091" s="4" t="str">
        <f>IF(D6091="","", IFNA(VLOOKUP(D6091, SATCAT_DECAY!A:B, 2, FALSE), ""))
</f>
        <v/>
      </c>
      <c r="G6091" s="3" t="str">
        <f t="shared" si="2"/>
        <v>ACTIVE</v>
      </c>
    </row>
    <row r="6092" ht="22.5" customHeight="1">
      <c r="A6092" s="3" t="s">
        <v>6009</v>
      </c>
      <c r="B6092" s="3" t="s">
        <v>6010</v>
      </c>
      <c r="C6092" s="12" t="s">
        <v>6131</v>
      </c>
      <c r="D6092" s="13">
        <v>65777.0</v>
      </c>
      <c r="E6092" s="4">
        <v>45925.0</v>
      </c>
      <c r="F6092" s="4" t="str">
        <f>IF(D6092="","", IFNA(VLOOKUP(D6092, SATCAT_DECAY!A:B, 2, FALSE), ""))
</f>
        <v/>
      </c>
      <c r="G6092" s="3" t="str">
        <f t="shared" si="2"/>
        <v>ACTIVE</v>
      </c>
    </row>
    <row r="6093" ht="22.5" customHeight="1">
      <c r="A6093" s="3" t="s">
        <v>6009</v>
      </c>
      <c r="B6093" s="3" t="s">
        <v>6010</v>
      </c>
      <c r="C6093" s="12" t="s">
        <v>6132</v>
      </c>
      <c r="D6093" s="13">
        <v>65778.0</v>
      </c>
      <c r="E6093" s="4">
        <v>45925.0</v>
      </c>
      <c r="F6093" s="4" t="str">
        <f>IF(D6093="","", IFNA(VLOOKUP(D6093, SATCAT_DECAY!A:B, 2, FALSE), ""))
</f>
        <v/>
      </c>
      <c r="G6093" s="3" t="str">
        <f t="shared" si="2"/>
        <v>ACTIVE</v>
      </c>
    </row>
    <row r="6094" ht="22.5" customHeight="1">
      <c r="A6094" s="3" t="s">
        <v>6009</v>
      </c>
      <c r="B6094" s="3" t="s">
        <v>6010</v>
      </c>
      <c r="C6094" s="12" t="s">
        <v>6133</v>
      </c>
      <c r="D6094" s="13">
        <v>65779.0</v>
      </c>
      <c r="E6094" s="4">
        <v>45925.0</v>
      </c>
      <c r="F6094" s="4" t="str">
        <f>IF(D6094="","", IFNA(VLOOKUP(D6094, SATCAT_DECAY!A:B, 2, FALSE), ""))
</f>
        <v/>
      </c>
      <c r="G6094" s="3" t="str">
        <f t="shared" si="2"/>
        <v>ACTIVE</v>
      </c>
    </row>
    <row r="6095" ht="22.5" customHeight="1">
      <c r="A6095" s="3" t="s">
        <v>6009</v>
      </c>
      <c r="B6095" s="3" t="s">
        <v>6010</v>
      </c>
      <c r="C6095" s="12" t="s">
        <v>6134</v>
      </c>
      <c r="D6095" s="13">
        <v>65780.0</v>
      </c>
      <c r="E6095" s="4">
        <v>45925.0</v>
      </c>
      <c r="F6095" s="4" t="str">
        <f>IF(D6095="","", IFNA(VLOOKUP(D6095, SATCAT_DECAY!A:B, 2, FALSE), ""))
</f>
        <v/>
      </c>
      <c r="G6095" s="3" t="str">
        <f t="shared" si="2"/>
        <v>ACTIVE</v>
      </c>
    </row>
    <row r="6096" ht="22.5" customHeight="1">
      <c r="A6096" s="3" t="s">
        <v>6009</v>
      </c>
      <c r="B6096" s="3" t="s">
        <v>6010</v>
      </c>
      <c r="C6096" s="12" t="s">
        <v>6135</v>
      </c>
      <c r="D6096" s="13">
        <v>65781.0</v>
      </c>
      <c r="E6096" s="4">
        <v>45925.0</v>
      </c>
      <c r="F6096" s="4" t="str">
        <f>IF(D6096="","", IFNA(VLOOKUP(D6096, SATCAT_DECAY!A:B, 2, FALSE), ""))
</f>
        <v/>
      </c>
      <c r="G6096" s="3" t="str">
        <f t="shared" si="2"/>
        <v>ACTIVE</v>
      </c>
    </row>
    <row r="6097" ht="22.5" customHeight="1">
      <c r="A6097" s="3" t="s">
        <v>6009</v>
      </c>
      <c r="B6097" s="3" t="s">
        <v>6010</v>
      </c>
      <c r="C6097" s="12" t="s">
        <v>6136</v>
      </c>
      <c r="D6097" s="13">
        <v>65782.0</v>
      </c>
      <c r="E6097" s="4">
        <v>45925.0</v>
      </c>
      <c r="F6097" s="4" t="str">
        <f>IF(D6097="","", IFNA(VLOOKUP(D6097, SATCAT_DECAY!A:B, 2, FALSE), ""))
</f>
        <v/>
      </c>
      <c r="G6097" s="3" t="str">
        <f t="shared" si="2"/>
        <v>ACTIVE</v>
      </c>
    </row>
    <row r="6098" ht="22.5" customHeight="1">
      <c r="A6098" s="3" t="s">
        <v>6009</v>
      </c>
      <c r="B6098" s="3" t="s">
        <v>6010</v>
      </c>
      <c r="C6098" s="12" t="s">
        <v>6137</v>
      </c>
      <c r="D6098" s="13">
        <v>65783.0</v>
      </c>
      <c r="E6098" s="4">
        <v>45925.0</v>
      </c>
      <c r="F6098" s="4" t="str">
        <f>IF(D6098="","", IFNA(VLOOKUP(D6098, SATCAT_DECAY!A:B, 2, FALSE), ""))
</f>
        <v/>
      </c>
      <c r="G6098" s="3" t="str">
        <f t="shared" si="2"/>
        <v>ACTIVE</v>
      </c>
    </row>
    <row r="6099" ht="22.5" customHeight="1">
      <c r="A6099" s="3" t="s">
        <v>6009</v>
      </c>
      <c r="B6099" s="3" t="s">
        <v>6010</v>
      </c>
      <c r="C6099" s="12" t="s">
        <v>6138</v>
      </c>
      <c r="D6099" s="13">
        <v>65784.0</v>
      </c>
      <c r="E6099" s="4">
        <v>45925.0</v>
      </c>
      <c r="F6099" s="4" t="str">
        <f>IF(D6099="","", IFNA(VLOOKUP(D6099, SATCAT_DECAY!A:B, 2, FALSE), ""))
</f>
        <v/>
      </c>
      <c r="G6099" s="3" t="str">
        <f t="shared" si="2"/>
        <v>ACTIVE</v>
      </c>
    </row>
    <row r="6100" ht="22.5" customHeight="1">
      <c r="A6100" s="3" t="s">
        <v>6009</v>
      </c>
      <c r="B6100" s="3" t="s">
        <v>6010</v>
      </c>
      <c r="C6100" s="12" t="s">
        <v>6139</v>
      </c>
      <c r="D6100" s="13">
        <v>65785.0</v>
      </c>
      <c r="E6100" s="4">
        <v>45925.0</v>
      </c>
      <c r="F6100" s="4" t="str">
        <f>IF(D6100="","", IFNA(VLOOKUP(D6100, SATCAT_DECAY!A:B, 2, FALSE), ""))
</f>
        <v/>
      </c>
      <c r="G6100" s="3" t="str">
        <f t="shared" si="2"/>
        <v>ACTIVE</v>
      </c>
    </row>
    <row r="6101" ht="22.5" customHeight="1">
      <c r="A6101" s="3" t="s">
        <v>6009</v>
      </c>
      <c r="B6101" s="3" t="s">
        <v>6010</v>
      </c>
      <c r="C6101" s="12" t="s">
        <v>6140</v>
      </c>
      <c r="D6101" s="13">
        <v>65786.0</v>
      </c>
      <c r="E6101" s="4">
        <v>45925.0</v>
      </c>
      <c r="F6101" s="4" t="str">
        <f>IF(D6101="","", IFNA(VLOOKUP(D6101, SATCAT_DECAY!A:B, 2, FALSE), ""))
</f>
        <v/>
      </c>
      <c r="G6101" s="3" t="str">
        <f t="shared" si="2"/>
        <v>ACTIVE</v>
      </c>
    </row>
    <row r="6102" ht="22.5" customHeight="1">
      <c r="A6102" s="3" t="s">
        <v>6009</v>
      </c>
      <c r="B6102" s="3" t="s">
        <v>6010</v>
      </c>
      <c r="C6102" s="12" t="s">
        <v>6141</v>
      </c>
      <c r="D6102" s="13">
        <v>65787.0</v>
      </c>
      <c r="E6102" s="4">
        <v>45925.0</v>
      </c>
      <c r="F6102" s="4" t="str">
        <f>IF(D6102="","", IFNA(VLOOKUP(D6102, SATCAT_DECAY!A:B, 2, FALSE), ""))
</f>
        <v/>
      </c>
      <c r="G6102" s="3" t="str">
        <f t="shared" si="2"/>
        <v>ACTIVE</v>
      </c>
    </row>
    <row r="6103" ht="22.5" customHeight="1">
      <c r="A6103" s="3" t="s">
        <v>6009</v>
      </c>
      <c r="B6103" s="3" t="s">
        <v>6010</v>
      </c>
      <c r="C6103" s="12" t="s">
        <v>6142</v>
      </c>
      <c r="D6103" s="13">
        <v>65788.0</v>
      </c>
      <c r="E6103" s="4">
        <v>45925.0</v>
      </c>
      <c r="F6103" s="4" t="str">
        <f>IF(D6103="","", IFNA(VLOOKUP(D6103, SATCAT_DECAY!A:B, 2, FALSE), ""))
</f>
        <v/>
      </c>
      <c r="G6103" s="3" t="str">
        <f t="shared" si="2"/>
        <v>ACTIVE</v>
      </c>
    </row>
    <row r="6104" ht="22.5" customHeight="1">
      <c r="A6104" s="3" t="s">
        <v>6009</v>
      </c>
      <c r="B6104" s="3" t="s">
        <v>6010</v>
      </c>
      <c r="C6104" s="12" t="s">
        <v>6143</v>
      </c>
      <c r="D6104" s="13">
        <v>65947.0</v>
      </c>
      <c r="E6104" s="4">
        <v>45944.0</v>
      </c>
      <c r="F6104" s="4" t="str">
        <f>IF(D6104="","", IFNA(VLOOKUP(D6104, SATCAT_DECAY!A:B, 2, FALSE), ""))
</f>
        <v/>
      </c>
      <c r="G6104" s="3" t="str">
        <f t="shared" si="2"/>
        <v>ACTIVE</v>
      </c>
    </row>
    <row r="6105" ht="22.5" customHeight="1">
      <c r="A6105" s="3" t="s">
        <v>6009</v>
      </c>
      <c r="B6105" s="3" t="s">
        <v>6010</v>
      </c>
      <c r="C6105" s="12" t="s">
        <v>6144</v>
      </c>
      <c r="D6105" s="13">
        <v>65948.0</v>
      </c>
      <c r="E6105" s="4">
        <v>45944.0</v>
      </c>
      <c r="F6105" s="4" t="str">
        <f>IF(D6105="","", IFNA(VLOOKUP(D6105, SATCAT_DECAY!A:B, 2, FALSE), ""))
</f>
        <v/>
      </c>
      <c r="G6105" s="3" t="str">
        <f t="shared" si="2"/>
        <v>ACTIVE</v>
      </c>
    </row>
    <row r="6106" ht="22.5" customHeight="1">
      <c r="A6106" s="3" t="s">
        <v>6009</v>
      </c>
      <c r="B6106" s="3" t="s">
        <v>6010</v>
      </c>
      <c r="C6106" s="12" t="s">
        <v>6145</v>
      </c>
      <c r="D6106" s="13">
        <v>65949.0</v>
      </c>
      <c r="E6106" s="4">
        <v>45944.0</v>
      </c>
      <c r="F6106" s="4" t="str">
        <f>IF(D6106="","", IFNA(VLOOKUP(D6106, SATCAT_DECAY!A:B, 2, FALSE), ""))
</f>
        <v/>
      </c>
      <c r="G6106" s="3" t="str">
        <f t="shared" si="2"/>
        <v>ACTIVE</v>
      </c>
    </row>
    <row r="6107" ht="22.5" customHeight="1">
      <c r="A6107" s="3" t="s">
        <v>6009</v>
      </c>
      <c r="B6107" s="3" t="s">
        <v>6010</v>
      </c>
      <c r="C6107" s="12" t="s">
        <v>6146</v>
      </c>
      <c r="D6107" s="13">
        <v>65950.0</v>
      </c>
      <c r="E6107" s="4">
        <v>45944.0</v>
      </c>
      <c r="F6107" s="4" t="str">
        <f>IF(D6107="","", IFNA(VLOOKUP(D6107, SATCAT_DECAY!A:B, 2, FALSE), ""))
</f>
        <v/>
      </c>
      <c r="G6107" s="3" t="str">
        <f t="shared" si="2"/>
        <v>ACTIVE</v>
      </c>
    </row>
    <row r="6108" ht="22.5" customHeight="1">
      <c r="A6108" s="3" t="s">
        <v>6009</v>
      </c>
      <c r="B6108" s="3" t="s">
        <v>6010</v>
      </c>
      <c r="C6108" s="12" t="s">
        <v>6147</v>
      </c>
      <c r="D6108" s="13">
        <v>65951.0</v>
      </c>
      <c r="E6108" s="4">
        <v>45944.0</v>
      </c>
      <c r="F6108" s="4" t="str">
        <f>IF(D6108="","", IFNA(VLOOKUP(D6108, SATCAT_DECAY!A:B, 2, FALSE), ""))
</f>
        <v/>
      </c>
      <c r="G6108" s="3" t="str">
        <f t="shared" si="2"/>
        <v>ACTIVE</v>
      </c>
    </row>
    <row r="6109" ht="22.5" customHeight="1">
      <c r="A6109" s="3" t="s">
        <v>6009</v>
      </c>
      <c r="B6109" s="3" t="s">
        <v>6010</v>
      </c>
      <c r="C6109" s="12" t="s">
        <v>6148</v>
      </c>
      <c r="D6109" s="13">
        <v>65952.0</v>
      </c>
      <c r="E6109" s="4">
        <v>45944.0</v>
      </c>
      <c r="F6109" s="4" t="str">
        <f>IF(D6109="","", IFNA(VLOOKUP(D6109, SATCAT_DECAY!A:B, 2, FALSE), ""))
</f>
        <v/>
      </c>
      <c r="G6109" s="3" t="str">
        <f t="shared" si="2"/>
        <v>ACTIVE</v>
      </c>
    </row>
    <row r="6110" ht="22.5" customHeight="1">
      <c r="A6110" s="3" t="s">
        <v>6009</v>
      </c>
      <c r="B6110" s="3" t="s">
        <v>6010</v>
      </c>
      <c r="C6110" s="12" t="s">
        <v>6149</v>
      </c>
      <c r="D6110" s="13">
        <v>65953.0</v>
      </c>
      <c r="E6110" s="4">
        <v>45944.0</v>
      </c>
      <c r="F6110" s="4" t="str">
        <f>IF(D6110="","", IFNA(VLOOKUP(D6110, SATCAT_DECAY!A:B, 2, FALSE), ""))
</f>
        <v/>
      </c>
      <c r="G6110" s="3" t="str">
        <f t="shared" si="2"/>
        <v>ACTIVE</v>
      </c>
    </row>
    <row r="6111" ht="22.5" customHeight="1">
      <c r="A6111" s="3" t="s">
        <v>6009</v>
      </c>
      <c r="B6111" s="3" t="s">
        <v>6010</v>
      </c>
      <c r="C6111" s="12" t="s">
        <v>6150</v>
      </c>
      <c r="D6111" s="13">
        <v>65954.0</v>
      </c>
      <c r="E6111" s="4">
        <v>45944.0</v>
      </c>
      <c r="F6111" s="4" t="str">
        <f>IF(D6111="","", IFNA(VLOOKUP(D6111, SATCAT_DECAY!A:B, 2, FALSE), ""))
</f>
        <v/>
      </c>
      <c r="G6111" s="3" t="str">
        <f t="shared" si="2"/>
        <v>ACTIVE</v>
      </c>
    </row>
    <row r="6112" ht="22.5" customHeight="1">
      <c r="A6112" s="3" t="s">
        <v>6009</v>
      </c>
      <c r="B6112" s="3" t="s">
        <v>6010</v>
      </c>
      <c r="C6112" s="12" t="s">
        <v>6151</v>
      </c>
      <c r="D6112" s="13">
        <v>65955.0</v>
      </c>
      <c r="E6112" s="4">
        <v>45944.0</v>
      </c>
      <c r="F6112" s="4" t="str">
        <f>IF(D6112="","", IFNA(VLOOKUP(D6112, SATCAT_DECAY!A:B, 2, FALSE), ""))
</f>
        <v/>
      </c>
      <c r="G6112" s="3" t="str">
        <f t="shared" si="2"/>
        <v>ACTIVE</v>
      </c>
    </row>
    <row r="6113" ht="22.5" customHeight="1">
      <c r="A6113" s="3" t="s">
        <v>6009</v>
      </c>
      <c r="B6113" s="3" t="s">
        <v>6010</v>
      </c>
      <c r="C6113" s="12" t="s">
        <v>6152</v>
      </c>
      <c r="D6113" s="13">
        <v>65956.0</v>
      </c>
      <c r="E6113" s="4">
        <v>45944.0</v>
      </c>
      <c r="F6113" s="4" t="str">
        <f>IF(D6113="","", IFNA(VLOOKUP(D6113, SATCAT_DECAY!A:B, 2, FALSE), ""))
</f>
        <v/>
      </c>
      <c r="G6113" s="3" t="str">
        <f t="shared" si="2"/>
        <v>ACTIVE</v>
      </c>
    </row>
    <row r="6114" ht="22.5" customHeight="1">
      <c r="A6114" s="3" t="s">
        <v>6009</v>
      </c>
      <c r="B6114" s="3" t="s">
        <v>6010</v>
      </c>
      <c r="C6114" s="12" t="s">
        <v>6153</v>
      </c>
      <c r="D6114" s="13">
        <v>65957.0</v>
      </c>
      <c r="E6114" s="4">
        <v>45944.0</v>
      </c>
      <c r="F6114" s="4" t="str">
        <f>IF(D6114="","", IFNA(VLOOKUP(D6114, SATCAT_DECAY!A:B, 2, FALSE), ""))
</f>
        <v/>
      </c>
      <c r="G6114" s="3" t="str">
        <f t="shared" si="2"/>
        <v>ACTIVE</v>
      </c>
    </row>
    <row r="6115" ht="22.5" customHeight="1">
      <c r="A6115" s="3" t="s">
        <v>6009</v>
      </c>
      <c r="B6115" s="3" t="s">
        <v>6010</v>
      </c>
      <c r="C6115" s="12" t="s">
        <v>6154</v>
      </c>
      <c r="D6115" s="13">
        <v>65958.0</v>
      </c>
      <c r="E6115" s="4">
        <v>45944.0</v>
      </c>
      <c r="F6115" s="4" t="str">
        <f>IF(D6115="","", IFNA(VLOOKUP(D6115, SATCAT_DECAY!A:B, 2, FALSE), ""))
</f>
        <v/>
      </c>
      <c r="G6115" s="3" t="str">
        <f t="shared" si="2"/>
        <v>ACTIVE</v>
      </c>
    </row>
    <row r="6116" ht="22.5" customHeight="1">
      <c r="A6116" s="3" t="s">
        <v>6009</v>
      </c>
      <c r="B6116" s="3" t="s">
        <v>6010</v>
      </c>
      <c r="C6116" s="12" t="s">
        <v>6155</v>
      </c>
      <c r="D6116" s="13">
        <v>65959.0</v>
      </c>
      <c r="E6116" s="4">
        <v>45944.0</v>
      </c>
      <c r="F6116" s="4" t="str">
        <f>IF(D6116="","", IFNA(VLOOKUP(D6116, SATCAT_DECAY!A:B, 2, FALSE), ""))
</f>
        <v/>
      </c>
      <c r="G6116" s="3" t="str">
        <f t="shared" si="2"/>
        <v>ACTIVE</v>
      </c>
    </row>
    <row r="6117" ht="22.5" customHeight="1">
      <c r="A6117" s="3" t="s">
        <v>6009</v>
      </c>
      <c r="B6117" s="3" t="s">
        <v>6010</v>
      </c>
      <c r="C6117" s="12" t="s">
        <v>6156</v>
      </c>
      <c r="D6117" s="13">
        <v>65960.0</v>
      </c>
      <c r="E6117" s="4">
        <v>45944.0</v>
      </c>
      <c r="F6117" s="4" t="str">
        <f>IF(D6117="","", IFNA(VLOOKUP(D6117, SATCAT_DECAY!A:B, 2, FALSE), ""))
</f>
        <v/>
      </c>
      <c r="G6117" s="3" t="str">
        <f t="shared" si="2"/>
        <v>ACTIVE</v>
      </c>
    </row>
    <row r="6118" ht="22.5" customHeight="1">
      <c r="A6118" s="3" t="s">
        <v>6009</v>
      </c>
      <c r="B6118" s="3" t="s">
        <v>6010</v>
      </c>
      <c r="C6118" s="12" t="s">
        <v>6157</v>
      </c>
      <c r="D6118" s="13">
        <v>65961.0</v>
      </c>
      <c r="E6118" s="4">
        <v>45944.0</v>
      </c>
      <c r="F6118" s="4" t="str">
        <f>IF(D6118="","", IFNA(VLOOKUP(D6118, SATCAT_DECAY!A:B, 2, FALSE), ""))
</f>
        <v/>
      </c>
      <c r="G6118" s="3" t="str">
        <f t="shared" si="2"/>
        <v>ACTIVE</v>
      </c>
    </row>
    <row r="6119" ht="22.5" customHeight="1">
      <c r="A6119" s="3" t="s">
        <v>6009</v>
      </c>
      <c r="B6119" s="3" t="s">
        <v>6010</v>
      </c>
      <c r="C6119" s="12" t="s">
        <v>6158</v>
      </c>
      <c r="D6119" s="13">
        <v>65962.0</v>
      </c>
      <c r="E6119" s="4">
        <v>45944.0</v>
      </c>
      <c r="F6119" s="4" t="str">
        <f>IF(D6119="","", IFNA(VLOOKUP(D6119, SATCAT_DECAY!A:B, 2, FALSE), ""))
</f>
        <v/>
      </c>
      <c r="G6119" s="3" t="str">
        <f t="shared" si="2"/>
        <v>ACTIVE</v>
      </c>
    </row>
    <row r="6120" ht="22.5" customHeight="1">
      <c r="A6120" s="3" t="s">
        <v>6009</v>
      </c>
      <c r="B6120" s="3" t="s">
        <v>6010</v>
      </c>
      <c r="C6120" s="12" t="s">
        <v>6159</v>
      </c>
      <c r="D6120" s="13">
        <v>65963.0</v>
      </c>
      <c r="E6120" s="4">
        <v>45944.0</v>
      </c>
      <c r="F6120" s="4" t="str">
        <f>IF(D6120="","", IFNA(VLOOKUP(D6120, SATCAT_DECAY!A:B, 2, FALSE), ""))
</f>
        <v/>
      </c>
      <c r="G6120" s="3" t="str">
        <f t="shared" si="2"/>
        <v>ACTIVE</v>
      </c>
    </row>
    <row r="6121" ht="22.5" customHeight="1">
      <c r="A6121" s="3" t="s">
        <v>6009</v>
      </c>
      <c r="B6121" s="3" t="s">
        <v>6010</v>
      </c>
      <c r="C6121" s="12" t="s">
        <v>6160</v>
      </c>
      <c r="D6121" s="13">
        <v>65964.0</v>
      </c>
      <c r="E6121" s="4">
        <v>45944.0</v>
      </c>
      <c r="F6121" s="4" t="str">
        <f>IF(D6121="","", IFNA(VLOOKUP(D6121, SATCAT_DECAY!A:B, 2, FALSE), ""))
</f>
        <v/>
      </c>
      <c r="G6121" s="3" t="str">
        <f t="shared" si="2"/>
        <v>ACTIVE</v>
      </c>
    </row>
    <row r="6122" ht="22.5" customHeight="1">
      <c r="A6122" s="3" t="s">
        <v>6009</v>
      </c>
      <c r="B6122" s="3" t="s">
        <v>6010</v>
      </c>
      <c r="C6122" s="12" t="s">
        <v>6161</v>
      </c>
      <c r="D6122" s="13">
        <v>65965.0</v>
      </c>
      <c r="E6122" s="4">
        <v>45944.0</v>
      </c>
      <c r="F6122" s="4" t="str">
        <f>IF(D6122="","", IFNA(VLOOKUP(D6122, SATCAT_DECAY!A:B, 2, FALSE), ""))
</f>
        <v/>
      </c>
      <c r="G6122" s="3" t="str">
        <f t="shared" si="2"/>
        <v>ACTIVE</v>
      </c>
    </row>
    <row r="6123" ht="22.5" customHeight="1">
      <c r="A6123" s="3" t="s">
        <v>6009</v>
      </c>
      <c r="B6123" s="3" t="s">
        <v>6010</v>
      </c>
      <c r="C6123" s="12" t="s">
        <v>6162</v>
      </c>
      <c r="D6123" s="13">
        <v>65966.0</v>
      </c>
      <c r="E6123" s="4">
        <v>45944.0</v>
      </c>
      <c r="F6123" s="4" t="str">
        <f>IF(D6123="","", IFNA(VLOOKUP(D6123, SATCAT_DECAY!A:B, 2, FALSE), ""))
</f>
        <v/>
      </c>
      <c r="G6123" s="3" t="str">
        <f t="shared" si="2"/>
        <v>ACTIVE</v>
      </c>
    </row>
    <row r="6124" ht="22.5" customHeight="1">
      <c r="A6124" s="3" t="s">
        <v>6009</v>
      </c>
      <c r="B6124" s="3" t="s">
        <v>6010</v>
      </c>
      <c r="C6124" s="12" t="s">
        <v>6163</v>
      </c>
      <c r="D6124" s="13">
        <v>65967.0</v>
      </c>
      <c r="E6124" s="4">
        <v>45944.0</v>
      </c>
      <c r="F6124" s="4" t="str">
        <f>IF(D6124="","", IFNA(VLOOKUP(D6124, SATCAT_DECAY!A:B, 2, FALSE), ""))
</f>
        <v/>
      </c>
      <c r="G6124" s="3" t="str">
        <f t="shared" si="2"/>
        <v>ACTIVE</v>
      </c>
    </row>
    <row r="6125" ht="22.5" customHeight="1">
      <c r="A6125" s="3" t="s">
        <v>6009</v>
      </c>
      <c r="B6125" s="3" t="s">
        <v>6010</v>
      </c>
      <c r="C6125" s="12" t="s">
        <v>6164</v>
      </c>
      <c r="D6125" s="13">
        <v>65968.0</v>
      </c>
      <c r="E6125" s="4">
        <v>45944.0</v>
      </c>
      <c r="F6125" s="4" t="str">
        <f>IF(D6125="","", IFNA(VLOOKUP(D6125, SATCAT_DECAY!A:B, 2, FALSE), ""))
</f>
        <v/>
      </c>
      <c r="G6125" s="3" t="str">
        <f t="shared" si="2"/>
        <v>ACTIVE</v>
      </c>
    </row>
    <row r="6126" ht="22.5" customHeight="1">
      <c r="A6126" s="3" t="s">
        <v>6009</v>
      </c>
      <c r="B6126" s="3" t="s">
        <v>6010</v>
      </c>
      <c r="C6126" s="12" t="s">
        <v>6165</v>
      </c>
      <c r="D6126" s="13">
        <v>65969.0</v>
      </c>
      <c r="E6126" s="4">
        <v>45944.0</v>
      </c>
      <c r="F6126" s="4" t="str">
        <f>IF(D6126="","", IFNA(VLOOKUP(D6126, SATCAT_DECAY!A:B, 2, FALSE), ""))
</f>
        <v/>
      </c>
      <c r="G6126" s="3" t="str">
        <f t="shared" si="2"/>
        <v>ACTIVE</v>
      </c>
    </row>
    <row r="6127" ht="22.5" customHeight="1">
      <c r="A6127" s="3" t="s">
        <v>6009</v>
      </c>
      <c r="B6127" s="3" t="s">
        <v>6010</v>
      </c>
      <c r="C6127" s="12" t="s">
        <v>6166</v>
      </c>
      <c r="D6127" s="13">
        <v>65970.0</v>
      </c>
      <c r="E6127" s="4">
        <v>45944.0</v>
      </c>
      <c r="F6127" s="4" t="str">
        <f>IF(D6127="","", IFNA(VLOOKUP(D6127, SATCAT_DECAY!A:B, 2, FALSE), ""))
</f>
        <v/>
      </c>
      <c r="G6127" s="3" t="str">
        <f t="shared" si="2"/>
        <v>ACTIVE</v>
      </c>
    </row>
    <row r="6128" ht="22.5" customHeight="1">
      <c r="A6128" s="3" t="s">
        <v>6009</v>
      </c>
      <c r="B6128" s="3" t="s">
        <v>6010</v>
      </c>
      <c r="C6128" s="12" t="s">
        <v>6167</v>
      </c>
      <c r="D6128" s="13">
        <v>67133.0</v>
      </c>
      <c r="E6128" s="4">
        <v>46007.0</v>
      </c>
      <c r="F6128" s="4" t="str">
        <f>IF(D6128="","", IFNA(VLOOKUP(D6128, SATCAT_DECAY!A:B, 2, FALSE), ""))
</f>
        <v/>
      </c>
      <c r="G6128" s="3" t="str">
        <f t="shared" si="2"/>
        <v>ACTIVE</v>
      </c>
    </row>
    <row r="6129" ht="22.5" customHeight="1">
      <c r="A6129" s="3" t="s">
        <v>6009</v>
      </c>
      <c r="B6129" s="3" t="s">
        <v>6010</v>
      </c>
      <c r="C6129" s="12" t="s">
        <v>6168</v>
      </c>
      <c r="D6129" s="13">
        <v>67134.0</v>
      </c>
      <c r="E6129" s="4">
        <v>46007.0</v>
      </c>
      <c r="F6129" s="4" t="str">
        <f>IF(D6129="","", IFNA(VLOOKUP(D6129, SATCAT_DECAY!A:B, 2, FALSE), ""))
</f>
        <v/>
      </c>
      <c r="G6129" s="3" t="str">
        <f t="shared" si="2"/>
        <v>ACTIVE</v>
      </c>
    </row>
    <row r="6130" ht="22.5" customHeight="1">
      <c r="A6130" s="3" t="s">
        <v>6009</v>
      </c>
      <c r="B6130" s="3" t="s">
        <v>6010</v>
      </c>
      <c r="C6130" s="12" t="s">
        <v>6169</v>
      </c>
      <c r="D6130" s="13">
        <v>67135.0</v>
      </c>
      <c r="E6130" s="4">
        <v>46007.0</v>
      </c>
      <c r="F6130" s="4" t="str">
        <f>IF(D6130="","", IFNA(VLOOKUP(D6130, SATCAT_DECAY!A:B, 2, FALSE), ""))
</f>
        <v/>
      </c>
      <c r="G6130" s="3" t="str">
        <f t="shared" si="2"/>
        <v>ACTIVE</v>
      </c>
    </row>
    <row r="6131" ht="22.5" customHeight="1">
      <c r="A6131" s="3" t="s">
        <v>6009</v>
      </c>
      <c r="B6131" s="3" t="s">
        <v>6010</v>
      </c>
      <c r="C6131" s="12" t="s">
        <v>6170</v>
      </c>
      <c r="D6131" s="13">
        <v>67136.0</v>
      </c>
      <c r="E6131" s="4">
        <v>46007.0</v>
      </c>
      <c r="F6131" s="4" t="str">
        <f>IF(D6131="","", IFNA(VLOOKUP(D6131, SATCAT_DECAY!A:B, 2, FALSE), ""))
</f>
        <v/>
      </c>
      <c r="G6131" s="3" t="str">
        <f t="shared" si="2"/>
        <v>ACTIVE</v>
      </c>
    </row>
    <row r="6132" ht="22.5" customHeight="1">
      <c r="A6132" s="3" t="s">
        <v>6009</v>
      </c>
      <c r="B6132" s="3" t="s">
        <v>6010</v>
      </c>
      <c r="C6132" s="12" t="s">
        <v>6171</v>
      </c>
      <c r="D6132" s="13">
        <v>67137.0</v>
      </c>
      <c r="E6132" s="4">
        <v>46007.0</v>
      </c>
      <c r="F6132" s="4" t="str">
        <f>IF(D6132="","", IFNA(VLOOKUP(D6132, SATCAT_DECAY!A:B, 2, FALSE), ""))
</f>
        <v/>
      </c>
      <c r="G6132" s="3" t="str">
        <f t="shared" si="2"/>
        <v>ACTIVE</v>
      </c>
    </row>
    <row r="6133" ht="22.5" customHeight="1">
      <c r="A6133" s="3" t="s">
        <v>6009</v>
      </c>
      <c r="B6133" s="3" t="s">
        <v>6010</v>
      </c>
      <c r="C6133" s="12" t="s">
        <v>6172</v>
      </c>
      <c r="D6133" s="13">
        <v>67138.0</v>
      </c>
      <c r="E6133" s="4">
        <v>46007.0</v>
      </c>
      <c r="F6133" s="4" t="str">
        <f>IF(D6133="","", IFNA(VLOOKUP(D6133, SATCAT_DECAY!A:B, 2, FALSE), ""))
</f>
        <v/>
      </c>
      <c r="G6133" s="3" t="str">
        <f t="shared" si="2"/>
        <v>ACTIVE</v>
      </c>
    </row>
    <row r="6134" ht="22.5" customHeight="1">
      <c r="A6134" s="3" t="s">
        <v>6009</v>
      </c>
      <c r="B6134" s="3" t="s">
        <v>6010</v>
      </c>
      <c r="C6134" s="12" t="s">
        <v>6173</v>
      </c>
      <c r="D6134" s="13">
        <v>67139.0</v>
      </c>
      <c r="E6134" s="4">
        <v>46007.0</v>
      </c>
      <c r="F6134" s="4" t="str">
        <f>IF(D6134="","", IFNA(VLOOKUP(D6134, SATCAT_DECAY!A:B, 2, FALSE), ""))
</f>
        <v/>
      </c>
      <c r="G6134" s="3" t="str">
        <f t="shared" si="2"/>
        <v>ACTIVE</v>
      </c>
    </row>
    <row r="6135" ht="22.5" customHeight="1">
      <c r="A6135" s="3" t="s">
        <v>6009</v>
      </c>
      <c r="B6135" s="3" t="s">
        <v>6010</v>
      </c>
      <c r="C6135" s="12" t="s">
        <v>6174</v>
      </c>
      <c r="D6135" s="13">
        <v>67140.0</v>
      </c>
      <c r="E6135" s="4">
        <v>46007.0</v>
      </c>
      <c r="F6135" s="4" t="str">
        <f>IF(D6135="","", IFNA(VLOOKUP(D6135, SATCAT_DECAY!A:B, 2, FALSE), ""))
</f>
        <v/>
      </c>
      <c r="G6135" s="3" t="str">
        <f t="shared" si="2"/>
        <v>ACTIVE</v>
      </c>
    </row>
    <row r="6136" ht="22.5" customHeight="1">
      <c r="A6136" s="3" t="s">
        <v>6009</v>
      </c>
      <c r="B6136" s="3" t="s">
        <v>6010</v>
      </c>
      <c r="C6136" s="12" t="s">
        <v>6175</v>
      </c>
      <c r="D6136" s="13">
        <v>67141.0</v>
      </c>
      <c r="E6136" s="4">
        <v>46007.0</v>
      </c>
      <c r="F6136" s="4" t="str">
        <f>IF(D6136="","", IFNA(VLOOKUP(D6136, SATCAT_DECAY!A:B, 2, FALSE), ""))
</f>
        <v/>
      </c>
      <c r="G6136" s="3" t="str">
        <f t="shared" si="2"/>
        <v>ACTIVE</v>
      </c>
    </row>
    <row r="6137" ht="22.5" customHeight="1">
      <c r="A6137" s="3" t="s">
        <v>6009</v>
      </c>
      <c r="B6137" s="3" t="s">
        <v>6010</v>
      </c>
      <c r="C6137" s="12" t="s">
        <v>6176</v>
      </c>
      <c r="D6137" s="13">
        <v>67142.0</v>
      </c>
      <c r="E6137" s="4">
        <v>46007.0</v>
      </c>
      <c r="F6137" s="4" t="str">
        <f>IF(D6137="","", IFNA(VLOOKUP(D6137, SATCAT_DECAY!A:B, 2, FALSE), ""))
</f>
        <v/>
      </c>
      <c r="G6137" s="3" t="str">
        <f t="shared" si="2"/>
        <v>ACTIVE</v>
      </c>
    </row>
    <row r="6138" ht="22.5" customHeight="1">
      <c r="A6138" s="3" t="s">
        <v>6009</v>
      </c>
      <c r="B6138" s="3" t="s">
        <v>6010</v>
      </c>
      <c r="C6138" s="12" t="s">
        <v>6177</v>
      </c>
      <c r="D6138" s="13">
        <v>67143.0</v>
      </c>
      <c r="E6138" s="4">
        <v>46007.0</v>
      </c>
      <c r="F6138" s="4" t="str">
        <f>IF(D6138="","", IFNA(VLOOKUP(D6138, SATCAT_DECAY!A:B, 2, FALSE), ""))
</f>
        <v/>
      </c>
      <c r="G6138" s="3" t="str">
        <f t="shared" si="2"/>
        <v>ACTIVE</v>
      </c>
    </row>
    <row r="6139" ht="22.5" customHeight="1">
      <c r="A6139" s="3" t="s">
        <v>6009</v>
      </c>
      <c r="B6139" s="3" t="s">
        <v>6010</v>
      </c>
      <c r="C6139" s="12" t="s">
        <v>6178</v>
      </c>
      <c r="D6139" s="13">
        <v>67144.0</v>
      </c>
      <c r="E6139" s="4">
        <v>46007.0</v>
      </c>
      <c r="F6139" s="4" t="str">
        <f>IF(D6139="","", IFNA(VLOOKUP(D6139, SATCAT_DECAY!A:B, 2, FALSE), ""))
</f>
        <v/>
      </c>
      <c r="G6139" s="3" t="str">
        <f t="shared" si="2"/>
        <v>ACTIVE</v>
      </c>
    </row>
    <row r="6140" ht="22.5" customHeight="1">
      <c r="A6140" s="3" t="s">
        <v>6009</v>
      </c>
      <c r="B6140" s="3" t="s">
        <v>6010</v>
      </c>
      <c r="C6140" s="12" t="s">
        <v>6179</v>
      </c>
      <c r="D6140" s="13">
        <v>67145.0</v>
      </c>
      <c r="E6140" s="4">
        <v>46007.0</v>
      </c>
      <c r="F6140" s="4" t="str">
        <f>IF(D6140="","", IFNA(VLOOKUP(D6140, SATCAT_DECAY!A:B, 2, FALSE), ""))
</f>
        <v/>
      </c>
      <c r="G6140" s="3" t="str">
        <f t="shared" si="2"/>
        <v>ACTIVE</v>
      </c>
    </row>
    <row r="6141" ht="22.5" customHeight="1">
      <c r="A6141" s="3" t="s">
        <v>6009</v>
      </c>
      <c r="B6141" s="3" t="s">
        <v>6010</v>
      </c>
      <c r="C6141" s="12" t="s">
        <v>6180</v>
      </c>
      <c r="D6141" s="13">
        <v>67146.0</v>
      </c>
      <c r="E6141" s="4">
        <v>46007.0</v>
      </c>
      <c r="F6141" s="4" t="str">
        <f>IF(D6141="","", IFNA(VLOOKUP(D6141, SATCAT_DECAY!A:B, 2, FALSE), ""))
</f>
        <v/>
      </c>
      <c r="G6141" s="3" t="str">
        <f t="shared" si="2"/>
        <v>ACTIVE</v>
      </c>
    </row>
    <row r="6142" ht="22.5" customHeight="1">
      <c r="A6142" s="3" t="s">
        <v>6009</v>
      </c>
      <c r="B6142" s="3" t="s">
        <v>6010</v>
      </c>
      <c r="C6142" s="12" t="s">
        <v>6181</v>
      </c>
      <c r="D6142" s="13">
        <v>67147.0</v>
      </c>
      <c r="E6142" s="4">
        <v>46007.0</v>
      </c>
      <c r="F6142" s="4" t="str">
        <f>IF(D6142="","", IFNA(VLOOKUP(D6142, SATCAT_DECAY!A:B, 2, FALSE), ""))
</f>
        <v/>
      </c>
      <c r="G6142" s="3" t="str">
        <f t="shared" si="2"/>
        <v>ACTIVE</v>
      </c>
    </row>
    <row r="6143" ht="22.5" customHeight="1">
      <c r="A6143" s="3" t="s">
        <v>6009</v>
      </c>
      <c r="B6143" s="3" t="s">
        <v>6010</v>
      </c>
      <c r="C6143" s="12" t="s">
        <v>6182</v>
      </c>
      <c r="D6143" s="13">
        <v>67148.0</v>
      </c>
      <c r="E6143" s="4">
        <v>46007.0</v>
      </c>
      <c r="F6143" s="4" t="str">
        <f>IF(D6143="","", IFNA(VLOOKUP(D6143, SATCAT_DECAY!A:B, 2, FALSE), ""))
</f>
        <v/>
      </c>
      <c r="G6143" s="3" t="str">
        <f t="shared" si="2"/>
        <v>ACTIVE</v>
      </c>
    </row>
    <row r="6144" ht="22.5" customHeight="1">
      <c r="A6144" s="3" t="s">
        <v>6009</v>
      </c>
      <c r="B6144" s="3" t="s">
        <v>6010</v>
      </c>
      <c r="C6144" s="12" t="s">
        <v>6183</v>
      </c>
      <c r="D6144" s="13">
        <v>67149.0</v>
      </c>
      <c r="E6144" s="4">
        <v>46007.0</v>
      </c>
      <c r="F6144" s="4" t="str">
        <f>IF(D6144="","", IFNA(VLOOKUP(D6144, SATCAT_DECAY!A:B, 2, FALSE), ""))
</f>
        <v/>
      </c>
      <c r="G6144" s="3" t="str">
        <f t="shared" si="2"/>
        <v>ACTIVE</v>
      </c>
    </row>
    <row r="6145" ht="22.5" customHeight="1">
      <c r="A6145" s="3" t="s">
        <v>6009</v>
      </c>
      <c r="B6145" s="3" t="s">
        <v>6010</v>
      </c>
      <c r="C6145" s="12" t="s">
        <v>6184</v>
      </c>
      <c r="D6145" s="13">
        <v>67150.0</v>
      </c>
      <c r="E6145" s="4">
        <v>46007.0</v>
      </c>
      <c r="F6145" s="4" t="str">
        <f>IF(D6145="","", IFNA(VLOOKUP(D6145, SATCAT_DECAY!A:B, 2, FALSE), ""))
</f>
        <v/>
      </c>
      <c r="G6145" s="3" t="str">
        <f t="shared" si="2"/>
        <v>ACTIVE</v>
      </c>
    </row>
    <row r="6146" ht="22.5" customHeight="1">
      <c r="A6146" s="3" t="s">
        <v>6009</v>
      </c>
      <c r="B6146" s="3" t="s">
        <v>6010</v>
      </c>
      <c r="C6146" s="12" t="s">
        <v>6185</v>
      </c>
      <c r="D6146" s="13">
        <v>67151.0</v>
      </c>
      <c r="E6146" s="4">
        <v>46007.0</v>
      </c>
      <c r="F6146" s="4" t="str">
        <f>IF(D6146="","", IFNA(VLOOKUP(D6146, SATCAT_DECAY!A:B, 2, FALSE), ""))
</f>
        <v/>
      </c>
      <c r="G6146" s="3" t="str">
        <f t="shared" si="2"/>
        <v>ACTIVE</v>
      </c>
    </row>
    <row r="6147" ht="22.5" customHeight="1">
      <c r="A6147" s="3" t="s">
        <v>6009</v>
      </c>
      <c r="B6147" s="3" t="s">
        <v>6010</v>
      </c>
      <c r="C6147" s="12" t="s">
        <v>6186</v>
      </c>
      <c r="D6147" s="13">
        <v>67152.0</v>
      </c>
      <c r="E6147" s="4">
        <v>46007.0</v>
      </c>
      <c r="F6147" s="4" t="str">
        <f>IF(D6147="","", IFNA(VLOOKUP(D6147, SATCAT_DECAY!A:B, 2, FALSE), ""))
</f>
        <v/>
      </c>
      <c r="G6147" s="3" t="str">
        <f t="shared" si="2"/>
        <v>ACTIVE</v>
      </c>
    </row>
    <row r="6148" ht="22.5" customHeight="1">
      <c r="A6148" s="3" t="s">
        <v>6009</v>
      </c>
      <c r="B6148" s="3" t="s">
        <v>6010</v>
      </c>
      <c r="C6148" s="12" t="s">
        <v>6187</v>
      </c>
      <c r="D6148" s="13">
        <v>67153.0</v>
      </c>
      <c r="E6148" s="4">
        <v>46007.0</v>
      </c>
      <c r="F6148" s="4" t="str">
        <f>IF(D6148="","", IFNA(VLOOKUP(D6148, SATCAT_DECAY!A:B, 2, FALSE), ""))
</f>
        <v/>
      </c>
      <c r="G6148" s="3" t="str">
        <f t="shared" si="2"/>
        <v>ACTIVE</v>
      </c>
    </row>
    <row r="6149" ht="22.5" customHeight="1">
      <c r="A6149" s="3" t="s">
        <v>6009</v>
      </c>
      <c r="B6149" s="3" t="s">
        <v>6010</v>
      </c>
      <c r="C6149" s="12" t="s">
        <v>6188</v>
      </c>
      <c r="D6149" s="13">
        <v>67154.0</v>
      </c>
      <c r="E6149" s="4">
        <v>46007.0</v>
      </c>
      <c r="F6149" s="4" t="str">
        <f>IF(D6149="","", IFNA(VLOOKUP(D6149, SATCAT_DECAY!A:B, 2, FALSE), ""))
</f>
        <v/>
      </c>
      <c r="G6149" s="3" t="str">
        <f t="shared" si="2"/>
        <v>ACTIVE</v>
      </c>
    </row>
    <row r="6150" ht="22.5" customHeight="1">
      <c r="A6150" s="3" t="s">
        <v>6009</v>
      </c>
      <c r="B6150" s="3" t="s">
        <v>6010</v>
      </c>
      <c r="C6150" s="12" t="s">
        <v>6189</v>
      </c>
      <c r="D6150" s="13">
        <v>67155.0</v>
      </c>
      <c r="E6150" s="4">
        <v>46007.0</v>
      </c>
      <c r="F6150" s="4" t="str">
        <f>IF(D6150="","", IFNA(VLOOKUP(D6150, SATCAT_DECAY!A:B, 2, FALSE), ""))
</f>
        <v/>
      </c>
      <c r="G6150" s="3" t="str">
        <f t="shared" si="2"/>
        <v>ACTIVE</v>
      </c>
    </row>
    <row r="6151" ht="22.5" customHeight="1">
      <c r="A6151" s="3" t="s">
        <v>6009</v>
      </c>
      <c r="B6151" s="3" t="s">
        <v>6010</v>
      </c>
      <c r="C6151" s="12" t="s">
        <v>6190</v>
      </c>
      <c r="D6151" s="13">
        <v>67156.0</v>
      </c>
      <c r="E6151" s="4">
        <v>46007.0</v>
      </c>
      <c r="F6151" s="4" t="str">
        <f>IF(D6151="","", IFNA(VLOOKUP(D6151, SATCAT_DECAY!A:B, 2, FALSE), ""))
</f>
        <v/>
      </c>
      <c r="G6151" s="3" t="str">
        <f t="shared" si="2"/>
        <v>ACTIVE</v>
      </c>
    </row>
    <row r="6152" ht="22.5" customHeight="1">
      <c r="A6152" s="3" t="s">
        <v>6009</v>
      </c>
      <c r="B6152" s="3" t="s">
        <v>6010</v>
      </c>
      <c r="C6152" s="12" t="s">
        <v>6191</v>
      </c>
      <c r="D6152" s="13">
        <v>67157.0</v>
      </c>
      <c r="E6152" s="4">
        <v>46007.0</v>
      </c>
      <c r="F6152" s="4" t="str">
        <f>IF(D6152="","", IFNA(VLOOKUP(D6152, SATCAT_DECAY!A:B, 2, FALSE), ""))
</f>
        <v/>
      </c>
      <c r="G6152" s="3" t="str">
        <f t="shared" si="2"/>
        <v>ACTIVE</v>
      </c>
    </row>
    <row r="6153" ht="22.5" customHeight="1">
      <c r="A6153" s="3" t="s">
        <v>6009</v>
      </c>
      <c r="B6153" s="3" t="s">
        <v>6010</v>
      </c>
      <c r="C6153" s="12" t="s">
        <v>6192</v>
      </c>
      <c r="D6153" s="13">
        <v>67158.0</v>
      </c>
      <c r="E6153" s="4">
        <v>46007.0</v>
      </c>
      <c r="F6153" s="4" t="str">
        <f>IF(D6153="","", IFNA(VLOOKUP(D6153, SATCAT_DECAY!A:B, 2, FALSE), ""))
</f>
        <v/>
      </c>
      <c r="G6153" s="3" t="str">
        <f t="shared" si="2"/>
        <v>ACTIVE</v>
      </c>
    </row>
    <row r="6154" ht="22.5" customHeight="1">
      <c r="A6154" s="9" t="s">
        <v>6009</v>
      </c>
      <c r="B6154" s="9" t="s">
        <v>6010</v>
      </c>
      <c r="C6154" s="18" t="s">
        <v>6193</v>
      </c>
      <c r="D6154" s="19">
        <v>67159.0</v>
      </c>
      <c r="E6154" s="10">
        <v>46007.0</v>
      </c>
      <c r="F6154" s="10" t="str">
        <f>IF(D6154="","", IFNA(VLOOKUP(D6154, SATCAT_DECAY!A:B, 2, FALSE), ""))
</f>
        <v/>
      </c>
      <c r="G6154" s="9" t="str">
        <f t="shared" si="2"/>
        <v>ACTIVE</v>
      </c>
    </row>
    <row r="6155" ht="22.5" customHeight="1">
      <c r="A6155" s="3" t="s">
        <v>6194</v>
      </c>
      <c r="B6155" s="3" t="s">
        <v>6195</v>
      </c>
      <c r="C6155" s="12" t="s">
        <v>6196</v>
      </c>
      <c r="D6155" s="13">
        <v>41310.0</v>
      </c>
      <c r="E6155" s="4">
        <v>46051.0</v>
      </c>
      <c r="F6155" s="4" t="str">
        <f>IF(D6155="","", IFNA(VLOOKUP(D6155, SATCAT_DECAY!A:B, 2, FALSE), ""))
</f>
        <v/>
      </c>
      <c r="G6155" s="3" t="str">
        <f t="shared" si="2"/>
        <v>ACTIVE</v>
      </c>
    </row>
    <row r="6156" ht="22.5" customHeight="1">
      <c r="A6156" s="3" t="s">
        <v>6194</v>
      </c>
      <c r="B6156" s="3" t="s">
        <v>6195</v>
      </c>
      <c r="C6156" s="12" t="s">
        <v>6197</v>
      </c>
      <c r="D6156" s="13">
        <v>44475.0</v>
      </c>
      <c r="E6156" s="4">
        <v>43683.0</v>
      </c>
      <c r="F6156" s="4" t="str">
        <f>IF(D6156="","", IFNA(VLOOKUP(D6156, SATCAT_DECAY!A:B, 2, FALSE), ""))
</f>
        <v/>
      </c>
      <c r="G6156" s="3" t="str">
        <f t="shared" si="2"/>
        <v>ACTIVE</v>
      </c>
    </row>
    <row r="6157" ht="22.5" hidden="1" customHeight="1">
      <c r="A6157" s="11" t="str">
        <f t="array" ref="A6157">IFERROR(
  INDEX('Starlink Launches'!$A:$A, MATCH($E6157, 'Starlink Launches'!$B:$B, 0)),
  ""
)
</f>
        <v/>
      </c>
      <c r="B6157" s="26"/>
      <c r="C6157" s="12"/>
      <c r="D6157" s="13"/>
      <c r="E6157" s="4"/>
      <c r="F6157" s="4" t="str">
        <f>IF(D6157="","", IFNA(VLOOKUP(D6157, SATCAT_DECAY!A:B, 2, FALSE), ""))
</f>
        <v/>
      </c>
      <c r="G6157" s="3"/>
    </row>
    <row r="6158" ht="22.5" hidden="1" customHeight="1">
      <c r="A6158" s="11" t="str">
        <f t="array" ref="A6158">IFERROR(
  INDEX('Starlink Launches'!$A:$A, MATCH($E6158, 'Starlink Launches'!$B:$B, 0)),
  ""
)
</f>
        <v/>
      </c>
      <c r="B6158" s="26"/>
      <c r="C6158" s="12"/>
      <c r="D6158" s="13"/>
      <c r="E6158" s="4"/>
      <c r="F6158" s="4" t="str">
        <f>IF(D6158="","", IFNA(VLOOKUP(D6158, SATCAT_DECAY!A:B, 2, FALSE), ""))
</f>
        <v/>
      </c>
      <c r="G6158" s="3"/>
    </row>
    <row r="6159" ht="22.5" hidden="1" customHeight="1">
      <c r="A6159" s="11" t="str">
        <f t="array" ref="A6159">IFERROR(
  INDEX('Starlink Launches'!$A:$A, MATCH($E6159, 'Starlink Launches'!$B:$B, 0)),
  ""
)
</f>
        <v/>
      </c>
      <c r="B6159" s="26"/>
      <c r="C6159" s="12"/>
      <c r="D6159" s="13"/>
      <c r="E6159" s="4"/>
      <c r="F6159" s="4" t="str">
        <f>IF(D6159="","", IFNA(VLOOKUP(D6159, SATCAT_DECAY!A:B, 2, FALSE), ""))
</f>
        <v/>
      </c>
      <c r="G6159" s="3"/>
    </row>
    <row r="6160" ht="22.5" hidden="1" customHeight="1">
      <c r="A6160" s="11" t="str">
        <f t="array" ref="A6160">IFERROR(
  INDEX('Starlink Launches'!$A:$A, MATCH($E6160, 'Starlink Launches'!$B:$B, 0)),
  ""
)
</f>
        <v/>
      </c>
      <c r="B6160" s="26"/>
      <c r="C6160" s="12"/>
      <c r="D6160" s="13"/>
      <c r="E6160" s="4"/>
      <c r="F6160" s="4" t="str">
        <f>IF(D6160="","", IFNA(VLOOKUP(D6160, SATCAT_DECAY!A:B, 2, FALSE), ""))
</f>
        <v/>
      </c>
      <c r="G6160" s="3"/>
    </row>
    <row r="6161" ht="22.5" hidden="1" customHeight="1">
      <c r="A6161" s="11" t="str">
        <f t="array" ref="A6161">IFERROR(
  INDEX('Starlink Launches'!$A:$A, MATCH($E6161, 'Starlink Launches'!$B:$B, 0)),
  ""
)
</f>
        <v/>
      </c>
      <c r="B6161" s="26"/>
      <c r="C6161" s="12"/>
      <c r="D6161" s="13"/>
      <c r="E6161" s="4"/>
      <c r="F6161" s="4" t="str">
        <f>IF(D6161="","", IFNA(VLOOKUP(D6161, SATCAT_DECAY!A:B, 2, FALSE), ""))
</f>
        <v/>
      </c>
      <c r="G6161" s="3"/>
    </row>
    <row r="6162" ht="22.5" hidden="1" customHeight="1">
      <c r="A6162" s="11" t="str">
        <f t="array" ref="A6162">IFERROR(
  INDEX('Starlink Launches'!$A:$A, MATCH($E6162, 'Starlink Launches'!$B:$B, 0)),
  ""
)
</f>
        <v/>
      </c>
      <c r="B6162" s="26"/>
      <c r="C6162" s="12"/>
      <c r="D6162" s="13"/>
      <c r="E6162" s="4"/>
      <c r="F6162" s="4" t="str">
        <f>IF(D6162="","", IFNA(VLOOKUP(D6162, SATCAT_DECAY!A:B, 2, FALSE), ""))
</f>
        <v/>
      </c>
      <c r="G6162" s="3"/>
    </row>
    <row r="6163" ht="22.5" hidden="1" customHeight="1">
      <c r="A6163" s="11" t="str">
        <f t="array" ref="A6163">IFERROR(
  INDEX('Starlink Launches'!$A:$A, MATCH($E6163, 'Starlink Launches'!$B:$B, 0)),
  ""
)
</f>
        <v/>
      </c>
      <c r="B6163" s="26"/>
      <c r="C6163" s="12"/>
      <c r="D6163" s="13"/>
      <c r="E6163" s="4"/>
      <c r="F6163" s="4" t="str">
        <f>IF(D6163="","", IFNA(VLOOKUP(D6163, SATCAT_DECAY!A:B, 2, FALSE), ""))
</f>
        <v/>
      </c>
      <c r="G6163" s="3"/>
    </row>
    <row r="6164" ht="22.5" hidden="1" customHeight="1">
      <c r="A6164" s="11" t="str">
        <f t="array" ref="A6164">IFERROR(
  INDEX('Starlink Launches'!$A:$A, MATCH($E6164, 'Starlink Launches'!$B:$B, 0)),
  ""
)
</f>
        <v/>
      </c>
      <c r="B6164" s="26"/>
      <c r="C6164" s="12"/>
      <c r="D6164" s="13"/>
      <c r="E6164" s="4"/>
      <c r="F6164" s="4" t="str">
        <f>IF(D6164="","", IFNA(VLOOKUP(D6164, SATCAT_DECAY!A:B, 2, FALSE), ""))
</f>
        <v/>
      </c>
      <c r="G6164" s="3"/>
    </row>
    <row r="6165" ht="22.5" hidden="1" customHeight="1">
      <c r="A6165" s="11" t="str">
        <f t="array" ref="A6165">IFERROR(
  INDEX('Starlink Launches'!$A:$A, MATCH($E6165, 'Starlink Launches'!$B:$B, 0)),
  ""
)
</f>
        <v/>
      </c>
      <c r="B6165" s="26"/>
      <c r="C6165" s="12"/>
      <c r="D6165" s="13"/>
      <c r="E6165" s="4"/>
      <c r="F6165" s="4" t="str">
        <f>IF(D6165="","", IFNA(VLOOKUP(D6165, SATCAT_DECAY!A:B, 2, FALSE), ""))
</f>
        <v/>
      </c>
      <c r="G6165" s="3"/>
    </row>
    <row r="6166" ht="22.5" hidden="1" customHeight="1">
      <c r="A6166" s="11" t="str">
        <f t="array" ref="A6166">IFERROR(
  INDEX('Starlink Launches'!$A:$A, MATCH($E6166, 'Starlink Launches'!$B:$B, 0)),
  ""
)
</f>
        <v/>
      </c>
      <c r="B6166" s="26"/>
      <c r="C6166" s="12"/>
      <c r="D6166" s="13"/>
      <c r="E6166" s="4"/>
      <c r="F6166" s="4" t="str">
        <f>IF(D6166="","", IFNA(VLOOKUP(D6166, SATCAT_DECAY!A:B, 2, FALSE), ""))
</f>
        <v/>
      </c>
      <c r="G6166" s="3"/>
    </row>
    <row r="6167" ht="22.5" hidden="1" customHeight="1">
      <c r="A6167" s="11" t="str">
        <f t="array" ref="A6167">IFERROR(
  INDEX('Starlink Launches'!$A:$A, MATCH($E6167, 'Starlink Launches'!$B:$B, 0)),
  ""
)
</f>
        <v/>
      </c>
      <c r="B6167" s="26"/>
      <c r="C6167" s="12"/>
      <c r="D6167" s="13"/>
      <c r="E6167" s="4"/>
      <c r="F6167" s="4" t="str">
        <f>IF(D6167="","", IFNA(VLOOKUP(D6167, SATCAT_DECAY!A:B, 2, FALSE), ""))
</f>
        <v/>
      </c>
      <c r="G6167" s="3"/>
    </row>
    <row r="6168" ht="22.5" hidden="1" customHeight="1">
      <c r="A6168" s="11" t="str">
        <f t="array" ref="A6168">IFERROR(
  INDEX('Starlink Launches'!$A:$A, MATCH($E6168, 'Starlink Launches'!$B:$B, 0)),
  ""
)
</f>
        <v/>
      </c>
      <c r="B6168" s="26"/>
      <c r="C6168" s="12"/>
      <c r="D6168" s="13"/>
      <c r="E6168" s="4"/>
      <c r="F6168" s="4" t="str">
        <f>IF(D6168="","", IFNA(VLOOKUP(D6168, SATCAT_DECAY!A:B, 2, FALSE), ""))
</f>
        <v/>
      </c>
      <c r="G6168" s="3"/>
    </row>
    <row r="6169" ht="22.5" hidden="1" customHeight="1">
      <c r="A6169" s="11" t="str">
        <f t="array" ref="A6169">IFERROR(
  INDEX('Starlink Launches'!$A:$A, MATCH($E6169, 'Starlink Launches'!$B:$B, 0)),
  ""
)
</f>
        <v/>
      </c>
      <c r="B6169" s="26"/>
      <c r="C6169" s="12"/>
      <c r="D6169" s="13"/>
      <c r="E6169" s="4"/>
      <c r="F6169" s="4" t="str">
        <f>IF(D6169="","", IFNA(VLOOKUP(D6169, SATCAT_DECAY!A:B, 2, FALSE), ""))
</f>
        <v/>
      </c>
      <c r="G6169" s="3"/>
    </row>
    <row r="6170" ht="22.5" hidden="1" customHeight="1">
      <c r="A6170" s="11" t="str">
        <f t="array" ref="A6170">IFERROR(
  INDEX('Starlink Launches'!$A:$A, MATCH($E6170, 'Starlink Launches'!$B:$B, 0)),
  ""
)
</f>
        <v/>
      </c>
      <c r="B6170" s="26"/>
      <c r="C6170" s="12"/>
      <c r="D6170" s="13"/>
      <c r="E6170" s="4"/>
      <c r="F6170" s="4" t="str">
        <f>IF(D6170="","", IFNA(VLOOKUP(D6170, SATCAT_DECAY!A:B, 2, FALSE), ""))
</f>
        <v/>
      </c>
      <c r="G6170" s="3"/>
    </row>
    <row r="6171" ht="22.5" hidden="1" customHeight="1">
      <c r="A6171" s="11" t="str">
        <f t="array" ref="A6171">IFERROR(
  INDEX('Starlink Launches'!$A:$A, MATCH($E6171, 'Starlink Launches'!$B:$B, 0)),
  ""
)
</f>
        <v/>
      </c>
      <c r="B6171" s="26"/>
      <c r="C6171" s="12"/>
      <c r="D6171" s="13"/>
      <c r="E6171" s="4"/>
      <c r="F6171" s="4" t="str">
        <f>IF(D6171="","", IFNA(VLOOKUP(D6171, SATCAT_DECAY!A:B, 2, FALSE), ""))
</f>
        <v/>
      </c>
      <c r="G6171" s="3"/>
    </row>
    <row r="6172" ht="22.5" hidden="1" customHeight="1">
      <c r="A6172" s="11" t="str">
        <f t="array" ref="A6172">IFERROR(
  INDEX('Starlink Launches'!$A:$A, MATCH($E6172, 'Starlink Launches'!$B:$B, 0)),
  ""
)
</f>
        <v/>
      </c>
      <c r="B6172" s="26"/>
      <c r="C6172" s="12"/>
      <c r="D6172" s="13"/>
      <c r="E6172" s="4"/>
      <c r="F6172" s="4" t="str">
        <f>IF(D6172="","", IFNA(VLOOKUP(D6172, SATCAT_DECAY!A:B, 2, FALSE), ""))
</f>
        <v/>
      </c>
      <c r="G6172" s="3"/>
    </row>
    <row r="6173" ht="22.5" hidden="1" customHeight="1">
      <c r="A6173" s="11" t="str">
        <f t="array" ref="A6173">IFERROR(
  INDEX('Starlink Launches'!$A:$A, MATCH($E6173, 'Starlink Launches'!$B:$B, 0)),
  ""
)
</f>
        <v/>
      </c>
      <c r="B6173" s="26"/>
      <c r="C6173" s="12"/>
      <c r="D6173" s="13"/>
      <c r="E6173" s="4"/>
      <c r="F6173" s="4" t="str">
        <f>IF(D6173="","", IFNA(VLOOKUP(D6173, SATCAT_DECAY!A:B, 2, FALSE), ""))
</f>
        <v/>
      </c>
      <c r="G6173" s="3"/>
    </row>
    <row r="6174" ht="22.5" hidden="1" customHeight="1">
      <c r="A6174" s="11" t="str">
        <f t="array" ref="A6174">IFERROR(
  INDEX('Starlink Launches'!$A:$A, MATCH($E6174, 'Starlink Launches'!$B:$B, 0)),
  ""
)
</f>
        <v/>
      </c>
      <c r="B6174" s="26"/>
      <c r="C6174" s="12"/>
      <c r="D6174" s="13"/>
      <c r="E6174" s="4"/>
      <c r="F6174" s="4" t="str">
        <f>IF(D6174="","", IFNA(VLOOKUP(D6174, SATCAT_DECAY!A:B, 2, FALSE), ""))
</f>
        <v/>
      </c>
      <c r="G6174" s="3"/>
    </row>
    <row r="6175" ht="22.5" hidden="1" customHeight="1">
      <c r="A6175" s="11" t="str">
        <f t="array" ref="A6175">IFERROR(
  INDEX('Starlink Launches'!$A:$A, MATCH($E6175, 'Starlink Launches'!$B:$B, 0)),
  ""
)
</f>
        <v/>
      </c>
      <c r="B6175" s="26"/>
      <c r="C6175" s="12"/>
      <c r="D6175" s="13"/>
      <c r="E6175" s="4"/>
      <c r="F6175" s="4" t="str">
        <f>IF(D6175="","", IFNA(VLOOKUP(D6175, SATCAT_DECAY!A:B, 2, FALSE), ""))
</f>
        <v/>
      </c>
      <c r="G6175" s="3"/>
    </row>
    <row r="6176" ht="22.5" hidden="1" customHeight="1">
      <c r="A6176" s="11" t="str">
        <f t="array" ref="A6176">IFERROR(
  INDEX('Starlink Launches'!$A:$A, MATCH($E6176, 'Starlink Launches'!$B:$B, 0)),
  ""
)
</f>
        <v/>
      </c>
      <c r="B6176" s="26"/>
      <c r="C6176" s="12"/>
      <c r="D6176" s="13"/>
      <c r="E6176" s="4"/>
      <c r="F6176" s="4" t="str">
        <f>IF(D6176="","", IFNA(VLOOKUP(D6176, SATCAT_DECAY!A:B, 2, FALSE), ""))
</f>
        <v/>
      </c>
      <c r="G6176" s="3"/>
    </row>
    <row r="6177" ht="22.5" hidden="1" customHeight="1">
      <c r="A6177" s="11" t="str">
        <f t="array" ref="A6177">IFERROR(
  INDEX('Starlink Launches'!$A:$A, MATCH($E6177, 'Starlink Launches'!$B:$B, 0)),
  ""
)
</f>
        <v/>
      </c>
      <c r="B6177" s="26"/>
      <c r="C6177" s="12"/>
      <c r="D6177" s="13"/>
      <c r="E6177" s="4"/>
      <c r="F6177" s="4" t="str">
        <f>IF(D6177="","", IFNA(VLOOKUP(D6177, SATCAT_DECAY!A:B, 2, FALSE), ""))
</f>
        <v/>
      </c>
      <c r="G6177" s="3"/>
    </row>
    <row r="6178" ht="22.5" hidden="1" customHeight="1">
      <c r="A6178" s="11" t="str">
        <f t="array" ref="A6178">IFERROR(
  INDEX('Starlink Launches'!$A:$A, MATCH($E6178, 'Starlink Launches'!$B:$B, 0)),
  ""
)
</f>
        <v/>
      </c>
      <c r="B6178" s="26"/>
      <c r="C6178" s="12"/>
      <c r="D6178" s="13"/>
      <c r="E6178" s="4"/>
      <c r="F6178" s="4" t="str">
        <f>IF(D6178="","", IFNA(VLOOKUP(D6178, SATCAT_DECAY!A:B, 2, FALSE), ""))
</f>
        <v/>
      </c>
      <c r="G6178" s="3"/>
    </row>
    <row r="6179" ht="22.5" hidden="1" customHeight="1">
      <c r="A6179" s="11" t="str">
        <f t="array" ref="A6179">IFERROR(
  INDEX('Starlink Launches'!$A:$A, MATCH($E6179, 'Starlink Launches'!$B:$B, 0)),
  ""
)
</f>
        <v/>
      </c>
      <c r="B6179" s="26"/>
      <c r="C6179" s="12"/>
      <c r="D6179" s="13"/>
      <c r="E6179" s="4"/>
      <c r="F6179" s="4" t="str">
        <f>IF(D6179="","", IFNA(VLOOKUP(D6179, SATCAT_DECAY!A:B, 2, FALSE), ""))
</f>
        <v/>
      </c>
      <c r="G6179" s="3"/>
    </row>
    <row r="6180" ht="22.5" hidden="1" customHeight="1">
      <c r="A6180" s="11" t="str">
        <f t="array" ref="A6180">IFERROR(
  INDEX('Starlink Launches'!$A:$A, MATCH($E6180, 'Starlink Launches'!$B:$B, 0)),
  ""
)
</f>
        <v/>
      </c>
      <c r="B6180" s="26"/>
      <c r="C6180" s="12"/>
      <c r="D6180" s="13"/>
      <c r="E6180" s="4"/>
      <c r="F6180" s="4" t="str">
        <f>IF(D6180="","", IFNA(VLOOKUP(D6180, SATCAT_DECAY!A:B, 2, FALSE), ""))
</f>
        <v/>
      </c>
      <c r="G6180" s="3"/>
    </row>
    <row r="6181" ht="22.5" hidden="1" customHeight="1">
      <c r="A6181" s="11" t="str">
        <f t="array" ref="A6181">IFERROR(
  INDEX('Starlink Launches'!$A:$A, MATCH($E6181, 'Starlink Launches'!$B:$B, 0)),
  ""
)
</f>
        <v/>
      </c>
      <c r="B6181" s="26"/>
      <c r="C6181" s="12"/>
      <c r="D6181" s="13"/>
      <c r="E6181" s="4"/>
      <c r="F6181" s="4" t="str">
        <f>IF(D6181="","", IFNA(VLOOKUP(D6181, SATCAT_DECAY!A:B, 2, FALSE), ""))
</f>
        <v/>
      </c>
      <c r="G6181" s="3"/>
    </row>
    <row r="6182" ht="22.5" hidden="1" customHeight="1">
      <c r="A6182" s="11" t="str">
        <f t="array" ref="A6182">IFERROR(
  INDEX('Starlink Launches'!$A:$A, MATCH($E6182, 'Starlink Launches'!$B:$B, 0)),
  ""
)
</f>
        <v/>
      </c>
      <c r="B6182" s="26"/>
      <c r="C6182" s="12"/>
      <c r="D6182" s="13"/>
      <c r="E6182" s="4"/>
      <c r="F6182" s="4" t="str">
        <f>IF(D6182="","", IFNA(VLOOKUP(D6182, SATCAT_DECAY!A:B, 2, FALSE), ""))
</f>
        <v/>
      </c>
      <c r="G6182" s="3"/>
    </row>
    <row r="6183" ht="22.5" hidden="1" customHeight="1">
      <c r="A6183" s="11" t="str">
        <f t="array" ref="A6183">IFERROR(
  INDEX('Starlink Launches'!$A:$A, MATCH($E6183, 'Starlink Launches'!$B:$B, 0)),
  ""
)
</f>
        <v/>
      </c>
      <c r="B6183" s="26"/>
      <c r="C6183" s="12"/>
      <c r="D6183" s="13"/>
      <c r="E6183" s="4"/>
      <c r="F6183" s="4" t="str">
        <f>IF(D6183="","", IFNA(VLOOKUP(D6183, SATCAT_DECAY!A:B, 2, FALSE), ""))
</f>
        <v/>
      </c>
      <c r="G6183" s="3"/>
    </row>
    <row r="6184" ht="22.5" hidden="1" customHeight="1">
      <c r="A6184" s="11" t="str">
        <f t="array" ref="A6184">IFERROR(
  INDEX('Starlink Launches'!$A:$A, MATCH($E6184, 'Starlink Launches'!$B:$B, 0)),
  ""
)
</f>
        <v/>
      </c>
      <c r="B6184" s="26"/>
      <c r="C6184" s="12"/>
      <c r="D6184" s="13"/>
      <c r="E6184" s="4"/>
      <c r="F6184" s="4" t="str">
        <f>IF(D6184="","", IFNA(VLOOKUP(D6184, SATCAT_DECAY!A:B, 2, FALSE), ""))
</f>
        <v/>
      </c>
      <c r="G6184" s="3"/>
    </row>
    <row r="6185" ht="22.5" hidden="1" customHeight="1">
      <c r="A6185" s="11" t="str">
        <f t="array" ref="A6185">IFERROR(
  INDEX('Starlink Launches'!$A:$A, MATCH($E6185, 'Starlink Launches'!$B:$B, 0)),
  ""
)
</f>
        <v/>
      </c>
      <c r="B6185" s="26"/>
      <c r="C6185" s="12"/>
      <c r="D6185" s="13"/>
      <c r="E6185" s="4"/>
      <c r="F6185" s="4" t="str">
        <f>IF(D6185="","", IFNA(VLOOKUP(D6185, SATCAT_DECAY!A:B, 2, FALSE), ""))
</f>
        <v/>
      </c>
      <c r="G6185" s="3"/>
    </row>
    <row r="6186" ht="22.5" hidden="1" customHeight="1">
      <c r="A6186" s="11" t="str">
        <f t="array" ref="A6186">IFERROR(
  INDEX('Starlink Launches'!$A:$A, MATCH($E6186, 'Starlink Launches'!$B:$B, 0)),
  ""
)
</f>
        <v/>
      </c>
      <c r="B6186" s="26"/>
      <c r="C6186" s="12"/>
      <c r="D6186" s="13"/>
      <c r="E6186" s="4"/>
      <c r="F6186" s="4" t="str">
        <f>IF(D6186="","", IFNA(VLOOKUP(D6186, SATCAT_DECAY!A:B, 2, FALSE), ""))
</f>
        <v/>
      </c>
      <c r="G6186" s="3"/>
    </row>
    <row r="6187" ht="22.5" hidden="1" customHeight="1">
      <c r="A6187" s="11" t="str">
        <f t="array" ref="A6187">IFERROR(
  INDEX('Starlink Launches'!$A:$A, MATCH($E6187, 'Starlink Launches'!$B:$B, 0)),
  ""
)
</f>
        <v/>
      </c>
      <c r="B6187" s="26"/>
      <c r="C6187" s="12"/>
      <c r="D6187" s="13"/>
      <c r="E6187" s="4"/>
      <c r="F6187" s="4" t="str">
        <f>IF(D6187="","", IFNA(VLOOKUP(D6187, SATCAT_DECAY!A:B, 2, FALSE), ""))
</f>
        <v/>
      </c>
      <c r="G6187" s="3"/>
    </row>
    <row r="6188" ht="22.5" hidden="1" customHeight="1">
      <c r="A6188" s="11" t="str">
        <f t="array" ref="A6188">IFERROR(
  INDEX('Starlink Launches'!$A:$A, MATCH($E6188, 'Starlink Launches'!$B:$B, 0)),
  ""
)
</f>
        <v/>
      </c>
      <c r="B6188" s="26"/>
      <c r="C6188" s="12"/>
      <c r="D6188" s="13"/>
      <c r="E6188" s="4"/>
      <c r="F6188" s="4" t="str">
        <f>IF(D6188="","", IFNA(VLOOKUP(D6188, SATCAT_DECAY!A:B, 2, FALSE), ""))
</f>
        <v/>
      </c>
      <c r="G6188" s="3"/>
    </row>
    <row r="6189" ht="22.5" hidden="1" customHeight="1">
      <c r="A6189" s="11" t="str">
        <f t="array" ref="A6189">IFERROR(
  INDEX('Starlink Launches'!$A:$A, MATCH($E6189, 'Starlink Launches'!$B:$B, 0)),
  ""
)
</f>
        <v/>
      </c>
      <c r="B6189" s="26"/>
      <c r="C6189" s="12"/>
      <c r="D6189" s="13"/>
      <c r="E6189" s="4"/>
      <c r="F6189" s="4" t="str">
        <f>IF(D6189="","", IFNA(VLOOKUP(D6189, SATCAT_DECAY!A:B, 2, FALSE), ""))
</f>
        <v/>
      </c>
      <c r="G6189" s="3"/>
    </row>
    <row r="6190" ht="22.5" hidden="1" customHeight="1">
      <c r="A6190" s="11" t="str">
        <f t="array" ref="A6190">IFERROR(
  INDEX('Starlink Launches'!$A:$A, MATCH($E6190, 'Starlink Launches'!$B:$B, 0)),
  ""
)
</f>
        <v/>
      </c>
      <c r="B6190" s="26"/>
      <c r="C6190" s="12"/>
      <c r="D6190" s="13"/>
      <c r="E6190" s="4"/>
      <c r="F6190" s="4" t="str">
        <f>IF(D6190="","", IFNA(VLOOKUP(D6190, SATCAT_DECAY!A:B, 2, FALSE), ""))
</f>
        <v/>
      </c>
      <c r="G6190" s="3"/>
    </row>
    <row r="6191" ht="22.5" hidden="1" customHeight="1">
      <c r="A6191" s="11" t="str">
        <f t="array" ref="A6191">IFERROR(
  INDEX('Starlink Launches'!$A:$A, MATCH($E6191, 'Starlink Launches'!$B:$B, 0)),
  ""
)
</f>
        <v/>
      </c>
      <c r="B6191" s="26"/>
      <c r="C6191" s="12"/>
      <c r="D6191" s="13"/>
      <c r="E6191" s="4"/>
      <c r="F6191" s="4" t="str">
        <f>IF(D6191="","", IFNA(VLOOKUP(D6191, SATCAT_DECAY!A:B, 2, FALSE), ""))
</f>
        <v/>
      </c>
      <c r="G6191" s="3"/>
    </row>
    <row r="6192" ht="22.5" hidden="1" customHeight="1">
      <c r="A6192" s="11" t="str">
        <f t="array" ref="A6192">IFERROR(
  INDEX('Starlink Launches'!$A:$A, MATCH($E6192, 'Starlink Launches'!$B:$B, 0)),
  ""
)
</f>
        <v/>
      </c>
      <c r="B6192" s="26"/>
      <c r="C6192" s="12"/>
      <c r="D6192" s="13"/>
      <c r="E6192" s="4"/>
      <c r="F6192" s="4" t="str">
        <f>IF(D6192="","", IFNA(VLOOKUP(D6192, SATCAT_DECAY!A:B, 2, FALSE), ""))
</f>
        <v/>
      </c>
      <c r="G6192" s="3"/>
    </row>
    <row r="6193" ht="22.5" hidden="1" customHeight="1">
      <c r="A6193" s="11" t="str">
        <f t="array" ref="A6193">IFERROR(
  INDEX('Starlink Launches'!$A:$A, MATCH($E6193, 'Starlink Launches'!$B:$B, 0)),
  ""
)
</f>
        <v/>
      </c>
      <c r="B6193" s="26"/>
      <c r="C6193" s="12"/>
      <c r="D6193" s="13"/>
      <c r="E6193" s="4"/>
      <c r="F6193" s="4" t="str">
        <f>IF(D6193="","", IFNA(VLOOKUP(D6193, SATCAT_DECAY!A:B, 2, FALSE), ""))
</f>
        <v/>
      </c>
      <c r="G6193" s="3"/>
    </row>
    <row r="6194" ht="22.5" hidden="1" customHeight="1">
      <c r="A6194" s="11" t="str">
        <f t="array" ref="A6194">IFERROR(
  INDEX('Starlink Launches'!$A:$A, MATCH($E6194, 'Starlink Launches'!$B:$B, 0)),
  ""
)
</f>
        <v/>
      </c>
      <c r="B6194" s="26"/>
      <c r="C6194" s="12"/>
      <c r="D6194" s="13"/>
      <c r="E6194" s="4"/>
      <c r="F6194" s="4" t="str">
        <f>IF(D6194="","", IFNA(VLOOKUP(D6194, SATCAT_DECAY!A:B, 2, FALSE), ""))
</f>
        <v/>
      </c>
      <c r="G6194" s="3"/>
    </row>
    <row r="6195" ht="22.5" hidden="1" customHeight="1">
      <c r="A6195" s="11" t="str">
        <f t="array" ref="A6195">IFERROR(
  INDEX('Starlink Launches'!$A:$A, MATCH($E6195, 'Starlink Launches'!$B:$B, 0)),
  ""
)
</f>
        <v/>
      </c>
      <c r="B6195" s="26"/>
      <c r="C6195" s="12"/>
      <c r="D6195" s="13"/>
      <c r="E6195" s="4"/>
      <c r="F6195" s="4" t="str">
        <f>IF(D6195="","", IFNA(VLOOKUP(D6195, SATCAT_DECAY!A:B, 2, FALSE), ""))
</f>
        <v/>
      </c>
      <c r="G6195" s="3"/>
    </row>
    <row r="6196" ht="22.5" hidden="1" customHeight="1">
      <c r="A6196" s="11" t="str">
        <f t="array" ref="A6196">IFERROR(
  INDEX('Starlink Launches'!$A:$A, MATCH($E6196, 'Starlink Launches'!$B:$B, 0)),
  ""
)
</f>
        <v/>
      </c>
      <c r="B6196" s="26"/>
      <c r="C6196" s="12"/>
      <c r="D6196" s="13"/>
      <c r="E6196" s="4"/>
      <c r="F6196" s="4" t="str">
        <f>IF(D6196="","", IFNA(VLOOKUP(D6196, SATCAT_DECAY!A:B, 2, FALSE), ""))
</f>
        <v/>
      </c>
      <c r="G6196" s="3"/>
    </row>
    <row r="6197" ht="22.5" hidden="1" customHeight="1">
      <c r="A6197" s="11" t="str">
        <f t="array" ref="A6197">IFERROR(
  INDEX('Starlink Launches'!$A:$A, MATCH($E6197, 'Starlink Launches'!$B:$B, 0)),
  ""
)
</f>
        <v/>
      </c>
      <c r="B6197" s="26"/>
      <c r="C6197" s="12"/>
      <c r="D6197" s="13"/>
      <c r="E6197" s="4"/>
      <c r="F6197" s="4" t="str">
        <f>IF(D6197="","", IFNA(VLOOKUP(D6197, SATCAT_DECAY!A:B, 2, FALSE), ""))
</f>
        <v/>
      </c>
      <c r="G6197" s="3"/>
    </row>
    <row r="6198" ht="22.5" hidden="1" customHeight="1">
      <c r="A6198" s="11" t="str">
        <f t="array" ref="A6198">IFERROR(
  INDEX('Starlink Launches'!$A:$A, MATCH($E6198, 'Starlink Launches'!$B:$B, 0)),
  ""
)
</f>
        <v/>
      </c>
      <c r="B6198" s="26"/>
      <c r="C6198" s="12"/>
      <c r="D6198" s="13"/>
      <c r="E6198" s="4"/>
      <c r="F6198" s="4" t="str">
        <f>IF(D6198="","", IFNA(VLOOKUP(D6198, SATCAT_DECAY!A:B, 2, FALSE), ""))
</f>
        <v/>
      </c>
      <c r="G6198" s="3"/>
    </row>
    <row r="6199" ht="22.5" hidden="1" customHeight="1">
      <c r="A6199" s="11" t="str">
        <f t="array" ref="A6199">IFERROR(
  INDEX('Starlink Launches'!$A:$A, MATCH($E6199, 'Starlink Launches'!$B:$B, 0)),
  ""
)
</f>
        <v/>
      </c>
      <c r="B6199" s="26"/>
      <c r="C6199" s="12"/>
      <c r="D6199" s="13"/>
      <c r="E6199" s="4"/>
      <c r="F6199" s="4" t="str">
        <f>IF(D6199="","", IFNA(VLOOKUP(D6199, SATCAT_DECAY!A:B, 2, FALSE), ""))
</f>
        <v/>
      </c>
      <c r="G6199" s="3"/>
    </row>
    <row r="6200" ht="22.5" hidden="1" customHeight="1">
      <c r="A6200" s="11" t="str">
        <f t="array" ref="A6200">IFERROR(
  INDEX('Starlink Launches'!$A:$A, MATCH($E6200, 'Starlink Launches'!$B:$B, 0)),
  ""
)
</f>
        <v/>
      </c>
      <c r="B6200" s="26"/>
      <c r="C6200" s="12"/>
      <c r="D6200" s="13"/>
      <c r="E6200" s="4"/>
      <c r="F6200" s="4" t="str">
        <f>IF(D6200="","", IFNA(VLOOKUP(D6200, SATCAT_DECAY!A:B, 2, FALSE), ""))
</f>
        <v/>
      </c>
      <c r="G6200" s="3"/>
    </row>
    <row r="6201" ht="22.5" hidden="1" customHeight="1">
      <c r="A6201" s="11" t="str">
        <f t="array" ref="A6201">IFERROR(
  INDEX('Starlink Launches'!$A:$A, MATCH($E6201, 'Starlink Launches'!$B:$B, 0)),
  ""
)
</f>
        <v/>
      </c>
      <c r="B6201" s="26"/>
      <c r="C6201" s="12"/>
      <c r="D6201" s="13"/>
      <c r="E6201" s="4"/>
      <c r="F6201" s="4" t="str">
        <f>IF(D6201="","", IFNA(VLOOKUP(D6201, SATCAT_DECAY!A:B, 2, FALSE), ""))
</f>
        <v/>
      </c>
      <c r="G6201" s="3"/>
    </row>
    <row r="6202" ht="22.5" hidden="1" customHeight="1">
      <c r="A6202" s="11" t="str">
        <f t="array" ref="A6202">IFERROR(
  INDEX('Starlink Launches'!$A:$A, MATCH($E6202, 'Starlink Launches'!$B:$B, 0)),
  ""
)
</f>
        <v/>
      </c>
      <c r="B6202" s="26"/>
      <c r="C6202" s="12"/>
      <c r="D6202" s="13"/>
      <c r="E6202" s="4"/>
      <c r="F6202" s="4" t="str">
        <f>IF(D6202="","", IFNA(VLOOKUP(D6202, SATCAT_DECAY!A:B, 2, FALSE), ""))
</f>
        <v/>
      </c>
      <c r="G6202" s="3"/>
    </row>
    <row r="6203" ht="22.5" hidden="1" customHeight="1">
      <c r="A6203" s="11" t="str">
        <f t="array" ref="A6203">IFERROR(
  INDEX('Starlink Launches'!$A:$A, MATCH($E6203, 'Starlink Launches'!$B:$B, 0)),
  ""
)
</f>
        <v/>
      </c>
      <c r="B6203" s="26"/>
      <c r="C6203" s="12"/>
      <c r="D6203" s="13"/>
      <c r="E6203" s="4"/>
      <c r="F6203" s="4" t="str">
        <f>IF(D6203="","", IFNA(VLOOKUP(D6203, SATCAT_DECAY!A:B, 2, FALSE), ""))
</f>
        <v/>
      </c>
      <c r="G6203" s="3"/>
    </row>
    <row r="6204" ht="22.5" hidden="1" customHeight="1">
      <c r="A6204" s="11" t="str">
        <f t="array" ref="A6204">IFERROR(
  INDEX('Starlink Launches'!$A:$A, MATCH($E6204, 'Starlink Launches'!$B:$B, 0)),
  ""
)
</f>
        <v/>
      </c>
      <c r="B6204" s="26"/>
      <c r="C6204" s="12"/>
      <c r="D6204" s="13"/>
      <c r="E6204" s="4"/>
      <c r="F6204" s="4" t="str">
        <f>IF(D6204="","", IFNA(VLOOKUP(D6204, SATCAT_DECAY!A:B, 2, FALSE), ""))
</f>
        <v/>
      </c>
      <c r="G6204" s="3"/>
    </row>
    <row r="6205" ht="22.5" hidden="1" customHeight="1">
      <c r="A6205" s="11" t="str">
        <f t="array" ref="A6205">IFERROR(
  INDEX('Starlink Launches'!$A:$A, MATCH($E6205, 'Starlink Launches'!$B:$B, 0)),
  ""
)
</f>
        <v/>
      </c>
      <c r="B6205" s="26"/>
      <c r="C6205" s="12"/>
      <c r="D6205" s="13"/>
      <c r="E6205" s="4"/>
      <c r="F6205" s="4" t="str">
        <f>IF(D6205="","", IFNA(VLOOKUP(D6205, SATCAT_DECAY!A:B, 2, FALSE), ""))
</f>
        <v/>
      </c>
      <c r="G6205" s="3"/>
    </row>
    <row r="6206" ht="22.5" hidden="1" customHeight="1">
      <c r="A6206" s="11" t="str">
        <f t="array" ref="A6206">IFERROR(
  INDEX('Starlink Launches'!$A:$A, MATCH($E6206, 'Starlink Launches'!$B:$B, 0)),
  ""
)
</f>
        <v/>
      </c>
      <c r="B6206" s="26"/>
      <c r="C6206" s="12"/>
      <c r="D6206" s="13"/>
      <c r="E6206" s="4"/>
      <c r="F6206" s="4" t="str">
        <f>IF(D6206="","", IFNA(VLOOKUP(D6206, SATCAT_DECAY!A:B, 2, FALSE), ""))
</f>
        <v/>
      </c>
      <c r="G6206" s="3"/>
    </row>
    <row r="6207" ht="22.5" hidden="1" customHeight="1">
      <c r="A6207" s="11" t="str">
        <f t="array" ref="A6207">IFERROR(
  INDEX('Starlink Launches'!$A:$A, MATCH($E6207, 'Starlink Launches'!$B:$B, 0)),
  ""
)
</f>
        <v/>
      </c>
      <c r="B6207" s="26"/>
      <c r="C6207" s="12"/>
      <c r="D6207" s="13"/>
      <c r="E6207" s="4"/>
      <c r="F6207" s="4" t="str">
        <f>IF(D6207="","", IFNA(VLOOKUP(D6207, SATCAT_DECAY!A:B, 2, FALSE), ""))
</f>
        <v/>
      </c>
      <c r="G6207" s="3"/>
    </row>
    <row r="6208" ht="22.5" hidden="1" customHeight="1">
      <c r="A6208" s="11" t="str">
        <f t="array" ref="A6208">IFERROR(
  INDEX('Starlink Launches'!$A:$A, MATCH($E6208, 'Starlink Launches'!$B:$B, 0)),
  ""
)
</f>
        <v/>
      </c>
      <c r="B6208" s="26"/>
      <c r="C6208" s="12"/>
      <c r="D6208" s="13"/>
      <c r="E6208" s="4"/>
      <c r="F6208" s="4" t="str">
        <f>IF(D6208="","", IFNA(VLOOKUP(D6208, SATCAT_DECAY!A:B, 2, FALSE), ""))
</f>
        <v/>
      </c>
      <c r="G6208" s="3"/>
    </row>
    <row r="6209" ht="22.5" hidden="1" customHeight="1">
      <c r="A6209" s="11" t="str">
        <f t="array" ref="A6209">IFERROR(
  INDEX('Starlink Launches'!$A:$A, MATCH($E6209, 'Starlink Launches'!$B:$B, 0)),
  ""
)
</f>
        <v/>
      </c>
      <c r="B6209" s="26"/>
      <c r="C6209" s="12"/>
      <c r="D6209" s="13"/>
      <c r="E6209" s="4"/>
      <c r="F6209" s="4" t="str">
        <f>IF(D6209="","", IFNA(VLOOKUP(D6209, SATCAT_DECAY!A:B, 2, FALSE), ""))
</f>
        <v/>
      </c>
      <c r="G6209" s="3"/>
    </row>
    <row r="6210" ht="22.5" hidden="1" customHeight="1">
      <c r="A6210" s="11" t="str">
        <f t="array" ref="A6210">IFERROR(
  INDEX('Starlink Launches'!$A:$A, MATCH($E6210, 'Starlink Launches'!$B:$B, 0)),
  ""
)
</f>
        <v/>
      </c>
      <c r="B6210" s="26"/>
      <c r="C6210" s="12"/>
      <c r="D6210" s="13"/>
      <c r="E6210" s="4"/>
      <c r="F6210" s="4" t="str">
        <f>IF(D6210="","", IFNA(VLOOKUP(D6210, SATCAT_DECAY!A:B, 2, FALSE), ""))
</f>
        <v/>
      </c>
      <c r="G6210" s="3"/>
    </row>
    <row r="6211" ht="22.5" hidden="1" customHeight="1">
      <c r="A6211" s="11" t="str">
        <f t="array" ref="A6211">IFERROR(
  INDEX('Starlink Launches'!$A:$A, MATCH($E6211, 'Starlink Launches'!$B:$B, 0)),
  ""
)
</f>
        <v/>
      </c>
      <c r="B6211" s="26"/>
      <c r="C6211" s="12"/>
      <c r="D6211" s="13"/>
      <c r="E6211" s="4"/>
      <c r="F6211" s="4" t="str">
        <f>IF(D6211="","", IFNA(VLOOKUP(D6211, SATCAT_DECAY!A:B, 2, FALSE), ""))
</f>
        <v/>
      </c>
      <c r="G6211" s="3"/>
    </row>
    <row r="6212" ht="22.5" hidden="1" customHeight="1">
      <c r="A6212" s="11" t="str">
        <f t="array" ref="A6212">IFERROR(
  INDEX('Starlink Launches'!$A:$A, MATCH($E6212, 'Starlink Launches'!$B:$B, 0)),
  ""
)
</f>
        <v/>
      </c>
      <c r="B6212" s="26"/>
      <c r="C6212" s="12"/>
      <c r="D6212" s="13"/>
      <c r="E6212" s="4"/>
      <c r="F6212" s="4" t="str">
        <f>IF(D6212="","", IFNA(VLOOKUP(D6212, SATCAT_DECAY!A:B, 2, FALSE), ""))
</f>
        <v/>
      </c>
      <c r="G6212" s="3"/>
    </row>
    <row r="6213" ht="22.5" hidden="1" customHeight="1">
      <c r="A6213" s="11" t="str">
        <f t="array" ref="A6213">IFERROR(
  INDEX('Starlink Launches'!$A:$A, MATCH($E6213, 'Starlink Launches'!$B:$B, 0)),
  ""
)
</f>
        <v/>
      </c>
      <c r="B6213" s="26"/>
      <c r="C6213" s="12"/>
      <c r="D6213" s="13"/>
      <c r="E6213" s="4"/>
      <c r="F6213" s="4" t="str">
        <f>IF(D6213="","", IFNA(VLOOKUP(D6213, SATCAT_DECAY!A:B, 2, FALSE), ""))
</f>
        <v/>
      </c>
      <c r="G6213" s="3"/>
    </row>
    <row r="6214" ht="22.5" hidden="1" customHeight="1">
      <c r="A6214" s="11" t="str">
        <f t="array" ref="A6214">IFERROR(
  INDEX('Starlink Launches'!$A:$A, MATCH($E6214, 'Starlink Launches'!$B:$B, 0)),
  ""
)
</f>
        <v/>
      </c>
      <c r="B6214" s="26"/>
      <c r="C6214" s="12"/>
      <c r="D6214" s="13"/>
      <c r="E6214" s="4"/>
      <c r="F6214" s="4" t="str">
        <f>IF(D6214="","", IFNA(VLOOKUP(D6214, SATCAT_DECAY!A:B, 2, FALSE), ""))
</f>
        <v/>
      </c>
      <c r="G6214" s="3"/>
    </row>
    <row r="6215" ht="22.5" hidden="1" customHeight="1">
      <c r="A6215" s="11" t="str">
        <f t="array" ref="A6215">IFERROR(
  INDEX('Starlink Launches'!$A:$A, MATCH($E6215, 'Starlink Launches'!$B:$B, 0)),
  ""
)
</f>
        <v/>
      </c>
      <c r="B6215" s="26"/>
      <c r="C6215" s="12"/>
      <c r="D6215" s="13"/>
      <c r="E6215" s="4"/>
      <c r="F6215" s="4" t="str">
        <f>IF(D6215="","", IFNA(VLOOKUP(D6215, SATCAT_DECAY!A:B, 2, FALSE), ""))
</f>
        <v/>
      </c>
      <c r="G6215" s="3"/>
    </row>
    <row r="6216" ht="22.5" hidden="1" customHeight="1">
      <c r="A6216" s="11" t="str">
        <f t="array" ref="A6216">IFERROR(
  INDEX('Starlink Launches'!$A:$A, MATCH($E6216, 'Starlink Launches'!$B:$B, 0)),
  ""
)
</f>
        <v/>
      </c>
      <c r="B6216" s="26"/>
      <c r="C6216" s="12"/>
      <c r="D6216" s="13"/>
      <c r="E6216" s="4"/>
      <c r="F6216" s="4" t="str">
        <f>IF(D6216="","", IFNA(VLOOKUP(D6216, SATCAT_DECAY!A:B, 2, FALSE), ""))
</f>
        <v/>
      </c>
      <c r="G6216" s="3"/>
    </row>
    <row r="6217" ht="22.5" hidden="1" customHeight="1">
      <c r="A6217" s="11" t="str">
        <f t="array" ref="A6217">IFERROR(
  INDEX('Starlink Launches'!$A:$A, MATCH($E6217, 'Starlink Launches'!$B:$B, 0)),
  ""
)
</f>
        <v/>
      </c>
      <c r="B6217" s="26"/>
      <c r="C6217" s="12"/>
      <c r="D6217" s="13"/>
      <c r="E6217" s="4"/>
      <c r="F6217" s="4" t="str">
        <f>IF(D6217="","", IFNA(VLOOKUP(D6217, SATCAT_DECAY!A:B, 2, FALSE), ""))
</f>
        <v/>
      </c>
      <c r="G6217" s="3"/>
    </row>
    <row r="6218" ht="22.5" hidden="1" customHeight="1">
      <c r="A6218" s="11" t="str">
        <f t="array" ref="A6218">IFERROR(
  INDEX('Starlink Launches'!$A:$A, MATCH($E6218, 'Starlink Launches'!$B:$B, 0)),
  ""
)
</f>
        <v/>
      </c>
      <c r="B6218" s="26"/>
      <c r="C6218" s="12"/>
      <c r="D6218" s="13"/>
      <c r="E6218" s="4"/>
      <c r="F6218" s="4" t="str">
        <f>IF(D6218="","", IFNA(VLOOKUP(D6218, SATCAT_DECAY!A:B, 2, FALSE), ""))
</f>
        <v/>
      </c>
      <c r="G6218" s="3"/>
    </row>
    <row r="6219" ht="22.5" hidden="1" customHeight="1">
      <c r="A6219" s="11" t="str">
        <f t="array" ref="A6219">IFERROR(
  INDEX('Starlink Launches'!$A:$A, MATCH($E6219, 'Starlink Launches'!$B:$B, 0)),
  ""
)
</f>
        <v/>
      </c>
      <c r="B6219" s="26"/>
      <c r="C6219" s="12"/>
      <c r="D6219" s="13"/>
      <c r="E6219" s="4"/>
      <c r="F6219" s="4" t="str">
        <f>IF(D6219="","", IFNA(VLOOKUP(D6219, SATCAT_DECAY!A:B, 2, FALSE), ""))
</f>
        <v/>
      </c>
      <c r="G6219" s="3"/>
    </row>
    <row r="6220" ht="22.5" hidden="1" customHeight="1">
      <c r="A6220" s="11" t="str">
        <f t="array" ref="A6220">IFERROR(
  INDEX('Starlink Launches'!$A:$A, MATCH($E6220, 'Starlink Launches'!$B:$B, 0)),
  ""
)
</f>
        <v/>
      </c>
      <c r="B6220" s="26"/>
      <c r="C6220" s="12"/>
      <c r="D6220" s="13"/>
      <c r="E6220" s="4"/>
      <c r="F6220" s="4" t="str">
        <f>IF(D6220="","", IFNA(VLOOKUP(D6220, SATCAT_DECAY!A:B, 2, FALSE), ""))
</f>
        <v/>
      </c>
      <c r="G6220" s="3"/>
    </row>
    <row r="6221" ht="22.5" hidden="1" customHeight="1">
      <c r="A6221" s="11" t="str">
        <f t="array" ref="A6221">IFERROR(
  INDEX('Starlink Launches'!$A:$A, MATCH($E6221, 'Starlink Launches'!$B:$B, 0)),
  ""
)
</f>
        <v/>
      </c>
      <c r="B6221" s="26"/>
      <c r="C6221" s="12"/>
      <c r="D6221" s="13"/>
      <c r="E6221" s="4"/>
      <c r="F6221" s="4" t="str">
        <f>IF(D6221="","", IFNA(VLOOKUP(D6221, SATCAT_DECAY!A:B, 2, FALSE), ""))
</f>
        <v/>
      </c>
      <c r="G6221" s="3"/>
    </row>
    <row r="6222" ht="22.5" hidden="1" customHeight="1">
      <c r="A6222" s="11" t="str">
        <f t="array" ref="A6222">IFERROR(
  INDEX('Starlink Launches'!$A:$A, MATCH($E6222, 'Starlink Launches'!$B:$B, 0)),
  ""
)
</f>
        <v/>
      </c>
      <c r="B6222" s="26"/>
      <c r="C6222" s="12"/>
      <c r="D6222" s="13"/>
      <c r="E6222" s="4"/>
      <c r="F6222" s="4" t="str">
        <f>IF(D6222="","", IFNA(VLOOKUP(D6222, SATCAT_DECAY!A:B, 2, FALSE), ""))
</f>
        <v/>
      </c>
      <c r="G6222" s="3"/>
    </row>
    <row r="6223" ht="22.5" hidden="1" customHeight="1">
      <c r="A6223" s="11" t="str">
        <f t="array" ref="A6223">IFERROR(
  INDEX('Starlink Launches'!$A:$A, MATCH($E6223, 'Starlink Launches'!$B:$B, 0)),
  ""
)
</f>
        <v/>
      </c>
      <c r="B6223" s="26"/>
      <c r="C6223" s="12"/>
      <c r="D6223" s="13"/>
      <c r="E6223" s="4"/>
      <c r="F6223" s="4" t="str">
        <f>IF(D6223="","", IFNA(VLOOKUP(D6223, SATCAT_DECAY!A:B, 2, FALSE), ""))
</f>
        <v/>
      </c>
      <c r="G6223" s="3"/>
    </row>
    <row r="6224" ht="22.5" hidden="1" customHeight="1">
      <c r="A6224" s="11" t="str">
        <f t="array" ref="A6224">IFERROR(
  INDEX('Starlink Launches'!$A:$A, MATCH($E6224, 'Starlink Launches'!$B:$B, 0)),
  ""
)
</f>
        <v/>
      </c>
      <c r="B6224" s="26"/>
      <c r="C6224" s="12"/>
      <c r="D6224" s="13"/>
      <c r="E6224" s="4"/>
      <c r="F6224" s="4" t="str">
        <f>IF(D6224="","", IFNA(VLOOKUP(D6224, SATCAT_DECAY!A:B, 2, FALSE), ""))
</f>
        <v/>
      </c>
      <c r="G6224" s="3"/>
    </row>
    <row r="6225" ht="22.5" hidden="1" customHeight="1">
      <c r="A6225" s="11" t="str">
        <f t="array" ref="A6225">IFERROR(
  INDEX('Starlink Launches'!$A:$A, MATCH($E6225, 'Starlink Launches'!$B:$B, 0)),
  ""
)
</f>
        <v/>
      </c>
      <c r="B6225" s="26"/>
      <c r="C6225" s="12"/>
      <c r="D6225" s="13"/>
      <c r="E6225" s="4"/>
      <c r="F6225" s="4" t="str">
        <f>IF(D6225="","", IFNA(VLOOKUP(D6225, SATCAT_DECAY!A:B, 2, FALSE), ""))
</f>
        <v/>
      </c>
      <c r="G6225" s="3"/>
    </row>
    <row r="6226" ht="22.5" hidden="1" customHeight="1">
      <c r="A6226" s="11" t="str">
        <f t="array" ref="A6226">IFERROR(
  INDEX('Starlink Launches'!$A:$A, MATCH($E6226, 'Starlink Launches'!$B:$B, 0)),
  ""
)
</f>
        <v/>
      </c>
      <c r="B6226" s="26"/>
      <c r="C6226" s="12"/>
      <c r="D6226" s="13"/>
      <c r="E6226" s="4"/>
      <c r="F6226" s="4" t="str">
        <f>IF(D6226="","", IFNA(VLOOKUP(D6226, SATCAT_DECAY!A:B, 2, FALSE), ""))
</f>
        <v/>
      </c>
      <c r="G6226" s="3"/>
    </row>
    <row r="6227" ht="22.5" hidden="1" customHeight="1">
      <c r="A6227" s="11" t="str">
        <f t="array" ref="A6227">IFERROR(
  INDEX('Starlink Launches'!$A:$A, MATCH($E6227, 'Starlink Launches'!$B:$B, 0)),
  ""
)
</f>
        <v/>
      </c>
      <c r="B6227" s="26"/>
      <c r="C6227" s="12"/>
      <c r="D6227" s="13"/>
      <c r="E6227" s="4"/>
      <c r="F6227" s="4" t="str">
        <f>IF(D6227="","", IFNA(VLOOKUP(D6227, SATCAT_DECAY!A:B, 2, FALSE), ""))
</f>
        <v/>
      </c>
      <c r="G6227" s="3"/>
    </row>
    <row r="6228" ht="22.5" hidden="1" customHeight="1">
      <c r="A6228" s="11" t="str">
        <f t="array" ref="A6228">IFERROR(
  INDEX('Starlink Launches'!$A:$A, MATCH($E6228, 'Starlink Launches'!$B:$B, 0)),
  ""
)
</f>
        <v/>
      </c>
      <c r="B6228" s="26"/>
      <c r="C6228" s="12"/>
      <c r="D6228" s="13"/>
      <c r="E6228" s="4"/>
      <c r="F6228" s="4" t="str">
        <f>IF(D6228="","", IFNA(VLOOKUP(D6228, SATCAT_DECAY!A:B, 2, FALSE), ""))
</f>
        <v/>
      </c>
      <c r="G6228" s="3"/>
    </row>
    <row r="6229" ht="22.5" hidden="1" customHeight="1">
      <c r="A6229" s="11" t="str">
        <f t="array" ref="A6229">IFERROR(
  INDEX('Starlink Launches'!$A:$A, MATCH($E6229, 'Starlink Launches'!$B:$B, 0)),
  ""
)
</f>
        <v/>
      </c>
      <c r="B6229" s="26"/>
      <c r="C6229" s="12"/>
      <c r="D6229" s="13"/>
      <c r="E6229" s="4"/>
      <c r="F6229" s="4" t="str">
        <f>IF(D6229="","", IFNA(VLOOKUP(D6229, SATCAT_DECAY!A:B, 2, FALSE), ""))
</f>
        <v/>
      </c>
      <c r="G6229" s="3"/>
    </row>
    <row r="6230" ht="22.5" hidden="1" customHeight="1">
      <c r="A6230" s="11" t="str">
        <f t="array" ref="A6230">IFERROR(
  INDEX('Starlink Launches'!$A:$A, MATCH($E6230, 'Starlink Launches'!$B:$B, 0)),
  ""
)
</f>
        <v/>
      </c>
      <c r="B6230" s="26"/>
      <c r="C6230" s="12"/>
      <c r="D6230" s="13"/>
      <c r="E6230" s="4"/>
      <c r="F6230" s="4" t="str">
        <f>IF(D6230="","", IFNA(VLOOKUP(D6230, SATCAT_DECAY!A:B, 2, FALSE), ""))
</f>
        <v/>
      </c>
      <c r="G6230" s="3"/>
    </row>
    <row r="6231" ht="22.5" hidden="1" customHeight="1">
      <c r="A6231" s="11" t="str">
        <f t="array" ref="A6231">IFERROR(
  INDEX('Starlink Launches'!$A:$A, MATCH($E6231, 'Starlink Launches'!$B:$B, 0)),
  ""
)
</f>
        <v/>
      </c>
      <c r="B6231" s="26"/>
      <c r="C6231" s="12"/>
      <c r="D6231" s="13"/>
      <c r="E6231" s="4"/>
      <c r="F6231" s="4" t="str">
        <f>IF(D6231="","", IFNA(VLOOKUP(D6231, SATCAT_DECAY!A:B, 2, FALSE), ""))
</f>
        <v/>
      </c>
      <c r="G6231" s="3"/>
    </row>
    <row r="6232" ht="22.5" hidden="1" customHeight="1">
      <c r="A6232" s="11" t="str">
        <f t="array" ref="A6232">IFERROR(
  INDEX('Starlink Launches'!$A:$A, MATCH($E6232, 'Starlink Launches'!$B:$B, 0)),
  ""
)
</f>
        <v/>
      </c>
      <c r="B6232" s="26"/>
      <c r="C6232" s="12"/>
      <c r="D6232" s="13"/>
      <c r="E6232" s="4"/>
      <c r="F6232" s="4" t="str">
        <f>IF(D6232="","", IFNA(VLOOKUP(D6232, SATCAT_DECAY!A:B, 2, FALSE), ""))
</f>
        <v/>
      </c>
      <c r="G6232" s="3"/>
    </row>
    <row r="6233" ht="22.5" hidden="1" customHeight="1">
      <c r="A6233" s="11" t="str">
        <f t="array" ref="A6233">IFERROR(
  INDEX('Starlink Launches'!$A:$A, MATCH($E6233, 'Starlink Launches'!$B:$B, 0)),
  ""
)
</f>
        <v/>
      </c>
      <c r="B6233" s="26"/>
      <c r="C6233" s="12"/>
      <c r="D6233" s="13"/>
      <c r="E6233" s="4"/>
      <c r="F6233" s="4" t="str">
        <f>IF(D6233="","", IFNA(VLOOKUP(D6233, SATCAT_DECAY!A:B, 2, FALSE), ""))
</f>
        <v/>
      </c>
      <c r="G6233" s="3"/>
    </row>
    <row r="6234" ht="22.5" hidden="1" customHeight="1">
      <c r="A6234" s="11" t="str">
        <f t="array" ref="A6234">IFERROR(
  INDEX('Starlink Launches'!$A:$A, MATCH($E6234, 'Starlink Launches'!$B:$B, 0)),
  ""
)
</f>
        <v/>
      </c>
      <c r="B6234" s="26"/>
      <c r="C6234" s="12"/>
      <c r="D6234" s="13"/>
      <c r="E6234" s="4"/>
      <c r="F6234" s="4" t="str">
        <f>IF(D6234="","", IFNA(VLOOKUP(D6234, SATCAT_DECAY!A:B, 2, FALSE), ""))
</f>
        <v/>
      </c>
      <c r="G6234" s="3"/>
    </row>
    <row r="6235" ht="22.5" hidden="1" customHeight="1">
      <c r="A6235" s="11" t="str">
        <f t="array" ref="A6235">IFERROR(
  INDEX('Starlink Launches'!$A:$A, MATCH($E6235, 'Starlink Launches'!$B:$B, 0)),
  ""
)
</f>
        <v/>
      </c>
      <c r="B6235" s="26"/>
      <c r="C6235" s="12"/>
      <c r="D6235" s="13"/>
      <c r="E6235" s="4"/>
      <c r="F6235" s="4" t="str">
        <f>IF(D6235="","", IFNA(VLOOKUP(D6235, SATCAT_DECAY!A:B, 2, FALSE), ""))
</f>
        <v/>
      </c>
      <c r="G6235" s="3"/>
    </row>
    <row r="6236" ht="22.5" hidden="1" customHeight="1">
      <c r="A6236" s="11" t="str">
        <f t="array" ref="A6236">IFERROR(
  INDEX('Starlink Launches'!$A:$A, MATCH($E6236, 'Starlink Launches'!$B:$B, 0)),
  ""
)
</f>
        <v/>
      </c>
      <c r="B6236" s="26"/>
      <c r="C6236" s="12"/>
      <c r="D6236" s="13"/>
      <c r="E6236" s="4"/>
      <c r="F6236" s="4" t="str">
        <f>IF(D6236="","", IFNA(VLOOKUP(D6236, SATCAT_DECAY!A:B, 2, FALSE), ""))
</f>
        <v/>
      </c>
      <c r="G6236" s="3"/>
    </row>
    <row r="6237" ht="22.5" hidden="1" customHeight="1">
      <c r="A6237" s="11" t="str">
        <f t="array" ref="A6237">IFERROR(
  INDEX('Starlink Launches'!$A:$A, MATCH($E6237, 'Starlink Launches'!$B:$B, 0)),
  ""
)
</f>
        <v/>
      </c>
      <c r="B6237" s="26"/>
      <c r="C6237" s="12"/>
      <c r="D6237" s="13"/>
      <c r="E6237" s="4"/>
      <c r="F6237" s="4" t="str">
        <f>IF(D6237="","", IFNA(VLOOKUP(D6237, SATCAT_DECAY!A:B, 2, FALSE), ""))
</f>
        <v/>
      </c>
      <c r="G6237" s="3"/>
    </row>
    <row r="6238" ht="22.5" hidden="1" customHeight="1">
      <c r="A6238" s="11" t="str">
        <f t="array" ref="A6238">IFERROR(
  INDEX('Starlink Launches'!$A:$A, MATCH($E6238, 'Starlink Launches'!$B:$B, 0)),
  ""
)
</f>
        <v/>
      </c>
      <c r="B6238" s="26"/>
      <c r="C6238" s="12"/>
      <c r="D6238" s="13"/>
      <c r="E6238" s="4"/>
      <c r="F6238" s="4" t="str">
        <f>IF(D6238="","", IFNA(VLOOKUP(D6238, SATCAT_DECAY!A:B, 2, FALSE), ""))
</f>
        <v/>
      </c>
      <c r="G6238" s="3"/>
    </row>
    <row r="6239" ht="22.5" hidden="1" customHeight="1">
      <c r="A6239" s="11" t="str">
        <f t="array" ref="A6239">IFERROR(
  INDEX('Starlink Launches'!$A:$A, MATCH($E6239, 'Starlink Launches'!$B:$B, 0)),
  ""
)
</f>
        <v/>
      </c>
      <c r="B6239" s="26"/>
      <c r="C6239" s="12"/>
      <c r="D6239" s="13"/>
      <c r="E6239" s="4"/>
      <c r="F6239" s="4" t="str">
        <f>IF(D6239="","", IFNA(VLOOKUP(D6239, SATCAT_DECAY!A:B, 2, FALSE), ""))
</f>
        <v/>
      </c>
      <c r="G6239" s="3"/>
    </row>
    <row r="6240" ht="22.5" hidden="1" customHeight="1">
      <c r="A6240" s="11" t="str">
        <f t="array" ref="A6240">IFERROR(
  INDEX('Starlink Launches'!$A:$A, MATCH($E6240, 'Starlink Launches'!$B:$B, 0)),
  ""
)
</f>
        <v/>
      </c>
      <c r="B6240" s="26"/>
      <c r="C6240" s="12"/>
      <c r="D6240" s="13"/>
      <c r="E6240" s="4"/>
      <c r="F6240" s="4" t="str">
        <f>IF(D6240="","", IFNA(VLOOKUP(D6240, SATCAT_DECAY!A:B, 2, FALSE), ""))
</f>
        <v/>
      </c>
      <c r="G6240" s="3"/>
    </row>
    <row r="6241" ht="22.5" hidden="1" customHeight="1">
      <c r="A6241" s="11" t="str">
        <f t="array" ref="A6241">IFERROR(
  INDEX('Starlink Launches'!$A:$A, MATCH($E6241, 'Starlink Launches'!$B:$B, 0)),
  ""
)
</f>
        <v/>
      </c>
      <c r="B6241" s="26"/>
      <c r="C6241" s="12"/>
      <c r="D6241" s="13"/>
      <c r="E6241" s="4"/>
      <c r="F6241" s="4" t="str">
        <f>IF(D6241="","", IFNA(VLOOKUP(D6241, SATCAT_DECAY!A:B, 2, FALSE), ""))
</f>
        <v/>
      </c>
      <c r="G6241" s="3"/>
    </row>
    <row r="6242" ht="22.5" hidden="1" customHeight="1">
      <c r="A6242" s="11" t="str">
        <f t="array" ref="A6242">IFERROR(
  INDEX('Starlink Launches'!$A:$A, MATCH($E6242, 'Starlink Launches'!$B:$B, 0)),
  ""
)
</f>
        <v/>
      </c>
      <c r="B6242" s="26"/>
      <c r="C6242" s="12"/>
      <c r="D6242" s="13"/>
      <c r="E6242" s="4"/>
      <c r="F6242" s="4" t="str">
        <f>IF(D6242="","", IFNA(VLOOKUP(D6242, SATCAT_DECAY!A:B, 2, FALSE), ""))
</f>
        <v/>
      </c>
      <c r="G6242" s="3"/>
    </row>
    <row r="6243" ht="22.5" hidden="1" customHeight="1">
      <c r="A6243" s="11" t="str">
        <f t="array" ref="A6243">IFERROR(
  INDEX('Starlink Launches'!$A:$A, MATCH($E6243, 'Starlink Launches'!$B:$B, 0)),
  ""
)
</f>
        <v/>
      </c>
      <c r="B6243" s="26"/>
      <c r="C6243" s="12"/>
      <c r="D6243" s="13"/>
      <c r="E6243" s="4"/>
      <c r="F6243" s="4" t="str">
        <f>IF(D6243="","", IFNA(VLOOKUP(D6243, SATCAT_DECAY!A:B, 2, FALSE), ""))
</f>
        <v/>
      </c>
      <c r="G6243" s="3"/>
    </row>
    <row r="6244" ht="22.5" hidden="1" customHeight="1">
      <c r="A6244" s="11" t="str">
        <f t="array" ref="A6244">IFERROR(
  INDEX('Starlink Launches'!$A:$A, MATCH($E6244, 'Starlink Launches'!$B:$B, 0)),
  ""
)
</f>
        <v/>
      </c>
      <c r="B6244" s="26"/>
      <c r="C6244" s="12"/>
      <c r="D6244" s="13"/>
      <c r="E6244" s="4"/>
      <c r="F6244" s="4" t="str">
        <f>IF(D6244="","", IFNA(VLOOKUP(D6244, SATCAT_DECAY!A:B, 2, FALSE), ""))
</f>
        <v/>
      </c>
      <c r="G6244" s="3"/>
    </row>
    <row r="6245" ht="22.5" hidden="1" customHeight="1">
      <c r="A6245" s="11" t="str">
        <f t="array" ref="A6245">IFERROR(
  INDEX('Starlink Launches'!$A:$A, MATCH($E6245, 'Starlink Launches'!$B:$B, 0)),
  ""
)
</f>
        <v/>
      </c>
      <c r="B6245" s="26"/>
      <c r="C6245" s="12"/>
      <c r="D6245" s="13"/>
      <c r="E6245" s="4"/>
      <c r="F6245" s="4" t="str">
        <f>IF(D6245="","", IFNA(VLOOKUP(D6245, SATCAT_DECAY!A:B, 2, FALSE), ""))
</f>
        <v/>
      </c>
      <c r="G6245" s="3"/>
    </row>
    <row r="6246" ht="22.5" hidden="1" customHeight="1">
      <c r="A6246" s="11" t="str">
        <f t="array" ref="A6246">IFERROR(
  INDEX('Starlink Launches'!$A:$A, MATCH($E6246, 'Starlink Launches'!$B:$B, 0)),
  ""
)
</f>
        <v/>
      </c>
      <c r="B6246" s="26"/>
      <c r="C6246" s="12"/>
      <c r="D6246" s="13"/>
      <c r="E6246" s="4"/>
      <c r="F6246" s="4" t="str">
        <f>IF(D6246="","", IFNA(VLOOKUP(D6246, SATCAT_DECAY!A:B, 2, FALSE), ""))
</f>
        <v/>
      </c>
      <c r="G6246" s="3"/>
    </row>
    <row r="6247" ht="22.5" hidden="1" customHeight="1">
      <c r="A6247" s="11" t="str">
        <f t="array" ref="A6247">IFERROR(
  INDEX('Starlink Launches'!$A:$A, MATCH($E6247, 'Starlink Launches'!$B:$B, 0)),
  ""
)
</f>
        <v/>
      </c>
      <c r="B6247" s="26"/>
      <c r="C6247" s="12"/>
      <c r="D6247" s="13"/>
      <c r="E6247" s="4"/>
      <c r="F6247" s="4" t="str">
        <f>IF(D6247="","", IFNA(VLOOKUP(D6247, SATCAT_DECAY!A:B, 2, FALSE), ""))
</f>
        <v/>
      </c>
      <c r="G6247" s="3"/>
    </row>
    <row r="6248" ht="22.5" hidden="1" customHeight="1">
      <c r="A6248" s="11" t="str">
        <f t="array" ref="A6248">IFERROR(
  INDEX('Starlink Launches'!$A:$A, MATCH($E6248, 'Starlink Launches'!$B:$B, 0)),
  ""
)
</f>
        <v/>
      </c>
      <c r="B6248" s="26"/>
      <c r="C6248" s="12"/>
      <c r="D6248" s="13"/>
      <c r="E6248" s="4"/>
      <c r="F6248" s="4" t="str">
        <f>IF(D6248="","", IFNA(VLOOKUP(D6248, SATCAT_DECAY!A:B, 2, FALSE), ""))
</f>
        <v/>
      </c>
      <c r="G6248" s="3"/>
    </row>
    <row r="6249" ht="22.5" hidden="1" customHeight="1">
      <c r="A6249" s="11" t="str">
        <f t="array" ref="A6249">IFERROR(
  INDEX('Starlink Launches'!$A:$A, MATCH($E6249, 'Starlink Launches'!$B:$B, 0)),
  ""
)
</f>
        <v/>
      </c>
      <c r="B6249" s="26"/>
      <c r="C6249" s="12"/>
      <c r="D6249" s="13"/>
      <c r="E6249" s="4"/>
      <c r="F6249" s="4" t="str">
        <f>IF(D6249="","", IFNA(VLOOKUP(D6249, SATCAT_DECAY!A:B, 2, FALSE), ""))
</f>
        <v/>
      </c>
      <c r="G6249" s="3"/>
    </row>
    <row r="6250" ht="22.5" hidden="1" customHeight="1">
      <c r="A6250" s="11" t="str">
        <f t="array" ref="A6250">IFERROR(
  INDEX('Starlink Launches'!$A:$A, MATCH($E6250, 'Starlink Launches'!$B:$B, 0)),
  ""
)
</f>
        <v/>
      </c>
      <c r="B6250" s="26"/>
      <c r="C6250" s="12"/>
      <c r="D6250" s="13"/>
      <c r="E6250" s="4"/>
      <c r="F6250" s="4" t="str">
        <f>IF(D6250="","", IFNA(VLOOKUP(D6250, SATCAT_DECAY!A:B, 2, FALSE), ""))
</f>
        <v/>
      </c>
      <c r="G6250" s="3"/>
    </row>
    <row r="6251" ht="22.5" hidden="1" customHeight="1">
      <c r="A6251" s="11" t="str">
        <f t="array" ref="A6251">IFERROR(
  INDEX('Starlink Launches'!$A:$A, MATCH($E6251, 'Starlink Launches'!$B:$B, 0)),
  ""
)
</f>
        <v/>
      </c>
      <c r="B6251" s="26"/>
      <c r="C6251" s="12"/>
      <c r="D6251" s="13"/>
      <c r="E6251" s="4"/>
      <c r="F6251" s="4" t="str">
        <f>IF(D6251="","", IFNA(VLOOKUP(D6251, SATCAT_DECAY!A:B, 2, FALSE), ""))
</f>
        <v/>
      </c>
      <c r="G6251" s="3"/>
    </row>
    <row r="6252" ht="22.5" hidden="1" customHeight="1">
      <c r="A6252" s="11" t="str">
        <f t="array" ref="A6252">IFERROR(
  INDEX('Starlink Launches'!$A:$A, MATCH($E6252, 'Starlink Launches'!$B:$B, 0)),
  ""
)
</f>
        <v/>
      </c>
      <c r="B6252" s="26"/>
      <c r="C6252" s="12"/>
      <c r="D6252" s="13"/>
      <c r="E6252" s="4"/>
      <c r="F6252" s="4" t="str">
        <f>IF(D6252="","", IFNA(VLOOKUP(D6252, SATCAT_DECAY!A:B, 2, FALSE), ""))
</f>
        <v/>
      </c>
      <c r="G6252" s="3"/>
    </row>
    <row r="6253" ht="22.5" hidden="1" customHeight="1">
      <c r="A6253" s="11" t="str">
        <f t="array" ref="A6253">IFERROR(
  INDEX('Starlink Launches'!$A:$A, MATCH($E6253, 'Starlink Launches'!$B:$B, 0)),
  ""
)
</f>
        <v/>
      </c>
      <c r="B6253" s="26"/>
      <c r="C6253" s="12"/>
      <c r="D6253" s="13"/>
      <c r="E6253" s="4"/>
      <c r="F6253" s="4" t="str">
        <f>IF(D6253="","", IFNA(VLOOKUP(D6253, SATCAT_DECAY!A:B, 2, FALSE), ""))
</f>
        <v/>
      </c>
      <c r="G6253" s="3"/>
    </row>
    <row r="6254" ht="22.5" hidden="1" customHeight="1">
      <c r="A6254" s="11" t="str">
        <f t="array" ref="A6254">IFERROR(
  INDEX('Starlink Launches'!$A:$A, MATCH($E6254, 'Starlink Launches'!$B:$B, 0)),
  ""
)
</f>
        <v/>
      </c>
      <c r="B6254" s="26"/>
      <c r="C6254" s="12"/>
      <c r="D6254" s="13"/>
      <c r="E6254" s="4"/>
      <c r="F6254" s="4" t="str">
        <f>IF(D6254="","", IFNA(VLOOKUP(D6254, SATCAT_DECAY!A:B, 2, FALSE), ""))
</f>
        <v/>
      </c>
      <c r="G6254" s="3"/>
    </row>
    <row r="6255" ht="22.5" hidden="1" customHeight="1">
      <c r="A6255" s="11" t="str">
        <f t="array" ref="A6255">IFERROR(
  INDEX('Starlink Launches'!$A:$A, MATCH($E6255, 'Starlink Launches'!$B:$B, 0)),
  ""
)
</f>
        <v/>
      </c>
      <c r="B6255" s="26"/>
      <c r="C6255" s="12"/>
      <c r="D6255" s="13"/>
      <c r="E6255" s="4"/>
      <c r="F6255" s="4" t="str">
        <f>IF(D6255="","", IFNA(VLOOKUP(D6255, SATCAT_DECAY!A:B, 2, FALSE), ""))
</f>
        <v/>
      </c>
      <c r="G6255" s="3"/>
    </row>
    <row r="6256" ht="22.5" hidden="1" customHeight="1">
      <c r="A6256" s="11" t="str">
        <f t="array" ref="A6256">IFERROR(
  INDEX('Starlink Launches'!$A:$A, MATCH($E6256, 'Starlink Launches'!$B:$B, 0)),
  ""
)
</f>
        <v/>
      </c>
      <c r="B6256" s="26"/>
      <c r="C6256" s="12"/>
      <c r="D6256" s="13"/>
      <c r="E6256" s="4"/>
      <c r="F6256" s="4" t="str">
        <f>IF(D6256="","", IFNA(VLOOKUP(D6256, SATCAT_DECAY!A:B, 2, FALSE), ""))
</f>
        <v/>
      </c>
      <c r="G6256" s="3"/>
    </row>
    <row r="6257" ht="22.5" hidden="1" customHeight="1">
      <c r="A6257" s="11" t="str">
        <f t="array" ref="A6257">IFERROR(
  INDEX('Starlink Launches'!$A:$A, MATCH($E6257, 'Starlink Launches'!$B:$B, 0)),
  ""
)
</f>
        <v/>
      </c>
      <c r="B6257" s="26"/>
      <c r="C6257" s="12"/>
      <c r="D6257" s="13"/>
      <c r="E6257" s="4"/>
      <c r="F6257" s="4" t="str">
        <f>IF(D6257="","", IFNA(VLOOKUP(D6257, SATCAT_DECAY!A:B, 2, FALSE), ""))
</f>
        <v/>
      </c>
      <c r="G6257" s="3"/>
    </row>
    <row r="6258" ht="22.5" hidden="1" customHeight="1">
      <c r="A6258" s="11" t="str">
        <f t="array" ref="A6258">IFERROR(
  INDEX('Starlink Launches'!$A:$A, MATCH($E6258, 'Starlink Launches'!$B:$B, 0)),
  ""
)
</f>
        <v/>
      </c>
      <c r="B6258" s="26"/>
      <c r="C6258" s="12"/>
      <c r="D6258" s="13"/>
      <c r="E6258" s="4"/>
      <c r="F6258" s="4" t="str">
        <f>IF(D6258="","", IFNA(VLOOKUP(D6258, SATCAT_DECAY!A:B, 2, FALSE), ""))
</f>
        <v/>
      </c>
      <c r="G6258" s="3"/>
    </row>
    <row r="6259" ht="22.5" hidden="1" customHeight="1">
      <c r="A6259" s="11" t="str">
        <f t="array" ref="A6259">IFERROR(
  INDEX('Starlink Launches'!$A:$A, MATCH($E6259, 'Starlink Launches'!$B:$B, 0)),
  ""
)
</f>
        <v/>
      </c>
      <c r="B6259" s="26"/>
      <c r="C6259" s="12"/>
      <c r="D6259" s="13"/>
      <c r="E6259" s="4"/>
      <c r="F6259" s="4" t="str">
        <f>IF(D6259="","", IFNA(VLOOKUP(D6259, SATCAT_DECAY!A:B, 2, FALSE), ""))
</f>
        <v/>
      </c>
      <c r="G6259" s="3"/>
    </row>
    <row r="6260" ht="22.5" hidden="1" customHeight="1">
      <c r="A6260" s="11" t="str">
        <f t="array" ref="A6260">IFERROR(
  INDEX('Starlink Launches'!$A:$A, MATCH($E6260, 'Starlink Launches'!$B:$B, 0)),
  ""
)
</f>
        <v/>
      </c>
      <c r="B6260" s="26"/>
      <c r="C6260" s="12"/>
      <c r="D6260" s="13"/>
      <c r="E6260" s="4"/>
      <c r="F6260" s="4" t="str">
        <f>IF(D6260="","", IFNA(VLOOKUP(D6260, SATCAT_DECAY!A:B, 2, FALSE), ""))
</f>
        <v/>
      </c>
      <c r="G6260" s="3"/>
    </row>
    <row r="6261" ht="22.5" hidden="1" customHeight="1">
      <c r="A6261" s="11" t="str">
        <f t="array" ref="A6261">IFERROR(
  INDEX('Starlink Launches'!$A:$A, MATCH($E6261, 'Starlink Launches'!$B:$B, 0)),
  ""
)
</f>
        <v/>
      </c>
      <c r="B6261" s="26"/>
      <c r="C6261" s="12"/>
      <c r="D6261" s="13"/>
      <c r="E6261" s="4"/>
      <c r="F6261" s="4" t="str">
        <f>IF(D6261="","", IFNA(VLOOKUP(D6261, SATCAT_DECAY!A:B, 2, FALSE), ""))
</f>
        <v/>
      </c>
      <c r="G6261" s="3"/>
    </row>
    <row r="6262" ht="22.5" hidden="1" customHeight="1">
      <c r="A6262" s="11" t="str">
        <f t="array" ref="A6262">IFERROR(
  INDEX('Starlink Launches'!$A:$A, MATCH($E6262, 'Starlink Launches'!$B:$B, 0)),
  ""
)
</f>
        <v/>
      </c>
      <c r="B6262" s="26"/>
      <c r="C6262" s="12"/>
      <c r="D6262" s="13"/>
      <c r="E6262" s="4"/>
      <c r="F6262" s="4" t="str">
        <f>IF(D6262="","", IFNA(VLOOKUP(D6262, SATCAT_DECAY!A:B, 2, FALSE), ""))
</f>
        <v/>
      </c>
      <c r="G6262" s="3"/>
    </row>
    <row r="6263" ht="22.5" hidden="1" customHeight="1">
      <c r="A6263" s="11" t="str">
        <f t="array" ref="A6263">IFERROR(
  INDEX('Starlink Launches'!$A:$A, MATCH($E6263, 'Starlink Launches'!$B:$B, 0)),
  ""
)
</f>
        <v/>
      </c>
      <c r="B6263" s="26"/>
      <c r="C6263" s="12"/>
      <c r="D6263" s="13"/>
      <c r="E6263" s="4"/>
      <c r="F6263" s="4" t="str">
        <f>IF(D6263="","", IFNA(VLOOKUP(D6263, SATCAT_DECAY!A:B, 2, FALSE), ""))
</f>
        <v/>
      </c>
      <c r="G6263" s="3"/>
    </row>
    <row r="6264" ht="22.5" hidden="1" customHeight="1">
      <c r="A6264" s="11" t="str">
        <f t="array" ref="A6264">IFERROR(
  INDEX('Starlink Launches'!$A:$A, MATCH($E6264, 'Starlink Launches'!$B:$B, 0)),
  ""
)
</f>
        <v/>
      </c>
      <c r="B6264" s="26"/>
      <c r="C6264" s="12"/>
      <c r="D6264" s="13"/>
      <c r="E6264" s="4"/>
      <c r="F6264" s="4" t="str">
        <f>IF(D6264="","", IFNA(VLOOKUP(D6264, SATCAT_DECAY!A:B, 2, FALSE), ""))
</f>
        <v/>
      </c>
      <c r="G6264" s="3"/>
    </row>
    <row r="6265" ht="22.5" hidden="1" customHeight="1">
      <c r="A6265" s="11" t="str">
        <f t="array" ref="A6265">IFERROR(
  INDEX('Starlink Launches'!$A:$A, MATCH($E6265, 'Starlink Launches'!$B:$B, 0)),
  ""
)
</f>
        <v/>
      </c>
      <c r="B6265" s="26"/>
      <c r="C6265" s="12"/>
      <c r="D6265" s="13"/>
      <c r="E6265" s="4"/>
      <c r="F6265" s="4" t="str">
        <f>IF(D6265="","", IFNA(VLOOKUP(D6265, SATCAT_DECAY!A:B, 2, FALSE), ""))
</f>
        <v/>
      </c>
      <c r="G6265" s="3"/>
    </row>
    <row r="6266" ht="22.5" hidden="1" customHeight="1">
      <c r="A6266" s="11" t="str">
        <f t="array" ref="A6266">IFERROR(
  INDEX('Starlink Launches'!$A:$A, MATCH($E6266, 'Starlink Launches'!$B:$B, 0)),
  ""
)
</f>
        <v/>
      </c>
      <c r="B6266" s="26"/>
      <c r="C6266" s="12"/>
      <c r="D6266" s="13"/>
      <c r="E6266" s="4"/>
      <c r="F6266" s="4" t="str">
        <f>IF(D6266="","", IFNA(VLOOKUP(D6266, SATCAT_DECAY!A:B, 2, FALSE), ""))
</f>
        <v/>
      </c>
      <c r="G6266" s="3"/>
    </row>
    <row r="6267" ht="22.5" hidden="1" customHeight="1">
      <c r="A6267" s="11" t="str">
        <f t="array" ref="A6267">IFERROR(
  INDEX('Starlink Launches'!$A:$A, MATCH($E6267, 'Starlink Launches'!$B:$B, 0)),
  ""
)
</f>
        <v/>
      </c>
      <c r="B6267" s="26"/>
      <c r="C6267" s="12"/>
      <c r="D6267" s="13"/>
      <c r="E6267" s="4"/>
      <c r="F6267" s="4" t="str">
        <f>IF(D6267="","", IFNA(VLOOKUP(D6267, SATCAT_DECAY!A:B, 2, FALSE), ""))
</f>
        <v/>
      </c>
      <c r="G6267" s="3"/>
    </row>
    <row r="6268" ht="22.5" hidden="1" customHeight="1">
      <c r="A6268" s="11" t="str">
        <f t="array" ref="A6268">IFERROR(
  INDEX('Starlink Launches'!$A:$A, MATCH($E6268, 'Starlink Launches'!$B:$B, 0)),
  ""
)
</f>
        <v/>
      </c>
      <c r="B6268" s="26"/>
      <c r="C6268" s="12"/>
      <c r="D6268" s="13"/>
      <c r="E6268" s="4"/>
      <c r="F6268" s="4" t="str">
        <f>IF(D6268="","", IFNA(VLOOKUP(D6268, SATCAT_DECAY!A:B, 2, FALSE), ""))
</f>
        <v/>
      </c>
      <c r="G6268" s="3"/>
    </row>
    <row r="6269" ht="22.5" hidden="1" customHeight="1">
      <c r="A6269" s="11" t="str">
        <f t="array" ref="A6269">IFERROR(
  INDEX('Starlink Launches'!$A:$A, MATCH($E6269, 'Starlink Launches'!$B:$B, 0)),
  ""
)
</f>
        <v/>
      </c>
      <c r="B6269" s="26"/>
      <c r="C6269" s="12"/>
      <c r="D6269" s="13"/>
      <c r="E6269" s="4"/>
      <c r="F6269" s="4" t="str">
        <f>IF(D6269="","", IFNA(VLOOKUP(D6269, SATCAT_DECAY!A:B, 2, FALSE), ""))
</f>
        <v/>
      </c>
      <c r="G6269" s="3"/>
    </row>
    <row r="6270" ht="22.5" hidden="1" customHeight="1">
      <c r="A6270" s="11" t="str">
        <f t="array" ref="A6270">IFERROR(
  INDEX('Starlink Launches'!$A:$A, MATCH($E6270, 'Starlink Launches'!$B:$B, 0)),
  ""
)
</f>
        <v/>
      </c>
      <c r="B6270" s="26"/>
      <c r="C6270" s="12"/>
      <c r="D6270" s="13"/>
      <c r="E6270" s="4"/>
      <c r="F6270" s="4" t="str">
        <f>IF(D6270="","", IFNA(VLOOKUP(D6270, SATCAT_DECAY!A:B, 2, FALSE), ""))
</f>
        <v/>
      </c>
      <c r="G6270" s="3"/>
    </row>
    <row r="6271" ht="22.5" hidden="1" customHeight="1">
      <c r="A6271" s="11" t="str">
        <f t="array" ref="A6271">IFERROR(
  INDEX('Starlink Launches'!$A:$A, MATCH($E6271, 'Starlink Launches'!$B:$B, 0)),
  ""
)
</f>
        <v/>
      </c>
      <c r="B6271" s="26"/>
      <c r="C6271" s="12"/>
      <c r="D6271" s="13"/>
      <c r="E6271" s="4"/>
      <c r="F6271" s="4" t="str">
        <f>IF(D6271="","", IFNA(VLOOKUP(D6271, SATCAT_DECAY!A:B, 2, FALSE), ""))
</f>
        <v/>
      </c>
      <c r="G6271" s="3"/>
    </row>
    <row r="6272" ht="22.5" hidden="1" customHeight="1">
      <c r="A6272" s="11" t="str">
        <f t="array" ref="A6272">IFERROR(
  INDEX('Starlink Launches'!$A:$A, MATCH($E6272, 'Starlink Launches'!$B:$B, 0)),
  ""
)
</f>
        <v/>
      </c>
      <c r="B6272" s="26"/>
      <c r="C6272" s="12"/>
      <c r="D6272" s="13"/>
      <c r="E6272" s="4"/>
      <c r="F6272" s="4" t="str">
        <f>IF(D6272="","", IFNA(VLOOKUP(D6272, SATCAT_DECAY!A:B, 2, FALSE), ""))
</f>
        <v/>
      </c>
      <c r="G6272" s="3"/>
    </row>
    <row r="6273" ht="22.5" hidden="1" customHeight="1">
      <c r="A6273" s="11" t="str">
        <f t="array" ref="A6273">IFERROR(
  INDEX('Starlink Launches'!$A:$A, MATCH($E6273, 'Starlink Launches'!$B:$B, 0)),
  ""
)
</f>
        <v/>
      </c>
      <c r="B6273" s="26"/>
      <c r="C6273" s="12"/>
      <c r="D6273" s="13"/>
      <c r="E6273" s="4"/>
      <c r="F6273" s="4" t="str">
        <f>IF(D6273="","", IFNA(VLOOKUP(D6273, SATCAT_DECAY!A:B, 2, FALSE), ""))
</f>
        <v/>
      </c>
      <c r="G6273" s="3"/>
    </row>
    <row r="6274" ht="22.5" hidden="1" customHeight="1">
      <c r="A6274" s="11" t="str">
        <f t="array" ref="A6274">IFERROR(
  INDEX('Starlink Launches'!$A:$A, MATCH($E6274, 'Starlink Launches'!$B:$B, 0)),
  ""
)
</f>
        <v/>
      </c>
      <c r="B6274" s="26"/>
      <c r="C6274" s="12"/>
      <c r="D6274" s="13"/>
      <c r="E6274" s="4"/>
      <c r="F6274" s="4" t="str">
        <f>IF(D6274="","", IFNA(VLOOKUP(D6274, SATCAT_DECAY!A:B, 2, FALSE), ""))
</f>
        <v/>
      </c>
      <c r="G6274" s="3"/>
    </row>
    <row r="6275" ht="22.5" hidden="1" customHeight="1">
      <c r="A6275" s="11" t="str">
        <f t="array" ref="A6275">IFERROR(
  INDEX('Starlink Launches'!$A:$A, MATCH($E6275, 'Starlink Launches'!$B:$B, 0)),
  ""
)
</f>
        <v/>
      </c>
      <c r="B6275" s="26"/>
      <c r="C6275" s="12"/>
      <c r="D6275" s="13"/>
      <c r="E6275" s="4"/>
      <c r="F6275" s="4" t="str">
        <f>IF(D6275="","", IFNA(VLOOKUP(D6275, SATCAT_DECAY!A:B, 2, FALSE), ""))
</f>
        <v/>
      </c>
      <c r="G6275" s="3"/>
    </row>
    <row r="6276" ht="22.5" hidden="1" customHeight="1">
      <c r="A6276" s="11" t="str">
        <f t="array" ref="A6276">IFERROR(
  INDEX('Starlink Launches'!$A:$A, MATCH($E6276, 'Starlink Launches'!$B:$B, 0)),
  ""
)
</f>
        <v/>
      </c>
      <c r="B6276" s="26"/>
      <c r="C6276" s="12"/>
      <c r="D6276" s="13"/>
      <c r="E6276" s="4"/>
      <c r="F6276" s="4" t="str">
        <f>IF(D6276="","", IFNA(VLOOKUP(D6276, SATCAT_DECAY!A:B, 2, FALSE), ""))
</f>
        <v/>
      </c>
      <c r="G6276" s="3"/>
    </row>
    <row r="6277" ht="22.5" hidden="1" customHeight="1">
      <c r="A6277" s="11" t="str">
        <f t="array" ref="A6277">IFERROR(
  INDEX('Starlink Launches'!$A:$A, MATCH($E6277, 'Starlink Launches'!$B:$B, 0)),
  ""
)
</f>
        <v/>
      </c>
      <c r="B6277" s="26"/>
      <c r="C6277" s="12"/>
      <c r="D6277" s="13"/>
      <c r="E6277" s="4"/>
      <c r="F6277" s="4" t="str">
        <f>IF(D6277="","", IFNA(VLOOKUP(D6277, SATCAT_DECAY!A:B, 2, FALSE), ""))
</f>
        <v/>
      </c>
      <c r="G6277" s="3"/>
    </row>
    <row r="6278" ht="22.5" hidden="1" customHeight="1">
      <c r="A6278" s="11" t="str">
        <f t="array" ref="A6278">IFERROR(
  INDEX('Starlink Launches'!$A:$A, MATCH($E6278, 'Starlink Launches'!$B:$B, 0)),
  ""
)
</f>
        <v/>
      </c>
      <c r="B6278" s="26"/>
      <c r="C6278" s="12"/>
      <c r="D6278" s="13"/>
      <c r="E6278" s="4"/>
      <c r="F6278" s="4" t="str">
        <f>IF(D6278="","", IFNA(VLOOKUP(D6278, SATCAT_DECAY!A:B, 2, FALSE), ""))
</f>
        <v/>
      </c>
      <c r="G6278" s="3"/>
    </row>
    <row r="6279" ht="22.5" hidden="1" customHeight="1">
      <c r="A6279" s="11" t="str">
        <f t="array" ref="A6279">IFERROR(
  INDEX('Starlink Launches'!$A:$A, MATCH($E6279, 'Starlink Launches'!$B:$B, 0)),
  ""
)
</f>
        <v/>
      </c>
      <c r="B6279" s="26"/>
      <c r="C6279" s="12"/>
      <c r="D6279" s="13"/>
      <c r="E6279" s="4"/>
      <c r="F6279" s="4" t="str">
        <f>IF(D6279="","", IFNA(VLOOKUP(D6279, SATCAT_DECAY!A:B, 2, FALSE), ""))
</f>
        <v/>
      </c>
      <c r="G6279" s="3"/>
    </row>
    <row r="6280" ht="22.5" hidden="1" customHeight="1">
      <c r="A6280" s="11" t="str">
        <f t="array" ref="A6280">IFERROR(
  INDEX('Starlink Launches'!$A:$A, MATCH($E6280, 'Starlink Launches'!$B:$B, 0)),
  ""
)
</f>
        <v/>
      </c>
      <c r="B6280" s="26"/>
      <c r="C6280" s="12"/>
      <c r="D6280" s="13"/>
      <c r="E6280" s="4"/>
      <c r="F6280" s="4" t="str">
        <f>IF(D6280="","", IFNA(VLOOKUP(D6280, SATCAT_DECAY!A:B, 2, FALSE), ""))
</f>
        <v/>
      </c>
      <c r="G6280" s="3"/>
    </row>
    <row r="6281" ht="22.5" hidden="1" customHeight="1">
      <c r="A6281" s="11" t="str">
        <f t="array" ref="A6281">IFERROR(
  INDEX('Starlink Launches'!$A:$A, MATCH($E6281, 'Starlink Launches'!$B:$B, 0)),
  ""
)
</f>
        <v/>
      </c>
      <c r="B6281" s="26"/>
      <c r="C6281" s="12"/>
      <c r="D6281" s="13"/>
      <c r="E6281" s="4"/>
      <c r="F6281" s="4" t="str">
        <f>IF(D6281="","", IFNA(VLOOKUP(D6281, SATCAT_DECAY!A:B, 2, FALSE), ""))
</f>
        <v/>
      </c>
      <c r="G6281" s="3"/>
    </row>
    <row r="6282" ht="22.5" hidden="1" customHeight="1">
      <c r="A6282" s="11" t="str">
        <f t="array" ref="A6282">IFERROR(
  INDEX('Starlink Launches'!$A:$A, MATCH($E6282, 'Starlink Launches'!$B:$B, 0)),
  ""
)
</f>
        <v/>
      </c>
      <c r="B6282" s="26"/>
      <c r="C6282" s="12"/>
      <c r="D6282" s="13"/>
      <c r="E6282" s="4"/>
      <c r="F6282" s="4" t="str">
        <f>IF(D6282="","", IFNA(VLOOKUP(D6282, SATCAT_DECAY!A:B, 2, FALSE), ""))
</f>
        <v/>
      </c>
      <c r="G6282" s="3"/>
    </row>
    <row r="6283" ht="22.5" hidden="1" customHeight="1">
      <c r="A6283" s="11" t="str">
        <f t="array" ref="A6283">IFERROR(
  INDEX('Starlink Launches'!$A:$A, MATCH($E6283, 'Starlink Launches'!$B:$B, 0)),
  ""
)
</f>
        <v/>
      </c>
      <c r="B6283" s="26"/>
      <c r="C6283" s="12"/>
      <c r="D6283" s="13"/>
      <c r="E6283" s="4"/>
      <c r="F6283" s="4" t="str">
        <f>IF(D6283="","", IFNA(VLOOKUP(D6283, SATCAT_DECAY!A:B, 2, FALSE), ""))
</f>
        <v/>
      </c>
      <c r="G6283" s="3"/>
    </row>
    <row r="6284" ht="22.5" hidden="1" customHeight="1">
      <c r="A6284" s="11" t="str">
        <f t="array" ref="A6284">IFERROR(
  INDEX('Starlink Launches'!$A:$A, MATCH($E6284, 'Starlink Launches'!$B:$B, 0)),
  ""
)
</f>
        <v/>
      </c>
      <c r="B6284" s="26"/>
      <c r="C6284" s="12"/>
      <c r="D6284" s="13"/>
      <c r="E6284" s="4"/>
      <c r="F6284" s="4" t="str">
        <f>IF(D6284="","", IFNA(VLOOKUP(D6284, SATCAT_DECAY!A:B, 2, FALSE), ""))
</f>
        <v/>
      </c>
      <c r="G6284" s="3"/>
    </row>
    <row r="6285" ht="22.5" hidden="1" customHeight="1">
      <c r="A6285" s="11" t="str">
        <f t="array" ref="A6285">IFERROR(
  INDEX('Starlink Launches'!$A:$A, MATCH($E6285, 'Starlink Launches'!$B:$B, 0)),
  ""
)
</f>
        <v/>
      </c>
      <c r="B6285" s="26"/>
      <c r="C6285" s="12"/>
      <c r="D6285" s="13"/>
      <c r="E6285" s="4"/>
      <c r="F6285" s="4" t="str">
        <f>IF(D6285="","", IFNA(VLOOKUP(D6285, SATCAT_DECAY!A:B, 2, FALSE), ""))
</f>
        <v/>
      </c>
      <c r="G6285" s="3"/>
    </row>
    <row r="6286" ht="22.5" hidden="1" customHeight="1">
      <c r="A6286" s="11" t="str">
        <f t="array" ref="A6286">IFERROR(
  INDEX('Starlink Launches'!$A:$A, MATCH($E6286, 'Starlink Launches'!$B:$B, 0)),
  ""
)
</f>
        <v/>
      </c>
      <c r="B6286" s="26"/>
      <c r="C6286" s="12"/>
      <c r="D6286" s="13"/>
      <c r="E6286" s="4"/>
      <c r="F6286" s="4" t="str">
        <f>IF(D6286="","", IFNA(VLOOKUP(D6286, SATCAT_DECAY!A:B, 2, FALSE), ""))
</f>
        <v/>
      </c>
      <c r="G6286" s="3"/>
    </row>
    <row r="6287" ht="22.5" hidden="1" customHeight="1">
      <c r="A6287" s="11" t="str">
        <f t="array" ref="A6287">IFERROR(
  INDEX('Starlink Launches'!$A:$A, MATCH($E6287, 'Starlink Launches'!$B:$B, 0)),
  ""
)
</f>
        <v/>
      </c>
      <c r="B6287" s="26"/>
      <c r="C6287" s="12"/>
      <c r="D6287" s="13"/>
      <c r="E6287" s="4"/>
      <c r="F6287" s="4" t="str">
        <f>IF(D6287="","", IFNA(VLOOKUP(D6287, SATCAT_DECAY!A:B, 2, FALSE), ""))
</f>
        <v/>
      </c>
      <c r="G6287" s="3"/>
    </row>
    <row r="6288" ht="22.5" hidden="1" customHeight="1">
      <c r="A6288" s="11" t="str">
        <f t="array" ref="A6288">IFERROR(
  INDEX('Starlink Launches'!$A:$A, MATCH($E6288, 'Starlink Launches'!$B:$B, 0)),
  ""
)
</f>
        <v/>
      </c>
      <c r="B6288" s="26"/>
      <c r="C6288" s="12"/>
      <c r="D6288" s="13"/>
      <c r="E6288" s="4"/>
      <c r="F6288" s="4" t="str">
        <f>IF(D6288="","", IFNA(VLOOKUP(D6288, SATCAT_DECAY!A:B, 2, FALSE), ""))
</f>
        <v/>
      </c>
      <c r="G6288" s="3"/>
    </row>
    <row r="6289" ht="22.5" hidden="1" customHeight="1">
      <c r="A6289" s="11" t="str">
        <f t="array" ref="A6289">IFERROR(
  INDEX('Starlink Launches'!$A:$A, MATCH($E6289, 'Starlink Launches'!$B:$B, 0)),
  ""
)
</f>
        <v/>
      </c>
      <c r="B6289" s="26"/>
      <c r="C6289" s="12"/>
      <c r="D6289" s="13"/>
      <c r="E6289" s="4"/>
      <c r="F6289" s="4" t="str">
        <f>IF(D6289="","", IFNA(VLOOKUP(D6289, SATCAT_DECAY!A:B, 2, FALSE), ""))
</f>
        <v/>
      </c>
      <c r="G6289" s="3"/>
    </row>
    <row r="6290" ht="22.5" hidden="1" customHeight="1">
      <c r="A6290" s="11" t="str">
        <f t="array" ref="A6290">IFERROR(
  INDEX('Starlink Launches'!$A:$A, MATCH($E6290, 'Starlink Launches'!$B:$B, 0)),
  ""
)
</f>
        <v/>
      </c>
      <c r="B6290" s="26"/>
      <c r="C6290" s="12"/>
      <c r="D6290" s="13"/>
      <c r="E6290" s="4"/>
      <c r="F6290" s="4" t="str">
        <f>IF(D6290="","", IFNA(VLOOKUP(D6290, SATCAT_DECAY!A:B, 2, FALSE), ""))
</f>
        <v/>
      </c>
      <c r="G6290" s="3"/>
    </row>
    <row r="6291" ht="22.5" hidden="1" customHeight="1">
      <c r="A6291" s="11" t="str">
        <f t="array" ref="A6291">IFERROR(
  INDEX('Starlink Launches'!$A:$A, MATCH($E6291, 'Starlink Launches'!$B:$B, 0)),
  ""
)
</f>
        <v/>
      </c>
      <c r="B6291" s="26"/>
      <c r="C6291" s="12"/>
      <c r="D6291" s="13"/>
      <c r="E6291" s="4"/>
      <c r="F6291" s="4" t="str">
        <f>IF(D6291="","", IFNA(VLOOKUP(D6291, SATCAT_DECAY!A:B, 2, FALSE), ""))
</f>
        <v/>
      </c>
      <c r="G6291" s="3"/>
    </row>
    <row r="6292" ht="22.5" hidden="1" customHeight="1">
      <c r="A6292" s="11" t="str">
        <f t="array" ref="A6292">IFERROR(
  INDEX('Starlink Launches'!$A:$A, MATCH($E6292, 'Starlink Launches'!$B:$B, 0)),
  ""
)
</f>
        <v/>
      </c>
      <c r="B6292" s="26"/>
      <c r="C6292" s="12"/>
      <c r="D6292" s="13"/>
      <c r="E6292" s="4"/>
      <c r="F6292" s="4" t="str">
        <f>IF(D6292="","", IFNA(VLOOKUP(D6292, SATCAT_DECAY!A:B, 2, FALSE), ""))
</f>
        <v/>
      </c>
      <c r="G6292" s="3"/>
    </row>
    <row r="6293" ht="22.5" hidden="1" customHeight="1">
      <c r="A6293" s="11" t="str">
        <f t="array" ref="A6293">IFERROR(
  INDEX('Starlink Launches'!$A:$A, MATCH($E6293, 'Starlink Launches'!$B:$B, 0)),
  ""
)
</f>
        <v/>
      </c>
      <c r="B6293" s="26"/>
      <c r="C6293" s="12"/>
      <c r="D6293" s="13"/>
      <c r="E6293" s="4"/>
      <c r="F6293" s="4" t="str">
        <f>IF(D6293="","", IFNA(VLOOKUP(D6293, SATCAT_DECAY!A:B, 2, FALSE), ""))
</f>
        <v/>
      </c>
      <c r="G6293" s="3"/>
    </row>
    <row r="6294" ht="22.5" hidden="1" customHeight="1">
      <c r="A6294" s="11" t="str">
        <f t="array" ref="A6294">IFERROR(
  INDEX('Starlink Launches'!$A:$A, MATCH($E6294, 'Starlink Launches'!$B:$B, 0)),
  ""
)
</f>
        <v/>
      </c>
      <c r="B6294" s="26"/>
      <c r="C6294" s="12"/>
      <c r="D6294" s="13"/>
      <c r="E6294" s="4"/>
      <c r="F6294" s="4" t="str">
        <f>IF(D6294="","", IFNA(VLOOKUP(D6294, SATCAT_DECAY!A:B, 2, FALSE), ""))
</f>
        <v/>
      </c>
      <c r="G6294" s="3"/>
    </row>
    <row r="6295" ht="22.5" hidden="1" customHeight="1">
      <c r="A6295" s="11" t="str">
        <f t="array" ref="A6295">IFERROR(
  INDEX('Starlink Launches'!$A:$A, MATCH($E6295, 'Starlink Launches'!$B:$B, 0)),
  ""
)
</f>
        <v/>
      </c>
      <c r="B6295" s="26"/>
      <c r="C6295" s="12"/>
      <c r="D6295" s="13"/>
      <c r="E6295" s="4"/>
      <c r="F6295" s="4" t="str">
        <f>IF(D6295="","", IFNA(VLOOKUP(D6295, SATCAT_DECAY!A:B, 2, FALSE), ""))
</f>
        <v/>
      </c>
      <c r="G6295" s="3"/>
    </row>
    <row r="6296" ht="22.5" hidden="1" customHeight="1">
      <c r="A6296" s="11" t="str">
        <f t="array" ref="A6296">IFERROR(
  INDEX('Starlink Launches'!$A:$A, MATCH($E6296, 'Starlink Launches'!$B:$B, 0)),
  ""
)
</f>
        <v/>
      </c>
      <c r="B6296" s="26"/>
      <c r="C6296" s="12"/>
      <c r="D6296" s="13"/>
      <c r="E6296" s="4"/>
      <c r="F6296" s="4" t="str">
        <f>IF(D6296="","", IFNA(VLOOKUP(D6296, SATCAT_DECAY!A:B, 2, FALSE), ""))
</f>
        <v/>
      </c>
      <c r="G6296" s="3"/>
    </row>
    <row r="6297" ht="22.5" hidden="1" customHeight="1">
      <c r="A6297" s="11" t="str">
        <f t="array" ref="A6297">IFERROR(
  INDEX('Starlink Launches'!$A:$A, MATCH($E6297, 'Starlink Launches'!$B:$B, 0)),
  ""
)
</f>
        <v/>
      </c>
      <c r="B6297" s="26"/>
      <c r="C6297" s="12"/>
      <c r="D6297" s="13"/>
      <c r="E6297" s="4"/>
      <c r="F6297" s="4" t="str">
        <f>IF(D6297="","", IFNA(VLOOKUP(D6297, SATCAT_DECAY!A:B, 2, FALSE), ""))
</f>
        <v/>
      </c>
      <c r="G6297" s="3"/>
    </row>
    <row r="6298" ht="22.5" hidden="1" customHeight="1">
      <c r="A6298" s="11" t="str">
        <f t="array" ref="A6298">IFERROR(
  INDEX('Starlink Launches'!$A:$A, MATCH($E6298, 'Starlink Launches'!$B:$B, 0)),
  ""
)
</f>
        <v/>
      </c>
      <c r="B6298" s="26"/>
      <c r="C6298" s="12"/>
      <c r="D6298" s="13"/>
      <c r="E6298" s="4"/>
      <c r="F6298" s="4" t="str">
        <f>IF(D6298="","", IFNA(VLOOKUP(D6298, SATCAT_DECAY!A:B, 2, FALSE), ""))
</f>
        <v/>
      </c>
      <c r="G6298" s="3"/>
    </row>
    <row r="6299" ht="22.5" hidden="1" customHeight="1">
      <c r="A6299" s="11" t="str">
        <f t="array" ref="A6299">IFERROR(
  INDEX('Starlink Launches'!$A:$A, MATCH($E6299, 'Starlink Launches'!$B:$B, 0)),
  ""
)
</f>
        <v/>
      </c>
      <c r="B6299" s="26"/>
      <c r="C6299" s="12"/>
      <c r="D6299" s="13"/>
      <c r="E6299" s="4"/>
      <c r="F6299" s="4" t="str">
        <f>IF(D6299="","", IFNA(VLOOKUP(D6299, SATCAT_DECAY!A:B, 2, FALSE), ""))
</f>
        <v/>
      </c>
      <c r="G6299" s="3"/>
    </row>
    <row r="6300" ht="22.5" hidden="1" customHeight="1">
      <c r="A6300" s="11" t="str">
        <f t="array" ref="A6300">IFERROR(
  INDEX('Starlink Launches'!$A:$A, MATCH($E6300, 'Starlink Launches'!$B:$B, 0)),
  ""
)
</f>
        <v/>
      </c>
      <c r="B6300" s="26"/>
      <c r="C6300" s="12"/>
      <c r="D6300" s="13"/>
      <c r="E6300" s="4"/>
      <c r="F6300" s="4" t="str">
        <f>IF(D6300="","", IFNA(VLOOKUP(D6300, SATCAT_DECAY!A:B, 2, FALSE), ""))
</f>
        <v/>
      </c>
      <c r="G6300" s="3"/>
    </row>
    <row r="6301" ht="22.5" hidden="1" customHeight="1">
      <c r="A6301" s="11" t="str">
        <f t="array" ref="A6301">IFERROR(
  INDEX('Starlink Launches'!$A:$A, MATCH($E6301, 'Starlink Launches'!$B:$B, 0)),
  ""
)
</f>
        <v/>
      </c>
      <c r="B6301" s="26"/>
      <c r="C6301" s="12"/>
      <c r="D6301" s="13"/>
      <c r="E6301" s="4"/>
      <c r="F6301" s="4" t="str">
        <f>IF(D6301="","", IFNA(VLOOKUP(D6301, SATCAT_DECAY!A:B, 2, FALSE), ""))
</f>
        <v/>
      </c>
      <c r="G6301" s="3"/>
    </row>
    <row r="6302" ht="22.5" hidden="1" customHeight="1">
      <c r="A6302" s="11" t="str">
        <f t="array" ref="A6302">IFERROR(
  INDEX('Starlink Launches'!$A:$A, MATCH($E6302, 'Starlink Launches'!$B:$B, 0)),
  ""
)
</f>
        <v/>
      </c>
      <c r="B6302" s="26"/>
      <c r="C6302" s="12"/>
      <c r="D6302" s="13"/>
      <c r="E6302" s="4"/>
      <c r="F6302" s="4" t="str">
        <f>IF(D6302="","", IFNA(VLOOKUP(D6302, SATCAT_DECAY!A:B, 2, FALSE), ""))
</f>
        <v/>
      </c>
      <c r="G6302" s="3"/>
    </row>
    <row r="6303" ht="22.5" hidden="1" customHeight="1">
      <c r="A6303" s="11" t="str">
        <f t="array" ref="A6303">IFERROR(
  INDEX('Starlink Launches'!$A:$A, MATCH($E6303, 'Starlink Launches'!$B:$B, 0)),
  ""
)
</f>
        <v/>
      </c>
      <c r="B6303" s="26"/>
      <c r="C6303" s="12"/>
      <c r="D6303" s="13"/>
      <c r="E6303" s="4"/>
      <c r="F6303" s="4" t="str">
        <f>IF(D6303="","", IFNA(VLOOKUP(D6303, SATCAT_DECAY!A:B, 2, FALSE), ""))
</f>
        <v/>
      </c>
      <c r="G6303" s="3"/>
    </row>
    <row r="6304" ht="22.5" hidden="1" customHeight="1">
      <c r="A6304" s="11" t="str">
        <f t="array" ref="A6304">IFERROR(
  INDEX('Starlink Launches'!$A:$A, MATCH($E6304, 'Starlink Launches'!$B:$B, 0)),
  ""
)
</f>
        <v/>
      </c>
      <c r="B6304" s="26"/>
      <c r="C6304" s="12"/>
      <c r="D6304" s="13"/>
      <c r="E6304" s="4"/>
      <c r="F6304" s="4" t="str">
        <f>IF(D6304="","", IFNA(VLOOKUP(D6304, SATCAT_DECAY!A:B, 2, FALSE), ""))
</f>
        <v/>
      </c>
      <c r="G6304" s="3"/>
    </row>
    <row r="6305" ht="22.5" hidden="1" customHeight="1">
      <c r="A6305" s="11" t="str">
        <f t="array" ref="A6305">IFERROR(
  INDEX('Starlink Launches'!$A:$A, MATCH($E6305, 'Starlink Launches'!$B:$B, 0)),
  ""
)
</f>
        <v/>
      </c>
      <c r="B6305" s="26"/>
      <c r="C6305" s="12"/>
      <c r="D6305" s="13"/>
      <c r="E6305" s="4"/>
      <c r="F6305" s="4" t="str">
        <f>IF(D6305="","", IFNA(VLOOKUP(D6305, SATCAT_DECAY!A:B, 2, FALSE), ""))
</f>
        <v/>
      </c>
      <c r="G6305" s="3"/>
    </row>
    <row r="6306" ht="22.5" hidden="1" customHeight="1">
      <c r="A6306" s="11" t="str">
        <f t="array" ref="A6306">IFERROR(
  INDEX('Starlink Launches'!$A:$A, MATCH($E6306, 'Starlink Launches'!$B:$B, 0)),
  ""
)
</f>
        <v/>
      </c>
      <c r="B6306" s="26"/>
      <c r="C6306" s="12"/>
      <c r="D6306" s="13"/>
      <c r="E6306" s="4"/>
      <c r="F6306" s="4" t="str">
        <f>IF(D6306="","", IFNA(VLOOKUP(D6306, SATCAT_DECAY!A:B, 2, FALSE), ""))
</f>
        <v/>
      </c>
      <c r="G6306" s="3"/>
    </row>
    <row r="6307" ht="22.5" hidden="1" customHeight="1">
      <c r="A6307" s="11" t="str">
        <f t="array" ref="A6307">IFERROR(
  INDEX('Starlink Launches'!$A:$A, MATCH($E6307, 'Starlink Launches'!$B:$B, 0)),
  ""
)
</f>
        <v/>
      </c>
      <c r="B6307" s="26"/>
      <c r="C6307" s="12"/>
      <c r="D6307" s="13"/>
      <c r="E6307" s="4"/>
      <c r="F6307" s="4" t="str">
        <f>IF(D6307="","", IFNA(VLOOKUP(D6307, SATCAT_DECAY!A:B, 2, FALSE), ""))
</f>
        <v/>
      </c>
      <c r="G6307" s="3"/>
    </row>
    <row r="6308" ht="22.5" hidden="1" customHeight="1">
      <c r="A6308" s="11" t="str">
        <f t="array" ref="A6308">IFERROR(
  INDEX('Starlink Launches'!$A:$A, MATCH($E6308, 'Starlink Launches'!$B:$B, 0)),
  ""
)
</f>
        <v/>
      </c>
      <c r="B6308" s="26"/>
      <c r="C6308" s="12"/>
      <c r="D6308" s="13"/>
      <c r="E6308" s="4"/>
      <c r="F6308" s="4" t="str">
        <f>IF(D6308="","", IFNA(VLOOKUP(D6308, SATCAT_DECAY!A:B, 2, FALSE), ""))
</f>
        <v/>
      </c>
      <c r="G6308" s="3"/>
    </row>
    <row r="6309" ht="22.5" hidden="1" customHeight="1">
      <c r="A6309" s="11" t="str">
        <f t="array" ref="A6309">IFERROR(
  INDEX('Starlink Launches'!$A:$A, MATCH($E6309, 'Starlink Launches'!$B:$B, 0)),
  ""
)
</f>
        <v/>
      </c>
      <c r="B6309" s="26"/>
      <c r="C6309" s="12"/>
      <c r="D6309" s="13"/>
      <c r="E6309" s="4"/>
      <c r="F6309" s="4" t="str">
        <f>IF(D6309="","", IFNA(VLOOKUP(D6309, SATCAT_DECAY!A:B, 2, FALSE), ""))
</f>
        <v/>
      </c>
      <c r="G6309" s="3"/>
    </row>
    <row r="6310" ht="22.5" hidden="1" customHeight="1">
      <c r="A6310" s="11" t="str">
        <f t="array" ref="A6310">IFERROR(
  INDEX('Starlink Launches'!$A:$A, MATCH($E6310, 'Starlink Launches'!$B:$B, 0)),
  ""
)
</f>
        <v/>
      </c>
      <c r="B6310" s="26"/>
      <c r="C6310" s="12"/>
      <c r="D6310" s="13"/>
      <c r="E6310" s="4"/>
      <c r="F6310" s="4" t="str">
        <f>IF(D6310="","", IFNA(VLOOKUP(D6310, SATCAT_DECAY!A:B, 2, FALSE), ""))
</f>
        <v/>
      </c>
      <c r="G6310" s="3"/>
    </row>
    <row r="6311" ht="22.5" hidden="1" customHeight="1">
      <c r="A6311" s="11" t="str">
        <f t="array" ref="A6311">IFERROR(
  INDEX('Starlink Launches'!$A:$A, MATCH($E6311, 'Starlink Launches'!$B:$B, 0)),
  ""
)
</f>
        <v/>
      </c>
      <c r="B6311" s="26"/>
      <c r="C6311" s="12"/>
      <c r="D6311" s="13"/>
      <c r="E6311" s="4"/>
      <c r="F6311" s="4" t="str">
        <f>IF(D6311="","", IFNA(VLOOKUP(D6311, SATCAT_DECAY!A:B, 2, FALSE), ""))
</f>
        <v/>
      </c>
      <c r="G6311" s="3"/>
    </row>
    <row r="6312" ht="22.5" hidden="1" customHeight="1">
      <c r="A6312" s="11" t="str">
        <f t="array" ref="A6312">IFERROR(
  INDEX('Starlink Launches'!$A:$A, MATCH($E6312, 'Starlink Launches'!$B:$B, 0)),
  ""
)
</f>
        <v/>
      </c>
      <c r="B6312" s="26"/>
      <c r="C6312" s="12"/>
      <c r="D6312" s="13"/>
      <c r="E6312" s="4"/>
      <c r="F6312" s="4" t="str">
        <f>IF(D6312="","", IFNA(VLOOKUP(D6312, SATCAT_DECAY!A:B, 2, FALSE), ""))
</f>
        <v/>
      </c>
      <c r="G6312" s="3"/>
    </row>
    <row r="6313" ht="22.5" hidden="1" customHeight="1">
      <c r="A6313" s="11" t="str">
        <f t="array" ref="A6313">IFERROR(
  INDEX('Starlink Launches'!$A:$A, MATCH($E6313, 'Starlink Launches'!$B:$B, 0)),
  ""
)
</f>
        <v/>
      </c>
      <c r="B6313" s="26"/>
      <c r="C6313" s="12"/>
      <c r="D6313" s="13"/>
      <c r="E6313" s="4"/>
      <c r="F6313" s="4" t="str">
        <f>IF(D6313="","", IFNA(VLOOKUP(D6313, SATCAT_DECAY!A:B, 2, FALSE), ""))
</f>
        <v/>
      </c>
      <c r="G6313" s="3"/>
    </row>
    <row r="6314" ht="22.5" hidden="1" customHeight="1">
      <c r="A6314" s="11" t="str">
        <f t="array" ref="A6314">IFERROR(
  INDEX('Starlink Launches'!$A:$A, MATCH($E6314, 'Starlink Launches'!$B:$B, 0)),
  ""
)
</f>
        <v/>
      </c>
      <c r="B6314" s="26"/>
      <c r="C6314" s="12"/>
      <c r="D6314" s="13"/>
      <c r="E6314" s="4"/>
      <c r="F6314" s="4" t="str">
        <f>IF(D6314="","", IFNA(VLOOKUP(D6314, SATCAT_DECAY!A:B, 2, FALSE), ""))
</f>
        <v/>
      </c>
      <c r="G6314" s="3"/>
    </row>
    <row r="6315" ht="22.5" hidden="1" customHeight="1">
      <c r="A6315" s="11" t="str">
        <f t="array" ref="A6315">IFERROR(
  INDEX('Starlink Launches'!$A:$A, MATCH($E6315, 'Starlink Launches'!$B:$B, 0)),
  ""
)
</f>
        <v/>
      </c>
      <c r="B6315" s="26"/>
      <c r="C6315" s="12"/>
      <c r="D6315" s="13"/>
      <c r="E6315" s="4"/>
      <c r="F6315" s="4" t="str">
        <f>IF(D6315="","", IFNA(VLOOKUP(D6315, SATCAT_DECAY!A:B, 2, FALSE), ""))
</f>
        <v/>
      </c>
      <c r="G6315" s="3"/>
    </row>
    <row r="6316" ht="22.5" hidden="1" customHeight="1">
      <c r="A6316" s="11" t="str">
        <f t="array" ref="A6316">IFERROR(
  INDEX('Starlink Launches'!$A:$A, MATCH($E6316, 'Starlink Launches'!$B:$B, 0)),
  ""
)
</f>
        <v/>
      </c>
      <c r="B6316" s="26"/>
      <c r="C6316" s="12"/>
      <c r="D6316" s="13"/>
      <c r="E6316" s="4"/>
      <c r="F6316" s="4" t="str">
        <f>IF(D6316="","", IFNA(VLOOKUP(D6316, SATCAT_DECAY!A:B, 2, FALSE), ""))
</f>
        <v/>
      </c>
      <c r="G6316" s="3"/>
    </row>
    <row r="6317" ht="22.5" hidden="1" customHeight="1">
      <c r="A6317" s="11" t="str">
        <f t="array" ref="A6317">IFERROR(
  INDEX('Starlink Launches'!$A:$A, MATCH($E6317, 'Starlink Launches'!$B:$B, 0)),
  ""
)
</f>
        <v/>
      </c>
      <c r="B6317" s="26"/>
      <c r="C6317" s="12"/>
      <c r="D6317" s="13"/>
      <c r="E6317" s="4"/>
      <c r="F6317" s="4" t="str">
        <f>IF(D6317="","", IFNA(VLOOKUP(D6317, SATCAT_DECAY!A:B, 2, FALSE), ""))
</f>
        <v/>
      </c>
      <c r="G6317" s="3"/>
    </row>
    <row r="6318" ht="22.5" hidden="1" customHeight="1">
      <c r="A6318" s="11" t="str">
        <f t="array" ref="A6318">IFERROR(
  INDEX('Starlink Launches'!$A:$A, MATCH($E6318, 'Starlink Launches'!$B:$B, 0)),
  ""
)
</f>
        <v/>
      </c>
      <c r="B6318" s="26"/>
      <c r="C6318" s="12"/>
      <c r="D6318" s="13"/>
      <c r="E6318" s="4"/>
      <c r="F6318" s="4" t="str">
        <f>IF(D6318="","", IFNA(VLOOKUP(D6318, SATCAT_DECAY!A:B, 2, FALSE), ""))
</f>
        <v/>
      </c>
      <c r="G6318" s="3"/>
    </row>
    <row r="6319" ht="22.5" hidden="1" customHeight="1">
      <c r="A6319" s="11" t="str">
        <f t="array" ref="A6319">IFERROR(
  INDEX('Starlink Launches'!$A:$A, MATCH($E6319, 'Starlink Launches'!$B:$B, 0)),
  ""
)
</f>
        <v/>
      </c>
      <c r="B6319" s="26"/>
      <c r="C6319" s="12"/>
      <c r="D6319" s="13"/>
      <c r="E6319" s="4"/>
      <c r="F6319" s="4" t="str">
        <f>IF(D6319="","", IFNA(VLOOKUP(D6319, SATCAT_DECAY!A:B, 2, FALSE), ""))
</f>
        <v/>
      </c>
      <c r="G6319" s="3"/>
    </row>
    <row r="6320" ht="22.5" hidden="1" customHeight="1">
      <c r="A6320" s="11" t="str">
        <f t="array" ref="A6320">IFERROR(
  INDEX('Starlink Launches'!$A:$A, MATCH($E6320, 'Starlink Launches'!$B:$B, 0)),
  ""
)
</f>
        <v/>
      </c>
      <c r="B6320" s="26"/>
      <c r="C6320" s="12"/>
      <c r="D6320" s="13"/>
      <c r="E6320" s="4"/>
      <c r="F6320" s="4" t="str">
        <f>IF(D6320="","", IFNA(VLOOKUP(D6320, SATCAT_DECAY!A:B, 2, FALSE), ""))
</f>
        <v/>
      </c>
      <c r="G6320" s="3"/>
    </row>
    <row r="6321" ht="22.5" hidden="1" customHeight="1">
      <c r="A6321" s="11" t="str">
        <f t="array" ref="A6321">IFERROR(
  INDEX('Starlink Launches'!$A:$A, MATCH($E6321, 'Starlink Launches'!$B:$B, 0)),
  ""
)
</f>
        <v/>
      </c>
      <c r="B6321" s="26"/>
      <c r="C6321" s="12"/>
      <c r="D6321" s="13"/>
      <c r="E6321" s="4"/>
      <c r="F6321" s="4" t="str">
        <f>IF(D6321="","", IFNA(VLOOKUP(D6321, SATCAT_DECAY!A:B, 2, FALSE), ""))
</f>
        <v/>
      </c>
      <c r="G6321" s="3"/>
    </row>
    <row r="6322" ht="22.5" hidden="1" customHeight="1">
      <c r="A6322" s="11" t="str">
        <f t="array" ref="A6322">IFERROR(
  INDEX('Starlink Launches'!$A:$A, MATCH($E6322, 'Starlink Launches'!$B:$B, 0)),
  ""
)
</f>
        <v/>
      </c>
      <c r="B6322" s="26"/>
      <c r="C6322" s="12"/>
      <c r="D6322" s="13"/>
      <c r="E6322" s="4"/>
      <c r="F6322" s="4" t="str">
        <f>IF(D6322="","", IFNA(VLOOKUP(D6322, SATCAT_DECAY!A:B, 2, FALSE), ""))
</f>
        <v/>
      </c>
      <c r="G6322" s="3"/>
    </row>
    <row r="6323" ht="22.5" hidden="1" customHeight="1">
      <c r="A6323" s="11" t="str">
        <f t="array" ref="A6323">IFERROR(
  INDEX('Starlink Launches'!$A:$A, MATCH($E6323, 'Starlink Launches'!$B:$B, 0)),
  ""
)
</f>
        <v/>
      </c>
      <c r="B6323" s="26"/>
      <c r="C6323" s="12"/>
      <c r="D6323" s="13"/>
      <c r="E6323" s="4"/>
      <c r="F6323" s="4" t="str">
        <f>IF(D6323="","", IFNA(VLOOKUP(D6323, SATCAT_DECAY!A:B, 2, FALSE), ""))
</f>
        <v/>
      </c>
      <c r="G6323" s="3"/>
    </row>
    <row r="6324" ht="22.5" hidden="1" customHeight="1">
      <c r="A6324" s="11" t="str">
        <f t="array" ref="A6324">IFERROR(
  INDEX('Starlink Launches'!$A:$A, MATCH($E6324, 'Starlink Launches'!$B:$B, 0)),
  ""
)
</f>
        <v/>
      </c>
      <c r="B6324" s="26"/>
      <c r="C6324" s="12"/>
      <c r="D6324" s="13"/>
      <c r="E6324" s="4"/>
      <c r="F6324" s="4" t="str">
        <f>IF(D6324="","", IFNA(VLOOKUP(D6324, SATCAT_DECAY!A:B, 2, FALSE), ""))
</f>
        <v/>
      </c>
      <c r="G6324" s="3"/>
    </row>
    <row r="6325" ht="22.5" hidden="1" customHeight="1">
      <c r="A6325" s="11" t="str">
        <f t="array" ref="A6325">IFERROR(
  INDEX('Starlink Launches'!$A:$A, MATCH($E6325, 'Starlink Launches'!$B:$B, 0)),
  ""
)
</f>
        <v/>
      </c>
      <c r="B6325" s="26"/>
      <c r="C6325" s="12"/>
      <c r="D6325" s="13"/>
      <c r="E6325" s="4"/>
      <c r="F6325" s="4" t="str">
        <f>IF(D6325="","", IFNA(VLOOKUP(D6325, SATCAT_DECAY!A:B, 2, FALSE), ""))
</f>
        <v/>
      </c>
      <c r="G6325" s="3"/>
    </row>
    <row r="6326" ht="22.5" hidden="1" customHeight="1">
      <c r="A6326" s="11" t="str">
        <f t="array" ref="A6326">IFERROR(
  INDEX('Starlink Launches'!$A:$A, MATCH($E6326, 'Starlink Launches'!$B:$B, 0)),
  ""
)
</f>
        <v/>
      </c>
      <c r="B6326" s="26"/>
      <c r="C6326" s="12"/>
      <c r="D6326" s="13"/>
      <c r="E6326" s="4"/>
      <c r="F6326" s="4" t="str">
        <f>IF(D6326="","", IFNA(VLOOKUP(D6326, SATCAT_DECAY!A:B, 2, FALSE), ""))
</f>
        <v/>
      </c>
      <c r="G6326" s="3"/>
    </row>
    <row r="6327" ht="22.5" hidden="1" customHeight="1">
      <c r="A6327" s="11" t="str">
        <f t="array" ref="A6327">IFERROR(
  INDEX('Starlink Launches'!$A:$A, MATCH($E6327, 'Starlink Launches'!$B:$B, 0)),
  ""
)
</f>
        <v/>
      </c>
      <c r="B6327" s="26"/>
      <c r="C6327" s="12"/>
      <c r="D6327" s="13"/>
      <c r="E6327" s="4"/>
      <c r="F6327" s="4" t="str">
        <f>IF(D6327="","", IFNA(VLOOKUP(D6327, SATCAT_DECAY!A:B, 2, FALSE), ""))
</f>
        <v/>
      </c>
      <c r="G6327" s="3"/>
    </row>
    <row r="6328" ht="22.5" hidden="1" customHeight="1">
      <c r="A6328" s="11" t="str">
        <f t="array" ref="A6328">IFERROR(
  INDEX('Starlink Launches'!$A:$A, MATCH($E6328, 'Starlink Launches'!$B:$B, 0)),
  ""
)
</f>
        <v/>
      </c>
      <c r="B6328" s="26"/>
      <c r="C6328" s="12"/>
      <c r="D6328" s="13"/>
      <c r="E6328" s="4"/>
      <c r="F6328" s="4" t="str">
        <f>IF(D6328="","", IFNA(VLOOKUP(D6328, SATCAT_DECAY!A:B, 2, FALSE), ""))
</f>
        <v/>
      </c>
      <c r="G6328" s="3"/>
    </row>
    <row r="6329" ht="22.5" hidden="1" customHeight="1">
      <c r="A6329" s="11" t="str">
        <f t="array" ref="A6329">IFERROR(
  INDEX('Starlink Launches'!$A:$A, MATCH($E6329, 'Starlink Launches'!$B:$B, 0)),
  ""
)
</f>
        <v/>
      </c>
      <c r="B6329" s="26"/>
      <c r="C6329" s="12"/>
      <c r="D6329" s="13"/>
      <c r="E6329" s="4"/>
      <c r="F6329" s="4" t="str">
        <f>IF(D6329="","", IFNA(VLOOKUP(D6329, SATCAT_DECAY!A:B, 2, FALSE), ""))
</f>
        <v/>
      </c>
      <c r="G6329" s="3"/>
    </row>
    <row r="6330" ht="22.5" hidden="1" customHeight="1">
      <c r="A6330" s="11" t="str">
        <f t="array" ref="A6330">IFERROR(
  INDEX('Starlink Launches'!$A:$A, MATCH($E6330, 'Starlink Launches'!$B:$B, 0)),
  ""
)
</f>
        <v/>
      </c>
      <c r="B6330" s="26"/>
      <c r="C6330" s="12"/>
      <c r="D6330" s="13"/>
      <c r="E6330" s="4"/>
      <c r="F6330" s="4" t="str">
        <f>IF(D6330="","", IFNA(VLOOKUP(D6330, SATCAT_DECAY!A:B, 2, FALSE), ""))
</f>
        <v/>
      </c>
      <c r="G6330" s="3"/>
    </row>
    <row r="6331" ht="22.5" hidden="1" customHeight="1">
      <c r="A6331" s="11" t="str">
        <f t="array" ref="A6331">IFERROR(
  INDEX('Starlink Launches'!$A:$A, MATCH($E6331, 'Starlink Launches'!$B:$B, 0)),
  ""
)
</f>
        <v/>
      </c>
      <c r="B6331" s="26"/>
      <c r="C6331" s="12"/>
      <c r="D6331" s="13"/>
      <c r="E6331" s="4"/>
      <c r="F6331" s="4" t="str">
        <f>IF(D6331="","", IFNA(VLOOKUP(D6331, SATCAT_DECAY!A:B, 2, FALSE), ""))
</f>
        <v/>
      </c>
      <c r="G6331" s="3"/>
    </row>
    <row r="6332" ht="22.5" hidden="1" customHeight="1">
      <c r="A6332" s="11" t="str">
        <f t="array" ref="A6332">IFERROR(
  INDEX('Starlink Launches'!$A:$A, MATCH($E6332, 'Starlink Launches'!$B:$B, 0)),
  ""
)
</f>
        <v/>
      </c>
      <c r="B6332" s="26"/>
      <c r="C6332" s="12"/>
      <c r="D6332" s="13"/>
      <c r="E6332" s="4"/>
      <c r="F6332" s="4" t="str">
        <f>IF(D6332="","", IFNA(VLOOKUP(D6332, SATCAT_DECAY!A:B, 2, FALSE), ""))
</f>
        <v/>
      </c>
      <c r="G6332" s="3"/>
    </row>
    <row r="6333" ht="22.5" hidden="1" customHeight="1">
      <c r="A6333" s="11" t="str">
        <f t="array" ref="A6333">IFERROR(
  INDEX('Starlink Launches'!$A:$A, MATCH($E6333, 'Starlink Launches'!$B:$B, 0)),
  ""
)
</f>
        <v/>
      </c>
      <c r="B6333" s="26"/>
      <c r="C6333" s="12"/>
      <c r="D6333" s="13"/>
      <c r="E6333" s="4"/>
      <c r="F6333" s="4" t="str">
        <f>IF(D6333="","", IFNA(VLOOKUP(D6333, SATCAT_DECAY!A:B, 2, FALSE), ""))
</f>
        <v/>
      </c>
      <c r="G6333" s="3"/>
    </row>
    <row r="6334" ht="22.5" hidden="1" customHeight="1">
      <c r="A6334" s="11" t="str">
        <f t="array" ref="A6334">IFERROR(
  INDEX('Starlink Launches'!$A:$A, MATCH($E6334, 'Starlink Launches'!$B:$B, 0)),
  ""
)
</f>
        <v/>
      </c>
      <c r="B6334" s="26"/>
      <c r="C6334" s="12"/>
      <c r="D6334" s="13"/>
      <c r="E6334" s="4"/>
      <c r="F6334" s="4" t="str">
        <f>IF(D6334="","", IFNA(VLOOKUP(D6334, SATCAT_DECAY!A:B, 2, FALSE), ""))
</f>
        <v/>
      </c>
      <c r="G6334" s="3"/>
    </row>
    <row r="6335" ht="22.5" hidden="1" customHeight="1">
      <c r="A6335" s="11" t="str">
        <f t="array" ref="A6335">IFERROR(
  INDEX('Starlink Launches'!$A:$A, MATCH($E6335, 'Starlink Launches'!$B:$B, 0)),
  ""
)
</f>
        <v/>
      </c>
      <c r="B6335" s="26"/>
      <c r="C6335" s="12"/>
      <c r="D6335" s="13"/>
      <c r="E6335" s="4"/>
      <c r="F6335" s="4" t="str">
        <f>IF(D6335="","", IFNA(VLOOKUP(D6335, SATCAT_DECAY!A:B, 2, FALSE), ""))
</f>
        <v/>
      </c>
      <c r="G6335" s="3"/>
    </row>
    <row r="6336" ht="22.5" hidden="1" customHeight="1">
      <c r="A6336" s="11" t="str">
        <f t="array" ref="A6336">IFERROR(
  INDEX('Starlink Launches'!$A:$A, MATCH($E6336, 'Starlink Launches'!$B:$B, 0)),
  ""
)
</f>
        <v/>
      </c>
      <c r="B6336" s="26"/>
      <c r="C6336" s="12"/>
      <c r="D6336" s="13"/>
      <c r="E6336" s="4"/>
      <c r="F6336" s="4" t="str">
        <f>IF(D6336="","", IFNA(VLOOKUP(D6336, SATCAT_DECAY!A:B, 2, FALSE), ""))
</f>
        <v/>
      </c>
      <c r="G6336" s="3"/>
    </row>
    <row r="6337" ht="22.5" hidden="1" customHeight="1">
      <c r="A6337" s="11" t="str">
        <f t="array" ref="A6337">IFERROR(
  INDEX('Starlink Launches'!$A:$A, MATCH($E6337, 'Starlink Launches'!$B:$B, 0)),
  ""
)
</f>
        <v/>
      </c>
      <c r="B6337" s="26"/>
      <c r="C6337" s="12"/>
      <c r="D6337" s="13"/>
      <c r="E6337" s="4"/>
      <c r="F6337" s="4" t="str">
        <f>IF(D6337="","", IFNA(VLOOKUP(D6337, SATCAT_DECAY!A:B, 2, FALSE), ""))
</f>
        <v/>
      </c>
      <c r="G6337" s="3"/>
    </row>
    <row r="6338" ht="22.5" hidden="1" customHeight="1">
      <c r="A6338" s="11" t="str">
        <f t="array" ref="A6338">IFERROR(
  INDEX('Starlink Launches'!$A:$A, MATCH($E6338, 'Starlink Launches'!$B:$B, 0)),
  ""
)
</f>
        <v/>
      </c>
      <c r="B6338" s="26"/>
      <c r="C6338" s="12"/>
      <c r="D6338" s="13"/>
      <c r="E6338" s="4"/>
      <c r="F6338" s="4" t="str">
        <f>IF(D6338="","", IFNA(VLOOKUP(D6338, SATCAT_DECAY!A:B, 2, FALSE), ""))
</f>
        <v/>
      </c>
      <c r="G6338" s="3"/>
    </row>
    <row r="6339" ht="22.5" hidden="1" customHeight="1">
      <c r="A6339" s="11" t="str">
        <f t="array" ref="A6339">IFERROR(
  INDEX('Starlink Launches'!$A:$A, MATCH($E6339, 'Starlink Launches'!$B:$B, 0)),
  ""
)
</f>
        <v/>
      </c>
      <c r="B6339" s="26"/>
      <c r="C6339" s="12"/>
      <c r="D6339" s="13"/>
      <c r="E6339" s="4"/>
      <c r="F6339" s="4" t="str">
        <f>IF(D6339="","", IFNA(VLOOKUP(D6339, SATCAT_DECAY!A:B, 2, FALSE), ""))
</f>
        <v/>
      </c>
      <c r="G6339" s="3"/>
    </row>
    <row r="6340" ht="22.5" hidden="1" customHeight="1">
      <c r="A6340" s="11" t="str">
        <f t="array" ref="A6340">IFERROR(
  INDEX('Starlink Launches'!$A:$A, MATCH($E6340, 'Starlink Launches'!$B:$B, 0)),
  ""
)
</f>
        <v/>
      </c>
      <c r="B6340" s="26"/>
      <c r="C6340" s="12"/>
      <c r="D6340" s="13"/>
      <c r="E6340" s="4"/>
      <c r="F6340" s="4" t="str">
        <f>IF(D6340="","", IFNA(VLOOKUP(D6340, SATCAT_DECAY!A:B, 2, FALSE), ""))
</f>
        <v/>
      </c>
      <c r="G6340" s="3"/>
    </row>
    <row r="6341" ht="22.5" hidden="1" customHeight="1">
      <c r="A6341" s="11" t="str">
        <f t="array" ref="A6341">IFERROR(
  INDEX('Starlink Launches'!$A:$A, MATCH($E6341, 'Starlink Launches'!$B:$B, 0)),
  ""
)
</f>
        <v/>
      </c>
      <c r="B6341" s="26"/>
      <c r="C6341" s="12"/>
      <c r="D6341" s="13"/>
      <c r="E6341" s="4"/>
      <c r="F6341" s="4" t="str">
        <f>IF(D6341="","", IFNA(VLOOKUP(D6341, SATCAT_DECAY!A:B, 2, FALSE), ""))
</f>
        <v/>
      </c>
      <c r="G6341" s="3"/>
    </row>
    <row r="6342" ht="22.5" hidden="1" customHeight="1">
      <c r="A6342" s="11" t="str">
        <f t="array" ref="A6342">IFERROR(
  INDEX('Starlink Launches'!$A:$A, MATCH($E6342, 'Starlink Launches'!$B:$B, 0)),
  ""
)
</f>
        <v/>
      </c>
      <c r="B6342" s="26"/>
      <c r="C6342" s="12"/>
      <c r="D6342" s="13"/>
      <c r="E6342" s="4"/>
      <c r="F6342" s="4" t="str">
        <f>IF(D6342="","", IFNA(VLOOKUP(D6342, SATCAT_DECAY!A:B, 2, FALSE), ""))
</f>
        <v/>
      </c>
      <c r="G6342" s="3"/>
    </row>
    <row r="6343" ht="22.5" hidden="1" customHeight="1">
      <c r="A6343" s="11" t="str">
        <f t="array" ref="A6343">IFERROR(
  INDEX('Starlink Launches'!$A:$A, MATCH($E6343, 'Starlink Launches'!$B:$B, 0)),
  ""
)
</f>
        <v/>
      </c>
      <c r="B6343" s="26"/>
      <c r="C6343" s="12"/>
      <c r="D6343" s="13"/>
      <c r="E6343" s="4"/>
      <c r="F6343" s="4" t="str">
        <f>IF(D6343="","", IFNA(VLOOKUP(D6343, SATCAT_DECAY!A:B, 2, FALSE), ""))
</f>
        <v/>
      </c>
      <c r="G6343" s="3"/>
    </row>
    <row r="6344" ht="22.5" hidden="1" customHeight="1">
      <c r="A6344" s="11" t="str">
        <f t="array" ref="A6344">IFERROR(
  INDEX('Starlink Launches'!$A:$A, MATCH($E6344, 'Starlink Launches'!$B:$B, 0)),
  ""
)
</f>
        <v/>
      </c>
      <c r="B6344" s="26"/>
      <c r="C6344" s="12"/>
      <c r="D6344" s="13"/>
      <c r="E6344" s="4"/>
      <c r="F6344" s="4" t="str">
        <f>IF(D6344="","", IFNA(VLOOKUP(D6344, SATCAT_DECAY!A:B, 2, FALSE), ""))
</f>
        <v/>
      </c>
      <c r="G6344" s="3"/>
    </row>
    <row r="6345" ht="22.5" hidden="1" customHeight="1">
      <c r="A6345" s="11" t="str">
        <f t="array" ref="A6345">IFERROR(
  INDEX('Starlink Launches'!$A:$A, MATCH($E6345, 'Starlink Launches'!$B:$B, 0)),
  ""
)
</f>
        <v/>
      </c>
      <c r="B6345" s="26"/>
      <c r="C6345" s="12"/>
      <c r="D6345" s="13"/>
      <c r="E6345" s="4"/>
      <c r="F6345" s="4" t="str">
        <f>IF(D6345="","", IFNA(VLOOKUP(D6345, SATCAT_DECAY!A:B, 2, FALSE), ""))
</f>
        <v/>
      </c>
      <c r="G6345" s="3"/>
    </row>
    <row r="6346" ht="22.5" hidden="1" customHeight="1">
      <c r="A6346" s="11" t="str">
        <f t="array" ref="A6346">IFERROR(
  INDEX('Starlink Launches'!$A:$A, MATCH($E6346, 'Starlink Launches'!$B:$B, 0)),
  ""
)
</f>
        <v/>
      </c>
      <c r="B6346" s="26"/>
      <c r="C6346" s="12"/>
      <c r="D6346" s="13"/>
      <c r="E6346" s="4"/>
      <c r="F6346" s="4" t="str">
        <f>IF(D6346="","", IFNA(VLOOKUP(D6346, SATCAT_DECAY!A:B, 2, FALSE), ""))
</f>
        <v/>
      </c>
      <c r="G6346" s="3"/>
    </row>
    <row r="6347" ht="22.5" hidden="1" customHeight="1">
      <c r="A6347" s="11" t="str">
        <f t="array" ref="A6347">IFERROR(
  INDEX('Starlink Launches'!$A:$A, MATCH($E6347, 'Starlink Launches'!$B:$B, 0)),
  ""
)
</f>
        <v/>
      </c>
      <c r="B6347" s="26"/>
      <c r="C6347" s="12"/>
      <c r="D6347" s="13"/>
      <c r="E6347" s="4"/>
      <c r="F6347" s="4" t="str">
        <f>IF(D6347="","", IFNA(VLOOKUP(D6347, SATCAT_DECAY!A:B, 2, FALSE), ""))
</f>
        <v/>
      </c>
      <c r="G6347" s="3"/>
    </row>
    <row r="6348" ht="22.5" hidden="1" customHeight="1">
      <c r="A6348" s="11" t="str">
        <f t="array" ref="A6348">IFERROR(
  INDEX('Starlink Launches'!$A:$A, MATCH($E6348, 'Starlink Launches'!$B:$B, 0)),
  ""
)
</f>
        <v/>
      </c>
      <c r="B6348" s="26"/>
      <c r="C6348" s="12"/>
      <c r="D6348" s="13"/>
      <c r="E6348" s="4"/>
      <c r="F6348" s="4" t="str">
        <f>IF(D6348="","", IFNA(VLOOKUP(D6348, SATCAT_DECAY!A:B, 2, FALSE), ""))
</f>
        <v/>
      </c>
      <c r="G6348" s="3"/>
    </row>
    <row r="6349" ht="22.5" hidden="1" customHeight="1">
      <c r="A6349" s="11" t="str">
        <f t="array" ref="A6349">IFERROR(
  INDEX('Starlink Launches'!$A:$A, MATCH($E6349, 'Starlink Launches'!$B:$B, 0)),
  ""
)
</f>
        <v/>
      </c>
      <c r="B6349" s="26"/>
      <c r="C6349" s="12"/>
      <c r="D6349" s="13"/>
      <c r="E6349" s="4"/>
      <c r="F6349" s="4" t="str">
        <f>IF(D6349="","", IFNA(VLOOKUP(D6349, SATCAT_DECAY!A:B, 2, FALSE), ""))
</f>
        <v/>
      </c>
      <c r="G6349" s="3"/>
    </row>
    <row r="6350" ht="22.5" hidden="1" customHeight="1">
      <c r="A6350" s="11" t="str">
        <f t="array" ref="A6350">IFERROR(
  INDEX('Starlink Launches'!$A:$A, MATCH($E6350, 'Starlink Launches'!$B:$B, 0)),
  ""
)
</f>
        <v/>
      </c>
      <c r="B6350" s="26"/>
      <c r="C6350" s="12"/>
      <c r="D6350" s="13"/>
      <c r="E6350" s="4"/>
      <c r="F6350" s="4" t="str">
        <f>IF(D6350="","", IFNA(VLOOKUP(D6350, SATCAT_DECAY!A:B, 2, FALSE), ""))
</f>
        <v/>
      </c>
      <c r="G6350" s="3"/>
    </row>
    <row r="6351" ht="22.5" hidden="1" customHeight="1">
      <c r="A6351" s="11" t="str">
        <f t="array" ref="A6351">IFERROR(
  INDEX('Starlink Launches'!$A:$A, MATCH($E6351, 'Starlink Launches'!$B:$B, 0)),
  ""
)
</f>
        <v/>
      </c>
      <c r="B6351" s="26"/>
      <c r="C6351" s="12"/>
      <c r="D6351" s="13"/>
      <c r="E6351" s="4"/>
      <c r="F6351" s="4" t="str">
        <f>IF(D6351="","", IFNA(VLOOKUP(D6351, SATCAT_DECAY!A:B, 2, FALSE), ""))
</f>
        <v/>
      </c>
      <c r="G6351" s="3"/>
    </row>
    <row r="6352" ht="22.5" hidden="1" customHeight="1">
      <c r="A6352" s="11" t="str">
        <f t="array" ref="A6352">IFERROR(
  INDEX('Starlink Launches'!$A:$A, MATCH($E6352, 'Starlink Launches'!$B:$B, 0)),
  ""
)
</f>
        <v/>
      </c>
      <c r="B6352" s="26"/>
      <c r="C6352" s="12"/>
      <c r="D6352" s="13"/>
      <c r="E6352" s="4"/>
      <c r="F6352" s="4" t="str">
        <f>IF(D6352="","", IFNA(VLOOKUP(D6352, SATCAT_DECAY!A:B, 2, FALSE), ""))
</f>
        <v/>
      </c>
      <c r="G6352" s="3"/>
    </row>
    <row r="6353" ht="22.5" hidden="1" customHeight="1">
      <c r="A6353" s="11" t="str">
        <f t="array" ref="A6353">IFERROR(
  INDEX('Starlink Launches'!$A:$A, MATCH($E6353, 'Starlink Launches'!$B:$B, 0)),
  ""
)
</f>
        <v/>
      </c>
      <c r="B6353" s="26"/>
      <c r="C6353" s="12"/>
      <c r="D6353" s="13"/>
      <c r="E6353" s="4"/>
      <c r="F6353" s="4" t="str">
        <f>IF(D6353="","", IFNA(VLOOKUP(D6353, SATCAT_DECAY!A:B, 2, FALSE), ""))
</f>
        <v/>
      </c>
      <c r="G6353" s="3"/>
    </row>
    <row r="6354" ht="22.5" hidden="1" customHeight="1">
      <c r="A6354" s="11" t="str">
        <f t="array" ref="A6354">IFERROR(
  INDEX('Starlink Launches'!$A:$A, MATCH($E6354, 'Starlink Launches'!$B:$B, 0)),
  ""
)
</f>
        <v/>
      </c>
      <c r="B6354" s="26"/>
      <c r="C6354" s="12"/>
      <c r="D6354" s="13"/>
      <c r="E6354" s="4"/>
      <c r="F6354" s="4" t="str">
        <f>IF(D6354="","", IFNA(VLOOKUP(D6354, SATCAT_DECAY!A:B, 2, FALSE), ""))
</f>
        <v/>
      </c>
      <c r="G6354" s="3"/>
    </row>
    <row r="6355" ht="22.5" hidden="1" customHeight="1">
      <c r="A6355" s="11" t="str">
        <f t="array" ref="A6355">IFERROR(
  INDEX('Starlink Launches'!$A:$A, MATCH($E6355, 'Starlink Launches'!$B:$B, 0)),
  ""
)
</f>
        <v/>
      </c>
      <c r="B6355" s="26"/>
      <c r="C6355" s="12"/>
      <c r="D6355" s="13"/>
      <c r="E6355" s="4"/>
      <c r="F6355" s="4" t="str">
        <f>IF(D6355="","", IFNA(VLOOKUP(D6355, SATCAT_DECAY!A:B, 2, FALSE), ""))
</f>
        <v/>
      </c>
      <c r="G6355" s="3"/>
    </row>
    <row r="6356" ht="22.5" hidden="1" customHeight="1">
      <c r="A6356" s="11" t="str">
        <f t="array" ref="A6356">IFERROR(
  INDEX('Starlink Launches'!$A:$A, MATCH($E6356, 'Starlink Launches'!$B:$B, 0)),
  ""
)
</f>
        <v/>
      </c>
      <c r="B6356" s="26"/>
      <c r="C6356" s="12"/>
      <c r="D6356" s="13"/>
      <c r="E6356" s="4"/>
      <c r="F6356" s="4" t="str">
        <f>IF(D6356="","", IFNA(VLOOKUP(D6356, SATCAT_DECAY!A:B, 2, FALSE), ""))
</f>
        <v/>
      </c>
      <c r="G6356" s="3"/>
    </row>
    <row r="6357" ht="22.5" hidden="1" customHeight="1">
      <c r="A6357" s="11" t="str">
        <f t="array" ref="A6357">IFERROR(
  INDEX('Starlink Launches'!$A:$A, MATCH($E6357, 'Starlink Launches'!$B:$B, 0)),
  ""
)
</f>
        <v/>
      </c>
      <c r="B6357" s="26"/>
      <c r="C6357" s="12"/>
      <c r="D6357" s="13"/>
      <c r="E6357" s="4"/>
      <c r="F6357" s="4" t="str">
        <f>IF(D6357="","", IFNA(VLOOKUP(D6357, SATCAT_DECAY!A:B, 2, FALSE), ""))
</f>
        <v/>
      </c>
      <c r="G6357" s="3"/>
    </row>
    <row r="6358" ht="22.5" hidden="1" customHeight="1">
      <c r="A6358" s="11" t="str">
        <f t="array" ref="A6358">IFERROR(
  INDEX('Starlink Launches'!$A:$A, MATCH($E6358, 'Starlink Launches'!$B:$B, 0)),
  ""
)
</f>
        <v/>
      </c>
      <c r="B6358" s="26"/>
      <c r="C6358" s="12"/>
      <c r="D6358" s="13"/>
      <c r="E6358" s="4"/>
      <c r="F6358" s="4" t="str">
        <f>IF(D6358="","", IFNA(VLOOKUP(D6358, SATCAT_DECAY!A:B, 2, FALSE), ""))
</f>
        <v/>
      </c>
      <c r="G6358" s="3"/>
    </row>
    <row r="6359" ht="22.5" hidden="1" customHeight="1">
      <c r="A6359" s="11" t="str">
        <f t="array" ref="A6359">IFERROR(
  INDEX('Starlink Launches'!$A:$A, MATCH($E6359, 'Starlink Launches'!$B:$B, 0)),
  ""
)
</f>
        <v/>
      </c>
      <c r="B6359" s="26"/>
      <c r="C6359" s="12"/>
      <c r="D6359" s="13"/>
      <c r="E6359" s="4"/>
      <c r="F6359" s="4" t="str">
        <f>IF(D6359="","", IFNA(VLOOKUP(D6359, SATCAT_DECAY!A:B, 2, FALSE), ""))
</f>
        <v/>
      </c>
      <c r="G6359" s="3"/>
    </row>
    <row r="6360" ht="22.5" hidden="1" customHeight="1">
      <c r="A6360" s="11" t="str">
        <f t="array" ref="A6360">IFERROR(
  INDEX('Starlink Launches'!$A:$A, MATCH($E6360, 'Starlink Launches'!$B:$B, 0)),
  ""
)
</f>
        <v/>
      </c>
      <c r="B6360" s="26"/>
      <c r="C6360" s="12"/>
      <c r="D6360" s="13"/>
      <c r="E6360" s="4"/>
      <c r="F6360" s="4" t="str">
        <f>IF(D6360="","", IFNA(VLOOKUP(D6360, SATCAT_DECAY!A:B, 2, FALSE), ""))
</f>
        <v/>
      </c>
      <c r="G6360" s="3"/>
    </row>
    <row r="6361" ht="22.5" hidden="1" customHeight="1">
      <c r="A6361" s="11" t="str">
        <f t="array" ref="A6361">IFERROR(
  INDEX('Starlink Launches'!$A:$A, MATCH($E6361, 'Starlink Launches'!$B:$B, 0)),
  ""
)
</f>
        <v/>
      </c>
      <c r="B6361" s="26"/>
      <c r="C6361" s="12"/>
      <c r="D6361" s="13"/>
      <c r="E6361" s="4"/>
      <c r="F6361" s="4" t="str">
        <f>IF(D6361="","", IFNA(VLOOKUP(D6361, SATCAT_DECAY!A:B, 2, FALSE), ""))
</f>
        <v/>
      </c>
      <c r="G6361" s="3"/>
    </row>
    <row r="6362" ht="22.5" hidden="1" customHeight="1">
      <c r="A6362" s="11" t="str">
        <f t="array" ref="A6362">IFERROR(
  INDEX('Starlink Launches'!$A:$A, MATCH($E6362, 'Starlink Launches'!$B:$B, 0)),
  ""
)
</f>
        <v/>
      </c>
      <c r="B6362" s="26"/>
      <c r="C6362" s="12"/>
      <c r="D6362" s="13"/>
      <c r="E6362" s="4"/>
      <c r="F6362" s="4" t="str">
        <f>IF(D6362="","", IFNA(VLOOKUP(D6362, SATCAT_DECAY!A:B, 2, FALSE), ""))
</f>
        <v/>
      </c>
      <c r="G6362" s="3"/>
    </row>
    <row r="6363" ht="22.5" hidden="1" customHeight="1">
      <c r="A6363" s="11" t="str">
        <f t="array" ref="A6363">IFERROR(
  INDEX('Starlink Launches'!$A:$A, MATCH($E6363, 'Starlink Launches'!$B:$B, 0)),
  ""
)
</f>
        <v/>
      </c>
      <c r="B6363" s="26"/>
      <c r="C6363" s="12"/>
      <c r="D6363" s="13"/>
      <c r="E6363" s="4"/>
      <c r="F6363" s="4" t="str">
        <f>IF(D6363="","", IFNA(VLOOKUP(D6363, SATCAT_DECAY!A:B, 2, FALSE), ""))
</f>
        <v/>
      </c>
      <c r="G6363" s="3"/>
    </row>
    <row r="6364" ht="22.5" hidden="1" customHeight="1">
      <c r="A6364" s="11" t="str">
        <f t="array" ref="A6364">IFERROR(
  INDEX('Starlink Launches'!$A:$A, MATCH($E6364, 'Starlink Launches'!$B:$B, 0)),
  ""
)
</f>
        <v/>
      </c>
      <c r="B6364" s="26"/>
      <c r="C6364" s="12"/>
      <c r="D6364" s="13"/>
      <c r="E6364" s="4"/>
      <c r="F6364" s="4" t="str">
        <f>IF(D6364="","", IFNA(VLOOKUP(D6364, SATCAT_DECAY!A:B, 2, FALSE), ""))
</f>
        <v/>
      </c>
      <c r="G6364" s="3"/>
    </row>
    <row r="6365" ht="22.5" hidden="1" customHeight="1">
      <c r="A6365" s="11" t="str">
        <f t="array" ref="A6365">IFERROR(
  INDEX('Starlink Launches'!$A:$A, MATCH($E6365, 'Starlink Launches'!$B:$B, 0)),
  ""
)
</f>
        <v/>
      </c>
      <c r="B6365" s="26"/>
      <c r="C6365" s="12"/>
      <c r="D6365" s="13"/>
      <c r="E6365" s="4"/>
      <c r="F6365" s="4" t="str">
        <f>IF(D6365="","", IFNA(VLOOKUP(D6365, SATCAT_DECAY!A:B, 2, FALSE), ""))
</f>
        <v/>
      </c>
      <c r="G6365" s="3"/>
    </row>
    <row r="6366" ht="22.5" hidden="1" customHeight="1">
      <c r="A6366" s="11" t="str">
        <f t="array" ref="A6366">IFERROR(
  INDEX('Starlink Launches'!$A:$A, MATCH($E6366, 'Starlink Launches'!$B:$B, 0)),
  ""
)
</f>
        <v/>
      </c>
      <c r="B6366" s="26"/>
      <c r="C6366" s="12"/>
      <c r="D6366" s="13"/>
      <c r="E6366" s="4"/>
      <c r="F6366" s="4" t="str">
        <f>IF(D6366="","", IFNA(VLOOKUP(D6366, SATCAT_DECAY!A:B, 2, FALSE), ""))
</f>
        <v/>
      </c>
      <c r="G6366" s="3"/>
    </row>
    <row r="6367" ht="22.5" hidden="1" customHeight="1">
      <c r="A6367" s="11" t="str">
        <f t="array" ref="A6367">IFERROR(
  INDEX('Starlink Launches'!$A:$A, MATCH($E6367, 'Starlink Launches'!$B:$B, 0)),
  ""
)
</f>
        <v/>
      </c>
      <c r="B6367" s="26"/>
      <c r="C6367" s="12"/>
      <c r="D6367" s="13"/>
      <c r="E6367" s="4"/>
      <c r="F6367" s="4" t="str">
        <f>IF(D6367="","", IFNA(VLOOKUP(D6367, SATCAT_DECAY!A:B, 2, FALSE), ""))
</f>
        <v/>
      </c>
      <c r="G6367" s="3"/>
    </row>
    <row r="6368" ht="22.5" hidden="1" customHeight="1">
      <c r="A6368" s="11" t="str">
        <f t="array" ref="A6368">IFERROR(
  INDEX('Starlink Launches'!$A:$A, MATCH($E6368, 'Starlink Launches'!$B:$B, 0)),
  ""
)
</f>
        <v/>
      </c>
      <c r="B6368" s="26"/>
      <c r="C6368" s="12"/>
      <c r="D6368" s="13"/>
      <c r="E6368" s="4"/>
      <c r="F6368" s="4" t="str">
        <f>IF(D6368="","", IFNA(VLOOKUP(D6368, SATCAT_DECAY!A:B, 2, FALSE), ""))
</f>
        <v/>
      </c>
      <c r="G6368" s="3"/>
    </row>
    <row r="6369" ht="22.5" hidden="1" customHeight="1">
      <c r="A6369" s="11" t="str">
        <f t="array" ref="A6369">IFERROR(
  INDEX('Starlink Launches'!$A:$A, MATCH($E6369, 'Starlink Launches'!$B:$B, 0)),
  ""
)
</f>
        <v/>
      </c>
      <c r="B6369" s="26"/>
      <c r="C6369" s="12"/>
      <c r="D6369" s="13"/>
      <c r="E6369" s="4"/>
      <c r="F6369" s="4" t="str">
        <f>IF(D6369="","", IFNA(VLOOKUP(D6369, SATCAT_DECAY!A:B, 2, FALSE), ""))
</f>
        <v/>
      </c>
      <c r="G6369" s="3"/>
    </row>
    <row r="6370" ht="22.5" hidden="1" customHeight="1">
      <c r="A6370" s="11" t="str">
        <f t="array" ref="A6370">IFERROR(
  INDEX('Starlink Launches'!$A:$A, MATCH($E6370, 'Starlink Launches'!$B:$B, 0)),
  ""
)
</f>
        <v/>
      </c>
      <c r="B6370" s="26"/>
      <c r="C6370" s="12"/>
      <c r="D6370" s="13"/>
      <c r="E6370" s="4"/>
      <c r="F6370" s="4" t="str">
        <f>IF(D6370="","", IFNA(VLOOKUP(D6370, SATCAT_DECAY!A:B, 2, FALSE), ""))
</f>
        <v/>
      </c>
      <c r="G6370" s="3"/>
    </row>
    <row r="6371" ht="22.5" hidden="1" customHeight="1">
      <c r="A6371" s="11" t="str">
        <f t="array" ref="A6371">IFERROR(
  INDEX('Starlink Launches'!$A:$A, MATCH($E6371, 'Starlink Launches'!$B:$B, 0)),
  ""
)
</f>
        <v/>
      </c>
      <c r="B6371" s="26"/>
      <c r="C6371" s="12"/>
      <c r="D6371" s="13"/>
      <c r="E6371" s="4"/>
      <c r="F6371" s="4" t="str">
        <f>IF(D6371="","", IFNA(VLOOKUP(D6371, SATCAT_DECAY!A:B, 2, FALSE), ""))
</f>
        <v/>
      </c>
      <c r="G6371" s="3"/>
    </row>
    <row r="6372" ht="22.5" hidden="1" customHeight="1">
      <c r="A6372" s="11" t="str">
        <f t="array" ref="A6372">IFERROR(
  INDEX('Starlink Launches'!$A:$A, MATCH($E6372, 'Starlink Launches'!$B:$B, 0)),
  ""
)
</f>
        <v/>
      </c>
      <c r="B6372" s="26"/>
      <c r="C6372" s="12"/>
      <c r="D6372" s="13"/>
      <c r="E6372" s="4"/>
      <c r="F6372" s="4" t="str">
        <f>IF(D6372="","", IFNA(VLOOKUP(D6372, SATCAT_DECAY!A:B, 2, FALSE), ""))
</f>
        <v/>
      </c>
      <c r="G6372" s="3"/>
    </row>
    <row r="6373" ht="22.5" hidden="1" customHeight="1">
      <c r="A6373" s="11" t="str">
        <f t="array" ref="A6373">IFERROR(
  INDEX('Starlink Launches'!$A:$A, MATCH($E6373, 'Starlink Launches'!$B:$B, 0)),
  ""
)
</f>
        <v/>
      </c>
      <c r="B6373" s="26"/>
      <c r="C6373" s="12"/>
      <c r="D6373" s="13"/>
      <c r="E6373" s="4"/>
      <c r="F6373" s="4" t="str">
        <f>IF(D6373="","", IFNA(VLOOKUP(D6373, SATCAT_DECAY!A:B, 2, FALSE), ""))
</f>
        <v/>
      </c>
      <c r="G6373" s="3"/>
    </row>
    <row r="6374" ht="22.5" hidden="1" customHeight="1">
      <c r="A6374" s="11" t="str">
        <f t="array" ref="A6374">IFERROR(
  INDEX('Starlink Launches'!$A:$A, MATCH($E6374, 'Starlink Launches'!$B:$B, 0)),
  ""
)
</f>
        <v/>
      </c>
      <c r="B6374" s="26"/>
      <c r="C6374" s="12"/>
      <c r="D6374" s="13"/>
      <c r="E6374" s="4"/>
      <c r="F6374" s="4" t="str">
        <f>IF(D6374="","", IFNA(VLOOKUP(D6374, SATCAT_DECAY!A:B, 2, FALSE), ""))
</f>
        <v/>
      </c>
      <c r="G6374" s="3"/>
    </row>
    <row r="6375" ht="22.5" hidden="1" customHeight="1">
      <c r="A6375" s="11" t="str">
        <f t="array" ref="A6375">IFERROR(
  INDEX('Starlink Launches'!$A:$A, MATCH($E6375, 'Starlink Launches'!$B:$B, 0)),
  ""
)
</f>
        <v/>
      </c>
      <c r="B6375" s="26"/>
      <c r="C6375" s="12"/>
      <c r="D6375" s="13"/>
      <c r="E6375" s="4"/>
      <c r="F6375" s="4" t="str">
        <f>IF(D6375="","", IFNA(VLOOKUP(D6375, SATCAT_DECAY!A:B, 2, FALSE), ""))
</f>
        <v/>
      </c>
      <c r="G6375" s="3"/>
    </row>
    <row r="6376" ht="22.5" hidden="1" customHeight="1">
      <c r="A6376" s="11" t="str">
        <f t="array" ref="A6376">IFERROR(
  INDEX('Starlink Launches'!$A:$A, MATCH($E6376, 'Starlink Launches'!$B:$B, 0)),
  ""
)
</f>
        <v/>
      </c>
      <c r="B6376" s="26"/>
      <c r="C6376" s="12"/>
      <c r="D6376" s="13"/>
      <c r="E6376" s="4"/>
      <c r="F6376" s="4" t="str">
        <f>IF(D6376="","", IFNA(VLOOKUP(D6376, SATCAT_DECAY!A:B, 2, FALSE), ""))
</f>
        <v/>
      </c>
      <c r="G6376" s="3"/>
    </row>
    <row r="6377" ht="22.5" hidden="1" customHeight="1">
      <c r="A6377" s="11" t="str">
        <f t="array" ref="A6377">IFERROR(
  INDEX('Starlink Launches'!$A:$A, MATCH($E6377, 'Starlink Launches'!$B:$B, 0)),
  ""
)
</f>
        <v/>
      </c>
      <c r="B6377" s="26"/>
      <c r="C6377" s="12"/>
      <c r="D6377" s="13"/>
      <c r="E6377" s="4"/>
      <c r="F6377" s="4" t="str">
        <f>IF(D6377="","", IFNA(VLOOKUP(D6377, SATCAT_DECAY!A:B, 2, FALSE), ""))
</f>
        <v/>
      </c>
      <c r="G6377" s="3"/>
    </row>
    <row r="6378" ht="22.5" hidden="1" customHeight="1">
      <c r="A6378" s="11" t="str">
        <f t="array" ref="A6378">IFERROR(
  INDEX('Starlink Launches'!$A:$A, MATCH($E6378, 'Starlink Launches'!$B:$B, 0)),
  ""
)
</f>
        <v/>
      </c>
      <c r="B6378" s="26"/>
      <c r="C6378" s="12"/>
      <c r="D6378" s="13"/>
      <c r="E6378" s="4"/>
      <c r="F6378" s="4" t="str">
        <f>IF(D6378="","", IFNA(VLOOKUP(D6378, SATCAT_DECAY!A:B, 2, FALSE), ""))
</f>
        <v/>
      </c>
      <c r="G6378" s="3"/>
    </row>
    <row r="6379" ht="22.5" hidden="1" customHeight="1">
      <c r="A6379" s="11" t="str">
        <f t="array" ref="A6379">IFERROR(
  INDEX('Starlink Launches'!$A:$A, MATCH($E6379, 'Starlink Launches'!$B:$B, 0)),
  ""
)
</f>
        <v/>
      </c>
      <c r="B6379" s="26"/>
      <c r="C6379" s="12"/>
      <c r="D6379" s="13"/>
      <c r="E6379" s="4"/>
      <c r="F6379" s="4" t="str">
        <f>IF(D6379="","", IFNA(VLOOKUP(D6379, SATCAT_DECAY!A:B, 2, FALSE), ""))
</f>
        <v/>
      </c>
      <c r="G6379" s="3"/>
    </row>
    <row r="6380" ht="22.5" hidden="1" customHeight="1">
      <c r="A6380" s="11" t="str">
        <f t="array" ref="A6380">IFERROR(
  INDEX('Starlink Launches'!$A:$A, MATCH($E6380, 'Starlink Launches'!$B:$B, 0)),
  ""
)
</f>
        <v/>
      </c>
      <c r="B6380" s="26"/>
      <c r="C6380" s="12"/>
      <c r="D6380" s="13"/>
      <c r="E6380" s="4"/>
      <c r="F6380" s="4" t="str">
        <f>IF(D6380="","", IFNA(VLOOKUP(D6380, SATCAT_DECAY!A:B, 2, FALSE), ""))
</f>
        <v/>
      </c>
      <c r="G6380" s="3"/>
    </row>
    <row r="6381" ht="22.5" hidden="1" customHeight="1">
      <c r="A6381" s="11" t="str">
        <f t="array" ref="A6381">IFERROR(
  INDEX('Starlink Launches'!$A:$A, MATCH($E6381, 'Starlink Launches'!$B:$B, 0)),
  ""
)
</f>
        <v/>
      </c>
      <c r="B6381" s="26"/>
      <c r="C6381" s="12"/>
      <c r="D6381" s="13"/>
      <c r="E6381" s="4"/>
      <c r="F6381" s="4" t="str">
        <f>IF(D6381="","", IFNA(VLOOKUP(D6381, SATCAT_DECAY!A:B, 2, FALSE), ""))
</f>
        <v/>
      </c>
      <c r="G6381" s="3"/>
    </row>
    <row r="6382" ht="22.5" hidden="1" customHeight="1">
      <c r="A6382" s="11" t="str">
        <f t="array" ref="A6382">IFERROR(
  INDEX('Starlink Launches'!$A:$A, MATCH($E6382, 'Starlink Launches'!$B:$B, 0)),
  ""
)
</f>
        <v/>
      </c>
      <c r="B6382" s="26"/>
      <c r="C6382" s="12"/>
      <c r="D6382" s="13"/>
      <c r="E6382" s="4"/>
      <c r="F6382" s="4" t="str">
        <f>IF(D6382="","", IFNA(VLOOKUP(D6382, SATCAT_DECAY!A:B, 2, FALSE), ""))
</f>
        <v/>
      </c>
      <c r="G6382" s="3"/>
    </row>
    <row r="6383" ht="22.5" hidden="1" customHeight="1">
      <c r="A6383" s="11" t="str">
        <f t="array" ref="A6383">IFERROR(
  INDEX('Starlink Launches'!$A:$A, MATCH($E6383, 'Starlink Launches'!$B:$B, 0)),
  ""
)
</f>
        <v/>
      </c>
      <c r="B6383" s="26"/>
      <c r="C6383" s="12"/>
      <c r="D6383" s="13"/>
      <c r="E6383" s="4"/>
      <c r="F6383" s="4" t="str">
        <f>IF(D6383="","", IFNA(VLOOKUP(D6383, SATCAT_DECAY!A:B, 2, FALSE), ""))
</f>
        <v/>
      </c>
      <c r="G6383" s="3"/>
    </row>
    <row r="6384" ht="22.5" hidden="1" customHeight="1">
      <c r="A6384" s="11" t="str">
        <f t="array" ref="A6384">IFERROR(
  INDEX('Starlink Launches'!$A:$A, MATCH($E6384, 'Starlink Launches'!$B:$B, 0)),
  ""
)
</f>
        <v/>
      </c>
      <c r="B6384" s="26"/>
      <c r="C6384" s="12"/>
      <c r="D6384" s="13"/>
      <c r="E6384" s="4"/>
      <c r="F6384" s="4" t="str">
        <f>IF(D6384="","", IFNA(VLOOKUP(D6384, SATCAT_DECAY!A:B, 2, FALSE), ""))
</f>
        <v/>
      </c>
      <c r="G6384" s="3"/>
    </row>
    <row r="6385" ht="22.5" hidden="1" customHeight="1">
      <c r="A6385" s="11" t="str">
        <f t="array" ref="A6385">IFERROR(
  INDEX('Starlink Launches'!$A:$A, MATCH($E6385, 'Starlink Launches'!$B:$B, 0)),
  ""
)
</f>
        <v/>
      </c>
      <c r="B6385" s="26"/>
      <c r="C6385" s="12"/>
      <c r="D6385" s="13"/>
      <c r="E6385" s="4"/>
      <c r="F6385" s="4" t="str">
        <f>IF(D6385="","", IFNA(VLOOKUP(D6385, SATCAT_DECAY!A:B, 2, FALSE), ""))
</f>
        <v/>
      </c>
      <c r="G6385" s="3"/>
    </row>
    <row r="6386" ht="22.5" hidden="1" customHeight="1">
      <c r="A6386" s="11" t="str">
        <f t="array" ref="A6386">IFERROR(
  INDEX('Starlink Launches'!$A:$A, MATCH($E6386, 'Starlink Launches'!$B:$B, 0)),
  ""
)
</f>
        <v/>
      </c>
      <c r="B6386" s="26"/>
      <c r="C6386" s="12"/>
      <c r="D6386" s="13"/>
      <c r="E6386" s="4"/>
      <c r="F6386" s="4" t="str">
        <f>IF(D6386="","", IFNA(VLOOKUP(D6386, SATCAT_DECAY!A:B, 2, FALSE), ""))
</f>
        <v/>
      </c>
      <c r="G6386" s="3"/>
    </row>
    <row r="6387" ht="22.5" hidden="1" customHeight="1">
      <c r="A6387" s="11" t="str">
        <f t="array" ref="A6387">IFERROR(
  INDEX('Starlink Launches'!$A:$A, MATCH($E6387, 'Starlink Launches'!$B:$B, 0)),
  ""
)
</f>
        <v/>
      </c>
      <c r="B6387" s="26"/>
      <c r="C6387" s="12"/>
      <c r="D6387" s="13"/>
      <c r="E6387" s="4"/>
      <c r="F6387" s="4" t="str">
        <f>IF(D6387="","", IFNA(VLOOKUP(D6387, SATCAT_DECAY!A:B, 2, FALSE), ""))
</f>
        <v/>
      </c>
      <c r="G6387" s="3"/>
    </row>
    <row r="6388" ht="22.5" hidden="1" customHeight="1">
      <c r="A6388" s="11" t="str">
        <f t="array" ref="A6388">IFERROR(
  INDEX('Starlink Launches'!$A:$A, MATCH($E6388, 'Starlink Launches'!$B:$B, 0)),
  ""
)
</f>
        <v/>
      </c>
      <c r="B6388" s="26"/>
      <c r="C6388" s="12"/>
      <c r="D6388" s="13"/>
      <c r="E6388" s="4"/>
      <c r="F6388" s="4" t="str">
        <f>IF(D6388="","", IFNA(VLOOKUP(D6388, SATCAT_DECAY!A:B, 2, FALSE), ""))
</f>
        <v/>
      </c>
      <c r="G6388" s="3"/>
    </row>
    <row r="6389" ht="22.5" hidden="1" customHeight="1">
      <c r="A6389" s="11" t="str">
        <f t="array" ref="A6389">IFERROR(
  INDEX('Starlink Launches'!$A:$A, MATCH($E6389, 'Starlink Launches'!$B:$B, 0)),
  ""
)
</f>
        <v/>
      </c>
      <c r="B6389" s="26"/>
      <c r="C6389" s="12"/>
      <c r="D6389" s="13"/>
      <c r="E6389" s="4"/>
      <c r="F6389" s="4" t="str">
        <f>IF(D6389="","", IFNA(VLOOKUP(D6389, SATCAT_DECAY!A:B, 2, FALSE), ""))
</f>
        <v/>
      </c>
      <c r="G6389" s="3"/>
    </row>
    <row r="6390" ht="22.5" hidden="1" customHeight="1">
      <c r="A6390" s="11" t="str">
        <f t="array" ref="A6390">IFERROR(
  INDEX('Starlink Launches'!$A:$A, MATCH($E6390, 'Starlink Launches'!$B:$B, 0)),
  ""
)
</f>
        <v/>
      </c>
      <c r="B6390" s="26"/>
      <c r="C6390" s="12"/>
      <c r="D6390" s="13"/>
      <c r="E6390" s="4"/>
      <c r="F6390" s="4" t="str">
        <f>IF(D6390="","", IFNA(VLOOKUP(D6390, SATCAT_DECAY!A:B, 2, FALSE), ""))
</f>
        <v/>
      </c>
      <c r="G6390" s="3"/>
    </row>
    <row r="6391" ht="22.5" hidden="1" customHeight="1">
      <c r="A6391" s="11" t="str">
        <f t="array" ref="A6391">IFERROR(
  INDEX('Starlink Launches'!$A:$A, MATCH($E6391, 'Starlink Launches'!$B:$B, 0)),
  ""
)
</f>
        <v/>
      </c>
      <c r="B6391" s="26"/>
      <c r="C6391" s="12"/>
      <c r="D6391" s="13"/>
      <c r="E6391" s="4"/>
      <c r="F6391" s="4" t="str">
        <f>IF(D6391="","", IFNA(VLOOKUP(D6391, SATCAT_DECAY!A:B, 2, FALSE), ""))
</f>
        <v/>
      </c>
      <c r="G6391" s="3"/>
    </row>
    <row r="6392" ht="22.5" hidden="1" customHeight="1">
      <c r="A6392" s="11" t="str">
        <f t="array" ref="A6392">IFERROR(
  INDEX('Starlink Launches'!$A:$A, MATCH($E6392, 'Starlink Launches'!$B:$B, 0)),
  ""
)
</f>
        <v/>
      </c>
      <c r="B6392" s="26"/>
      <c r="C6392" s="12"/>
      <c r="D6392" s="13"/>
      <c r="E6392" s="4"/>
      <c r="F6392" s="4" t="str">
        <f>IF(D6392="","", IFNA(VLOOKUP(D6392, SATCAT_DECAY!A:B, 2, FALSE), ""))
</f>
        <v/>
      </c>
      <c r="G6392" s="3"/>
    </row>
    <row r="6393" ht="22.5" hidden="1" customHeight="1">
      <c r="A6393" s="11" t="str">
        <f t="array" ref="A6393">IFERROR(
  INDEX('Starlink Launches'!$A:$A, MATCH($E6393, 'Starlink Launches'!$B:$B, 0)),
  ""
)
</f>
        <v/>
      </c>
      <c r="B6393" s="26"/>
      <c r="C6393" s="12"/>
      <c r="D6393" s="13"/>
      <c r="E6393" s="4"/>
      <c r="F6393" s="4" t="str">
        <f>IF(D6393="","", IFNA(VLOOKUP(D6393, SATCAT_DECAY!A:B, 2, FALSE), ""))
</f>
        <v/>
      </c>
      <c r="G6393" s="3"/>
    </row>
    <row r="6394" ht="22.5" hidden="1" customHeight="1">
      <c r="A6394" s="11" t="str">
        <f t="array" ref="A6394">IFERROR(
  INDEX('Starlink Launches'!$A:$A, MATCH($E6394, 'Starlink Launches'!$B:$B, 0)),
  ""
)
</f>
        <v/>
      </c>
      <c r="B6394" s="26"/>
      <c r="C6394" s="12"/>
      <c r="D6394" s="13"/>
      <c r="E6394" s="4"/>
      <c r="F6394" s="4" t="str">
        <f>IF(D6394="","", IFNA(VLOOKUP(D6394, SATCAT_DECAY!A:B, 2, FALSE), ""))
</f>
        <v/>
      </c>
      <c r="G6394" s="3"/>
    </row>
    <row r="6395" ht="22.5" hidden="1" customHeight="1">
      <c r="A6395" s="11" t="str">
        <f t="array" ref="A6395">IFERROR(
  INDEX('Starlink Launches'!$A:$A, MATCH($E6395, 'Starlink Launches'!$B:$B, 0)),
  ""
)
</f>
        <v/>
      </c>
      <c r="B6395" s="26"/>
      <c r="C6395" s="12"/>
      <c r="D6395" s="13"/>
      <c r="E6395" s="4"/>
      <c r="F6395" s="4" t="str">
        <f>IF(D6395="","", IFNA(VLOOKUP(D6395, SATCAT_DECAY!A:B, 2, FALSE), ""))
</f>
        <v/>
      </c>
      <c r="G6395" s="3"/>
    </row>
    <row r="6396" ht="22.5" hidden="1" customHeight="1">
      <c r="A6396" s="11" t="str">
        <f t="array" ref="A6396">IFERROR(
  INDEX('Starlink Launches'!$A:$A, MATCH($E6396, 'Starlink Launches'!$B:$B, 0)),
  ""
)
</f>
        <v/>
      </c>
      <c r="B6396" s="26"/>
      <c r="C6396" s="12"/>
      <c r="D6396" s="13"/>
      <c r="E6396" s="4"/>
      <c r="F6396" s="4" t="str">
        <f>IF(D6396="","", IFNA(VLOOKUP(D6396, SATCAT_DECAY!A:B, 2, FALSE), ""))
</f>
        <v/>
      </c>
      <c r="G6396" s="3"/>
    </row>
    <row r="6397" ht="22.5" hidden="1" customHeight="1">
      <c r="A6397" s="11" t="str">
        <f t="array" ref="A6397">IFERROR(
  INDEX('Starlink Launches'!$A:$A, MATCH($E6397, 'Starlink Launches'!$B:$B, 0)),
  ""
)
</f>
        <v/>
      </c>
      <c r="B6397" s="26"/>
      <c r="C6397" s="12"/>
      <c r="D6397" s="13"/>
      <c r="E6397" s="4"/>
      <c r="F6397" s="4" t="str">
        <f>IF(D6397="","", IFNA(VLOOKUP(D6397, SATCAT_DECAY!A:B, 2, FALSE), ""))
</f>
        <v/>
      </c>
      <c r="G6397" s="3"/>
    </row>
    <row r="6398" ht="22.5" hidden="1" customHeight="1">
      <c r="A6398" s="11" t="str">
        <f t="array" ref="A6398">IFERROR(
  INDEX('Starlink Launches'!$A:$A, MATCH($E6398, 'Starlink Launches'!$B:$B, 0)),
  ""
)
</f>
        <v/>
      </c>
      <c r="B6398" s="26"/>
      <c r="C6398" s="12"/>
      <c r="D6398" s="13"/>
      <c r="E6398" s="4"/>
      <c r="F6398" s="4" t="str">
        <f>IF(D6398="","", IFNA(VLOOKUP(D6398, SATCAT_DECAY!A:B, 2, FALSE), ""))
</f>
        <v/>
      </c>
      <c r="G6398" s="3"/>
    </row>
    <row r="6399" ht="22.5" hidden="1" customHeight="1">
      <c r="A6399" s="11" t="str">
        <f t="array" ref="A6399">IFERROR(
  INDEX('Starlink Launches'!$A:$A, MATCH($E6399, 'Starlink Launches'!$B:$B, 0)),
  ""
)
</f>
        <v/>
      </c>
      <c r="B6399" s="26"/>
      <c r="C6399" s="12"/>
      <c r="D6399" s="13"/>
      <c r="E6399" s="4"/>
      <c r="F6399" s="4" t="str">
        <f>IF(D6399="","", IFNA(VLOOKUP(D6399, SATCAT_DECAY!A:B, 2, FALSE), ""))
</f>
        <v/>
      </c>
      <c r="G6399" s="3"/>
    </row>
    <row r="6400" ht="22.5" hidden="1" customHeight="1">
      <c r="A6400" s="11" t="str">
        <f t="array" ref="A6400">IFERROR(
  INDEX('Starlink Launches'!$A:$A, MATCH($E6400, 'Starlink Launches'!$B:$B, 0)),
  ""
)
</f>
        <v/>
      </c>
      <c r="B6400" s="26"/>
      <c r="C6400" s="12"/>
      <c r="D6400" s="13"/>
      <c r="E6400" s="4"/>
      <c r="F6400" s="4" t="str">
        <f>IF(D6400="","", IFNA(VLOOKUP(D6400, SATCAT_DECAY!A:B, 2, FALSE), ""))
</f>
        <v/>
      </c>
      <c r="G6400" s="3"/>
    </row>
    <row r="6401" ht="22.5" hidden="1" customHeight="1">
      <c r="A6401" s="11" t="str">
        <f t="array" ref="A6401">IFERROR(
  INDEX('Starlink Launches'!$A:$A, MATCH($E6401, 'Starlink Launches'!$B:$B, 0)),
  ""
)
</f>
        <v/>
      </c>
      <c r="B6401" s="26"/>
      <c r="C6401" s="12"/>
      <c r="D6401" s="13"/>
      <c r="E6401" s="4"/>
      <c r="F6401" s="4" t="str">
        <f>IF(D6401="","", IFNA(VLOOKUP(D6401, SATCAT_DECAY!A:B, 2, FALSE), ""))
</f>
        <v/>
      </c>
      <c r="G6401" s="3"/>
    </row>
    <row r="6402" ht="22.5" hidden="1" customHeight="1">
      <c r="A6402" s="11" t="str">
        <f t="array" ref="A6402">IFERROR(
  INDEX('Starlink Launches'!$A:$A, MATCH($E6402, 'Starlink Launches'!$B:$B, 0)),
  ""
)
</f>
        <v/>
      </c>
      <c r="B6402" s="26"/>
      <c r="C6402" s="12"/>
      <c r="D6402" s="13"/>
      <c r="E6402" s="4"/>
      <c r="F6402" s="4" t="str">
        <f>IF(D6402="","", IFNA(VLOOKUP(D6402, SATCAT_DECAY!A:B, 2, FALSE), ""))
</f>
        <v/>
      </c>
      <c r="G6402" s="3"/>
    </row>
    <row r="6403" ht="22.5" hidden="1" customHeight="1">
      <c r="A6403" s="11" t="str">
        <f t="array" ref="A6403">IFERROR(
  INDEX('Starlink Launches'!$A:$A, MATCH($E6403, 'Starlink Launches'!$B:$B, 0)),
  ""
)
</f>
        <v/>
      </c>
      <c r="B6403" s="26"/>
      <c r="C6403" s="12"/>
      <c r="D6403" s="13"/>
      <c r="E6403" s="4"/>
      <c r="F6403" s="4" t="str">
        <f>IF(D6403="","", IFNA(VLOOKUP(D6403, SATCAT_DECAY!A:B, 2, FALSE), ""))
</f>
        <v/>
      </c>
      <c r="G6403" s="3"/>
    </row>
    <row r="6404" ht="22.5" hidden="1" customHeight="1">
      <c r="A6404" s="11" t="str">
        <f t="array" ref="A6404">IFERROR(
  INDEX('Starlink Launches'!$A:$A, MATCH($E6404, 'Starlink Launches'!$B:$B, 0)),
  ""
)
</f>
        <v/>
      </c>
      <c r="B6404" s="26"/>
      <c r="C6404" s="12"/>
      <c r="D6404" s="13"/>
      <c r="E6404" s="4"/>
      <c r="F6404" s="4" t="str">
        <f>IF(D6404="","", IFNA(VLOOKUP(D6404, SATCAT_DECAY!A:B, 2, FALSE), ""))
</f>
        <v/>
      </c>
      <c r="G6404" s="3"/>
    </row>
    <row r="6405" ht="22.5" hidden="1" customHeight="1">
      <c r="A6405" s="11" t="str">
        <f t="array" ref="A6405">IFERROR(
  INDEX('Starlink Launches'!$A:$A, MATCH($E6405, 'Starlink Launches'!$B:$B, 0)),
  ""
)
</f>
        <v/>
      </c>
      <c r="B6405" s="26"/>
      <c r="C6405" s="12"/>
      <c r="D6405" s="13"/>
      <c r="E6405" s="4"/>
      <c r="F6405" s="4" t="str">
        <f>IF(D6405="","", IFNA(VLOOKUP(D6405, SATCAT_DECAY!A:B, 2, FALSE), ""))
</f>
        <v/>
      </c>
      <c r="G6405" s="3"/>
    </row>
    <row r="6406" ht="22.5" hidden="1" customHeight="1">
      <c r="A6406" s="11" t="str">
        <f t="array" ref="A6406">IFERROR(
  INDEX('Starlink Launches'!$A:$A, MATCH($E6406, 'Starlink Launches'!$B:$B, 0)),
  ""
)
</f>
        <v/>
      </c>
      <c r="B6406" s="26"/>
      <c r="C6406" s="12"/>
      <c r="D6406" s="13"/>
      <c r="E6406" s="4"/>
      <c r="F6406" s="4" t="str">
        <f>IF(D6406="","", IFNA(VLOOKUP(D6406, SATCAT_DECAY!A:B, 2, FALSE), ""))
</f>
        <v/>
      </c>
      <c r="G6406" s="3"/>
    </row>
    <row r="6407" ht="22.5" hidden="1" customHeight="1">
      <c r="A6407" s="11" t="str">
        <f t="array" ref="A6407">IFERROR(
  INDEX('Starlink Launches'!$A:$A, MATCH($E6407, 'Starlink Launches'!$B:$B, 0)),
  ""
)
</f>
        <v/>
      </c>
      <c r="B6407" s="26"/>
      <c r="C6407" s="12"/>
      <c r="D6407" s="13"/>
      <c r="E6407" s="4"/>
      <c r="F6407" s="4" t="str">
        <f>IF(D6407="","", IFNA(VLOOKUP(D6407, SATCAT_DECAY!A:B, 2, FALSE), ""))
</f>
        <v/>
      </c>
      <c r="G6407" s="3"/>
    </row>
    <row r="6408" ht="22.5" hidden="1" customHeight="1">
      <c r="A6408" s="11" t="str">
        <f t="array" ref="A6408">IFERROR(
  INDEX('Starlink Launches'!$A:$A, MATCH($E6408, 'Starlink Launches'!$B:$B, 0)),
  ""
)
</f>
        <v/>
      </c>
      <c r="B6408" s="26"/>
      <c r="C6408" s="12"/>
      <c r="D6408" s="13"/>
      <c r="E6408" s="4"/>
      <c r="F6408" s="4" t="str">
        <f>IF(D6408="","", IFNA(VLOOKUP(D6408, SATCAT_DECAY!A:B, 2, FALSE), ""))
</f>
        <v/>
      </c>
      <c r="G6408" s="3"/>
    </row>
    <row r="6409" ht="22.5" hidden="1" customHeight="1">
      <c r="A6409" s="11" t="str">
        <f t="array" ref="A6409">IFERROR(
  INDEX('Starlink Launches'!$A:$A, MATCH($E6409, 'Starlink Launches'!$B:$B, 0)),
  ""
)
</f>
        <v/>
      </c>
      <c r="B6409" s="26"/>
      <c r="C6409" s="12"/>
      <c r="D6409" s="13"/>
      <c r="E6409" s="4"/>
      <c r="F6409" s="4" t="str">
        <f>IF(D6409="","", IFNA(VLOOKUP(D6409, SATCAT_DECAY!A:B, 2, FALSE), ""))
</f>
        <v/>
      </c>
      <c r="G6409" s="3"/>
    </row>
    <row r="6410" ht="22.5" hidden="1" customHeight="1">
      <c r="A6410" s="11" t="str">
        <f t="array" ref="A6410">IFERROR(
  INDEX('Starlink Launches'!$A:$A, MATCH($E6410, 'Starlink Launches'!$B:$B, 0)),
  ""
)
</f>
        <v/>
      </c>
      <c r="B6410" s="26"/>
      <c r="C6410" s="12"/>
      <c r="D6410" s="13"/>
      <c r="E6410" s="4"/>
      <c r="F6410" s="4" t="str">
        <f>IF(D6410="","", IFNA(VLOOKUP(D6410, SATCAT_DECAY!A:B, 2, FALSE), ""))
</f>
        <v/>
      </c>
      <c r="G6410" s="3"/>
    </row>
    <row r="6411" ht="22.5" hidden="1" customHeight="1">
      <c r="A6411" s="11" t="str">
        <f t="array" ref="A6411">IFERROR(
  INDEX('Starlink Launches'!$A:$A, MATCH($E6411, 'Starlink Launches'!$B:$B, 0)),
  ""
)
</f>
        <v/>
      </c>
      <c r="B6411" s="26"/>
      <c r="C6411" s="12"/>
      <c r="D6411" s="13"/>
      <c r="E6411" s="4"/>
      <c r="F6411" s="4" t="str">
        <f>IF(D6411="","", IFNA(VLOOKUP(D6411, SATCAT_DECAY!A:B, 2, FALSE), ""))
</f>
        <v/>
      </c>
      <c r="G6411" s="3"/>
    </row>
    <row r="6412" ht="22.5" hidden="1" customHeight="1">
      <c r="A6412" s="11" t="str">
        <f t="array" ref="A6412">IFERROR(
  INDEX('Starlink Launches'!$A:$A, MATCH($E6412, 'Starlink Launches'!$B:$B, 0)),
  ""
)
</f>
        <v/>
      </c>
      <c r="B6412" s="26"/>
      <c r="C6412" s="12"/>
      <c r="D6412" s="13"/>
      <c r="E6412" s="4"/>
      <c r="F6412" s="4" t="str">
        <f>IF(D6412="","", IFNA(VLOOKUP(D6412, SATCAT_DECAY!A:B, 2, FALSE), ""))
</f>
        <v/>
      </c>
      <c r="G6412" s="3"/>
    </row>
    <row r="6413" ht="22.5" hidden="1" customHeight="1">
      <c r="A6413" s="11" t="str">
        <f t="array" ref="A6413">IFERROR(
  INDEX('Starlink Launches'!$A:$A, MATCH($E6413, 'Starlink Launches'!$B:$B, 0)),
  ""
)
</f>
        <v/>
      </c>
      <c r="B6413" s="26"/>
      <c r="C6413" s="12"/>
      <c r="D6413" s="13"/>
      <c r="E6413" s="4"/>
      <c r="F6413" s="4" t="str">
        <f>IF(D6413="","", IFNA(VLOOKUP(D6413, SATCAT_DECAY!A:B, 2, FALSE), ""))
</f>
        <v/>
      </c>
      <c r="G6413" s="3"/>
    </row>
    <row r="6414" ht="22.5" hidden="1" customHeight="1">
      <c r="A6414" s="11" t="str">
        <f t="array" ref="A6414">IFERROR(
  INDEX('Starlink Launches'!$A:$A, MATCH($E6414, 'Starlink Launches'!$B:$B, 0)),
  ""
)
</f>
        <v/>
      </c>
      <c r="B6414" s="26"/>
      <c r="C6414" s="12"/>
      <c r="D6414" s="13"/>
      <c r="E6414" s="4"/>
      <c r="F6414" s="4" t="str">
        <f>IF(D6414="","", IFNA(VLOOKUP(D6414, SATCAT_DECAY!A:B, 2, FALSE), ""))
</f>
        <v/>
      </c>
      <c r="G6414" s="3"/>
    </row>
    <row r="6415" ht="22.5" hidden="1" customHeight="1">
      <c r="A6415" s="11" t="str">
        <f t="array" ref="A6415">IFERROR(
  INDEX('Starlink Launches'!$A:$A, MATCH($E6415, 'Starlink Launches'!$B:$B, 0)),
  ""
)
</f>
        <v/>
      </c>
      <c r="B6415" s="26"/>
      <c r="C6415" s="12"/>
      <c r="D6415" s="13"/>
      <c r="E6415" s="4"/>
      <c r="F6415" s="4" t="str">
        <f>IF(D6415="","", IFNA(VLOOKUP(D6415, SATCAT_DECAY!A:B, 2, FALSE), ""))
</f>
        <v/>
      </c>
      <c r="G6415" s="3"/>
    </row>
    <row r="6416" ht="22.5" hidden="1" customHeight="1">
      <c r="A6416" s="11" t="str">
        <f t="array" ref="A6416">IFERROR(
  INDEX('Starlink Launches'!$A:$A, MATCH($E6416, 'Starlink Launches'!$B:$B, 0)),
  ""
)
</f>
        <v/>
      </c>
      <c r="B6416" s="26"/>
      <c r="C6416" s="12"/>
      <c r="D6416" s="13"/>
      <c r="E6416" s="4"/>
      <c r="F6416" s="4" t="str">
        <f>IF(D6416="","", IFNA(VLOOKUP(D6416, SATCAT_DECAY!A:B, 2, FALSE), ""))
</f>
        <v/>
      </c>
      <c r="G6416" s="3"/>
    </row>
    <row r="6417" ht="22.5" hidden="1" customHeight="1">
      <c r="A6417" s="11" t="str">
        <f t="array" ref="A6417">IFERROR(
  INDEX('Starlink Launches'!$A:$A, MATCH($E6417, 'Starlink Launches'!$B:$B, 0)),
  ""
)
</f>
        <v/>
      </c>
      <c r="B6417" s="26"/>
      <c r="C6417" s="12"/>
      <c r="D6417" s="13"/>
      <c r="E6417" s="4"/>
      <c r="F6417" s="4" t="str">
        <f>IF(D6417="","", IFNA(VLOOKUP(D6417, SATCAT_DECAY!A:B, 2, FALSE), ""))
</f>
        <v/>
      </c>
      <c r="G6417" s="3"/>
    </row>
    <row r="6418" ht="22.5" hidden="1" customHeight="1">
      <c r="A6418" s="11" t="str">
        <f t="array" ref="A6418">IFERROR(
  INDEX('Starlink Launches'!$A:$A, MATCH($E6418, 'Starlink Launches'!$B:$B, 0)),
  ""
)
</f>
        <v/>
      </c>
      <c r="B6418" s="26"/>
      <c r="C6418" s="12"/>
      <c r="D6418" s="13"/>
      <c r="E6418" s="4"/>
      <c r="F6418" s="4" t="str">
        <f>IF(D6418="","", IFNA(VLOOKUP(D6418, SATCAT_DECAY!A:B, 2, FALSE), ""))
</f>
        <v/>
      </c>
      <c r="G6418" s="3"/>
    </row>
    <row r="6419" ht="22.5" hidden="1" customHeight="1">
      <c r="A6419" s="11" t="str">
        <f t="array" ref="A6419">IFERROR(
  INDEX('Starlink Launches'!$A:$A, MATCH($E6419, 'Starlink Launches'!$B:$B, 0)),
  ""
)
</f>
        <v/>
      </c>
      <c r="B6419" s="26"/>
      <c r="C6419" s="12"/>
      <c r="D6419" s="13"/>
      <c r="E6419" s="4"/>
      <c r="F6419" s="4" t="str">
        <f>IF(D6419="","", IFNA(VLOOKUP(D6419, SATCAT_DECAY!A:B, 2, FALSE), ""))
</f>
        <v/>
      </c>
      <c r="G6419" s="3"/>
    </row>
    <row r="6420" ht="22.5" hidden="1" customHeight="1">
      <c r="A6420" s="11" t="str">
        <f t="array" ref="A6420">IFERROR(
  INDEX('Starlink Launches'!$A:$A, MATCH($E6420, 'Starlink Launches'!$B:$B, 0)),
  ""
)
</f>
        <v/>
      </c>
      <c r="B6420" s="26"/>
      <c r="C6420" s="12"/>
      <c r="D6420" s="13"/>
      <c r="E6420" s="4"/>
      <c r="F6420" s="4" t="str">
        <f>IF(D6420="","", IFNA(VLOOKUP(D6420, SATCAT_DECAY!A:B, 2, FALSE), ""))
</f>
        <v/>
      </c>
      <c r="G6420" s="3"/>
    </row>
    <row r="6421" ht="22.5" hidden="1" customHeight="1">
      <c r="A6421" s="11" t="str">
        <f t="array" ref="A6421">IFERROR(
  INDEX('Starlink Launches'!$A:$A, MATCH($E6421, 'Starlink Launches'!$B:$B, 0)),
  ""
)
</f>
        <v/>
      </c>
      <c r="B6421" s="26"/>
      <c r="C6421" s="12"/>
      <c r="D6421" s="13"/>
      <c r="E6421" s="4"/>
      <c r="F6421" s="4" t="str">
        <f>IF(D6421="","", IFNA(VLOOKUP(D6421, SATCAT_DECAY!A:B, 2, FALSE), ""))
</f>
        <v/>
      </c>
      <c r="G6421" s="3"/>
    </row>
    <row r="6422" ht="22.5" hidden="1" customHeight="1">
      <c r="A6422" s="11" t="str">
        <f t="array" ref="A6422">IFERROR(
  INDEX('Starlink Launches'!$A:$A, MATCH($E6422, 'Starlink Launches'!$B:$B, 0)),
  ""
)
</f>
        <v/>
      </c>
      <c r="B6422" s="26"/>
      <c r="C6422" s="12"/>
      <c r="D6422" s="13"/>
      <c r="E6422" s="4"/>
      <c r="F6422" s="4" t="str">
        <f>IF(D6422="","", IFNA(VLOOKUP(D6422, SATCAT_DECAY!A:B, 2, FALSE), ""))
</f>
        <v/>
      </c>
      <c r="G6422" s="3"/>
    </row>
    <row r="6423" ht="22.5" hidden="1" customHeight="1">
      <c r="A6423" s="11" t="str">
        <f t="array" ref="A6423">IFERROR(
  INDEX('Starlink Launches'!$A:$A, MATCH($E6423, 'Starlink Launches'!$B:$B, 0)),
  ""
)
</f>
        <v/>
      </c>
      <c r="B6423" s="26"/>
      <c r="C6423" s="12"/>
      <c r="D6423" s="13"/>
      <c r="E6423" s="4"/>
      <c r="F6423" s="4" t="str">
        <f>IF(D6423="","", IFNA(VLOOKUP(D6423, SATCAT_DECAY!A:B, 2, FALSE), ""))
</f>
        <v/>
      </c>
      <c r="G6423" s="3"/>
    </row>
    <row r="6424" ht="22.5" hidden="1" customHeight="1">
      <c r="A6424" s="11" t="str">
        <f t="array" ref="A6424">IFERROR(
  INDEX('Starlink Launches'!$A:$A, MATCH($E6424, 'Starlink Launches'!$B:$B, 0)),
  ""
)
</f>
        <v/>
      </c>
      <c r="B6424" s="26"/>
      <c r="C6424" s="12"/>
      <c r="D6424" s="13"/>
      <c r="E6424" s="4"/>
      <c r="F6424" s="4" t="str">
        <f>IF(D6424="","", IFNA(VLOOKUP(D6424, SATCAT_DECAY!A:B, 2, FALSE), ""))
</f>
        <v/>
      </c>
      <c r="G6424" s="3"/>
    </row>
    <row r="6425" ht="22.5" hidden="1" customHeight="1">
      <c r="A6425" s="11" t="str">
        <f t="array" ref="A6425">IFERROR(
  INDEX('Starlink Launches'!$A:$A, MATCH($E6425, 'Starlink Launches'!$B:$B, 0)),
  ""
)
</f>
        <v/>
      </c>
      <c r="B6425" s="26"/>
      <c r="C6425" s="12"/>
      <c r="D6425" s="13"/>
      <c r="E6425" s="4"/>
      <c r="F6425" s="4" t="str">
        <f>IF(D6425="","", IFNA(VLOOKUP(D6425, SATCAT_DECAY!A:B, 2, FALSE), ""))
</f>
        <v/>
      </c>
      <c r="G6425" s="3"/>
    </row>
    <row r="6426" ht="22.5" hidden="1" customHeight="1">
      <c r="A6426" s="11" t="str">
        <f t="array" ref="A6426">IFERROR(
  INDEX('Starlink Launches'!$A:$A, MATCH($E6426, 'Starlink Launches'!$B:$B, 0)),
  ""
)
</f>
        <v/>
      </c>
      <c r="B6426" s="26"/>
      <c r="C6426" s="12"/>
      <c r="D6426" s="13"/>
      <c r="E6426" s="4"/>
      <c r="F6426" s="4" t="str">
        <f>IF(D6426="","", IFNA(VLOOKUP(D6426, SATCAT_DECAY!A:B, 2, FALSE), ""))
</f>
        <v/>
      </c>
      <c r="G6426" s="3"/>
    </row>
    <row r="6427" ht="22.5" hidden="1" customHeight="1">
      <c r="A6427" s="11" t="str">
        <f t="array" ref="A6427">IFERROR(
  INDEX('Starlink Launches'!$A:$A, MATCH($E6427, 'Starlink Launches'!$B:$B, 0)),
  ""
)
</f>
        <v/>
      </c>
      <c r="B6427" s="26"/>
      <c r="C6427" s="12"/>
      <c r="D6427" s="13"/>
      <c r="E6427" s="4"/>
      <c r="F6427" s="4" t="str">
        <f>IF(D6427="","", IFNA(VLOOKUP(D6427, SATCAT_DECAY!A:B, 2, FALSE), ""))
</f>
        <v/>
      </c>
      <c r="G6427" s="3"/>
    </row>
    <row r="6428" ht="22.5" hidden="1" customHeight="1">
      <c r="A6428" s="11" t="str">
        <f t="array" ref="A6428">IFERROR(
  INDEX('Starlink Launches'!$A:$A, MATCH($E6428, 'Starlink Launches'!$B:$B, 0)),
  ""
)
</f>
        <v/>
      </c>
      <c r="B6428" s="26"/>
      <c r="C6428" s="12"/>
      <c r="D6428" s="13"/>
      <c r="E6428" s="4"/>
      <c r="F6428" s="4" t="str">
        <f>IF(D6428="","", IFNA(VLOOKUP(D6428, SATCAT_DECAY!A:B, 2, FALSE), ""))
</f>
        <v/>
      </c>
      <c r="G6428" s="3"/>
    </row>
    <row r="6429" ht="22.5" hidden="1" customHeight="1">
      <c r="A6429" s="11" t="str">
        <f t="array" ref="A6429">IFERROR(
  INDEX('Starlink Launches'!$A:$A, MATCH($E6429, 'Starlink Launches'!$B:$B, 0)),
  ""
)
</f>
        <v/>
      </c>
      <c r="B6429" s="26"/>
      <c r="C6429" s="12"/>
      <c r="D6429" s="13"/>
      <c r="E6429" s="4"/>
      <c r="F6429" s="4" t="str">
        <f>IF(D6429="","", IFNA(VLOOKUP(D6429, SATCAT_DECAY!A:B, 2, FALSE), ""))
</f>
        <v/>
      </c>
      <c r="G6429" s="3"/>
    </row>
    <row r="6430" ht="22.5" hidden="1" customHeight="1">
      <c r="A6430" s="11" t="str">
        <f t="array" ref="A6430">IFERROR(
  INDEX('Starlink Launches'!$A:$A, MATCH($E6430, 'Starlink Launches'!$B:$B, 0)),
  ""
)
</f>
        <v/>
      </c>
      <c r="B6430" s="26"/>
      <c r="C6430" s="12"/>
      <c r="D6430" s="13"/>
      <c r="E6430" s="4"/>
      <c r="F6430" s="4" t="str">
        <f>IF(D6430="","", IFNA(VLOOKUP(D6430, SATCAT_DECAY!A:B, 2, FALSE), ""))
</f>
        <v/>
      </c>
      <c r="G6430" s="3"/>
    </row>
    <row r="6431" ht="22.5" hidden="1" customHeight="1">
      <c r="A6431" s="11" t="str">
        <f t="array" ref="A6431">IFERROR(
  INDEX('Starlink Launches'!$A:$A, MATCH($E6431, 'Starlink Launches'!$B:$B, 0)),
  ""
)
</f>
        <v/>
      </c>
      <c r="B6431" s="26"/>
      <c r="C6431" s="12"/>
      <c r="D6431" s="13"/>
      <c r="E6431" s="4"/>
      <c r="F6431" s="4" t="str">
        <f>IF(D6431="","", IFNA(VLOOKUP(D6431, SATCAT_DECAY!A:B, 2, FALSE), ""))
</f>
        <v/>
      </c>
      <c r="G6431" s="3"/>
    </row>
    <row r="6432" ht="22.5" hidden="1" customHeight="1">
      <c r="A6432" s="11" t="str">
        <f t="array" ref="A6432">IFERROR(
  INDEX('Starlink Launches'!$A:$A, MATCH($E6432, 'Starlink Launches'!$B:$B, 0)),
  ""
)
</f>
        <v/>
      </c>
      <c r="B6432" s="26"/>
      <c r="C6432" s="12"/>
      <c r="D6432" s="13"/>
      <c r="E6432" s="4"/>
      <c r="F6432" s="4" t="str">
        <f>IF(D6432="","", IFNA(VLOOKUP(D6432, SATCAT_DECAY!A:B, 2, FALSE), ""))
</f>
        <v/>
      </c>
      <c r="G6432" s="3"/>
    </row>
    <row r="6433" ht="22.5" hidden="1" customHeight="1">
      <c r="A6433" s="11" t="str">
        <f t="array" ref="A6433">IFERROR(
  INDEX('Starlink Launches'!$A:$A, MATCH($E6433, 'Starlink Launches'!$B:$B, 0)),
  ""
)
</f>
        <v/>
      </c>
      <c r="B6433" s="26"/>
      <c r="C6433" s="12"/>
      <c r="D6433" s="13"/>
      <c r="E6433" s="4"/>
      <c r="F6433" s="4" t="str">
        <f>IF(D6433="","", IFNA(VLOOKUP(D6433, SATCAT_DECAY!A:B, 2, FALSE), ""))
</f>
        <v/>
      </c>
      <c r="G6433" s="3"/>
    </row>
    <row r="6434" ht="22.5" hidden="1" customHeight="1">
      <c r="A6434" s="11" t="str">
        <f t="array" ref="A6434">IFERROR(
  INDEX('Starlink Launches'!$A:$A, MATCH($E6434, 'Starlink Launches'!$B:$B, 0)),
  ""
)
</f>
        <v/>
      </c>
      <c r="B6434" s="26"/>
      <c r="C6434" s="12"/>
      <c r="D6434" s="13"/>
      <c r="E6434" s="4"/>
      <c r="F6434" s="4" t="str">
        <f>IF(D6434="","", IFNA(VLOOKUP(D6434, SATCAT_DECAY!A:B, 2, FALSE), ""))
</f>
        <v/>
      </c>
      <c r="G6434" s="3"/>
    </row>
    <row r="6435" ht="22.5" hidden="1" customHeight="1">
      <c r="A6435" s="11" t="str">
        <f t="array" ref="A6435">IFERROR(
  INDEX('Starlink Launches'!$A:$A, MATCH($E6435, 'Starlink Launches'!$B:$B, 0)),
  ""
)
</f>
        <v/>
      </c>
      <c r="B6435" s="26"/>
      <c r="C6435" s="12"/>
      <c r="D6435" s="13"/>
      <c r="E6435" s="4"/>
      <c r="F6435" s="4" t="str">
        <f>IF(D6435="","", IFNA(VLOOKUP(D6435, SATCAT_DECAY!A:B, 2, FALSE), ""))
</f>
        <v/>
      </c>
      <c r="G6435" s="3"/>
    </row>
    <row r="6436" ht="22.5" hidden="1" customHeight="1">
      <c r="A6436" s="11" t="str">
        <f t="array" ref="A6436">IFERROR(
  INDEX('Starlink Launches'!$A:$A, MATCH($E6436, 'Starlink Launches'!$B:$B, 0)),
  ""
)
</f>
        <v/>
      </c>
      <c r="B6436" s="26"/>
      <c r="C6436" s="12"/>
      <c r="D6436" s="13"/>
      <c r="E6436" s="4"/>
      <c r="F6436" s="4" t="str">
        <f>IF(D6436="","", IFNA(VLOOKUP(D6436, SATCAT_DECAY!A:B, 2, FALSE), ""))
</f>
        <v/>
      </c>
      <c r="G6436" s="3"/>
    </row>
    <row r="6437" ht="22.5" hidden="1" customHeight="1">
      <c r="A6437" s="11" t="str">
        <f t="array" ref="A6437">IFERROR(
  INDEX('Starlink Launches'!$A:$A, MATCH($E6437, 'Starlink Launches'!$B:$B, 0)),
  ""
)
</f>
        <v/>
      </c>
      <c r="B6437" s="26"/>
      <c r="C6437" s="12"/>
      <c r="D6437" s="13"/>
      <c r="E6437" s="4"/>
      <c r="F6437" s="4" t="str">
        <f>IF(D6437="","", IFNA(VLOOKUP(D6437, SATCAT_DECAY!A:B, 2, FALSE), ""))
</f>
        <v/>
      </c>
      <c r="G6437" s="3"/>
    </row>
    <row r="6438" ht="22.5" hidden="1" customHeight="1">
      <c r="A6438" s="11" t="str">
        <f t="array" ref="A6438">IFERROR(
  INDEX('Starlink Launches'!$A:$A, MATCH($E6438, 'Starlink Launches'!$B:$B, 0)),
  ""
)
</f>
        <v/>
      </c>
      <c r="B6438" s="26"/>
      <c r="C6438" s="12"/>
      <c r="D6438" s="13"/>
      <c r="E6438" s="4"/>
      <c r="F6438" s="4" t="str">
        <f>IF(D6438="","", IFNA(VLOOKUP(D6438, SATCAT_DECAY!A:B, 2, FALSE), ""))
</f>
        <v/>
      </c>
      <c r="G6438" s="3"/>
    </row>
    <row r="6439" ht="22.5" hidden="1" customHeight="1">
      <c r="A6439" s="11" t="str">
        <f t="array" ref="A6439">IFERROR(
  INDEX('Starlink Launches'!$A:$A, MATCH($E6439, 'Starlink Launches'!$B:$B, 0)),
  ""
)
</f>
        <v/>
      </c>
      <c r="B6439" s="26"/>
      <c r="C6439" s="12"/>
      <c r="D6439" s="13"/>
      <c r="E6439" s="4"/>
      <c r="F6439" s="4" t="str">
        <f>IF(D6439="","", IFNA(VLOOKUP(D6439, SATCAT_DECAY!A:B, 2, FALSE), ""))
</f>
        <v/>
      </c>
      <c r="G6439" s="3"/>
    </row>
    <row r="6440" ht="22.5" hidden="1" customHeight="1">
      <c r="A6440" s="11" t="str">
        <f t="array" ref="A6440">IFERROR(
  INDEX('Starlink Launches'!$A:$A, MATCH($E6440, 'Starlink Launches'!$B:$B, 0)),
  ""
)
</f>
        <v/>
      </c>
      <c r="B6440" s="26"/>
      <c r="C6440" s="12"/>
      <c r="D6440" s="13"/>
      <c r="E6440" s="4"/>
      <c r="F6440" s="4" t="str">
        <f>IF(D6440="","", IFNA(VLOOKUP(D6440, SATCAT_DECAY!A:B, 2, FALSE), ""))
</f>
        <v/>
      </c>
      <c r="G6440" s="3"/>
    </row>
    <row r="6441" ht="22.5" hidden="1" customHeight="1">
      <c r="A6441" s="11" t="str">
        <f t="array" ref="A6441">IFERROR(
  INDEX('Starlink Launches'!$A:$A, MATCH($E6441, 'Starlink Launches'!$B:$B, 0)),
  ""
)
</f>
        <v/>
      </c>
      <c r="B6441" s="26"/>
      <c r="C6441" s="12"/>
      <c r="D6441" s="13"/>
      <c r="E6441" s="4"/>
      <c r="F6441" s="4" t="str">
        <f>IF(D6441="","", IFNA(VLOOKUP(D6441, SATCAT_DECAY!A:B, 2, FALSE), ""))
</f>
        <v/>
      </c>
      <c r="G6441" s="3"/>
    </row>
    <row r="6442" ht="22.5" hidden="1" customHeight="1">
      <c r="A6442" s="11" t="str">
        <f t="array" ref="A6442">IFERROR(
  INDEX('Starlink Launches'!$A:$A, MATCH($E6442, 'Starlink Launches'!$B:$B, 0)),
  ""
)
</f>
        <v/>
      </c>
      <c r="B6442" s="26"/>
      <c r="C6442" s="12"/>
      <c r="D6442" s="13"/>
      <c r="E6442" s="4"/>
      <c r="F6442" s="4" t="str">
        <f>IF(D6442="","", IFNA(VLOOKUP(D6442, SATCAT_DECAY!A:B, 2, FALSE), ""))
</f>
        <v/>
      </c>
      <c r="G6442" s="3"/>
    </row>
    <row r="6443" ht="22.5" hidden="1" customHeight="1">
      <c r="A6443" s="11" t="str">
        <f t="array" ref="A6443">IFERROR(
  INDEX('Starlink Launches'!$A:$A, MATCH($E6443, 'Starlink Launches'!$B:$B, 0)),
  ""
)
</f>
        <v/>
      </c>
      <c r="B6443" s="26"/>
      <c r="C6443" s="12"/>
      <c r="D6443" s="13"/>
      <c r="E6443" s="4"/>
      <c r="F6443" s="4" t="str">
        <f>IF(D6443="","", IFNA(VLOOKUP(D6443, SATCAT_DECAY!A:B, 2, FALSE), ""))
</f>
        <v/>
      </c>
      <c r="G6443" s="3"/>
    </row>
    <row r="6444" ht="22.5" hidden="1" customHeight="1">
      <c r="A6444" s="11" t="str">
        <f t="array" ref="A6444">IFERROR(
  INDEX('Starlink Launches'!$A:$A, MATCH($E6444, 'Starlink Launches'!$B:$B, 0)),
  ""
)
</f>
        <v/>
      </c>
      <c r="B6444" s="26"/>
      <c r="C6444" s="12"/>
      <c r="D6444" s="13"/>
      <c r="E6444" s="4"/>
      <c r="F6444" s="4" t="str">
        <f>IF(D6444="","", IFNA(VLOOKUP(D6444, SATCAT_DECAY!A:B, 2, FALSE), ""))
</f>
        <v/>
      </c>
      <c r="G6444" s="3"/>
    </row>
    <row r="6445" ht="22.5" hidden="1" customHeight="1">
      <c r="A6445" s="11" t="str">
        <f t="array" ref="A6445">IFERROR(
  INDEX('Starlink Launches'!$A:$A, MATCH($E6445, 'Starlink Launches'!$B:$B, 0)),
  ""
)
</f>
        <v/>
      </c>
      <c r="B6445" s="26"/>
      <c r="C6445" s="12"/>
      <c r="D6445" s="13"/>
      <c r="E6445" s="4"/>
      <c r="F6445" s="4" t="str">
        <f>IF(D6445="","", IFNA(VLOOKUP(D6445, SATCAT_DECAY!A:B, 2, FALSE), ""))
</f>
        <v/>
      </c>
      <c r="G6445" s="3"/>
    </row>
    <row r="6446" ht="22.5" hidden="1" customHeight="1">
      <c r="A6446" s="11" t="str">
        <f t="array" ref="A6446">IFERROR(
  INDEX('Starlink Launches'!$A:$A, MATCH($E6446, 'Starlink Launches'!$B:$B, 0)),
  ""
)
</f>
        <v/>
      </c>
      <c r="B6446" s="26"/>
      <c r="C6446" s="12"/>
      <c r="D6446" s="13"/>
      <c r="E6446" s="4"/>
      <c r="F6446" s="4" t="str">
        <f>IF(D6446="","", IFNA(VLOOKUP(D6446, SATCAT_DECAY!A:B, 2, FALSE), ""))
</f>
        <v/>
      </c>
      <c r="G6446" s="3"/>
    </row>
    <row r="6447" ht="22.5" hidden="1" customHeight="1">
      <c r="A6447" s="11" t="str">
        <f t="array" ref="A6447">IFERROR(
  INDEX('Starlink Launches'!$A:$A, MATCH($E6447, 'Starlink Launches'!$B:$B, 0)),
  ""
)
</f>
        <v/>
      </c>
      <c r="B6447" s="26"/>
      <c r="C6447" s="12"/>
      <c r="D6447" s="13"/>
      <c r="E6447" s="4"/>
      <c r="F6447" s="4" t="str">
        <f>IF(D6447="","", IFNA(VLOOKUP(D6447, SATCAT_DECAY!A:B, 2, FALSE), ""))
</f>
        <v/>
      </c>
      <c r="G6447" s="3"/>
    </row>
    <row r="6448" ht="22.5" hidden="1" customHeight="1">
      <c r="A6448" s="11" t="str">
        <f t="array" ref="A6448">IFERROR(
  INDEX('Starlink Launches'!$A:$A, MATCH($E6448, 'Starlink Launches'!$B:$B, 0)),
  ""
)
</f>
        <v/>
      </c>
      <c r="B6448" s="26"/>
      <c r="C6448" s="12"/>
      <c r="D6448" s="13"/>
      <c r="E6448" s="4"/>
      <c r="F6448" s="4" t="str">
        <f>IF(D6448="","", IFNA(VLOOKUP(D6448, SATCAT_DECAY!A:B, 2, FALSE), ""))
</f>
        <v/>
      </c>
      <c r="G6448" s="3"/>
    </row>
    <row r="6449" ht="22.5" hidden="1" customHeight="1">
      <c r="A6449" s="11" t="str">
        <f t="array" ref="A6449">IFERROR(
  INDEX('Starlink Launches'!$A:$A, MATCH($E6449, 'Starlink Launches'!$B:$B, 0)),
  ""
)
</f>
        <v/>
      </c>
      <c r="B6449" s="26"/>
      <c r="C6449" s="12"/>
      <c r="D6449" s="13"/>
      <c r="E6449" s="4"/>
      <c r="F6449" s="4" t="str">
        <f>IF(D6449="","", IFNA(VLOOKUP(D6449, SATCAT_DECAY!A:B, 2, FALSE), ""))
</f>
        <v/>
      </c>
      <c r="G6449" s="3"/>
    </row>
    <row r="6450" ht="22.5" hidden="1" customHeight="1">
      <c r="A6450" s="11" t="str">
        <f t="array" ref="A6450">IFERROR(
  INDEX('Starlink Launches'!$A:$A, MATCH($E6450, 'Starlink Launches'!$B:$B, 0)),
  ""
)
</f>
        <v/>
      </c>
      <c r="B6450" s="26"/>
      <c r="C6450" s="12"/>
      <c r="D6450" s="13"/>
      <c r="E6450" s="4"/>
      <c r="F6450" s="4" t="str">
        <f>IF(D6450="","", IFNA(VLOOKUP(D6450, SATCAT_DECAY!A:B, 2, FALSE), ""))
</f>
        <v/>
      </c>
      <c r="G6450" s="3"/>
    </row>
    <row r="6451" ht="22.5" hidden="1" customHeight="1">
      <c r="A6451" s="11" t="str">
        <f t="array" ref="A6451">IFERROR(
  INDEX('Starlink Launches'!$A:$A, MATCH($E6451, 'Starlink Launches'!$B:$B, 0)),
  ""
)
</f>
        <v/>
      </c>
      <c r="B6451" s="26"/>
      <c r="C6451" s="12"/>
      <c r="D6451" s="13"/>
      <c r="E6451" s="4"/>
      <c r="F6451" s="4" t="str">
        <f>IF(D6451="","", IFNA(VLOOKUP(D6451, SATCAT_DECAY!A:B, 2, FALSE), ""))
</f>
        <v/>
      </c>
      <c r="G6451" s="3"/>
    </row>
    <row r="6452" ht="22.5" hidden="1" customHeight="1">
      <c r="A6452" s="11" t="str">
        <f t="array" ref="A6452">IFERROR(
  INDEX('Starlink Launches'!$A:$A, MATCH($E6452, 'Starlink Launches'!$B:$B, 0)),
  ""
)
</f>
        <v/>
      </c>
      <c r="B6452" s="26"/>
      <c r="C6452" s="12"/>
      <c r="D6452" s="13"/>
      <c r="E6452" s="4"/>
      <c r="F6452" s="4" t="str">
        <f>IF(D6452="","", IFNA(VLOOKUP(D6452, SATCAT_DECAY!A:B, 2, FALSE), ""))
</f>
        <v/>
      </c>
      <c r="G6452" s="3"/>
    </row>
    <row r="6453" ht="22.5" hidden="1" customHeight="1">
      <c r="A6453" s="11" t="str">
        <f t="array" ref="A6453">IFERROR(
  INDEX('Starlink Launches'!$A:$A, MATCH($E6453, 'Starlink Launches'!$B:$B, 0)),
  ""
)
</f>
        <v/>
      </c>
      <c r="B6453" s="26"/>
      <c r="C6453" s="12"/>
      <c r="D6453" s="13"/>
      <c r="E6453" s="4"/>
      <c r="F6453" s="4" t="str">
        <f>IF(D6453="","", IFNA(VLOOKUP(D6453, SATCAT_DECAY!A:B, 2, FALSE), ""))
</f>
        <v/>
      </c>
      <c r="G6453" s="3"/>
    </row>
    <row r="6454" ht="22.5" hidden="1" customHeight="1">
      <c r="A6454" s="11" t="str">
        <f t="array" ref="A6454">IFERROR(
  INDEX('Starlink Launches'!$A:$A, MATCH($E6454, 'Starlink Launches'!$B:$B, 0)),
  ""
)
</f>
        <v/>
      </c>
      <c r="B6454" s="26"/>
      <c r="C6454" s="12"/>
      <c r="D6454" s="13"/>
      <c r="E6454" s="4"/>
      <c r="F6454" s="4" t="str">
        <f>IF(D6454="","", IFNA(VLOOKUP(D6454, SATCAT_DECAY!A:B, 2, FALSE), ""))
</f>
        <v/>
      </c>
      <c r="G6454" s="3"/>
    </row>
    <row r="6455" ht="22.5" hidden="1" customHeight="1">
      <c r="A6455" s="11" t="str">
        <f t="array" ref="A6455">IFERROR(
  INDEX('Starlink Launches'!$A:$A, MATCH($E6455, 'Starlink Launches'!$B:$B, 0)),
  ""
)
</f>
        <v/>
      </c>
      <c r="B6455" s="26"/>
      <c r="C6455" s="12"/>
      <c r="D6455" s="13"/>
      <c r="E6455" s="4"/>
      <c r="F6455" s="4" t="str">
        <f>IF(D6455="","", IFNA(VLOOKUP(D6455, SATCAT_DECAY!A:B, 2, FALSE), ""))
</f>
        <v/>
      </c>
      <c r="G6455" s="3"/>
    </row>
    <row r="6456" ht="22.5" hidden="1" customHeight="1">
      <c r="A6456" s="11" t="str">
        <f t="array" ref="A6456">IFERROR(
  INDEX('Starlink Launches'!$A:$A, MATCH($E6456, 'Starlink Launches'!$B:$B, 0)),
  ""
)
</f>
        <v/>
      </c>
      <c r="B6456" s="26"/>
      <c r="C6456" s="12"/>
      <c r="D6456" s="13"/>
      <c r="E6456" s="4"/>
      <c r="F6456" s="4" t="str">
        <f>IF(D6456="","", IFNA(VLOOKUP(D6456, SATCAT_DECAY!A:B, 2, FALSE), ""))
</f>
        <v/>
      </c>
      <c r="G6456" s="3"/>
    </row>
    <row r="6457" ht="22.5" hidden="1" customHeight="1">
      <c r="A6457" s="11" t="str">
        <f t="array" ref="A6457">IFERROR(
  INDEX('Starlink Launches'!$A:$A, MATCH($E6457, 'Starlink Launches'!$B:$B, 0)),
  ""
)
</f>
        <v/>
      </c>
      <c r="B6457" s="26"/>
      <c r="C6457" s="12"/>
      <c r="D6457" s="13"/>
      <c r="E6457" s="4"/>
      <c r="F6457" s="4" t="str">
        <f>IF(D6457="","", IFNA(VLOOKUP(D6457, SATCAT_DECAY!A:B, 2, FALSE), ""))
</f>
        <v/>
      </c>
      <c r="G6457" s="3"/>
    </row>
    <row r="6458" ht="22.5" hidden="1" customHeight="1">
      <c r="A6458" s="11" t="str">
        <f t="array" ref="A6458">IFERROR(
  INDEX('Starlink Launches'!$A:$A, MATCH($E6458, 'Starlink Launches'!$B:$B, 0)),
  ""
)
</f>
        <v/>
      </c>
      <c r="B6458" s="26"/>
      <c r="C6458" s="12"/>
      <c r="D6458" s="13"/>
      <c r="E6458" s="4"/>
      <c r="F6458" s="4" t="str">
        <f>IF(D6458="","", IFNA(VLOOKUP(D6458, SATCAT_DECAY!A:B, 2, FALSE), ""))
</f>
        <v/>
      </c>
      <c r="G6458" s="3"/>
    </row>
    <row r="6459" ht="22.5" hidden="1" customHeight="1">
      <c r="A6459" s="11" t="str">
        <f t="array" ref="A6459">IFERROR(
  INDEX('Starlink Launches'!$A:$A, MATCH($E6459, 'Starlink Launches'!$B:$B, 0)),
  ""
)
</f>
        <v/>
      </c>
      <c r="B6459" s="26"/>
      <c r="C6459" s="12"/>
      <c r="D6459" s="13"/>
      <c r="E6459" s="4"/>
      <c r="F6459" s="4" t="str">
        <f>IF(D6459="","", IFNA(VLOOKUP(D6459, SATCAT_DECAY!A:B, 2, FALSE), ""))
</f>
        <v/>
      </c>
      <c r="G6459" s="3"/>
    </row>
    <row r="6460" ht="22.5" hidden="1" customHeight="1">
      <c r="A6460" s="11" t="str">
        <f t="array" ref="A6460">IFERROR(
  INDEX('Starlink Launches'!$A:$A, MATCH($E6460, 'Starlink Launches'!$B:$B, 0)),
  ""
)
</f>
        <v/>
      </c>
      <c r="B6460" s="26"/>
      <c r="C6460" s="12"/>
      <c r="D6460" s="13"/>
      <c r="E6460" s="4"/>
      <c r="F6460" s="4" t="str">
        <f>IF(D6460="","", IFNA(VLOOKUP(D6460, SATCAT_DECAY!A:B, 2, FALSE), ""))
</f>
        <v/>
      </c>
      <c r="G6460" s="3"/>
    </row>
    <row r="6461" ht="22.5" hidden="1" customHeight="1">
      <c r="A6461" s="11" t="str">
        <f t="array" ref="A6461">IFERROR(
  INDEX('Starlink Launches'!$A:$A, MATCH($E6461, 'Starlink Launches'!$B:$B, 0)),
  ""
)
</f>
        <v/>
      </c>
      <c r="B6461" s="26"/>
      <c r="C6461" s="12"/>
      <c r="D6461" s="13"/>
      <c r="E6461" s="4"/>
      <c r="F6461" s="4" t="str">
        <f>IF(D6461="","", IFNA(VLOOKUP(D6461, SATCAT_DECAY!A:B, 2, FALSE), ""))
</f>
        <v/>
      </c>
      <c r="G6461" s="3"/>
    </row>
    <row r="6462" ht="22.5" hidden="1" customHeight="1">
      <c r="A6462" s="11" t="str">
        <f t="array" ref="A6462">IFERROR(
  INDEX('Starlink Launches'!$A:$A, MATCH($E6462, 'Starlink Launches'!$B:$B, 0)),
  ""
)
</f>
        <v/>
      </c>
      <c r="B6462" s="26"/>
      <c r="C6462" s="12"/>
      <c r="D6462" s="13"/>
      <c r="E6462" s="4"/>
      <c r="F6462" s="4" t="str">
        <f>IF(D6462="","", IFNA(VLOOKUP(D6462, SATCAT_DECAY!A:B, 2, FALSE), ""))
</f>
        <v/>
      </c>
      <c r="G6462" s="3"/>
    </row>
    <row r="6463" ht="22.5" hidden="1" customHeight="1">
      <c r="A6463" s="11" t="str">
        <f t="array" ref="A6463">IFERROR(
  INDEX('Starlink Launches'!$A:$A, MATCH($E6463, 'Starlink Launches'!$B:$B, 0)),
  ""
)
</f>
        <v/>
      </c>
      <c r="B6463" s="26"/>
      <c r="C6463" s="12"/>
      <c r="D6463" s="13"/>
      <c r="E6463" s="4"/>
      <c r="F6463" s="4" t="str">
        <f>IF(D6463="","", IFNA(VLOOKUP(D6463, SATCAT_DECAY!A:B, 2, FALSE), ""))
</f>
        <v/>
      </c>
      <c r="G6463" s="3"/>
    </row>
    <row r="6464" ht="22.5" hidden="1" customHeight="1">
      <c r="A6464" s="11" t="str">
        <f t="array" ref="A6464">IFERROR(
  INDEX('Starlink Launches'!$A:$A, MATCH($E6464, 'Starlink Launches'!$B:$B, 0)),
  ""
)
</f>
        <v/>
      </c>
      <c r="B6464" s="26"/>
      <c r="C6464" s="12"/>
      <c r="D6464" s="13"/>
      <c r="E6464" s="4"/>
      <c r="F6464" s="4" t="str">
        <f>IF(D6464="","", IFNA(VLOOKUP(D6464, SATCAT_DECAY!A:B, 2, FALSE), ""))
</f>
        <v/>
      </c>
      <c r="G6464" s="3"/>
    </row>
    <row r="6465" ht="22.5" hidden="1" customHeight="1">
      <c r="A6465" s="11" t="str">
        <f t="array" ref="A6465">IFERROR(
  INDEX('Starlink Launches'!$A:$A, MATCH($E6465, 'Starlink Launches'!$B:$B, 0)),
  ""
)
</f>
        <v/>
      </c>
      <c r="B6465" s="26"/>
      <c r="C6465" s="12"/>
      <c r="D6465" s="13"/>
      <c r="E6465" s="4"/>
      <c r="F6465" s="4" t="str">
        <f>IF(D6465="","", IFNA(VLOOKUP(D6465, SATCAT_DECAY!A:B, 2, FALSE), ""))
</f>
        <v/>
      </c>
      <c r="G6465" s="3"/>
    </row>
    <row r="6466" ht="22.5" hidden="1" customHeight="1">
      <c r="A6466" s="11" t="str">
        <f t="array" ref="A6466">IFERROR(
  INDEX('Starlink Launches'!$A:$A, MATCH($E6466, 'Starlink Launches'!$B:$B, 0)),
  ""
)
</f>
        <v/>
      </c>
      <c r="B6466" s="26"/>
      <c r="C6466" s="12"/>
      <c r="D6466" s="13"/>
      <c r="E6466" s="4"/>
      <c r="F6466" s="4" t="str">
        <f>IF(D6466="","", IFNA(VLOOKUP(D6466, SATCAT_DECAY!A:B, 2, FALSE), ""))
</f>
        <v/>
      </c>
      <c r="G6466" s="3"/>
    </row>
    <row r="6467" ht="22.5" hidden="1" customHeight="1">
      <c r="A6467" s="11" t="str">
        <f t="array" ref="A6467">IFERROR(
  INDEX('Starlink Launches'!$A:$A, MATCH($E6467, 'Starlink Launches'!$B:$B, 0)),
  ""
)
</f>
        <v/>
      </c>
      <c r="B6467" s="26"/>
      <c r="C6467" s="12"/>
      <c r="D6467" s="13"/>
      <c r="E6467" s="4"/>
      <c r="F6467" s="4" t="str">
        <f>IF(D6467="","", IFNA(VLOOKUP(D6467, SATCAT_DECAY!A:B, 2, FALSE), ""))
</f>
        <v/>
      </c>
      <c r="G6467" s="3"/>
    </row>
    <row r="6468" ht="22.5" hidden="1" customHeight="1">
      <c r="A6468" s="11" t="str">
        <f t="array" ref="A6468">IFERROR(
  INDEX('Starlink Launches'!$A:$A, MATCH($E6468, 'Starlink Launches'!$B:$B, 0)),
  ""
)
</f>
        <v/>
      </c>
      <c r="B6468" s="26"/>
      <c r="C6468" s="12"/>
      <c r="D6468" s="13"/>
      <c r="E6468" s="4"/>
      <c r="F6468" s="4" t="str">
        <f>IF(D6468="","", IFNA(VLOOKUP(D6468, SATCAT_DECAY!A:B, 2, FALSE), ""))
</f>
        <v/>
      </c>
      <c r="G6468" s="3"/>
    </row>
    <row r="6469" ht="22.5" hidden="1" customHeight="1">
      <c r="A6469" s="11" t="str">
        <f t="array" ref="A6469">IFERROR(
  INDEX('Starlink Launches'!$A:$A, MATCH($E6469, 'Starlink Launches'!$B:$B, 0)),
  ""
)
</f>
        <v/>
      </c>
      <c r="B6469" s="26"/>
      <c r="C6469" s="12"/>
      <c r="D6469" s="13"/>
      <c r="E6469" s="4"/>
      <c r="F6469" s="4" t="str">
        <f>IF(D6469="","", IFNA(VLOOKUP(D6469, SATCAT_DECAY!A:B, 2, FALSE), ""))
</f>
        <v/>
      </c>
      <c r="G6469" s="3"/>
    </row>
    <row r="6470" ht="22.5" hidden="1" customHeight="1">
      <c r="A6470" s="11" t="str">
        <f t="array" ref="A6470">IFERROR(
  INDEX('Starlink Launches'!$A:$A, MATCH($E6470, 'Starlink Launches'!$B:$B, 0)),
  ""
)
</f>
        <v/>
      </c>
      <c r="B6470" s="26"/>
      <c r="C6470" s="12"/>
      <c r="D6470" s="13"/>
      <c r="E6470" s="4"/>
      <c r="F6470" s="4" t="str">
        <f>IF(D6470="","", IFNA(VLOOKUP(D6470, SATCAT_DECAY!A:B, 2, FALSE), ""))
</f>
        <v/>
      </c>
      <c r="G6470" s="3"/>
    </row>
    <row r="6471" ht="22.5" hidden="1" customHeight="1">
      <c r="A6471" s="11" t="str">
        <f t="array" ref="A6471">IFERROR(
  INDEX('Starlink Launches'!$A:$A, MATCH($E6471, 'Starlink Launches'!$B:$B, 0)),
  ""
)
</f>
        <v/>
      </c>
      <c r="B6471" s="26"/>
      <c r="C6471" s="12"/>
      <c r="D6471" s="13"/>
      <c r="E6471" s="4"/>
      <c r="F6471" s="4" t="str">
        <f>IF(D6471="","", IFNA(VLOOKUP(D6471, SATCAT_DECAY!A:B, 2, FALSE), ""))
</f>
        <v/>
      </c>
      <c r="G6471" s="3"/>
    </row>
    <row r="6472" ht="22.5" hidden="1" customHeight="1">
      <c r="A6472" s="11" t="str">
        <f t="array" ref="A6472">IFERROR(
  INDEX('Starlink Launches'!$A:$A, MATCH($E6472, 'Starlink Launches'!$B:$B, 0)),
  ""
)
</f>
        <v/>
      </c>
      <c r="B6472" s="26"/>
      <c r="C6472" s="12"/>
      <c r="D6472" s="13"/>
      <c r="E6472" s="4"/>
      <c r="F6472" s="4" t="str">
        <f>IF(D6472="","", IFNA(VLOOKUP(D6472, SATCAT_DECAY!A:B, 2, FALSE), ""))
</f>
        <v/>
      </c>
      <c r="G6472" s="3"/>
    </row>
    <row r="6473" ht="22.5" hidden="1" customHeight="1">
      <c r="A6473" s="11" t="str">
        <f t="array" ref="A6473">IFERROR(
  INDEX('Starlink Launches'!$A:$A, MATCH($E6473, 'Starlink Launches'!$B:$B, 0)),
  ""
)
</f>
        <v/>
      </c>
      <c r="B6473" s="26"/>
      <c r="C6473" s="12"/>
      <c r="D6473" s="13"/>
      <c r="E6473" s="4"/>
      <c r="F6473" s="4" t="str">
        <f>IF(D6473="","", IFNA(VLOOKUP(D6473, SATCAT_DECAY!A:B, 2, FALSE), ""))
</f>
        <v/>
      </c>
      <c r="G6473" s="3"/>
    </row>
    <row r="6474" ht="22.5" hidden="1" customHeight="1">
      <c r="A6474" s="11" t="str">
        <f t="array" ref="A6474">IFERROR(
  INDEX('Starlink Launches'!$A:$A, MATCH($E6474, 'Starlink Launches'!$B:$B, 0)),
  ""
)
</f>
        <v/>
      </c>
      <c r="B6474" s="26"/>
      <c r="C6474" s="12"/>
      <c r="D6474" s="13"/>
      <c r="E6474" s="4"/>
      <c r="F6474" s="4" t="str">
        <f>IF(D6474="","", IFNA(VLOOKUP(D6474, SATCAT_DECAY!A:B, 2, FALSE), ""))
</f>
        <v/>
      </c>
      <c r="G6474" s="3"/>
    </row>
    <row r="6475" ht="22.5" hidden="1" customHeight="1">
      <c r="A6475" s="11" t="str">
        <f t="array" ref="A6475">IFERROR(
  INDEX('Starlink Launches'!$A:$A, MATCH($E6475, 'Starlink Launches'!$B:$B, 0)),
  ""
)
</f>
        <v/>
      </c>
      <c r="B6475" s="26"/>
      <c r="C6475" s="12"/>
      <c r="D6475" s="13"/>
      <c r="E6475" s="4"/>
      <c r="F6475" s="4" t="str">
        <f>IF(D6475="","", IFNA(VLOOKUP(D6475, SATCAT_DECAY!A:B, 2, FALSE), ""))
</f>
        <v/>
      </c>
      <c r="G6475" s="3"/>
    </row>
    <row r="6476" ht="22.5" hidden="1" customHeight="1">
      <c r="A6476" s="11" t="str">
        <f t="array" ref="A6476">IFERROR(
  INDEX('Starlink Launches'!$A:$A, MATCH($E6476, 'Starlink Launches'!$B:$B, 0)),
  ""
)
</f>
        <v/>
      </c>
      <c r="B6476" s="26"/>
      <c r="C6476" s="12"/>
      <c r="D6476" s="13"/>
      <c r="E6476" s="4"/>
      <c r="F6476" s="4" t="str">
        <f>IF(D6476="","", IFNA(VLOOKUP(D6476, SATCAT_DECAY!A:B, 2, FALSE), ""))
</f>
        <v/>
      </c>
      <c r="G6476" s="3"/>
    </row>
    <row r="6477" ht="22.5" hidden="1" customHeight="1">
      <c r="A6477" s="11" t="str">
        <f t="array" ref="A6477">IFERROR(
  INDEX('Starlink Launches'!$A:$A, MATCH($E6477, 'Starlink Launches'!$B:$B, 0)),
  ""
)
</f>
        <v/>
      </c>
      <c r="B6477" s="26"/>
      <c r="C6477" s="12"/>
      <c r="D6477" s="13"/>
      <c r="E6477" s="4"/>
      <c r="F6477" s="4" t="str">
        <f>IF(D6477="","", IFNA(VLOOKUP(D6477, SATCAT_DECAY!A:B, 2, FALSE), ""))
</f>
        <v/>
      </c>
      <c r="G6477" s="3"/>
    </row>
    <row r="6478" ht="22.5" hidden="1" customHeight="1">
      <c r="A6478" s="11" t="str">
        <f t="array" ref="A6478">IFERROR(
  INDEX('Starlink Launches'!$A:$A, MATCH($E6478, 'Starlink Launches'!$B:$B, 0)),
  ""
)
</f>
        <v/>
      </c>
      <c r="B6478" s="26"/>
      <c r="C6478" s="12"/>
      <c r="D6478" s="13"/>
      <c r="E6478" s="4"/>
      <c r="F6478" s="4" t="str">
        <f>IF(D6478="","", IFNA(VLOOKUP(D6478, SATCAT_DECAY!A:B, 2, FALSE), ""))
</f>
        <v/>
      </c>
      <c r="G6478" s="3"/>
    </row>
    <row r="6479" ht="22.5" hidden="1" customHeight="1">
      <c r="A6479" s="11" t="str">
        <f t="array" ref="A6479">IFERROR(
  INDEX('Starlink Launches'!$A:$A, MATCH($E6479, 'Starlink Launches'!$B:$B, 0)),
  ""
)
</f>
        <v/>
      </c>
      <c r="B6479" s="26"/>
      <c r="C6479" s="12"/>
      <c r="D6479" s="13"/>
      <c r="E6479" s="4"/>
      <c r="F6479" s="4" t="str">
        <f>IF(D6479="","", IFNA(VLOOKUP(D6479, SATCAT_DECAY!A:B, 2, FALSE), ""))
</f>
        <v/>
      </c>
      <c r="G6479" s="3"/>
    </row>
    <row r="6480" ht="22.5" hidden="1" customHeight="1">
      <c r="A6480" s="11" t="str">
        <f t="array" ref="A6480">IFERROR(
  INDEX('Starlink Launches'!$A:$A, MATCH($E6480, 'Starlink Launches'!$B:$B, 0)),
  ""
)
</f>
        <v/>
      </c>
      <c r="B6480" s="26"/>
      <c r="C6480" s="12"/>
      <c r="D6480" s="13"/>
      <c r="E6480" s="4"/>
      <c r="F6480" s="4" t="str">
        <f>IF(D6480="","", IFNA(VLOOKUP(D6480, SATCAT_DECAY!A:B, 2, FALSE), ""))
</f>
        <v/>
      </c>
      <c r="G6480" s="3"/>
    </row>
    <row r="6481" ht="22.5" hidden="1" customHeight="1">
      <c r="A6481" s="11" t="str">
        <f t="array" ref="A6481">IFERROR(
  INDEX('Starlink Launches'!$A:$A, MATCH($E6481, 'Starlink Launches'!$B:$B, 0)),
  ""
)
</f>
        <v/>
      </c>
      <c r="B6481" s="26"/>
      <c r="C6481" s="12"/>
      <c r="D6481" s="13"/>
      <c r="E6481" s="4"/>
      <c r="F6481" s="4" t="str">
        <f>IF(D6481="","", IFNA(VLOOKUP(D6481, SATCAT_DECAY!A:B, 2, FALSE), ""))
</f>
        <v/>
      </c>
      <c r="G6481" s="3"/>
    </row>
    <row r="6482" ht="22.5" hidden="1" customHeight="1">
      <c r="A6482" s="11" t="str">
        <f t="array" ref="A6482">IFERROR(
  INDEX('Starlink Launches'!$A:$A, MATCH($E6482, 'Starlink Launches'!$B:$B, 0)),
  ""
)
</f>
        <v/>
      </c>
      <c r="B6482" s="26"/>
      <c r="C6482" s="12"/>
      <c r="D6482" s="13"/>
      <c r="E6482" s="4"/>
      <c r="F6482" s="4" t="str">
        <f>IF(D6482="","", IFNA(VLOOKUP(D6482, SATCAT_DECAY!A:B, 2, FALSE), ""))
</f>
        <v/>
      </c>
      <c r="G6482" s="3"/>
    </row>
    <row r="6483" ht="22.5" hidden="1" customHeight="1">
      <c r="A6483" s="11" t="str">
        <f t="array" ref="A6483">IFERROR(
  INDEX('Starlink Launches'!$A:$A, MATCH($E6483, 'Starlink Launches'!$B:$B, 0)),
  ""
)
</f>
        <v/>
      </c>
      <c r="B6483" s="26"/>
      <c r="C6483" s="12"/>
      <c r="D6483" s="13"/>
      <c r="E6483" s="4"/>
      <c r="F6483" s="4" t="str">
        <f>IF(D6483="","", IFNA(VLOOKUP(D6483, SATCAT_DECAY!A:B, 2, FALSE), ""))
</f>
        <v/>
      </c>
      <c r="G6483" s="3"/>
    </row>
    <row r="6484" ht="22.5" hidden="1" customHeight="1">
      <c r="A6484" s="11" t="str">
        <f t="array" ref="A6484">IFERROR(
  INDEX('Starlink Launches'!$A:$A, MATCH($E6484, 'Starlink Launches'!$B:$B, 0)),
  ""
)
</f>
        <v/>
      </c>
      <c r="B6484" s="26"/>
      <c r="C6484" s="12"/>
      <c r="D6484" s="13"/>
      <c r="E6484" s="4"/>
      <c r="F6484" s="4" t="str">
        <f>IF(D6484="","", IFNA(VLOOKUP(D6484, SATCAT_DECAY!A:B, 2, FALSE), ""))
</f>
        <v/>
      </c>
      <c r="G6484" s="3"/>
    </row>
    <row r="6485" ht="22.5" hidden="1" customHeight="1">
      <c r="A6485" s="11" t="str">
        <f t="array" ref="A6485">IFERROR(
  INDEX('Starlink Launches'!$A:$A, MATCH($E6485, 'Starlink Launches'!$B:$B, 0)),
  ""
)
</f>
        <v/>
      </c>
      <c r="B6485" s="26"/>
      <c r="C6485" s="12"/>
      <c r="D6485" s="13"/>
      <c r="E6485" s="4"/>
      <c r="F6485" s="4" t="str">
        <f>IF(D6485="","", IFNA(VLOOKUP(D6485, SATCAT_DECAY!A:B, 2, FALSE), ""))
</f>
        <v/>
      </c>
      <c r="G6485" s="3"/>
    </row>
    <row r="6486" ht="22.5" hidden="1" customHeight="1">
      <c r="A6486" s="11" t="str">
        <f t="array" ref="A6486">IFERROR(
  INDEX('Starlink Launches'!$A:$A, MATCH($E6486, 'Starlink Launches'!$B:$B, 0)),
  ""
)
</f>
        <v/>
      </c>
      <c r="B6486" s="26"/>
      <c r="C6486" s="12"/>
      <c r="D6486" s="13"/>
      <c r="E6486" s="4"/>
      <c r="F6486" s="4" t="str">
        <f>IF(D6486="","", IFNA(VLOOKUP(D6486, SATCAT_DECAY!A:B, 2, FALSE), ""))
</f>
        <v/>
      </c>
      <c r="G6486" s="3"/>
    </row>
    <row r="6487" ht="22.5" hidden="1" customHeight="1">
      <c r="A6487" s="11" t="str">
        <f t="array" ref="A6487">IFERROR(
  INDEX('Starlink Launches'!$A:$A, MATCH($E6487, 'Starlink Launches'!$B:$B, 0)),
  ""
)
</f>
        <v/>
      </c>
      <c r="B6487" s="26"/>
      <c r="C6487" s="12"/>
      <c r="D6487" s="13"/>
      <c r="E6487" s="4"/>
      <c r="F6487" s="4" t="str">
        <f>IF(D6487="","", IFNA(VLOOKUP(D6487, SATCAT_DECAY!A:B, 2, FALSE), ""))
</f>
        <v/>
      </c>
      <c r="G6487" s="3"/>
    </row>
    <row r="6488" ht="22.5" hidden="1" customHeight="1">
      <c r="A6488" s="11" t="str">
        <f t="array" ref="A6488">IFERROR(
  INDEX('Starlink Launches'!$A:$A, MATCH($E6488, 'Starlink Launches'!$B:$B, 0)),
  ""
)
</f>
        <v/>
      </c>
      <c r="B6488" s="26"/>
      <c r="C6488" s="12"/>
      <c r="D6488" s="13"/>
      <c r="E6488" s="4"/>
      <c r="F6488" s="4" t="str">
        <f>IF(D6488="","", IFNA(VLOOKUP(D6488, SATCAT_DECAY!A:B, 2, FALSE), ""))
</f>
        <v/>
      </c>
      <c r="G6488" s="3"/>
    </row>
    <row r="6489" ht="22.5" hidden="1" customHeight="1">
      <c r="A6489" s="11" t="str">
        <f t="array" ref="A6489">IFERROR(
  INDEX('Starlink Launches'!$A:$A, MATCH($E6489, 'Starlink Launches'!$B:$B, 0)),
  ""
)
</f>
        <v/>
      </c>
      <c r="B6489" s="26"/>
      <c r="C6489" s="12"/>
      <c r="D6489" s="13"/>
      <c r="E6489" s="4"/>
      <c r="F6489" s="4" t="str">
        <f>IF(D6489="","", IFNA(VLOOKUP(D6489, SATCAT_DECAY!A:B, 2, FALSE), ""))
</f>
        <v/>
      </c>
      <c r="G6489" s="3"/>
    </row>
    <row r="6490" ht="22.5" hidden="1" customHeight="1">
      <c r="A6490" s="11" t="str">
        <f t="array" ref="A6490">IFERROR(
  INDEX('Starlink Launches'!$A:$A, MATCH($E6490, 'Starlink Launches'!$B:$B, 0)),
  ""
)
</f>
        <v/>
      </c>
      <c r="B6490" s="26"/>
      <c r="C6490" s="12"/>
      <c r="D6490" s="13"/>
      <c r="E6490" s="4"/>
      <c r="F6490" s="4" t="str">
        <f>IF(D6490="","", IFNA(VLOOKUP(D6490, SATCAT_DECAY!A:B, 2, FALSE), ""))
</f>
        <v/>
      </c>
      <c r="G6490" s="3"/>
    </row>
    <row r="6491" ht="22.5" hidden="1" customHeight="1">
      <c r="A6491" s="11" t="str">
        <f t="array" ref="A6491">IFERROR(
  INDEX('Starlink Launches'!$A:$A, MATCH($E6491, 'Starlink Launches'!$B:$B, 0)),
  ""
)
</f>
        <v/>
      </c>
      <c r="B6491" s="26"/>
      <c r="C6491" s="12"/>
      <c r="D6491" s="13"/>
      <c r="E6491" s="4"/>
      <c r="F6491" s="4" t="str">
        <f>IF(D6491="","", IFNA(VLOOKUP(D6491, SATCAT_DECAY!A:B, 2, FALSE), ""))
</f>
        <v/>
      </c>
      <c r="G6491" s="3"/>
    </row>
    <row r="6492" ht="22.5" hidden="1" customHeight="1">
      <c r="A6492" s="11" t="str">
        <f t="array" ref="A6492">IFERROR(
  INDEX('Starlink Launches'!$A:$A, MATCH($E6492, 'Starlink Launches'!$B:$B, 0)),
  ""
)
</f>
        <v/>
      </c>
      <c r="B6492" s="26"/>
      <c r="C6492" s="12"/>
      <c r="D6492" s="13"/>
      <c r="E6492" s="4"/>
      <c r="F6492" s="4" t="str">
        <f>IF(D6492="","", IFNA(VLOOKUP(D6492, SATCAT_DECAY!A:B, 2, FALSE), ""))
</f>
        <v/>
      </c>
      <c r="G6492" s="3"/>
    </row>
    <row r="6493" ht="22.5" hidden="1" customHeight="1">
      <c r="A6493" s="11" t="str">
        <f t="array" ref="A6493">IFERROR(
  INDEX('Starlink Launches'!$A:$A, MATCH($E6493, 'Starlink Launches'!$B:$B, 0)),
  ""
)
</f>
        <v/>
      </c>
      <c r="B6493" s="26"/>
      <c r="C6493" s="12"/>
      <c r="D6493" s="13"/>
      <c r="E6493" s="4"/>
      <c r="F6493" s="4" t="str">
        <f>IF(D6493="","", IFNA(VLOOKUP(D6493, SATCAT_DECAY!A:B, 2, FALSE), ""))
</f>
        <v/>
      </c>
      <c r="G6493" s="3"/>
    </row>
    <row r="6494" ht="22.5" hidden="1" customHeight="1">
      <c r="A6494" s="11" t="str">
        <f t="array" ref="A6494">IFERROR(
  INDEX('Starlink Launches'!$A:$A, MATCH($E6494, 'Starlink Launches'!$B:$B, 0)),
  ""
)
</f>
        <v/>
      </c>
      <c r="B6494" s="26"/>
      <c r="C6494" s="12"/>
      <c r="D6494" s="13"/>
      <c r="E6494" s="4"/>
      <c r="F6494" s="4" t="str">
        <f>IF(D6494="","", IFNA(VLOOKUP(D6494, SATCAT_DECAY!A:B, 2, FALSE), ""))
</f>
        <v/>
      </c>
      <c r="G6494" s="3"/>
    </row>
    <row r="6495" ht="22.5" hidden="1" customHeight="1">
      <c r="A6495" s="11" t="str">
        <f t="array" ref="A6495">IFERROR(
  INDEX('Starlink Launches'!$A:$A, MATCH($E6495, 'Starlink Launches'!$B:$B, 0)),
  ""
)
</f>
        <v/>
      </c>
      <c r="B6495" s="26"/>
      <c r="C6495" s="12"/>
      <c r="D6495" s="13"/>
      <c r="E6495" s="4"/>
      <c r="F6495" s="4" t="str">
        <f>IF(D6495="","", IFNA(VLOOKUP(D6495, SATCAT_DECAY!A:B, 2, FALSE), ""))
</f>
        <v/>
      </c>
      <c r="G6495" s="3"/>
    </row>
    <row r="6496" ht="22.5" hidden="1" customHeight="1">
      <c r="A6496" s="11" t="str">
        <f t="array" ref="A6496">IFERROR(
  INDEX('Starlink Launches'!$A:$A, MATCH($E6496, 'Starlink Launches'!$B:$B, 0)),
  ""
)
</f>
        <v/>
      </c>
      <c r="B6496" s="26"/>
      <c r="C6496" s="12"/>
      <c r="D6496" s="13"/>
      <c r="E6496" s="4"/>
      <c r="F6496" s="4" t="str">
        <f>IF(D6496="","", IFNA(VLOOKUP(D6496, SATCAT_DECAY!A:B, 2, FALSE), ""))
</f>
        <v/>
      </c>
      <c r="G6496" s="3"/>
    </row>
    <row r="6497" ht="22.5" hidden="1" customHeight="1">
      <c r="A6497" s="11" t="str">
        <f t="array" ref="A6497">IFERROR(
  INDEX('Starlink Launches'!$A:$A, MATCH($E6497, 'Starlink Launches'!$B:$B, 0)),
  ""
)
</f>
        <v/>
      </c>
      <c r="B6497" s="26"/>
      <c r="C6497" s="12"/>
      <c r="D6497" s="13"/>
      <c r="E6497" s="4"/>
      <c r="F6497" s="4" t="str">
        <f>IF(D6497="","", IFNA(VLOOKUP(D6497, SATCAT_DECAY!A:B, 2, FALSE), ""))
</f>
        <v/>
      </c>
      <c r="G6497" s="3"/>
    </row>
    <row r="6498" ht="22.5" hidden="1" customHeight="1">
      <c r="A6498" s="11" t="str">
        <f t="array" ref="A6498">IFERROR(
  INDEX('Starlink Launches'!$A:$A, MATCH($E6498, 'Starlink Launches'!$B:$B, 0)),
  ""
)
</f>
        <v/>
      </c>
      <c r="B6498" s="26"/>
      <c r="C6498" s="12"/>
      <c r="D6498" s="13"/>
      <c r="E6498" s="4"/>
      <c r="F6498" s="4" t="str">
        <f>IF(D6498="","", IFNA(VLOOKUP(D6498, SATCAT_DECAY!A:B, 2, FALSE), ""))
</f>
        <v/>
      </c>
      <c r="G6498" s="3"/>
    </row>
    <row r="6499" ht="22.5" hidden="1" customHeight="1">
      <c r="A6499" s="11" t="str">
        <f t="array" ref="A6499">IFERROR(
  INDEX('Starlink Launches'!$A:$A, MATCH($E6499, 'Starlink Launches'!$B:$B, 0)),
  ""
)
</f>
        <v/>
      </c>
      <c r="B6499" s="26"/>
      <c r="C6499" s="12"/>
      <c r="D6499" s="13"/>
      <c r="E6499" s="4"/>
      <c r="F6499" s="4" t="str">
        <f>IF(D6499="","", IFNA(VLOOKUP(D6499, SATCAT_DECAY!A:B, 2, FALSE), ""))
</f>
        <v/>
      </c>
      <c r="G6499" s="3"/>
    </row>
    <row r="6500" ht="22.5" hidden="1" customHeight="1">
      <c r="A6500" s="11" t="str">
        <f t="array" ref="A6500">IFERROR(
  INDEX('Starlink Launches'!$A:$A, MATCH($E6500, 'Starlink Launches'!$B:$B, 0)),
  ""
)
</f>
        <v/>
      </c>
      <c r="B6500" s="26"/>
      <c r="C6500" s="12"/>
      <c r="D6500" s="13"/>
      <c r="E6500" s="4"/>
      <c r="F6500" s="4" t="str">
        <f>IF(D6500="","", IFNA(VLOOKUP(D6500, SATCAT_DECAY!A:B, 2, FALSE), ""))
</f>
        <v/>
      </c>
      <c r="G6500" s="3"/>
    </row>
    <row r="6501" ht="22.5" hidden="1" customHeight="1">
      <c r="A6501" s="11" t="str">
        <f t="array" ref="A6501">IFERROR(
  INDEX('Starlink Launches'!$A:$A, MATCH($E6501, 'Starlink Launches'!$B:$B, 0)),
  ""
)
</f>
        <v/>
      </c>
      <c r="B6501" s="26"/>
      <c r="C6501" s="12"/>
      <c r="D6501" s="13"/>
      <c r="E6501" s="4"/>
      <c r="F6501" s="4" t="str">
        <f>IF(D6501="","", IFNA(VLOOKUP(D6501, SATCAT_DECAY!A:B, 2, FALSE), ""))
</f>
        <v/>
      </c>
      <c r="G6501" s="3"/>
    </row>
    <row r="6502" ht="22.5" hidden="1" customHeight="1">
      <c r="A6502" s="11" t="str">
        <f t="array" ref="A6502">IFERROR(
  INDEX('Starlink Launches'!$A:$A, MATCH($E6502, 'Starlink Launches'!$B:$B, 0)),
  ""
)
</f>
        <v/>
      </c>
      <c r="B6502" s="26"/>
      <c r="C6502" s="12"/>
      <c r="D6502" s="13"/>
      <c r="E6502" s="4"/>
      <c r="F6502" s="4" t="str">
        <f>IF(D6502="","", IFNA(VLOOKUP(D6502, SATCAT_DECAY!A:B, 2, FALSE), ""))
</f>
        <v/>
      </c>
      <c r="G6502" s="3"/>
    </row>
    <row r="6503" ht="22.5" hidden="1" customHeight="1">
      <c r="A6503" s="11" t="str">
        <f t="array" ref="A6503">IFERROR(
  INDEX('Starlink Launches'!$A:$A, MATCH($E6503, 'Starlink Launches'!$B:$B, 0)),
  ""
)
</f>
        <v/>
      </c>
      <c r="B6503" s="26"/>
      <c r="C6503" s="12"/>
      <c r="D6503" s="13"/>
      <c r="E6503" s="4"/>
      <c r="F6503" s="4" t="str">
        <f>IF(D6503="","", IFNA(VLOOKUP(D6503, SATCAT_DECAY!A:B, 2, FALSE), ""))
</f>
        <v/>
      </c>
      <c r="G6503" s="3"/>
    </row>
    <row r="6504" ht="22.5" hidden="1" customHeight="1">
      <c r="A6504" s="11" t="str">
        <f t="array" ref="A6504">IFERROR(
  INDEX('Starlink Launches'!$A:$A, MATCH($E6504, 'Starlink Launches'!$B:$B, 0)),
  ""
)
</f>
        <v/>
      </c>
      <c r="B6504" s="26"/>
      <c r="C6504" s="12"/>
      <c r="D6504" s="13"/>
      <c r="E6504" s="4"/>
      <c r="F6504" s="4" t="str">
        <f>IF(D6504="","", IFNA(VLOOKUP(D6504, SATCAT_DECAY!A:B, 2, FALSE), ""))
</f>
        <v/>
      </c>
      <c r="G6504" s="3"/>
    </row>
    <row r="6505" ht="22.5" hidden="1" customHeight="1">
      <c r="A6505" s="11" t="str">
        <f t="array" ref="A6505">IFERROR(
  INDEX('Starlink Launches'!$A:$A, MATCH($E6505, 'Starlink Launches'!$B:$B, 0)),
  ""
)
</f>
        <v/>
      </c>
      <c r="B6505" s="26"/>
      <c r="C6505" s="12"/>
      <c r="D6505" s="13"/>
      <c r="E6505" s="4"/>
      <c r="F6505" s="4" t="str">
        <f>IF(D6505="","", IFNA(VLOOKUP(D6505, SATCAT_DECAY!A:B, 2, FALSE), ""))
</f>
        <v/>
      </c>
      <c r="G6505" s="3"/>
    </row>
    <row r="6506" ht="22.5" hidden="1" customHeight="1">
      <c r="A6506" s="11" t="str">
        <f t="array" ref="A6506">IFERROR(
  INDEX('Starlink Launches'!$A:$A, MATCH($E6506, 'Starlink Launches'!$B:$B, 0)),
  ""
)
</f>
        <v/>
      </c>
      <c r="B6506" s="26"/>
      <c r="C6506" s="12"/>
      <c r="D6506" s="13"/>
      <c r="E6506" s="4"/>
      <c r="F6506" s="4" t="str">
        <f>IF(D6506="","", IFNA(VLOOKUP(D6506, SATCAT_DECAY!A:B, 2, FALSE), ""))
</f>
        <v/>
      </c>
      <c r="G6506" s="3"/>
    </row>
    <row r="6507" ht="22.5" hidden="1" customHeight="1">
      <c r="A6507" s="11" t="str">
        <f t="array" ref="A6507">IFERROR(
  INDEX('Starlink Launches'!$A:$A, MATCH($E6507, 'Starlink Launches'!$B:$B, 0)),
  ""
)
</f>
        <v/>
      </c>
      <c r="B6507" s="26"/>
      <c r="C6507" s="12"/>
      <c r="D6507" s="13"/>
      <c r="E6507" s="4"/>
      <c r="F6507" s="4" t="str">
        <f>IF(D6507="","", IFNA(VLOOKUP(D6507, SATCAT_DECAY!A:B, 2, FALSE), ""))
</f>
        <v/>
      </c>
      <c r="G6507" s="3"/>
    </row>
    <row r="6508" ht="22.5" hidden="1" customHeight="1">
      <c r="A6508" s="11" t="str">
        <f t="array" ref="A6508">IFERROR(
  INDEX('Starlink Launches'!$A:$A, MATCH($E6508, 'Starlink Launches'!$B:$B, 0)),
  ""
)
</f>
        <v/>
      </c>
      <c r="B6508" s="26"/>
      <c r="C6508" s="12"/>
      <c r="D6508" s="13"/>
      <c r="E6508" s="4"/>
      <c r="F6508" s="4" t="str">
        <f>IF(D6508="","", IFNA(VLOOKUP(D6508, SATCAT_DECAY!A:B, 2, FALSE), ""))
</f>
        <v/>
      </c>
      <c r="G6508" s="3"/>
    </row>
    <row r="6509" ht="22.5" hidden="1" customHeight="1">
      <c r="A6509" s="11" t="str">
        <f t="array" ref="A6509">IFERROR(
  INDEX('Starlink Launches'!$A:$A, MATCH($E6509, 'Starlink Launches'!$B:$B, 0)),
  ""
)
</f>
        <v/>
      </c>
      <c r="B6509" s="26"/>
      <c r="C6509" s="12"/>
      <c r="D6509" s="13"/>
      <c r="E6509" s="4"/>
      <c r="F6509" s="4" t="str">
        <f>IF(D6509="","", IFNA(VLOOKUP(D6509, SATCAT_DECAY!A:B, 2, FALSE), ""))
</f>
        <v/>
      </c>
      <c r="G6509" s="3"/>
    </row>
    <row r="6510" ht="22.5" hidden="1" customHeight="1">
      <c r="A6510" s="11" t="str">
        <f t="array" ref="A6510">IFERROR(
  INDEX('Starlink Launches'!$A:$A, MATCH($E6510, 'Starlink Launches'!$B:$B, 0)),
  ""
)
</f>
        <v/>
      </c>
      <c r="B6510" s="26"/>
      <c r="C6510" s="12"/>
      <c r="D6510" s="13"/>
      <c r="E6510" s="4"/>
      <c r="F6510" s="4" t="str">
        <f>IF(D6510="","", IFNA(VLOOKUP(D6510, SATCAT_DECAY!A:B, 2, FALSE), ""))
</f>
        <v/>
      </c>
      <c r="G6510" s="3"/>
    </row>
    <row r="6511" ht="22.5" hidden="1" customHeight="1">
      <c r="A6511" s="11" t="str">
        <f t="array" ref="A6511">IFERROR(
  INDEX('Starlink Launches'!$A:$A, MATCH($E6511, 'Starlink Launches'!$B:$B, 0)),
  ""
)
</f>
        <v/>
      </c>
      <c r="B6511" s="26"/>
      <c r="C6511" s="12"/>
      <c r="D6511" s="13"/>
      <c r="E6511" s="4"/>
      <c r="F6511" s="4" t="str">
        <f>IF(D6511="","", IFNA(VLOOKUP(D6511, SATCAT_DECAY!A:B, 2, FALSE), ""))
</f>
        <v/>
      </c>
      <c r="G6511" s="3"/>
    </row>
    <row r="6512" ht="22.5" hidden="1" customHeight="1">
      <c r="A6512" s="11" t="str">
        <f t="array" ref="A6512">IFERROR(
  INDEX('Starlink Launches'!$A:$A, MATCH($E6512, 'Starlink Launches'!$B:$B, 0)),
  ""
)
</f>
        <v/>
      </c>
      <c r="B6512" s="26"/>
      <c r="C6512" s="12"/>
      <c r="D6512" s="13"/>
      <c r="E6512" s="4"/>
      <c r="F6512" s="4" t="str">
        <f>IF(D6512="","", IFNA(VLOOKUP(D6512, SATCAT_DECAY!A:B, 2, FALSE), ""))
</f>
        <v/>
      </c>
      <c r="G6512" s="3"/>
    </row>
    <row r="6513" ht="22.5" hidden="1" customHeight="1">
      <c r="A6513" s="11" t="str">
        <f t="array" ref="A6513">IFERROR(
  INDEX('Starlink Launches'!$A:$A, MATCH($E6513, 'Starlink Launches'!$B:$B, 0)),
  ""
)
</f>
        <v/>
      </c>
      <c r="B6513" s="26"/>
      <c r="C6513" s="12"/>
      <c r="D6513" s="13"/>
      <c r="E6513" s="4"/>
      <c r="F6513" s="4" t="str">
        <f>IF(D6513="","", IFNA(VLOOKUP(D6513, SATCAT_DECAY!A:B, 2, FALSE), ""))
</f>
        <v/>
      </c>
      <c r="G6513" s="3"/>
    </row>
    <row r="6514" ht="22.5" hidden="1" customHeight="1">
      <c r="A6514" s="11" t="str">
        <f t="array" ref="A6514">IFERROR(
  INDEX('Starlink Launches'!$A:$A, MATCH($E6514, 'Starlink Launches'!$B:$B, 0)),
  ""
)
</f>
        <v/>
      </c>
      <c r="B6514" s="26"/>
      <c r="C6514" s="12"/>
      <c r="D6514" s="13"/>
      <c r="E6514" s="4"/>
      <c r="F6514" s="4" t="str">
        <f>IF(D6514="","", IFNA(VLOOKUP(D6514, SATCAT_DECAY!A:B, 2, FALSE), ""))
</f>
        <v/>
      </c>
      <c r="G6514" s="3"/>
    </row>
    <row r="6515" ht="22.5" hidden="1" customHeight="1">
      <c r="A6515" s="11" t="str">
        <f t="array" ref="A6515">IFERROR(
  INDEX('Starlink Launches'!$A:$A, MATCH($E6515, 'Starlink Launches'!$B:$B, 0)),
  ""
)
</f>
        <v/>
      </c>
      <c r="B6515" s="26"/>
      <c r="C6515" s="12"/>
      <c r="D6515" s="13"/>
      <c r="E6515" s="4"/>
      <c r="F6515" s="4" t="str">
        <f>IF(D6515="","", IFNA(VLOOKUP(D6515, SATCAT_DECAY!A:B, 2, FALSE), ""))
</f>
        <v/>
      </c>
      <c r="G6515" s="3"/>
    </row>
    <row r="6516" ht="22.5" hidden="1" customHeight="1">
      <c r="A6516" s="11" t="str">
        <f t="array" ref="A6516">IFERROR(
  INDEX('Starlink Launches'!$A:$A, MATCH($E6516, 'Starlink Launches'!$B:$B, 0)),
  ""
)
</f>
        <v/>
      </c>
      <c r="B6516" s="26"/>
      <c r="C6516" s="12"/>
      <c r="D6516" s="13"/>
      <c r="E6516" s="4"/>
      <c r="F6516" s="4" t="str">
        <f>IF(D6516="","", IFNA(VLOOKUP(D6516, SATCAT_DECAY!A:B, 2, FALSE), ""))
</f>
        <v/>
      </c>
      <c r="G6516" s="3"/>
    </row>
    <row r="6517" ht="22.5" hidden="1" customHeight="1">
      <c r="A6517" s="11" t="str">
        <f t="array" ref="A6517">IFERROR(
  INDEX('Starlink Launches'!$A:$A, MATCH($E6517, 'Starlink Launches'!$B:$B, 0)),
  ""
)
</f>
        <v/>
      </c>
      <c r="B6517" s="26"/>
      <c r="C6517" s="12"/>
      <c r="D6517" s="13"/>
      <c r="E6517" s="4"/>
      <c r="F6517" s="4" t="str">
        <f>IF(D6517="","", IFNA(VLOOKUP(D6517, SATCAT_DECAY!A:B, 2, FALSE), ""))
</f>
        <v/>
      </c>
      <c r="G6517" s="3"/>
    </row>
    <row r="6518" ht="22.5" hidden="1" customHeight="1">
      <c r="A6518" s="11" t="str">
        <f t="array" ref="A6518">IFERROR(
  INDEX('Starlink Launches'!$A:$A, MATCH($E6518, 'Starlink Launches'!$B:$B, 0)),
  ""
)
</f>
        <v/>
      </c>
      <c r="B6518" s="26"/>
      <c r="C6518" s="12"/>
      <c r="D6518" s="13"/>
      <c r="E6518" s="4"/>
      <c r="F6518" s="4" t="str">
        <f>IF(D6518="","", IFNA(VLOOKUP(D6518, SATCAT_DECAY!A:B, 2, FALSE), ""))
</f>
        <v/>
      </c>
      <c r="G6518" s="3"/>
    </row>
    <row r="6519" ht="22.5" hidden="1" customHeight="1">
      <c r="A6519" s="11" t="str">
        <f t="array" ref="A6519">IFERROR(
  INDEX('Starlink Launches'!$A:$A, MATCH($E6519, 'Starlink Launches'!$B:$B, 0)),
  ""
)
</f>
        <v/>
      </c>
      <c r="B6519" s="26"/>
      <c r="C6519" s="12"/>
      <c r="D6519" s="13"/>
      <c r="E6519" s="4"/>
      <c r="F6519" s="4" t="str">
        <f>IF(D6519="","", IFNA(VLOOKUP(D6519, SATCAT_DECAY!A:B, 2, FALSE), ""))
</f>
        <v/>
      </c>
      <c r="G6519" s="3"/>
    </row>
    <row r="6520" ht="22.5" hidden="1" customHeight="1">
      <c r="A6520" s="11" t="str">
        <f t="array" ref="A6520">IFERROR(
  INDEX('Starlink Launches'!$A:$A, MATCH($E6520, 'Starlink Launches'!$B:$B, 0)),
  ""
)
</f>
        <v/>
      </c>
      <c r="B6520" s="26"/>
      <c r="C6520" s="12"/>
      <c r="D6520" s="13"/>
      <c r="E6520" s="4"/>
      <c r="F6520" s="4" t="str">
        <f>IF(D6520="","", IFNA(VLOOKUP(D6520, SATCAT_DECAY!A:B, 2, FALSE), ""))
</f>
        <v/>
      </c>
      <c r="G6520" s="3"/>
    </row>
    <row r="6521" ht="22.5" hidden="1" customHeight="1">
      <c r="A6521" s="11" t="str">
        <f t="array" ref="A6521">IFERROR(
  INDEX('Starlink Launches'!$A:$A, MATCH($E6521, 'Starlink Launches'!$B:$B, 0)),
  ""
)
</f>
        <v/>
      </c>
      <c r="B6521" s="26"/>
      <c r="C6521" s="12"/>
      <c r="D6521" s="13"/>
      <c r="E6521" s="4"/>
      <c r="F6521" s="4" t="str">
        <f>IF(D6521="","", IFNA(VLOOKUP(D6521, SATCAT_DECAY!A:B, 2, FALSE), ""))
</f>
        <v/>
      </c>
      <c r="G6521" s="3"/>
    </row>
    <row r="6522" ht="22.5" hidden="1" customHeight="1">
      <c r="A6522" s="11" t="str">
        <f t="array" ref="A6522">IFERROR(
  INDEX('Starlink Launches'!$A:$A, MATCH($E6522, 'Starlink Launches'!$B:$B, 0)),
  ""
)
</f>
        <v/>
      </c>
      <c r="B6522" s="26"/>
      <c r="C6522" s="12"/>
      <c r="D6522" s="13"/>
      <c r="E6522" s="4"/>
      <c r="F6522" s="4" t="str">
        <f>IF(D6522="","", IFNA(VLOOKUP(D6522, SATCAT_DECAY!A:B, 2, FALSE), ""))
</f>
        <v/>
      </c>
      <c r="G6522" s="3"/>
    </row>
    <row r="6523" ht="22.5" hidden="1" customHeight="1">
      <c r="A6523" s="11" t="str">
        <f t="array" ref="A6523">IFERROR(
  INDEX('Starlink Launches'!$A:$A, MATCH($E6523, 'Starlink Launches'!$B:$B, 0)),
  ""
)
</f>
        <v/>
      </c>
      <c r="B6523" s="26"/>
      <c r="C6523" s="12"/>
      <c r="D6523" s="13"/>
      <c r="E6523" s="4"/>
      <c r="F6523" s="4" t="str">
        <f>IF(D6523="","", IFNA(VLOOKUP(D6523, SATCAT_DECAY!A:B, 2, FALSE), ""))
</f>
        <v/>
      </c>
      <c r="G6523" s="3"/>
    </row>
    <row r="6524" ht="22.5" hidden="1" customHeight="1">
      <c r="A6524" s="11" t="str">
        <f t="array" ref="A6524">IFERROR(
  INDEX('Starlink Launches'!$A:$A, MATCH($E6524, 'Starlink Launches'!$B:$B, 0)),
  ""
)
</f>
        <v/>
      </c>
      <c r="B6524" s="26"/>
      <c r="C6524" s="12"/>
      <c r="D6524" s="13"/>
      <c r="E6524" s="4"/>
      <c r="F6524" s="4" t="str">
        <f>IF(D6524="","", IFNA(VLOOKUP(D6524, SATCAT_DECAY!A:B, 2, FALSE), ""))
</f>
        <v/>
      </c>
      <c r="G6524" s="3"/>
    </row>
    <row r="6525" ht="22.5" hidden="1" customHeight="1">
      <c r="A6525" s="11" t="str">
        <f t="array" ref="A6525">IFERROR(
  INDEX('Starlink Launches'!$A:$A, MATCH($E6525, 'Starlink Launches'!$B:$B, 0)),
  ""
)
</f>
        <v/>
      </c>
      <c r="B6525" s="26"/>
      <c r="C6525" s="12"/>
      <c r="D6525" s="13"/>
      <c r="E6525" s="4"/>
      <c r="F6525" s="4" t="str">
        <f>IF(D6525="","", IFNA(VLOOKUP(D6525, SATCAT_DECAY!A:B, 2, FALSE), ""))
</f>
        <v/>
      </c>
      <c r="G6525" s="3"/>
    </row>
    <row r="6526" ht="22.5" hidden="1" customHeight="1">
      <c r="A6526" s="11" t="str">
        <f t="array" ref="A6526">IFERROR(
  INDEX('Starlink Launches'!$A:$A, MATCH($E6526, 'Starlink Launches'!$B:$B, 0)),
  ""
)
</f>
        <v/>
      </c>
      <c r="B6526" s="26"/>
      <c r="C6526" s="12"/>
      <c r="D6526" s="13"/>
      <c r="E6526" s="4"/>
      <c r="F6526" s="4" t="str">
        <f>IF(D6526="","", IFNA(VLOOKUP(D6526, SATCAT_DECAY!A:B, 2, FALSE), ""))
</f>
        <v/>
      </c>
      <c r="G6526" s="3"/>
    </row>
    <row r="6527" ht="22.5" hidden="1" customHeight="1">
      <c r="A6527" s="11" t="str">
        <f t="array" ref="A6527">IFERROR(
  INDEX('Starlink Launches'!$A:$A, MATCH($E6527, 'Starlink Launches'!$B:$B, 0)),
  ""
)
</f>
        <v/>
      </c>
      <c r="B6527" s="26"/>
      <c r="C6527" s="12"/>
      <c r="D6527" s="13"/>
      <c r="E6527" s="4"/>
      <c r="F6527" s="4" t="str">
        <f>IF(D6527="","", IFNA(VLOOKUP(D6527, SATCAT_DECAY!A:B, 2, FALSE), ""))
</f>
        <v/>
      </c>
      <c r="G6527" s="3"/>
    </row>
    <row r="6528" ht="22.5" hidden="1" customHeight="1">
      <c r="A6528" s="11" t="str">
        <f t="array" ref="A6528">IFERROR(
  INDEX('Starlink Launches'!$A:$A, MATCH($E6528, 'Starlink Launches'!$B:$B, 0)),
  ""
)
</f>
        <v/>
      </c>
      <c r="B6528" s="26"/>
      <c r="C6528" s="12"/>
      <c r="D6528" s="13"/>
      <c r="E6528" s="4"/>
      <c r="F6528" s="4" t="str">
        <f>IF(D6528="","", IFNA(VLOOKUP(D6528, SATCAT_DECAY!A:B, 2, FALSE), ""))
</f>
        <v/>
      </c>
      <c r="G6528" s="3"/>
    </row>
    <row r="6529" ht="22.5" hidden="1" customHeight="1">
      <c r="A6529" s="11" t="str">
        <f t="array" ref="A6529">IFERROR(
  INDEX('Starlink Launches'!$A:$A, MATCH($E6529, 'Starlink Launches'!$B:$B, 0)),
  ""
)
</f>
        <v/>
      </c>
      <c r="B6529" s="26"/>
      <c r="C6529" s="12"/>
      <c r="D6529" s="13"/>
      <c r="E6529" s="4"/>
      <c r="F6529" s="4" t="str">
        <f>IF(D6529="","", IFNA(VLOOKUP(D6529, SATCAT_DECAY!A:B, 2, FALSE), ""))
</f>
        <v/>
      </c>
      <c r="G6529" s="3"/>
    </row>
    <row r="6530" ht="22.5" hidden="1" customHeight="1">
      <c r="A6530" s="11" t="str">
        <f t="array" ref="A6530">IFERROR(
  INDEX('Starlink Launches'!$A:$A, MATCH($E6530, 'Starlink Launches'!$B:$B, 0)),
  ""
)
</f>
        <v/>
      </c>
      <c r="B6530" s="26"/>
      <c r="C6530" s="12"/>
      <c r="D6530" s="13"/>
      <c r="E6530" s="4"/>
      <c r="F6530" s="4" t="str">
        <f>IF(D6530="","", IFNA(VLOOKUP(D6530, SATCAT_DECAY!A:B, 2, FALSE), ""))
</f>
        <v/>
      </c>
      <c r="G6530" s="3"/>
    </row>
    <row r="6531" ht="22.5" hidden="1" customHeight="1">
      <c r="A6531" s="11" t="str">
        <f t="array" ref="A6531">IFERROR(
  INDEX('Starlink Launches'!$A:$A, MATCH($E6531, 'Starlink Launches'!$B:$B, 0)),
  ""
)
</f>
        <v/>
      </c>
      <c r="B6531" s="26"/>
      <c r="C6531" s="12"/>
      <c r="D6531" s="13"/>
      <c r="E6531" s="4"/>
      <c r="F6531" s="4" t="str">
        <f>IF(D6531="","", IFNA(VLOOKUP(D6531, SATCAT_DECAY!A:B, 2, FALSE), ""))
</f>
        <v/>
      </c>
      <c r="G6531" s="3"/>
    </row>
    <row r="6532" ht="22.5" hidden="1" customHeight="1">
      <c r="A6532" s="11" t="str">
        <f t="array" ref="A6532">IFERROR(
  INDEX('Starlink Launches'!$A:$A, MATCH($E6532, 'Starlink Launches'!$B:$B, 0)),
  ""
)
</f>
        <v/>
      </c>
      <c r="B6532" s="26"/>
      <c r="C6532" s="12"/>
      <c r="D6532" s="13"/>
      <c r="E6532" s="4"/>
      <c r="F6532" s="4" t="str">
        <f>IF(D6532="","", IFNA(VLOOKUP(D6532, SATCAT_DECAY!A:B, 2, FALSE), ""))
</f>
        <v/>
      </c>
      <c r="G6532" s="3"/>
    </row>
    <row r="6533" ht="22.5" hidden="1" customHeight="1">
      <c r="A6533" s="11" t="str">
        <f t="array" ref="A6533">IFERROR(
  INDEX('Starlink Launches'!$A:$A, MATCH($E6533, 'Starlink Launches'!$B:$B, 0)),
  ""
)
</f>
        <v/>
      </c>
      <c r="B6533" s="26"/>
      <c r="C6533" s="12"/>
      <c r="D6533" s="13"/>
      <c r="E6533" s="4"/>
      <c r="F6533" s="4" t="str">
        <f>IF(D6533="","", IFNA(VLOOKUP(D6533, SATCAT_DECAY!A:B, 2, FALSE), ""))
</f>
        <v/>
      </c>
      <c r="G6533" s="3"/>
    </row>
    <row r="6534" ht="22.5" hidden="1" customHeight="1">
      <c r="A6534" s="11" t="str">
        <f t="array" ref="A6534">IFERROR(
  INDEX('Starlink Launches'!$A:$A, MATCH($E6534, 'Starlink Launches'!$B:$B, 0)),
  ""
)
</f>
        <v/>
      </c>
      <c r="B6534" s="26"/>
      <c r="C6534" s="12"/>
      <c r="D6534" s="13"/>
      <c r="E6534" s="4"/>
      <c r="F6534" s="4" t="str">
        <f>IF(D6534="","", IFNA(VLOOKUP(D6534, SATCAT_DECAY!A:B, 2, FALSE), ""))
</f>
        <v/>
      </c>
      <c r="G6534" s="3"/>
    </row>
    <row r="6535" ht="22.5" hidden="1" customHeight="1">
      <c r="A6535" s="11" t="str">
        <f t="array" ref="A6535">IFERROR(
  INDEX('Starlink Launches'!$A:$A, MATCH($E6535, 'Starlink Launches'!$B:$B, 0)),
  ""
)
</f>
        <v/>
      </c>
      <c r="B6535" s="26"/>
      <c r="C6535" s="12"/>
      <c r="D6535" s="13"/>
      <c r="E6535" s="4"/>
      <c r="F6535" s="4" t="str">
        <f>IF(D6535="","", IFNA(VLOOKUP(D6535, SATCAT_DECAY!A:B, 2, FALSE), ""))
</f>
        <v/>
      </c>
      <c r="G6535" s="3"/>
    </row>
    <row r="6536" ht="22.5" hidden="1" customHeight="1">
      <c r="A6536" s="11" t="str">
        <f t="array" ref="A6536">IFERROR(
  INDEX('Starlink Launches'!$A:$A, MATCH($E6536, 'Starlink Launches'!$B:$B, 0)),
  ""
)
</f>
        <v/>
      </c>
      <c r="B6536" s="26"/>
      <c r="C6536" s="12"/>
      <c r="D6536" s="13"/>
      <c r="E6536" s="4"/>
      <c r="F6536" s="4" t="str">
        <f>IF(D6536="","", IFNA(VLOOKUP(D6536, SATCAT_DECAY!A:B, 2, FALSE), ""))
</f>
        <v/>
      </c>
      <c r="G6536" s="3"/>
    </row>
    <row r="6537" ht="22.5" hidden="1" customHeight="1">
      <c r="A6537" s="11" t="str">
        <f t="array" ref="A6537">IFERROR(
  INDEX('Starlink Launches'!$A:$A, MATCH($E6537, 'Starlink Launches'!$B:$B, 0)),
  ""
)
</f>
        <v/>
      </c>
      <c r="B6537" s="26"/>
      <c r="C6537" s="12"/>
      <c r="D6537" s="13"/>
      <c r="E6537" s="4"/>
      <c r="F6537" s="4" t="str">
        <f>IF(D6537="","", IFNA(VLOOKUP(D6537, SATCAT_DECAY!A:B, 2, FALSE), ""))
</f>
        <v/>
      </c>
      <c r="G6537" s="3"/>
    </row>
    <row r="6538" ht="22.5" hidden="1" customHeight="1">
      <c r="A6538" s="11" t="str">
        <f t="array" ref="A6538">IFERROR(
  INDEX('Starlink Launches'!$A:$A, MATCH($E6538, 'Starlink Launches'!$B:$B, 0)),
  ""
)
</f>
        <v/>
      </c>
      <c r="B6538" s="26"/>
      <c r="C6538" s="12"/>
      <c r="D6538" s="13"/>
      <c r="E6538" s="4"/>
      <c r="F6538" s="4" t="str">
        <f>IF(D6538="","", IFNA(VLOOKUP(D6538, SATCAT_DECAY!A:B, 2, FALSE), ""))
</f>
        <v/>
      </c>
      <c r="G6538" s="3"/>
    </row>
    <row r="6539" ht="22.5" hidden="1" customHeight="1">
      <c r="A6539" s="11" t="str">
        <f t="array" ref="A6539">IFERROR(
  INDEX('Starlink Launches'!$A:$A, MATCH($E6539, 'Starlink Launches'!$B:$B, 0)),
  ""
)
</f>
        <v/>
      </c>
      <c r="B6539" s="26"/>
      <c r="C6539" s="12"/>
      <c r="D6539" s="13"/>
      <c r="E6539" s="4"/>
      <c r="F6539" s="4" t="str">
        <f>IF(D6539="","", IFNA(VLOOKUP(D6539, SATCAT_DECAY!A:B, 2, FALSE), ""))
</f>
        <v/>
      </c>
      <c r="G6539" s="3"/>
    </row>
    <row r="6540" ht="22.5" hidden="1" customHeight="1">
      <c r="A6540" s="11" t="str">
        <f t="array" ref="A6540">IFERROR(
  INDEX('Starlink Launches'!$A:$A, MATCH($E6540, 'Starlink Launches'!$B:$B, 0)),
  ""
)
</f>
        <v/>
      </c>
      <c r="B6540" s="26"/>
      <c r="C6540" s="12"/>
      <c r="D6540" s="13"/>
      <c r="E6540" s="4"/>
      <c r="F6540" s="4" t="str">
        <f>IF(D6540="","", IFNA(VLOOKUP(D6540, SATCAT_DECAY!A:B, 2, FALSE), ""))
</f>
        <v/>
      </c>
      <c r="G6540" s="3"/>
    </row>
    <row r="6541" ht="22.5" hidden="1" customHeight="1">
      <c r="A6541" s="11" t="str">
        <f t="array" ref="A6541">IFERROR(
  INDEX('Starlink Launches'!$A:$A, MATCH($E6541, 'Starlink Launches'!$B:$B, 0)),
  ""
)
</f>
        <v/>
      </c>
      <c r="B6541" s="26"/>
      <c r="C6541" s="12"/>
      <c r="D6541" s="13"/>
      <c r="E6541" s="4"/>
      <c r="F6541" s="4" t="str">
        <f>IF(D6541="","", IFNA(VLOOKUP(D6541, SATCAT_DECAY!A:B, 2, FALSE), ""))
</f>
        <v/>
      </c>
      <c r="G6541" s="3"/>
    </row>
    <row r="6542" ht="22.5" hidden="1" customHeight="1">
      <c r="A6542" s="11" t="str">
        <f t="array" ref="A6542">IFERROR(
  INDEX('Starlink Launches'!$A:$A, MATCH($E6542, 'Starlink Launches'!$B:$B, 0)),
  ""
)
</f>
        <v/>
      </c>
      <c r="B6542" s="26"/>
      <c r="C6542" s="12"/>
      <c r="D6542" s="13"/>
      <c r="E6542" s="4"/>
      <c r="F6542" s="4" t="str">
        <f>IF(D6542="","", IFNA(VLOOKUP(D6542, SATCAT_DECAY!A:B, 2, FALSE), ""))
</f>
        <v/>
      </c>
      <c r="G6542" s="3"/>
    </row>
    <row r="6543" ht="22.5" hidden="1" customHeight="1">
      <c r="A6543" s="11" t="str">
        <f t="array" ref="A6543">IFERROR(
  INDEX('Starlink Launches'!$A:$A, MATCH($E6543, 'Starlink Launches'!$B:$B, 0)),
  ""
)
</f>
        <v/>
      </c>
      <c r="B6543" s="26"/>
      <c r="C6543" s="12"/>
      <c r="D6543" s="13"/>
      <c r="E6543" s="4"/>
      <c r="F6543" s="4" t="str">
        <f>IF(D6543="","", IFNA(VLOOKUP(D6543, SATCAT_DECAY!A:B, 2, FALSE), ""))
</f>
        <v/>
      </c>
      <c r="G6543" s="3"/>
    </row>
    <row r="6544" ht="22.5" hidden="1" customHeight="1">
      <c r="A6544" s="11" t="str">
        <f t="array" ref="A6544">IFERROR(
  INDEX('Starlink Launches'!$A:$A, MATCH($E6544, 'Starlink Launches'!$B:$B, 0)),
  ""
)
</f>
        <v/>
      </c>
      <c r="B6544" s="26"/>
      <c r="C6544" s="12"/>
      <c r="D6544" s="13"/>
      <c r="E6544" s="4"/>
      <c r="F6544" s="4" t="str">
        <f>IF(D6544="","", IFNA(VLOOKUP(D6544, SATCAT_DECAY!A:B, 2, FALSE), ""))
</f>
        <v/>
      </c>
      <c r="G6544" s="3"/>
    </row>
    <row r="6545" ht="22.5" hidden="1" customHeight="1">
      <c r="A6545" s="11" t="str">
        <f t="array" ref="A6545">IFERROR(
  INDEX('Starlink Launches'!$A:$A, MATCH($E6545, 'Starlink Launches'!$B:$B, 0)),
  ""
)
</f>
        <v/>
      </c>
      <c r="B6545" s="26"/>
      <c r="C6545" s="12"/>
      <c r="D6545" s="13"/>
      <c r="E6545" s="4"/>
      <c r="F6545" s="4" t="str">
        <f>IF(D6545="","", IFNA(VLOOKUP(D6545, SATCAT_DECAY!A:B, 2, FALSE), ""))
</f>
        <v/>
      </c>
      <c r="G6545" s="3"/>
    </row>
    <row r="6546" ht="22.5" hidden="1" customHeight="1">
      <c r="A6546" s="11" t="str">
        <f t="array" ref="A6546">IFERROR(
  INDEX('Starlink Launches'!$A:$A, MATCH($E6546, 'Starlink Launches'!$B:$B, 0)),
  ""
)
</f>
        <v/>
      </c>
      <c r="B6546" s="26"/>
      <c r="C6546" s="12"/>
      <c r="D6546" s="13"/>
      <c r="E6546" s="4"/>
      <c r="F6546" s="4" t="str">
        <f>IF(D6546="","", IFNA(VLOOKUP(D6546, SATCAT_DECAY!A:B, 2, FALSE), ""))
</f>
        <v/>
      </c>
      <c r="G6546" s="3"/>
    </row>
    <row r="6547" ht="22.5" hidden="1" customHeight="1">
      <c r="A6547" s="11" t="str">
        <f t="array" ref="A6547">IFERROR(
  INDEX('Starlink Launches'!$A:$A, MATCH($E6547, 'Starlink Launches'!$B:$B, 0)),
  ""
)
</f>
        <v/>
      </c>
      <c r="B6547" s="26"/>
      <c r="C6547" s="12"/>
      <c r="D6547" s="13"/>
      <c r="E6547" s="4"/>
      <c r="F6547" s="4" t="str">
        <f>IF(D6547="","", IFNA(VLOOKUP(D6547, SATCAT_DECAY!A:B, 2, FALSE), ""))
</f>
        <v/>
      </c>
      <c r="G6547" s="3"/>
    </row>
    <row r="6548" ht="22.5" hidden="1" customHeight="1">
      <c r="A6548" s="11" t="str">
        <f t="array" ref="A6548">IFERROR(
  INDEX('Starlink Launches'!$A:$A, MATCH($E6548, 'Starlink Launches'!$B:$B, 0)),
  ""
)
</f>
        <v/>
      </c>
      <c r="B6548" s="26"/>
      <c r="C6548" s="12"/>
      <c r="D6548" s="13"/>
      <c r="E6548" s="4"/>
      <c r="F6548" s="4" t="str">
        <f>IF(D6548="","", IFNA(VLOOKUP(D6548, SATCAT_DECAY!A:B, 2, FALSE), ""))
</f>
        <v/>
      </c>
      <c r="G6548" s="3"/>
    </row>
    <row r="6549" ht="22.5" hidden="1" customHeight="1">
      <c r="A6549" s="11" t="str">
        <f t="array" ref="A6549">IFERROR(
  INDEX('Starlink Launches'!$A:$A, MATCH($E6549, 'Starlink Launches'!$B:$B, 0)),
  ""
)
</f>
        <v/>
      </c>
      <c r="B6549" s="26"/>
      <c r="C6549" s="12"/>
      <c r="D6549" s="13"/>
      <c r="E6549" s="4"/>
      <c r="F6549" s="4" t="str">
        <f>IF(D6549="","", IFNA(VLOOKUP(D6549, SATCAT_DECAY!A:B, 2, FALSE), ""))
</f>
        <v/>
      </c>
      <c r="G6549" s="3"/>
    </row>
    <row r="6550" ht="22.5" hidden="1" customHeight="1">
      <c r="A6550" s="11" t="str">
        <f t="array" ref="A6550">IFERROR(
  INDEX('Starlink Launches'!$A:$A, MATCH($E6550, 'Starlink Launches'!$B:$B, 0)),
  ""
)
</f>
        <v/>
      </c>
      <c r="B6550" s="26"/>
      <c r="C6550" s="12"/>
      <c r="D6550" s="13"/>
      <c r="E6550" s="4"/>
      <c r="F6550" s="4" t="str">
        <f>IF(D6550="","", IFNA(VLOOKUP(D6550, SATCAT_DECAY!A:B, 2, FALSE), ""))
</f>
        <v/>
      </c>
      <c r="G6550" s="3"/>
    </row>
    <row r="6551" ht="22.5" hidden="1" customHeight="1">
      <c r="A6551" s="11" t="str">
        <f t="array" ref="A6551">IFERROR(
  INDEX('Starlink Launches'!$A:$A, MATCH($E6551, 'Starlink Launches'!$B:$B, 0)),
  ""
)
</f>
        <v/>
      </c>
      <c r="B6551" s="26"/>
      <c r="C6551" s="12"/>
      <c r="D6551" s="13"/>
      <c r="E6551" s="4"/>
      <c r="F6551" s="4" t="str">
        <f>IF(D6551="","", IFNA(VLOOKUP(D6551, SATCAT_DECAY!A:B, 2, FALSE), ""))
</f>
        <v/>
      </c>
      <c r="G6551" s="3"/>
    </row>
    <row r="6552" ht="22.5" hidden="1" customHeight="1">
      <c r="A6552" s="11" t="str">
        <f t="array" ref="A6552">IFERROR(
  INDEX('Starlink Launches'!$A:$A, MATCH($E6552, 'Starlink Launches'!$B:$B, 0)),
  ""
)
</f>
        <v/>
      </c>
      <c r="B6552" s="26"/>
      <c r="C6552" s="12"/>
      <c r="D6552" s="13"/>
      <c r="E6552" s="4"/>
      <c r="F6552" s="4" t="str">
        <f>IF(D6552="","", IFNA(VLOOKUP(D6552, SATCAT_DECAY!A:B, 2, FALSE), ""))
</f>
        <v/>
      </c>
      <c r="G6552" s="3"/>
    </row>
    <row r="6553" ht="22.5" hidden="1" customHeight="1">
      <c r="A6553" s="11" t="str">
        <f t="array" ref="A6553">IFERROR(
  INDEX('Starlink Launches'!$A:$A, MATCH($E6553, 'Starlink Launches'!$B:$B, 0)),
  ""
)
</f>
        <v/>
      </c>
      <c r="B6553" s="26"/>
      <c r="C6553" s="12"/>
      <c r="D6553" s="13"/>
      <c r="E6553" s="4"/>
      <c r="F6553" s="4" t="str">
        <f>IF(D6553="","", IFNA(VLOOKUP(D6553, SATCAT_DECAY!A:B, 2, FALSE), ""))
</f>
        <v/>
      </c>
      <c r="G6553" s="3"/>
    </row>
    <row r="6554" ht="22.5" hidden="1" customHeight="1">
      <c r="A6554" s="11" t="str">
        <f t="array" ref="A6554">IFERROR(
  INDEX('Starlink Launches'!$A:$A, MATCH($E6554, 'Starlink Launches'!$B:$B, 0)),
  ""
)
</f>
        <v/>
      </c>
      <c r="B6554" s="26"/>
      <c r="C6554" s="12"/>
      <c r="D6554" s="13"/>
      <c r="E6554" s="4"/>
      <c r="F6554" s="4" t="str">
        <f>IF(D6554="","", IFNA(VLOOKUP(D6554, SATCAT_DECAY!A:B, 2, FALSE), ""))
</f>
        <v/>
      </c>
      <c r="G6554" s="3"/>
    </row>
    <row r="6555" ht="22.5" hidden="1" customHeight="1">
      <c r="A6555" s="11" t="str">
        <f t="array" ref="A6555">IFERROR(
  INDEX('Starlink Launches'!$A:$A, MATCH($E6555, 'Starlink Launches'!$B:$B, 0)),
  ""
)
</f>
        <v/>
      </c>
      <c r="B6555" s="26"/>
      <c r="C6555" s="12"/>
      <c r="D6555" s="13"/>
      <c r="E6555" s="4"/>
      <c r="F6555" s="4" t="str">
        <f>IF(D6555="","", IFNA(VLOOKUP(D6555, SATCAT_DECAY!A:B, 2, FALSE), ""))
</f>
        <v/>
      </c>
      <c r="G6555" s="3"/>
    </row>
    <row r="6556" ht="22.5" hidden="1" customHeight="1">
      <c r="A6556" s="11" t="str">
        <f t="array" ref="A6556">IFERROR(
  INDEX('Starlink Launches'!$A:$A, MATCH($E6556, 'Starlink Launches'!$B:$B, 0)),
  ""
)
</f>
        <v/>
      </c>
      <c r="B6556" s="26"/>
      <c r="C6556" s="12"/>
      <c r="D6556" s="13"/>
      <c r="E6556" s="4"/>
      <c r="F6556" s="4" t="str">
        <f>IF(D6556="","", IFNA(VLOOKUP(D6556, SATCAT_DECAY!A:B, 2, FALSE), ""))
</f>
        <v/>
      </c>
      <c r="G6556" s="3"/>
    </row>
    <row r="6557" ht="22.5" hidden="1" customHeight="1">
      <c r="A6557" s="11" t="str">
        <f t="array" ref="A6557">IFERROR(
  INDEX('Starlink Launches'!$A:$A, MATCH($E6557, 'Starlink Launches'!$B:$B, 0)),
  ""
)
</f>
        <v/>
      </c>
      <c r="B6557" s="26"/>
      <c r="C6557" s="12"/>
      <c r="D6557" s="13"/>
      <c r="E6557" s="4"/>
      <c r="F6557" s="4" t="str">
        <f>IF(D6557="","", IFNA(VLOOKUP(D6557, SATCAT_DECAY!A:B, 2, FALSE), ""))
</f>
        <v/>
      </c>
      <c r="G6557" s="3"/>
    </row>
    <row r="6558" ht="22.5" hidden="1" customHeight="1">
      <c r="A6558" s="11" t="str">
        <f t="array" ref="A6558">IFERROR(
  INDEX('Starlink Launches'!$A:$A, MATCH($E6558, 'Starlink Launches'!$B:$B, 0)),
  ""
)
</f>
        <v/>
      </c>
      <c r="B6558" s="26"/>
      <c r="C6558" s="12"/>
      <c r="D6558" s="13"/>
      <c r="E6558" s="4"/>
      <c r="F6558" s="4" t="str">
        <f>IF(D6558="","", IFNA(VLOOKUP(D6558, SATCAT_DECAY!A:B, 2, FALSE), ""))
</f>
        <v/>
      </c>
      <c r="G6558" s="3"/>
    </row>
    <row r="6559" ht="22.5" hidden="1" customHeight="1">
      <c r="A6559" s="11" t="str">
        <f t="array" ref="A6559">IFERROR(
  INDEX('Starlink Launches'!$A:$A, MATCH($E6559, 'Starlink Launches'!$B:$B, 0)),
  ""
)
</f>
        <v/>
      </c>
      <c r="B6559" s="26"/>
      <c r="C6559" s="12"/>
      <c r="D6559" s="13"/>
      <c r="E6559" s="4"/>
      <c r="F6559" s="4" t="str">
        <f>IF(D6559="","", IFNA(VLOOKUP(D6559, SATCAT_DECAY!A:B, 2, FALSE), ""))
</f>
        <v/>
      </c>
      <c r="G6559" s="3"/>
    </row>
    <row r="6560" ht="22.5" hidden="1" customHeight="1">
      <c r="A6560" s="11" t="str">
        <f t="array" ref="A6560">IFERROR(
  INDEX('Starlink Launches'!$A:$A, MATCH($E6560, 'Starlink Launches'!$B:$B, 0)),
  ""
)
</f>
        <v/>
      </c>
      <c r="B6560" s="26"/>
      <c r="C6560" s="12"/>
      <c r="D6560" s="13"/>
      <c r="E6560" s="4"/>
      <c r="F6560" s="4" t="str">
        <f>IF(D6560="","", IFNA(VLOOKUP(D6560, SATCAT_DECAY!A:B, 2, FALSE), ""))
</f>
        <v/>
      </c>
      <c r="G6560" s="3"/>
    </row>
    <row r="6561" ht="22.5" hidden="1" customHeight="1">
      <c r="A6561" s="11" t="str">
        <f t="array" ref="A6561">IFERROR(
  INDEX('Starlink Launches'!$A:$A, MATCH($E6561, 'Starlink Launches'!$B:$B, 0)),
  ""
)
</f>
        <v/>
      </c>
      <c r="B6561" s="26"/>
      <c r="C6561" s="12"/>
      <c r="D6561" s="13"/>
      <c r="E6561" s="4"/>
      <c r="F6561" s="4" t="str">
        <f>IF(D6561="","", IFNA(VLOOKUP(D6561, SATCAT_DECAY!A:B, 2, FALSE), ""))
</f>
        <v/>
      </c>
      <c r="G6561" s="3"/>
    </row>
    <row r="6562" ht="22.5" hidden="1" customHeight="1">
      <c r="A6562" s="11" t="str">
        <f t="array" ref="A6562">IFERROR(
  INDEX('Starlink Launches'!$A:$A, MATCH($E6562, 'Starlink Launches'!$B:$B, 0)),
  ""
)
</f>
        <v/>
      </c>
      <c r="B6562" s="26"/>
      <c r="C6562" s="12"/>
      <c r="D6562" s="13"/>
      <c r="E6562" s="4"/>
      <c r="F6562" s="4" t="str">
        <f>IF(D6562="","", IFNA(VLOOKUP(D6562, SATCAT_DECAY!A:B, 2, FALSE), ""))
</f>
        <v/>
      </c>
      <c r="G6562" s="3"/>
    </row>
    <row r="6563" ht="22.5" hidden="1" customHeight="1">
      <c r="A6563" s="11" t="str">
        <f t="array" ref="A6563">IFERROR(
  INDEX('Starlink Launches'!$A:$A, MATCH($E6563, 'Starlink Launches'!$B:$B, 0)),
  ""
)
</f>
        <v/>
      </c>
      <c r="B6563" s="26"/>
      <c r="C6563" s="12"/>
      <c r="D6563" s="13"/>
      <c r="E6563" s="4"/>
      <c r="F6563" s="4" t="str">
        <f>IF(D6563="","", IFNA(VLOOKUP(D6563, SATCAT_DECAY!A:B, 2, FALSE), ""))
</f>
        <v/>
      </c>
      <c r="G6563" s="3"/>
    </row>
    <row r="6564" ht="22.5" hidden="1" customHeight="1">
      <c r="A6564" s="11" t="str">
        <f t="array" ref="A6564">IFERROR(
  INDEX('Starlink Launches'!$A:$A, MATCH($E6564, 'Starlink Launches'!$B:$B, 0)),
  ""
)
</f>
        <v/>
      </c>
      <c r="B6564" s="26"/>
      <c r="C6564" s="12"/>
      <c r="D6564" s="13"/>
      <c r="E6564" s="4"/>
      <c r="F6564" s="4" t="str">
        <f>IF(D6564="","", IFNA(VLOOKUP(D6564, SATCAT_DECAY!A:B, 2, FALSE), ""))
</f>
        <v/>
      </c>
      <c r="G6564" s="3"/>
    </row>
    <row r="6565" ht="22.5" hidden="1" customHeight="1">
      <c r="A6565" s="11" t="str">
        <f t="array" ref="A6565">IFERROR(
  INDEX('Starlink Launches'!$A:$A, MATCH($E6565, 'Starlink Launches'!$B:$B, 0)),
  ""
)
</f>
        <v/>
      </c>
      <c r="B6565" s="26"/>
      <c r="C6565" s="12"/>
      <c r="D6565" s="13"/>
      <c r="E6565" s="4"/>
      <c r="F6565" s="4" t="str">
        <f>IF(D6565="","", IFNA(VLOOKUP(D6565, SATCAT_DECAY!A:B, 2, FALSE), ""))
</f>
        <v/>
      </c>
      <c r="G6565" s="3"/>
    </row>
    <row r="6566" ht="22.5" hidden="1" customHeight="1">
      <c r="A6566" s="11" t="str">
        <f t="array" ref="A6566">IFERROR(
  INDEX('Starlink Launches'!$A:$A, MATCH($E6566, 'Starlink Launches'!$B:$B, 0)),
  ""
)
</f>
        <v/>
      </c>
      <c r="B6566" s="26"/>
      <c r="C6566" s="12"/>
      <c r="D6566" s="13"/>
      <c r="E6566" s="4"/>
      <c r="F6566" s="4" t="str">
        <f>IF(D6566="","", IFNA(VLOOKUP(D6566, SATCAT_DECAY!A:B, 2, FALSE), ""))
</f>
        <v/>
      </c>
      <c r="G6566" s="3"/>
    </row>
    <row r="6567" ht="22.5" hidden="1" customHeight="1">
      <c r="A6567" s="11" t="str">
        <f t="array" ref="A6567">IFERROR(
  INDEX('Starlink Launches'!$A:$A, MATCH($E6567, 'Starlink Launches'!$B:$B, 0)),
  ""
)
</f>
        <v/>
      </c>
      <c r="B6567" s="26"/>
      <c r="C6567" s="12"/>
      <c r="D6567" s="13"/>
      <c r="E6567" s="4"/>
      <c r="F6567" s="4" t="str">
        <f>IF(D6567="","", IFNA(VLOOKUP(D6567, SATCAT_DECAY!A:B, 2, FALSE), ""))
</f>
        <v/>
      </c>
      <c r="G6567" s="3"/>
    </row>
    <row r="6568" ht="22.5" hidden="1" customHeight="1">
      <c r="A6568" s="11" t="str">
        <f t="array" ref="A6568">IFERROR(
  INDEX('Starlink Launches'!$A:$A, MATCH($E6568, 'Starlink Launches'!$B:$B, 0)),
  ""
)
</f>
        <v/>
      </c>
      <c r="B6568" s="26"/>
      <c r="C6568" s="12"/>
      <c r="D6568" s="13"/>
      <c r="E6568" s="4"/>
      <c r="F6568" s="4" t="str">
        <f>IF(D6568="","", IFNA(VLOOKUP(D6568, SATCAT_DECAY!A:B, 2, FALSE), ""))
</f>
        <v/>
      </c>
      <c r="G6568" s="3"/>
    </row>
    <row r="6569" ht="22.5" hidden="1" customHeight="1">
      <c r="A6569" s="11" t="str">
        <f t="array" ref="A6569">IFERROR(
  INDEX('Starlink Launches'!$A:$A, MATCH($E6569, 'Starlink Launches'!$B:$B, 0)),
  ""
)
</f>
        <v/>
      </c>
      <c r="B6569" s="26"/>
      <c r="C6569" s="12"/>
      <c r="D6569" s="13"/>
      <c r="E6569" s="4"/>
      <c r="F6569" s="4" t="str">
        <f>IF(D6569="","", IFNA(VLOOKUP(D6569, SATCAT_DECAY!A:B, 2, FALSE), ""))
</f>
        <v/>
      </c>
      <c r="G6569" s="3"/>
    </row>
    <row r="6570" ht="22.5" hidden="1" customHeight="1">
      <c r="A6570" s="11" t="str">
        <f t="array" ref="A6570">IFERROR(
  INDEX('Starlink Launches'!$A:$A, MATCH($E6570, 'Starlink Launches'!$B:$B, 0)),
  ""
)
</f>
        <v/>
      </c>
      <c r="B6570" s="26"/>
      <c r="C6570" s="12"/>
      <c r="D6570" s="13"/>
      <c r="E6570" s="4"/>
      <c r="F6570" s="4" t="str">
        <f>IF(D6570="","", IFNA(VLOOKUP(D6570, SATCAT_DECAY!A:B, 2, FALSE), ""))
</f>
        <v/>
      </c>
      <c r="G6570" s="3"/>
    </row>
    <row r="6571" ht="22.5" hidden="1" customHeight="1">
      <c r="A6571" s="11" t="str">
        <f t="array" ref="A6571">IFERROR(
  INDEX('Starlink Launches'!$A:$A, MATCH($E6571, 'Starlink Launches'!$B:$B, 0)),
  ""
)
</f>
        <v/>
      </c>
      <c r="B6571" s="26"/>
      <c r="C6571" s="12"/>
      <c r="D6571" s="13"/>
      <c r="E6571" s="4"/>
      <c r="F6571" s="4" t="str">
        <f>IF(D6571="","", IFNA(VLOOKUP(D6571, SATCAT_DECAY!A:B, 2, FALSE), ""))
</f>
        <v/>
      </c>
      <c r="G6571" s="3"/>
    </row>
    <row r="6572" ht="22.5" hidden="1" customHeight="1">
      <c r="A6572" s="11" t="str">
        <f t="array" ref="A6572">IFERROR(
  INDEX('Starlink Launches'!$A:$A, MATCH($E6572, 'Starlink Launches'!$B:$B, 0)),
  ""
)
</f>
        <v/>
      </c>
      <c r="B6572" s="26"/>
      <c r="C6572" s="12"/>
      <c r="D6572" s="13"/>
      <c r="E6572" s="4"/>
      <c r="F6572" s="4" t="str">
        <f>IF(D6572="","", IFNA(VLOOKUP(D6572, SATCAT_DECAY!A:B, 2, FALSE), ""))
</f>
        <v/>
      </c>
      <c r="G6572" s="3"/>
    </row>
    <row r="6573" ht="22.5" hidden="1" customHeight="1">
      <c r="A6573" s="11" t="str">
        <f t="array" ref="A6573">IFERROR(
  INDEX('Starlink Launches'!$A:$A, MATCH($E6573, 'Starlink Launches'!$B:$B, 0)),
  ""
)
</f>
        <v/>
      </c>
      <c r="B6573" s="26"/>
      <c r="C6573" s="12"/>
      <c r="D6573" s="13"/>
      <c r="E6573" s="4"/>
      <c r="F6573" s="4" t="str">
        <f>IF(D6573="","", IFNA(VLOOKUP(D6573, SATCAT_DECAY!A:B, 2, FALSE), ""))
</f>
        <v/>
      </c>
      <c r="G6573" s="3"/>
    </row>
    <row r="6574" ht="22.5" hidden="1" customHeight="1">
      <c r="A6574" s="11" t="str">
        <f t="array" ref="A6574">IFERROR(
  INDEX('Starlink Launches'!$A:$A, MATCH($E6574, 'Starlink Launches'!$B:$B, 0)),
  ""
)
</f>
        <v/>
      </c>
      <c r="B6574" s="26"/>
      <c r="C6574" s="12"/>
      <c r="D6574" s="13"/>
      <c r="E6574" s="4"/>
      <c r="F6574" s="4" t="str">
        <f>IF(D6574="","", IFNA(VLOOKUP(D6574, SATCAT_DECAY!A:B, 2, FALSE), ""))
</f>
        <v/>
      </c>
      <c r="G6574" s="3"/>
    </row>
    <row r="6575" ht="22.5" hidden="1" customHeight="1">
      <c r="A6575" s="11" t="str">
        <f t="array" ref="A6575">IFERROR(
  INDEX('Starlink Launches'!$A:$A, MATCH($E6575, 'Starlink Launches'!$B:$B, 0)),
  ""
)
</f>
        <v/>
      </c>
      <c r="B6575" s="26"/>
      <c r="C6575" s="12"/>
      <c r="D6575" s="13"/>
      <c r="E6575" s="4"/>
      <c r="F6575" s="4" t="str">
        <f>IF(D6575="","", IFNA(VLOOKUP(D6575, SATCAT_DECAY!A:B, 2, FALSE), ""))
</f>
        <v/>
      </c>
      <c r="G6575" s="3"/>
    </row>
    <row r="6576" ht="22.5" hidden="1" customHeight="1">
      <c r="A6576" s="11" t="str">
        <f t="array" ref="A6576">IFERROR(
  INDEX('Starlink Launches'!$A:$A, MATCH($E6576, 'Starlink Launches'!$B:$B, 0)),
  ""
)
</f>
        <v/>
      </c>
      <c r="B6576" s="26"/>
      <c r="C6576" s="12"/>
      <c r="D6576" s="13"/>
      <c r="E6576" s="4"/>
      <c r="F6576" s="4" t="str">
        <f>IF(D6576="","", IFNA(VLOOKUP(D6576, SATCAT_DECAY!A:B, 2, FALSE), ""))
</f>
        <v/>
      </c>
      <c r="G6576" s="3"/>
    </row>
    <row r="6577" ht="22.5" hidden="1" customHeight="1">
      <c r="A6577" s="11" t="str">
        <f t="array" ref="A6577">IFERROR(
  INDEX('Starlink Launches'!$A:$A, MATCH($E6577, 'Starlink Launches'!$B:$B, 0)),
  ""
)
</f>
        <v/>
      </c>
      <c r="B6577" s="26"/>
      <c r="C6577" s="12"/>
      <c r="D6577" s="13"/>
      <c r="E6577" s="4"/>
      <c r="F6577" s="4" t="str">
        <f>IF(D6577="","", IFNA(VLOOKUP(D6577, SATCAT_DECAY!A:B, 2, FALSE), ""))
</f>
        <v/>
      </c>
      <c r="G6577" s="3"/>
    </row>
    <row r="6578" ht="22.5" hidden="1" customHeight="1">
      <c r="A6578" s="11" t="str">
        <f t="array" ref="A6578">IFERROR(
  INDEX('Starlink Launches'!$A:$A, MATCH($E6578, 'Starlink Launches'!$B:$B, 0)),
  ""
)
</f>
        <v/>
      </c>
      <c r="B6578" s="26"/>
      <c r="C6578" s="12"/>
      <c r="D6578" s="13"/>
      <c r="E6578" s="4"/>
      <c r="F6578" s="4" t="str">
        <f>IF(D6578="","", IFNA(VLOOKUP(D6578, SATCAT_DECAY!A:B, 2, FALSE), ""))
</f>
        <v/>
      </c>
      <c r="G6578" s="3"/>
    </row>
    <row r="6579" ht="22.5" hidden="1" customHeight="1">
      <c r="A6579" s="11" t="str">
        <f t="array" ref="A6579">IFERROR(
  INDEX('Starlink Launches'!$A:$A, MATCH($E6579, 'Starlink Launches'!$B:$B, 0)),
  ""
)
</f>
        <v/>
      </c>
      <c r="B6579" s="26"/>
      <c r="C6579" s="12"/>
      <c r="D6579" s="13"/>
      <c r="E6579" s="4"/>
      <c r="F6579" s="4" t="str">
        <f>IF(D6579="","", IFNA(VLOOKUP(D6579, SATCAT_DECAY!A:B, 2, FALSE), ""))
</f>
        <v/>
      </c>
      <c r="G6579" s="3"/>
    </row>
    <row r="6580" ht="22.5" hidden="1" customHeight="1">
      <c r="A6580" s="11" t="str">
        <f t="array" ref="A6580">IFERROR(
  INDEX('Starlink Launches'!$A:$A, MATCH($E6580, 'Starlink Launches'!$B:$B, 0)),
  ""
)
</f>
        <v/>
      </c>
      <c r="B6580" s="26"/>
      <c r="C6580" s="12"/>
      <c r="D6580" s="13"/>
      <c r="E6580" s="4"/>
      <c r="F6580" s="4" t="str">
        <f>IF(D6580="","", IFNA(VLOOKUP(D6580, SATCAT_DECAY!A:B, 2, FALSE), ""))
</f>
        <v/>
      </c>
      <c r="G6580" s="3"/>
    </row>
    <row r="6581" ht="22.5" hidden="1" customHeight="1">
      <c r="A6581" s="11" t="str">
        <f t="array" ref="A6581">IFERROR(
  INDEX('Starlink Launches'!$A:$A, MATCH($E6581, 'Starlink Launches'!$B:$B, 0)),
  ""
)
</f>
        <v/>
      </c>
      <c r="B6581" s="26"/>
      <c r="C6581" s="12"/>
      <c r="D6581" s="13"/>
      <c r="E6581" s="4"/>
      <c r="F6581" s="4" t="str">
        <f>IF(D6581="","", IFNA(VLOOKUP(D6581, SATCAT_DECAY!A:B, 2, FALSE), ""))
</f>
        <v/>
      </c>
      <c r="G6581" s="3"/>
    </row>
    <row r="6582" ht="22.5" hidden="1" customHeight="1">
      <c r="A6582" s="11" t="str">
        <f t="array" ref="A6582">IFERROR(
  INDEX('Starlink Launches'!$A:$A, MATCH($E6582, 'Starlink Launches'!$B:$B, 0)),
  ""
)
</f>
        <v/>
      </c>
      <c r="B6582" s="26"/>
      <c r="C6582" s="12"/>
      <c r="D6582" s="13"/>
      <c r="E6582" s="4"/>
      <c r="F6582" s="4" t="str">
        <f>IF(D6582="","", IFNA(VLOOKUP(D6582, SATCAT_DECAY!A:B, 2, FALSE), ""))
</f>
        <v/>
      </c>
      <c r="G6582" s="3"/>
    </row>
    <row r="6583" ht="22.5" hidden="1" customHeight="1">
      <c r="A6583" s="11" t="str">
        <f t="array" ref="A6583">IFERROR(
  INDEX('Starlink Launches'!$A:$A, MATCH($E6583, 'Starlink Launches'!$B:$B, 0)),
  ""
)
</f>
        <v/>
      </c>
      <c r="B6583" s="26"/>
      <c r="C6583" s="12"/>
      <c r="D6583" s="13"/>
      <c r="E6583" s="4"/>
      <c r="F6583" s="4" t="str">
        <f>IF(D6583="","", IFNA(VLOOKUP(D6583, SATCAT_DECAY!A:B, 2, FALSE), ""))
</f>
        <v/>
      </c>
      <c r="G6583" s="3"/>
    </row>
    <row r="6584" ht="22.5" hidden="1" customHeight="1">
      <c r="A6584" s="11" t="str">
        <f t="array" ref="A6584">IFERROR(
  INDEX('Starlink Launches'!$A:$A, MATCH($E6584, 'Starlink Launches'!$B:$B, 0)),
  ""
)
</f>
        <v/>
      </c>
      <c r="B6584" s="26"/>
      <c r="C6584" s="12"/>
      <c r="D6584" s="13"/>
      <c r="E6584" s="4"/>
      <c r="F6584" s="4" t="str">
        <f>IF(D6584="","", IFNA(VLOOKUP(D6584, SATCAT_DECAY!A:B, 2, FALSE), ""))
</f>
        <v/>
      </c>
      <c r="G6584" s="3"/>
    </row>
    <row r="6585" ht="22.5" hidden="1" customHeight="1">
      <c r="A6585" s="11" t="str">
        <f t="array" ref="A6585">IFERROR(
  INDEX('Starlink Launches'!$A:$A, MATCH($E6585, 'Starlink Launches'!$B:$B, 0)),
  ""
)
</f>
        <v/>
      </c>
      <c r="B6585" s="26"/>
      <c r="C6585" s="12"/>
      <c r="D6585" s="13"/>
      <c r="E6585" s="4"/>
      <c r="F6585" s="4" t="str">
        <f>IF(D6585="","", IFNA(VLOOKUP(D6585, SATCAT_DECAY!A:B, 2, FALSE), ""))
</f>
        <v/>
      </c>
      <c r="G6585" s="3"/>
    </row>
    <row r="6586" ht="22.5" hidden="1" customHeight="1">
      <c r="A6586" s="11" t="str">
        <f t="array" ref="A6586">IFERROR(
  INDEX('Starlink Launches'!$A:$A, MATCH($E6586, 'Starlink Launches'!$B:$B, 0)),
  ""
)
</f>
        <v/>
      </c>
      <c r="B6586" s="26"/>
      <c r="C6586" s="12"/>
      <c r="D6586" s="13"/>
      <c r="E6586" s="4"/>
      <c r="F6586" s="4" t="str">
        <f>IF(D6586="","", IFNA(VLOOKUP(D6586, SATCAT_DECAY!A:B, 2, FALSE), ""))
</f>
        <v/>
      </c>
      <c r="G6586" s="3"/>
    </row>
    <row r="6587" ht="22.5" hidden="1" customHeight="1">
      <c r="A6587" s="11" t="str">
        <f t="array" ref="A6587">IFERROR(
  INDEX('Starlink Launches'!$A:$A, MATCH($E6587, 'Starlink Launches'!$B:$B, 0)),
  ""
)
</f>
        <v/>
      </c>
      <c r="B6587" s="26"/>
      <c r="C6587" s="12"/>
      <c r="D6587" s="13"/>
      <c r="E6587" s="4"/>
      <c r="F6587" s="4" t="str">
        <f>IF(D6587="","", IFNA(VLOOKUP(D6587, SATCAT_DECAY!A:B, 2, FALSE), ""))
</f>
        <v/>
      </c>
      <c r="G6587" s="3"/>
    </row>
    <row r="6588" ht="22.5" hidden="1" customHeight="1">
      <c r="A6588" s="11" t="str">
        <f t="array" ref="A6588">IFERROR(
  INDEX('Starlink Launches'!$A:$A, MATCH($E6588, 'Starlink Launches'!$B:$B, 0)),
  ""
)
</f>
        <v/>
      </c>
      <c r="B6588" s="26"/>
      <c r="C6588" s="12"/>
      <c r="D6588" s="13"/>
      <c r="E6588" s="4"/>
      <c r="F6588" s="4" t="str">
        <f>IF(D6588="","", IFNA(VLOOKUP(D6588, SATCAT_DECAY!A:B, 2, FALSE), ""))
</f>
        <v/>
      </c>
      <c r="G6588" s="3"/>
    </row>
    <row r="6589" ht="22.5" hidden="1" customHeight="1">
      <c r="A6589" s="11" t="str">
        <f t="array" ref="A6589">IFERROR(
  INDEX('Starlink Launches'!$A:$A, MATCH($E6589, 'Starlink Launches'!$B:$B, 0)),
  ""
)
</f>
        <v/>
      </c>
      <c r="B6589" s="26"/>
      <c r="C6589" s="12"/>
      <c r="D6589" s="13"/>
      <c r="E6589" s="4"/>
      <c r="F6589" s="4" t="str">
        <f>IF(D6589="","", IFNA(VLOOKUP(D6589, SATCAT_DECAY!A:B, 2, FALSE), ""))
</f>
        <v/>
      </c>
      <c r="G6589" s="3"/>
    </row>
    <row r="6590" ht="22.5" hidden="1" customHeight="1">
      <c r="A6590" s="11" t="str">
        <f t="array" ref="A6590">IFERROR(
  INDEX('Starlink Launches'!$A:$A, MATCH($E6590, 'Starlink Launches'!$B:$B, 0)),
  ""
)
</f>
        <v/>
      </c>
      <c r="B6590" s="26"/>
      <c r="C6590" s="12"/>
      <c r="D6590" s="13"/>
      <c r="E6590" s="4"/>
      <c r="F6590" s="4" t="str">
        <f>IF(D6590="","", IFNA(VLOOKUP(D6590, SATCAT_DECAY!A:B, 2, FALSE), ""))
</f>
        <v/>
      </c>
      <c r="G6590" s="3"/>
    </row>
    <row r="6591" ht="22.5" hidden="1" customHeight="1">
      <c r="A6591" s="11" t="str">
        <f t="array" ref="A6591">IFERROR(
  INDEX('Starlink Launches'!$A:$A, MATCH($E6591, 'Starlink Launches'!$B:$B, 0)),
  ""
)
</f>
        <v/>
      </c>
      <c r="B6591" s="26"/>
      <c r="C6591" s="12"/>
      <c r="D6591" s="13"/>
      <c r="E6591" s="4"/>
      <c r="F6591" s="4" t="str">
        <f>IF(D6591="","", IFNA(VLOOKUP(D6591, SATCAT_DECAY!A:B, 2, FALSE), ""))
</f>
        <v/>
      </c>
      <c r="G6591" s="3"/>
    </row>
    <row r="6592" ht="22.5" hidden="1" customHeight="1">
      <c r="A6592" s="11" t="str">
        <f t="array" ref="A6592">IFERROR(
  INDEX('Starlink Launches'!$A:$A, MATCH($E6592, 'Starlink Launches'!$B:$B, 0)),
  ""
)
</f>
        <v/>
      </c>
      <c r="B6592" s="26"/>
      <c r="C6592" s="12"/>
      <c r="D6592" s="13"/>
      <c r="E6592" s="4"/>
      <c r="F6592" s="4" t="str">
        <f>IF(D6592="","", IFNA(VLOOKUP(D6592, SATCAT_DECAY!A:B, 2, FALSE), ""))
</f>
        <v/>
      </c>
      <c r="G6592" s="3"/>
    </row>
    <row r="6593" ht="22.5" hidden="1" customHeight="1">
      <c r="A6593" s="11" t="str">
        <f t="array" ref="A6593">IFERROR(
  INDEX('Starlink Launches'!$A:$A, MATCH($E6593, 'Starlink Launches'!$B:$B, 0)),
  ""
)
</f>
        <v/>
      </c>
      <c r="B6593" s="26"/>
      <c r="C6593" s="12"/>
      <c r="D6593" s="13"/>
      <c r="E6593" s="4"/>
      <c r="F6593" s="4" t="str">
        <f>IF(D6593="","", IFNA(VLOOKUP(D6593, SATCAT_DECAY!A:B, 2, FALSE), ""))
</f>
        <v/>
      </c>
      <c r="G6593" s="3"/>
    </row>
    <row r="6594" ht="22.5" hidden="1" customHeight="1">
      <c r="A6594" s="11" t="str">
        <f t="array" ref="A6594">IFERROR(
  INDEX('Starlink Launches'!$A:$A, MATCH($E6594, 'Starlink Launches'!$B:$B, 0)),
  ""
)
</f>
        <v/>
      </c>
      <c r="B6594" s="26"/>
      <c r="C6594" s="12"/>
      <c r="D6594" s="13"/>
      <c r="E6594" s="4"/>
      <c r="F6594" s="4" t="str">
        <f>IF(D6594="","", IFNA(VLOOKUP(D6594, SATCAT_DECAY!A:B, 2, FALSE), ""))
</f>
        <v/>
      </c>
      <c r="G6594" s="3"/>
    </row>
    <row r="6595" ht="22.5" hidden="1" customHeight="1">
      <c r="A6595" s="11" t="str">
        <f t="array" ref="A6595">IFERROR(
  INDEX('Starlink Launches'!$A:$A, MATCH($E6595, 'Starlink Launches'!$B:$B, 0)),
  ""
)
</f>
        <v/>
      </c>
      <c r="B6595" s="26"/>
      <c r="C6595" s="12"/>
      <c r="D6595" s="13"/>
      <c r="E6595" s="4"/>
      <c r="F6595" s="4" t="str">
        <f>IF(D6595="","", IFNA(VLOOKUP(D6595, SATCAT_DECAY!A:B, 2, FALSE), ""))
</f>
        <v/>
      </c>
      <c r="G6595" s="3"/>
    </row>
    <row r="6596" ht="22.5" hidden="1" customHeight="1">
      <c r="A6596" s="11" t="str">
        <f t="array" ref="A6596">IFERROR(
  INDEX('Starlink Launches'!$A:$A, MATCH($E6596, 'Starlink Launches'!$B:$B, 0)),
  ""
)
</f>
        <v/>
      </c>
      <c r="B6596" s="26"/>
      <c r="C6596" s="12"/>
      <c r="D6596" s="13"/>
      <c r="E6596" s="4"/>
      <c r="F6596" s="4" t="str">
        <f>IF(D6596="","", IFNA(VLOOKUP(D6596, SATCAT_DECAY!A:B, 2, FALSE), ""))
</f>
        <v/>
      </c>
      <c r="G6596" s="3"/>
    </row>
    <row r="6597" ht="22.5" hidden="1" customHeight="1">
      <c r="A6597" s="11" t="str">
        <f t="array" ref="A6597">IFERROR(
  INDEX('Starlink Launches'!$A:$A, MATCH($E6597, 'Starlink Launches'!$B:$B, 0)),
  ""
)
</f>
        <v/>
      </c>
      <c r="B6597" s="26"/>
      <c r="C6597" s="12"/>
      <c r="D6597" s="13"/>
      <c r="E6597" s="4"/>
      <c r="F6597" s="4" t="str">
        <f>IF(D6597="","", IFNA(VLOOKUP(D6597, SATCAT_DECAY!A:B, 2, FALSE), ""))
</f>
        <v/>
      </c>
      <c r="G6597" s="3"/>
    </row>
    <row r="6598" ht="22.5" hidden="1" customHeight="1">
      <c r="A6598" s="11" t="str">
        <f t="array" ref="A6598">IFERROR(
  INDEX('Starlink Launches'!$A:$A, MATCH($E6598, 'Starlink Launches'!$B:$B, 0)),
  ""
)
</f>
        <v/>
      </c>
      <c r="B6598" s="26"/>
      <c r="C6598" s="12"/>
      <c r="D6598" s="13"/>
      <c r="E6598" s="4"/>
      <c r="F6598" s="4" t="str">
        <f>IF(D6598="","", IFNA(VLOOKUP(D6598, SATCAT_DECAY!A:B, 2, FALSE), ""))
</f>
        <v/>
      </c>
      <c r="G6598" s="3"/>
    </row>
    <row r="6599" ht="22.5" hidden="1" customHeight="1">
      <c r="A6599" s="11" t="str">
        <f t="array" ref="A6599">IFERROR(
  INDEX('Starlink Launches'!$A:$A, MATCH($E6599, 'Starlink Launches'!$B:$B, 0)),
  ""
)
</f>
        <v/>
      </c>
      <c r="B6599" s="26"/>
      <c r="C6599" s="12"/>
      <c r="D6599" s="13"/>
      <c r="E6599" s="4"/>
      <c r="F6599" s="4" t="str">
        <f>IF(D6599="","", IFNA(VLOOKUP(D6599, SATCAT_DECAY!A:B, 2, FALSE), ""))
</f>
        <v/>
      </c>
      <c r="G6599" s="3"/>
    </row>
    <row r="6600" ht="22.5" hidden="1" customHeight="1">
      <c r="A6600" s="11" t="str">
        <f t="array" ref="A6600">IFERROR(
  INDEX('Starlink Launches'!$A:$A, MATCH($E6600, 'Starlink Launches'!$B:$B, 0)),
  ""
)
</f>
        <v/>
      </c>
      <c r="B6600" s="26"/>
      <c r="C6600" s="12"/>
      <c r="D6600" s="13"/>
      <c r="E6600" s="4"/>
      <c r="F6600" s="4" t="str">
        <f>IF(D6600="","", IFNA(VLOOKUP(D6600, SATCAT_DECAY!A:B, 2, FALSE), ""))
</f>
        <v/>
      </c>
      <c r="G6600" s="3"/>
    </row>
    <row r="6601" ht="22.5" hidden="1" customHeight="1">
      <c r="A6601" s="11" t="str">
        <f t="array" ref="A6601">IFERROR(
  INDEX('Starlink Launches'!$A:$A, MATCH($E6601, 'Starlink Launches'!$B:$B, 0)),
  ""
)
</f>
        <v/>
      </c>
      <c r="B6601" s="26"/>
      <c r="C6601" s="12"/>
      <c r="D6601" s="13"/>
      <c r="E6601" s="4"/>
      <c r="F6601" s="4" t="str">
        <f>IF(D6601="","", IFNA(VLOOKUP(D6601, SATCAT_DECAY!A:B, 2, FALSE), ""))
</f>
        <v/>
      </c>
      <c r="G6601" s="3"/>
    </row>
    <row r="6602" ht="22.5" hidden="1" customHeight="1">
      <c r="A6602" s="11" t="str">
        <f t="array" ref="A6602">IFERROR(
  INDEX('Starlink Launches'!$A:$A, MATCH($E6602, 'Starlink Launches'!$B:$B, 0)),
  ""
)
</f>
        <v/>
      </c>
      <c r="B6602" s="26"/>
      <c r="C6602" s="12"/>
      <c r="D6602" s="13"/>
      <c r="E6602" s="4"/>
      <c r="F6602" s="4" t="str">
        <f>IF(D6602="","", IFNA(VLOOKUP(D6602, SATCAT_DECAY!A:B, 2, FALSE), ""))
</f>
        <v/>
      </c>
      <c r="G6602" s="3"/>
    </row>
    <row r="6603" ht="22.5" hidden="1" customHeight="1">
      <c r="A6603" s="11" t="str">
        <f t="array" ref="A6603">IFERROR(
  INDEX('Starlink Launches'!$A:$A, MATCH($E6603, 'Starlink Launches'!$B:$B, 0)),
  ""
)
</f>
        <v/>
      </c>
      <c r="B6603" s="26"/>
      <c r="C6603" s="12"/>
      <c r="D6603" s="13"/>
      <c r="E6603" s="4"/>
      <c r="F6603" s="4" t="str">
        <f>IF(D6603="","", IFNA(VLOOKUP(D6603, SATCAT_DECAY!A:B, 2, FALSE), ""))
</f>
        <v/>
      </c>
      <c r="G6603" s="3"/>
    </row>
    <row r="6604" ht="22.5" hidden="1" customHeight="1">
      <c r="A6604" s="11" t="str">
        <f t="array" ref="A6604">IFERROR(
  INDEX('Starlink Launches'!$A:$A, MATCH($E6604, 'Starlink Launches'!$B:$B, 0)),
  ""
)
</f>
        <v/>
      </c>
      <c r="B6604" s="26"/>
      <c r="C6604" s="12"/>
      <c r="D6604" s="13"/>
      <c r="E6604" s="4"/>
      <c r="F6604" s="4" t="str">
        <f>IF(D6604="","", IFNA(VLOOKUP(D6604, SATCAT_DECAY!A:B, 2, FALSE), ""))
</f>
        <v/>
      </c>
      <c r="G6604" s="3"/>
    </row>
    <row r="6605" ht="22.5" hidden="1" customHeight="1">
      <c r="A6605" s="11" t="str">
        <f t="array" ref="A6605">IFERROR(
  INDEX('Starlink Launches'!$A:$A, MATCH($E6605, 'Starlink Launches'!$B:$B, 0)),
  ""
)
</f>
        <v/>
      </c>
      <c r="B6605" s="26"/>
      <c r="C6605" s="12"/>
      <c r="D6605" s="13"/>
      <c r="E6605" s="4"/>
      <c r="F6605" s="4" t="str">
        <f>IF(D6605="","", IFNA(VLOOKUP(D6605, SATCAT_DECAY!A:B, 2, FALSE), ""))
</f>
        <v/>
      </c>
      <c r="G6605" s="3"/>
    </row>
    <row r="6606" ht="22.5" hidden="1" customHeight="1">
      <c r="A6606" s="11" t="str">
        <f t="array" ref="A6606">IFERROR(
  INDEX('Starlink Launches'!$A:$A, MATCH($E6606, 'Starlink Launches'!$B:$B, 0)),
  ""
)
</f>
        <v/>
      </c>
      <c r="B6606" s="26"/>
      <c r="C6606" s="12"/>
      <c r="D6606" s="13"/>
      <c r="E6606" s="4"/>
      <c r="F6606" s="4" t="str">
        <f>IF(D6606="","", IFNA(VLOOKUP(D6606, SATCAT_DECAY!A:B, 2, FALSE), ""))
</f>
        <v/>
      </c>
      <c r="G6606" s="3"/>
    </row>
    <row r="6607" ht="22.5" hidden="1" customHeight="1">
      <c r="A6607" s="11" t="str">
        <f t="array" ref="A6607">IFERROR(
  INDEX('Starlink Launches'!$A:$A, MATCH($E6607, 'Starlink Launches'!$B:$B, 0)),
  ""
)
</f>
        <v/>
      </c>
      <c r="B6607" s="26"/>
      <c r="C6607" s="12"/>
      <c r="D6607" s="13"/>
      <c r="E6607" s="4"/>
      <c r="F6607" s="4" t="str">
        <f>IF(D6607="","", IFNA(VLOOKUP(D6607, SATCAT_DECAY!A:B, 2, FALSE), ""))
</f>
        <v/>
      </c>
      <c r="G6607" s="3"/>
    </row>
    <row r="6608" ht="22.5" hidden="1" customHeight="1">
      <c r="A6608" s="11" t="str">
        <f t="array" ref="A6608">IFERROR(
  INDEX('Starlink Launches'!$A:$A, MATCH($E6608, 'Starlink Launches'!$B:$B, 0)),
  ""
)
</f>
        <v/>
      </c>
      <c r="B6608" s="26"/>
      <c r="C6608" s="12"/>
      <c r="D6608" s="13"/>
      <c r="E6608" s="4"/>
      <c r="F6608" s="4" t="str">
        <f>IF(D6608="","", IFNA(VLOOKUP(D6608, SATCAT_DECAY!A:B, 2, FALSE), ""))
</f>
        <v/>
      </c>
      <c r="G6608" s="3"/>
    </row>
    <row r="6609" ht="22.5" hidden="1" customHeight="1">
      <c r="A6609" s="11" t="str">
        <f t="array" ref="A6609">IFERROR(
  INDEX('Starlink Launches'!$A:$A, MATCH($E6609, 'Starlink Launches'!$B:$B, 0)),
  ""
)
</f>
        <v/>
      </c>
      <c r="B6609" s="26"/>
      <c r="C6609" s="12"/>
      <c r="D6609" s="13"/>
      <c r="E6609" s="4"/>
      <c r="F6609" s="4" t="str">
        <f>IF(D6609="","", IFNA(VLOOKUP(D6609, SATCAT_DECAY!A:B, 2, FALSE), ""))
</f>
        <v/>
      </c>
      <c r="G6609" s="3"/>
    </row>
    <row r="6610" ht="22.5" hidden="1" customHeight="1">
      <c r="A6610" s="11" t="str">
        <f t="array" ref="A6610">IFERROR(
  INDEX('Starlink Launches'!$A:$A, MATCH($E6610, 'Starlink Launches'!$B:$B, 0)),
  ""
)
</f>
        <v/>
      </c>
      <c r="B6610" s="26"/>
      <c r="C6610" s="12"/>
      <c r="D6610" s="13"/>
      <c r="E6610" s="4"/>
      <c r="F6610" s="4" t="str">
        <f>IF(D6610="","", IFNA(VLOOKUP(D6610, SATCAT_DECAY!A:B, 2, FALSE), ""))
</f>
        <v/>
      </c>
      <c r="G6610" s="3"/>
    </row>
    <row r="6611" ht="22.5" hidden="1" customHeight="1">
      <c r="A6611" s="11" t="str">
        <f t="array" ref="A6611">IFERROR(
  INDEX('Starlink Launches'!$A:$A, MATCH($E6611, 'Starlink Launches'!$B:$B, 0)),
  ""
)
</f>
        <v/>
      </c>
      <c r="B6611" s="26"/>
      <c r="C6611" s="12"/>
      <c r="D6611" s="13"/>
      <c r="E6611" s="4"/>
      <c r="F6611" s="4" t="str">
        <f>IF(D6611="","", IFNA(VLOOKUP(D6611, SATCAT_DECAY!A:B, 2, FALSE), ""))
</f>
        <v/>
      </c>
      <c r="G6611" s="3"/>
    </row>
    <row r="6612" ht="22.5" hidden="1" customHeight="1">
      <c r="A6612" s="11" t="str">
        <f t="array" ref="A6612">IFERROR(
  INDEX('Starlink Launches'!$A:$A, MATCH($E6612, 'Starlink Launches'!$B:$B, 0)),
  ""
)
</f>
        <v/>
      </c>
      <c r="B6612" s="26"/>
      <c r="C6612" s="12"/>
      <c r="D6612" s="13"/>
      <c r="E6612" s="4"/>
      <c r="F6612" s="4" t="str">
        <f>IF(D6612="","", IFNA(VLOOKUP(D6612, SATCAT_DECAY!A:B, 2, FALSE), ""))
</f>
        <v/>
      </c>
      <c r="G6612" s="3"/>
    </row>
    <row r="6613" ht="22.5" hidden="1" customHeight="1">
      <c r="A6613" s="11" t="str">
        <f t="array" ref="A6613">IFERROR(
  INDEX('Starlink Launches'!$A:$A, MATCH($E6613, 'Starlink Launches'!$B:$B, 0)),
  ""
)
</f>
        <v/>
      </c>
      <c r="B6613" s="26"/>
      <c r="C6613" s="12"/>
      <c r="D6613" s="13"/>
      <c r="E6613" s="4"/>
      <c r="F6613" s="4" t="str">
        <f>IF(D6613="","", IFNA(VLOOKUP(D6613, SATCAT_DECAY!A:B, 2, FALSE), ""))
</f>
        <v/>
      </c>
      <c r="G6613" s="3"/>
    </row>
    <row r="6614" ht="22.5" hidden="1" customHeight="1">
      <c r="A6614" s="11" t="str">
        <f t="array" ref="A6614">IFERROR(
  INDEX('Starlink Launches'!$A:$A, MATCH($E6614, 'Starlink Launches'!$B:$B, 0)),
  ""
)
</f>
        <v/>
      </c>
      <c r="B6614" s="26"/>
      <c r="C6614" s="12"/>
      <c r="D6614" s="13"/>
      <c r="E6614" s="4"/>
      <c r="F6614" s="4" t="str">
        <f>IF(D6614="","", IFNA(VLOOKUP(D6614, SATCAT_DECAY!A:B, 2, FALSE), ""))
</f>
        <v/>
      </c>
      <c r="G6614" s="3"/>
    </row>
    <row r="6615" ht="22.5" hidden="1" customHeight="1">
      <c r="A6615" s="11" t="str">
        <f t="array" ref="A6615">IFERROR(
  INDEX('Starlink Launches'!$A:$A, MATCH($E6615, 'Starlink Launches'!$B:$B, 0)),
  ""
)
</f>
        <v/>
      </c>
      <c r="B6615" s="26"/>
      <c r="C6615" s="12"/>
      <c r="D6615" s="13"/>
      <c r="E6615" s="4"/>
      <c r="F6615" s="4" t="str">
        <f>IF(D6615="","", IFNA(VLOOKUP(D6615, SATCAT_DECAY!A:B, 2, FALSE), ""))
</f>
        <v/>
      </c>
      <c r="G6615" s="3"/>
    </row>
    <row r="6616" ht="22.5" hidden="1" customHeight="1">
      <c r="A6616" s="11" t="str">
        <f t="array" ref="A6616">IFERROR(
  INDEX('Starlink Launches'!$A:$A, MATCH($E6616, 'Starlink Launches'!$B:$B, 0)),
  ""
)
</f>
        <v/>
      </c>
      <c r="B6616" s="26"/>
      <c r="C6616" s="12"/>
      <c r="D6616" s="13"/>
      <c r="E6616" s="4"/>
      <c r="F6616" s="4" t="str">
        <f>IF(D6616="","", IFNA(VLOOKUP(D6616, SATCAT_DECAY!A:B, 2, FALSE), ""))
</f>
        <v/>
      </c>
      <c r="G6616" s="3"/>
    </row>
    <row r="6617" ht="22.5" hidden="1" customHeight="1">
      <c r="A6617" s="11" t="str">
        <f t="array" ref="A6617">IFERROR(
  INDEX('Starlink Launches'!$A:$A, MATCH($E6617, 'Starlink Launches'!$B:$B, 0)),
  ""
)
</f>
        <v/>
      </c>
      <c r="B6617" s="26"/>
      <c r="C6617" s="12"/>
      <c r="D6617" s="13"/>
      <c r="E6617" s="4"/>
      <c r="F6617" s="4" t="str">
        <f>IF(D6617="","", IFNA(VLOOKUP(D6617, SATCAT_DECAY!A:B, 2, FALSE), ""))
</f>
        <v/>
      </c>
      <c r="G6617" s="3"/>
    </row>
    <row r="6618" ht="22.5" hidden="1" customHeight="1">
      <c r="A6618" s="11" t="str">
        <f t="array" ref="A6618">IFERROR(
  INDEX('Starlink Launches'!$A:$A, MATCH($E6618, 'Starlink Launches'!$B:$B, 0)),
  ""
)
</f>
        <v/>
      </c>
      <c r="B6618" s="26"/>
      <c r="C6618" s="12"/>
      <c r="D6618" s="13"/>
      <c r="E6618" s="4"/>
      <c r="F6618" s="4" t="str">
        <f>IF(D6618="","", IFNA(VLOOKUP(D6618, SATCAT_DECAY!A:B, 2, FALSE), ""))
</f>
        <v/>
      </c>
      <c r="G6618" s="3"/>
    </row>
    <row r="6619" ht="22.5" hidden="1" customHeight="1">
      <c r="A6619" s="11" t="str">
        <f t="array" ref="A6619">IFERROR(
  INDEX('Starlink Launches'!$A:$A, MATCH($E6619, 'Starlink Launches'!$B:$B, 0)),
  ""
)
</f>
        <v/>
      </c>
      <c r="B6619" s="26"/>
      <c r="C6619" s="12"/>
      <c r="D6619" s="13"/>
      <c r="E6619" s="4"/>
      <c r="F6619" s="4" t="str">
        <f>IF(D6619="","", IFNA(VLOOKUP(D6619, SATCAT_DECAY!A:B, 2, FALSE), ""))
</f>
        <v/>
      </c>
      <c r="G6619" s="3"/>
    </row>
    <row r="6620" ht="22.5" hidden="1" customHeight="1">
      <c r="A6620" s="11" t="str">
        <f t="array" ref="A6620">IFERROR(
  INDEX('Starlink Launches'!$A:$A, MATCH($E6620, 'Starlink Launches'!$B:$B, 0)),
  ""
)
</f>
        <v/>
      </c>
      <c r="B6620" s="26"/>
      <c r="C6620" s="12"/>
      <c r="D6620" s="13"/>
      <c r="E6620" s="4"/>
      <c r="F6620" s="4" t="str">
        <f>IF(D6620="","", IFNA(VLOOKUP(D6620, SATCAT_DECAY!A:B, 2, FALSE), ""))
</f>
        <v/>
      </c>
      <c r="G6620" s="3"/>
    </row>
    <row r="6621" ht="22.5" hidden="1" customHeight="1">
      <c r="A6621" s="11" t="str">
        <f t="array" ref="A6621">IFERROR(
  INDEX('Starlink Launches'!$A:$A, MATCH($E6621, 'Starlink Launches'!$B:$B, 0)),
  ""
)
</f>
        <v/>
      </c>
      <c r="B6621" s="26"/>
      <c r="C6621" s="12"/>
      <c r="D6621" s="13"/>
      <c r="E6621" s="4"/>
      <c r="F6621" s="4" t="str">
        <f>IF(D6621="","", IFNA(VLOOKUP(D6621, SATCAT_DECAY!A:B, 2, FALSE), ""))
</f>
        <v/>
      </c>
      <c r="G6621" s="3"/>
    </row>
    <row r="6622" ht="22.5" hidden="1" customHeight="1">
      <c r="A6622" s="11" t="str">
        <f t="array" ref="A6622">IFERROR(
  INDEX('Starlink Launches'!$A:$A, MATCH($E6622, 'Starlink Launches'!$B:$B, 0)),
  ""
)
</f>
        <v/>
      </c>
      <c r="B6622" s="26"/>
      <c r="C6622" s="12"/>
      <c r="D6622" s="13"/>
      <c r="E6622" s="4"/>
      <c r="F6622" s="4" t="str">
        <f>IF(D6622="","", IFNA(VLOOKUP(D6622, SATCAT_DECAY!A:B, 2, FALSE), ""))
</f>
        <v/>
      </c>
      <c r="G6622" s="3"/>
    </row>
    <row r="6623" ht="22.5" hidden="1" customHeight="1">
      <c r="A6623" s="11" t="str">
        <f t="array" ref="A6623">IFERROR(
  INDEX('Starlink Launches'!$A:$A, MATCH($E6623, 'Starlink Launches'!$B:$B, 0)),
  ""
)
</f>
        <v/>
      </c>
      <c r="B6623" s="26"/>
      <c r="C6623" s="12"/>
      <c r="D6623" s="13"/>
      <c r="E6623" s="4"/>
      <c r="F6623" s="4" t="str">
        <f>IF(D6623="","", IFNA(VLOOKUP(D6623, SATCAT_DECAY!A:B, 2, FALSE), ""))
</f>
        <v/>
      </c>
      <c r="G6623" s="3"/>
    </row>
    <row r="6624" ht="22.5" hidden="1" customHeight="1">
      <c r="A6624" s="11" t="str">
        <f t="array" ref="A6624">IFERROR(
  INDEX('Starlink Launches'!$A:$A, MATCH($E6624, 'Starlink Launches'!$B:$B, 0)),
  ""
)
</f>
        <v/>
      </c>
      <c r="B6624" s="26"/>
      <c r="C6624" s="12"/>
      <c r="D6624" s="13"/>
      <c r="E6624" s="4"/>
      <c r="F6624" s="4" t="str">
        <f>IF(D6624="","", IFNA(VLOOKUP(D6624, SATCAT_DECAY!A:B, 2, FALSE), ""))
</f>
        <v/>
      </c>
      <c r="G6624" s="3"/>
    </row>
    <row r="6625" ht="22.5" hidden="1" customHeight="1">
      <c r="A6625" s="11" t="str">
        <f t="array" ref="A6625">IFERROR(
  INDEX('Starlink Launches'!$A:$A, MATCH($E6625, 'Starlink Launches'!$B:$B, 0)),
  ""
)
</f>
        <v/>
      </c>
      <c r="B6625" s="26"/>
      <c r="C6625" s="12"/>
      <c r="D6625" s="13"/>
      <c r="E6625" s="4"/>
      <c r="F6625" s="4" t="str">
        <f>IF(D6625="","", IFNA(VLOOKUP(D6625, SATCAT_DECAY!A:B, 2, FALSE), ""))
</f>
        <v/>
      </c>
      <c r="G6625" s="3"/>
    </row>
    <row r="6626" ht="22.5" hidden="1" customHeight="1">
      <c r="A6626" s="11" t="str">
        <f t="array" ref="A6626">IFERROR(
  INDEX('Starlink Launches'!$A:$A, MATCH($E6626, 'Starlink Launches'!$B:$B, 0)),
  ""
)
</f>
        <v/>
      </c>
      <c r="B6626" s="26"/>
      <c r="C6626" s="12"/>
      <c r="D6626" s="13"/>
      <c r="E6626" s="4"/>
      <c r="F6626" s="4" t="str">
        <f>IF(D6626="","", IFNA(VLOOKUP(D6626, SATCAT_DECAY!A:B, 2, FALSE), ""))
</f>
        <v/>
      </c>
      <c r="G6626" s="3"/>
    </row>
    <row r="6627" ht="22.5" hidden="1" customHeight="1">
      <c r="A6627" s="11" t="str">
        <f t="array" ref="A6627">IFERROR(
  INDEX('Starlink Launches'!$A:$A, MATCH($E6627, 'Starlink Launches'!$B:$B, 0)),
  ""
)
</f>
        <v/>
      </c>
      <c r="B6627" s="26"/>
      <c r="C6627" s="12"/>
      <c r="D6627" s="13"/>
      <c r="E6627" s="4"/>
      <c r="F6627" s="4" t="str">
        <f>IF(D6627="","", IFNA(VLOOKUP(D6627, SATCAT_DECAY!A:B, 2, FALSE), ""))
</f>
        <v/>
      </c>
      <c r="G6627" s="3"/>
    </row>
    <row r="6628" ht="22.5" hidden="1" customHeight="1">
      <c r="A6628" s="11" t="str">
        <f t="array" ref="A6628">IFERROR(
  INDEX('Starlink Launches'!$A:$A, MATCH($E6628, 'Starlink Launches'!$B:$B, 0)),
  ""
)
</f>
        <v/>
      </c>
      <c r="B6628" s="26"/>
      <c r="C6628" s="12"/>
      <c r="D6628" s="13"/>
      <c r="E6628" s="4"/>
      <c r="F6628" s="4" t="str">
        <f>IF(D6628="","", IFNA(VLOOKUP(D6628, SATCAT_DECAY!A:B, 2, FALSE), ""))
</f>
        <v/>
      </c>
      <c r="G6628" s="3"/>
    </row>
    <row r="6629" ht="22.5" hidden="1" customHeight="1">
      <c r="A6629" s="11" t="str">
        <f t="array" ref="A6629">IFERROR(
  INDEX('Starlink Launches'!$A:$A, MATCH($E6629, 'Starlink Launches'!$B:$B, 0)),
  ""
)
</f>
        <v/>
      </c>
      <c r="B6629" s="26"/>
      <c r="C6629" s="12"/>
      <c r="D6629" s="13"/>
      <c r="E6629" s="4"/>
      <c r="F6629" s="4" t="str">
        <f>IF(D6629="","", IFNA(VLOOKUP(D6629, SATCAT_DECAY!A:B, 2, FALSE), ""))
</f>
        <v/>
      </c>
      <c r="G6629" s="3"/>
    </row>
    <row r="6630" ht="22.5" hidden="1" customHeight="1">
      <c r="A6630" s="11" t="str">
        <f t="array" ref="A6630">IFERROR(
  INDEX('Starlink Launches'!$A:$A, MATCH($E6630, 'Starlink Launches'!$B:$B, 0)),
  ""
)
</f>
        <v/>
      </c>
      <c r="B6630" s="26"/>
      <c r="C6630" s="12"/>
      <c r="D6630" s="13"/>
      <c r="E6630" s="4"/>
      <c r="F6630" s="4" t="str">
        <f>IF(D6630="","", IFNA(VLOOKUP(D6630, SATCAT_DECAY!A:B, 2, FALSE), ""))
</f>
        <v/>
      </c>
      <c r="G6630" s="3"/>
    </row>
    <row r="6631" ht="22.5" hidden="1" customHeight="1">
      <c r="A6631" s="11" t="str">
        <f t="array" ref="A6631">IFERROR(
  INDEX('Starlink Launches'!$A:$A, MATCH($E6631, 'Starlink Launches'!$B:$B, 0)),
  ""
)
</f>
        <v/>
      </c>
      <c r="B6631" s="26"/>
      <c r="C6631" s="12"/>
      <c r="D6631" s="13"/>
      <c r="E6631" s="4"/>
      <c r="F6631" s="4" t="str">
        <f>IF(D6631="","", IFNA(VLOOKUP(D6631, SATCAT_DECAY!A:B, 2, FALSE), ""))
</f>
        <v/>
      </c>
      <c r="G6631" s="3"/>
    </row>
    <row r="6632" ht="22.5" hidden="1" customHeight="1">
      <c r="A6632" s="11" t="str">
        <f t="array" ref="A6632">IFERROR(
  INDEX('Starlink Launches'!$A:$A, MATCH($E6632, 'Starlink Launches'!$B:$B, 0)),
  ""
)
</f>
        <v/>
      </c>
      <c r="B6632" s="26"/>
      <c r="C6632" s="12"/>
      <c r="D6632" s="13"/>
      <c r="E6632" s="4"/>
      <c r="F6632" s="4" t="str">
        <f>IF(D6632="","", IFNA(VLOOKUP(D6632, SATCAT_DECAY!A:B, 2, FALSE), ""))
</f>
        <v/>
      </c>
      <c r="G6632" s="3"/>
    </row>
    <row r="6633" ht="22.5" hidden="1" customHeight="1">
      <c r="A6633" s="11" t="str">
        <f t="array" ref="A6633">IFERROR(
  INDEX('Starlink Launches'!$A:$A, MATCH($E6633, 'Starlink Launches'!$B:$B, 0)),
  ""
)
</f>
        <v/>
      </c>
      <c r="B6633" s="26"/>
      <c r="C6633" s="12"/>
      <c r="D6633" s="13"/>
      <c r="E6633" s="4"/>
      <c r="F6633" s="4" t="str">
        <f>IF(D6633="","", IFNA(VLOOKUP(D6633, SATCAT_DECAY!A:B, 2, FALSE), ""))
</f>
        <v/>
      </c>
      <c r="G6633" s="3"/>
    </row>
    <row r="6634" ht="22.5" hidden="1" customHeight="1">
      <c r="A6634" s="11" t="str">
        <f t="array" ref="A6634">IFERROR(
  INDEX('Starlink Launches'!$A:$A, MATCH($E6634, 'Starlink Launches'!$B:$B, 0)),
  ""
)
</f>
        <v/>
      </c>
      <c r="B6634" s="26"/>
      <c r="C6634" s="12"/>
      <c r="D6634" s="13"/>
      <c r="E6634" s="4"/>
      <c r="F6634" s="4" t="str">
        <f>IF(D6634="","", IFNA(VLOOKUP(D6634, SATCAT_DECAY!A:B, 2, FALSE), ""))
</f>
        <v/>
      </c>
      <c r="G6634" s="3"/>
    </row>
    <row r="6635" ht="22.5" hidden="1" customHeight="1">
      <c r="A6635" s="11" t="str">
        <f t="array" ref="A6635">IFERROR(
  INDEX('Starlink Launches'!$A:$A, MATCH($E6635, 'Starlink Launches'!$B:$B, 0)),
  ""
)
</f>
        <v/>
      </c>
      <c r="B6635" s="26"/>
      <c r="C6635" s="12"/>
      <c r="D6635" s="13"/>
      <c r="E6635" s="4"/>
      <c r="F6635" s="4" t="str">
        <f>IF(D6635="","", IFNA(VLOOKUP(D6635, SATCAT_DECAY!A:B, 2, FALSE), ""))
</f>
        <v/>
      </c>
      <c r="G6635" s="3"/>
    </row>
    <row r="6636" ht="22.5" hidden="1" customHeight="1">
      <c r="A6636" s="11" t="str">
        <f t="array" ref="A6636">IFERROR(
  INDEX('Starlink Launches'!$A:$A, MATCH($E6636, 'Starlink Launches'!$B:$B, 0)),
  ""
)
</f>
        <v/>
      </c>
      <c r="B6636" s="26"/>
      <c r="C6636" s="12"/>
      <c r="D6636" s="13"/>
      <c r="E6636" s="4"/>
      <c r="F6636" s="4" t="str">
        <f>IF(D6636="","", IFNA(VLOOKUP(D6636, SATCAT_DECAY!A:B, 2, FALSE), ""))
</f>
        <v/>
      </c>
      <c r="G6636" s="3"/>
    </row>
    <row r="6637" ht="22.5" hidden="1" customHeight="1">
      <c r="A6637" s="11" t="str">
        <f t="array" ref="A6637">IFERROR(
  INDEX('Starlink Launches'!$A:$A, MATCH($E6637, 'Starlink Launches'!$B:$B, 0)),
  ""
)
</f>
        <v/>
      </c>
      <c r="B6637" s="26"/>
      <c r="C6637" s="12"/>
      <c r="D6637" s="13"/>
      <c r="E6637" s="4"/>
      <c r="F6637" s="4" t="str">
        <f>IF(D6637="","", IFNA(VLOOKUP(D6637, SATCAT_DECAY!A:B, 2, FALSE), ""))
</f>
        <v/>
      </c>
      <c r="G6637" s="3"/>
    </row>
    <row r="6638" ht="22.5" hidden="1" customHeight="1">
      <c r="A6638" s="11" t="str">
        <f t="array" ref="A6638">IFERROR(
  INDEX('Starlink Launches'!$A:$A, MATCH($E6638, 'Starlink Launches'!$B:$B, 0)),
  ""
)
</f>
        <v/>
      </c>
      <c r="B6638" s="26"/>
      <c r="C6638" s="12"/>
      <c r="D6638" s="13"/>
      <c r="E6638" s="4"/>
      <c r="F6638" s="4" t="str">
        <f>IF(D6638="","", IFNA(VLOOKUP(D6638, SATCAT_DECAY!A:B, 2, FALSE), ""))
</f>
        <v/>
      </c>
      <c r="G6638" s="3"/>
    </row>
    <row r="6639" ht="22.5" hidden="1" customHeight="1">
      <c r="A6639" s="11" t="str">
        <f t="array" ref="A6639">IFERROR(
  INDEX('Starlink Launches'!$A:$A, MATCH($E6639, 'Starlink Launches'!$B:$B, 0)),
  ""
)
</f>
        <v/>
      </c>
      <c r="B6639" s="26"/>
      <c r="C6639" s="12"/>
      <c r="D6639" s="13"/>
      <c r="E6639" s="4"/>
      <c r="F6639" s="4" t="str">
        <f>IF(D6639="","", IFNA(VLOOKUP(D6639, SATCAT_DECAY!A:B, 2, FALSE), ""))
</f>
        <v/>
      </c>
      <c r="G6639" s="3"/>
    </row>
    <row r="6640" ht="22.5" hidden="1" customHeight="1">
      <c r="A6640" s="11" t="str">
        <f t="array" ref="A6640">IFERROR(
  INDEX('Starlink Launches'!$A:$A, MATCH($E6640, 'Starlink Launches'!$B:$B, 0)),
  ""
)
</f>
        <v/>
      </c>
      <c r="B6640" s="26"/>
      <c r="C6640" s="12"/>
      <c r="D6640" s="13"/>
      <c r="E6640" s="4"/>
      <c r="F6640" s="4" t="str">
        <f>IF(D6640="","", IFNA(VLOOKUP(D6640, SATCAT_DECAY!A:B, 2, FALSE), ""))
</f>
        <v/>
      </c>
      <c r="G6640" s="3"/>
    </row>
    <row r="6641" ht="22.5" hidden="1" customHeight="1">
      <c r="A6641" s="11" t="str">
        <f t="array" ref="A6641">IFERROR(
  INDEX('Starlink Launches'!$A:$A, MATCH($E6641, 'Starlink Launches'!$B:$B, 0)),
  ""
)
</f>
        <v/>
      </c>
      <c r="B6641" s="26"/>
      <c r="C6641" s="12"/>
      <c r="D6641" s="13"/>
      <c r="E6641" s="4"/>
      <c r="F6641" s="4" t="str">
        <f>IF(D6641="","", IFNA(VLOOKUP(D6641, SATCAT_DECAY!A:B, 2, FALSE), ""))
</f>
        <v/>
      </c>
      <c r="G6641" s="3"/>
    </row>
    <row r="6642" ht="22.5" hidden="1" customHeight="1">
      <c r="A6642" s="11" t="str">
        <f t="array" ref="A6642">IFERROR(
  INDEX('Starlink Launches'!$A:$A, MATCH($E6642, 'Starlink Launches'!$B:$B, 0)),
  ""
)
</f>
        <v/>
      </c>
      <c r="B6642" s="26"/>
      <c r="C6642" s="12"/>
      <c r="D6642" s="13"/>
      <c r="E6642" s="4"/>
      <c r="F6642" s="4" t="str">
        <f>IF(D6642="","", IFNA(VLOOKUP(D6642, SATCAT_DECAY!A:B, 2, FALSE), ""))
</f>
        <v/>
      </c>
      <c r="G6642" s="3"/>
    </row>
    <row r="6643" ht="22.5" hidden="1" customHeight="1">
      <c r="A6643" s="11" t="str">
        <f t="array" ref="A6643">IFERROR(
  INDEX('Starlink Launches'!$A:$A, MATCH($E6643, 'Starlink Launches'!$B:$B, 0)),
  ""
)
</f>
        <v/>
      </c>
      <c r="B6643" s="26"/>
      <c r="C6643" s="12"/>
      <c r="D6643" s="13"/>
      <c r="E6643" s="4"/>
      <c r="F6643" s="4" t="str">
        <f>IF(D6643="","", IFNA(VLOOKUP(D6643, SATCAT_DECAY!A:B, 2, FALSE), ""))
</f>
        <v/>
      </c>
      <c r="G6643" s="3"/>
    </row>
    <row r="6644" ht="22.5" hidden="1" customHeight="1">
      <c r="A6644" s="11" t="str">
        <f t="array" ref="A6644">IFERROR(
  INDEX('Starlink Launches'!$A:$A, MATCH($E6644, 'Starlink Launches'!$B:$B, 0)),
  ""
)
</f>
        <v/>
      </c>
      <c r="B6644" s="26"/>
      <c r="C6644" s="12"/>
      <c r="D6644" s="13"/>
      <c r="E6644" s="4"/>
      <c r="F6644" s="4" t="str">
        <f>IF(D6644="","", IFNA(VLOOKUP(D6644, SATCAT_DECAY!A:B, 2, FALSE), ""))
</f>
        <v/>
      </c>
      <c r="G6644" s="3"/>
    </row>
    <row r="6645" ht="22.5" hidden="1" customHeight="1">
      <c r="A6645" s="11" t="str">
        <f t="array" ref="A6645">IFERROR(
  INDEX('Starlink Launches'!$A:$A, MATCH($E6645, 'Starlink Launches'!$B:$B, 0)),
  ""
)
</f>
        <v/>
      </c>
      <c r="B6645" s="26"/>
      <c r="C6645" s="12"/>
      <c r="D6645" s="13"/>
      <c r="E6645" s="4"/>
      <c r="F6645" s="4" t="str">
        <f>IF(D6645="","", IFNA(VLOOKUP(D6645, SATCAT_DECAY!A:B, 2, FALSE), ""))
</f>
        <v/>
      </c>
      <c r="G6645" s="3"/>
    </row>
    <row r="6646" ht="22.5" hidden="1" customHeight="1">
      <c r="A6646" s="11" t="str">
        <f t="array" ref="A6646">IFERROR(
  INDEX('Starlink Launches'!$A:$A, MATCH($E6646, 'Starlink Launches'!$B:$B, 0)),
  ""
)
</f>
        <v/>
      </c>
      <c r="B6646" s="26"/>
      <c r="C6646" s="12"/>
      <c r="D6646" s="13"/>
      <c r="E6646" s="4"/>
      <c r="F6646" s="4" t="str">
        <f>IF(D6646="","", IFNA(VLOOKUP(D6646, SATCAT_DECAY!A:B, 2, FALSE), ""))
</f>
        <v/>
      </c>
      <c r="G6646" s="3"/>
    </row>
    <row r="6647" ht="22.5" hidden="1" customHeight="1">
      <c r="A6647" s="11" t="str">
        <f t="array" ref="A6647">IFERROR(
  INDEX('Starlink Launches'!$A:$A, MATCH($E6647, 'Starlink Launches'!$B:$B, 0)),
  ""
)
</f>
        <v/>
      </c>
      <c r="B6647" s="26"/>
      <c r="C6647" s="12"/>
      <c r="D6647" s="13"/>
      <c r="E6647" s="4"/>
      <c r="F6647" s="4" t="str">
        <f>IF(D6647="","", IFNA(VLOOKUP(D6647, SATCAT_DECAY!A:B, 2, FALSE), ""))
</f>
        <v/>
      </c>
      <c r="G6647" s="3"/>
    </row>
    <row r="6648" ht="22.5" hidden="1" customHeight="1">
      <c r="A6648" s="11" t="str">
        <f t="array" ref="A6648">IFERROR(
  INDEX('Starlink Launches'!$A:$A, MATCH($E6648, 'Starlink Launches'!$B:$B, 0)),
  ""
)
</f>
        <v/>
      </c>
      <c r="B6648" s="26"/>
      <c r="C6648" s="12"/>
      <c r="D6648" s="13"/>
      <c r="E6648" s="4"/>
      <c r="F6648" s="4" t="str">
        <f>IF(D6648="","", IFNA(VLOOKUP(D6648, SATCAT_DECAY!A:B, 2, FALSE), ""))
</f>
        <v/>
      </c>
      <c r="G6648" s="3"/>
    </row>
    <row r="6649" ht="22.5" hidden="1" customHeight="1">
      <c r="A6649" s="11" t="str">
        <f t="array" ref="A6649">IFERROR(
  INDEX('Starlink Launches'!$A:$A, MATCH($E6649, 'Starlink Launches'!$B:$B, 0)),
  ""
)
</f>
        <v/>
      </c>
      <c r="B6649" s="26"/>
      <c r="C6649" s="12"/>
      <c r="D6649" s="13"/>
      <c r="E6649" s="4"/>
      <c r="F6649" s="4" t="str">
        <f>IF(D6649="","", IFNA(VLOOKUP(D6649, SATCAT_DECAY!A:B, 2, FALSE), ""))
</f>
        <v/>
      </c>
      <c r="G6649" s="3"/>
    </row>
    <row r="6650" ht="22.5" hidden="1" customHeight="1">
      <c r="A6650" s="11" t="str">
        <f t="array" ref="A6650">IFERROR(
  INDEX('Starlink Launches'!$A:$A, MATCH($E6650, 'Starlink Launches'!$B:$B, 0)),
  ""
)
</f>
        <v/>
      </c>
      <c r="B6650" s="26"/>
      <c r="C6650" s="12"/>
      <c r="D6650" s="13"/>
      <c r="E6650" s="4"/>
      <c r="F6650" s="4" t="str">
        <f>IF(D6650="","", IFNA(VLOOKUP(D6650, SATCAT_DECAY!A:B, 2, FALSE), ""))
</f>
        <v/>
      </c>
      <c r="G6650" s="3"/>
    </row>
    <row r="6651" ht="22.5" hidden="1" customHeight="1">
      <c r="A6651" s="11" t="str">
        <f t="array" ref="A6651">IFERROR(
  INDEX('Starlink Launches'!$A:$A, MATCH($E6651, 'Starlink Launches'!$B:$B, 0)),
  ""
)
</f>
        <v/>
      </c>
      <c r="B6651" s="26"/>
      <c r="C6651" s="12"/>
      <c r="D6651" s="13"/>
      <c r="E6651" s="4"/>
      <c r="F6651" s="4" t="str">
        <f>IF(D6651="","", IFNA(VLOOKUP(D6651, SATCAT_DECAY!A:B, 2, FALSE), ""))
</f>
        <v/>
      </c>
      <c r="G6651" s="3"/>
    </row>
    <row r="6652" ht="22.5" hidden="1" customHeight="1">
      <c r="A6652" s="11" t="str">
        <f t="array" ref="A6652">IFERROR(
  INDEX('Starlink Launches'!$A:$A, MATCH($E6652, 'Starlink Launches'!$B:$B, 0)),
  ""
)
</f>
        <v/>
      </c>
      <c r="B6652" s="26"/>
      <c r="C6652" s="12"/>
      <c r="D6652" s="13"/>
      <c r="E6652" s="4"/>
      <c r="F6652" s="4" t="str">
        <f>IF(D6652="","", IFNA(VLOOKUP(D6652, SATCAT_DECAY!A:B, 2, FALSE), ""))
</f>
        <v/>
      </c>
      <c r="G6652" s="3"/>
    </row>
    <row r="6653" ht="22.5" hidden="1" customHeight="1">
      <c r="A6653" s="11" t="str">
        <f t="array" ref="A6653">IFERROR(
  INDEX('Starlink Launches'!$A:$A, MATCH($E6653, 'Starlink Launches'!$B:$B, 0)),
  ""
)
</f>
        <v/>
      </c>
      <c r="B6653" s="26"/>
      <c r="C6653" s="12"/>
      <c r="D6653" s="13"/>
      <c r="E6653" s="4"/>
      <c r="F6653" s="4" t="str">
        <f>IF(D6653="","", IFNA(VLOOKUP(D6653, SATCAT_DECAY!A:B, 2, FALSE), ""))
</f>
        <v/>
      </c>
      <c r="G6653" s="3"/>
    </row>
    <row r="6654" ht="22.5" hidden="1" customHeight="1">
      <c r="A6654" s="11" t="str">
        <f t="array" ref="A6654">IFERROR(
  INDEX('Starlink Launches'!$A:$A, MATCH($E6654, 'Starlink Launches'!$B:$B, 0)),
  ""
)
</f>
        <v/>
      </c>
      <c r="B6654" s="26"/>
      <c r="C6654" s="12"/>
      <c r="D6654" s="13"/>
      <c r="E6654" s="4"/>
      <c r="F6654" s="4" t="str">
        <f>IF(D6654="","", IFNA(VLOOKUP(D6654, SATCAT_DECAY!A:B, 2, FALSE), ""))
</f>
        <v/>
      </c>
      <c r="G6654" s="3"/>
    </row>
    <row r="6655" ht="22.5" hidden="1" customHeight="1">
      <c r="A6655" s="11" t="str">
        <f t="array" ref="A6655">IFERROR(
  INDEX('Starlink Launches'!$A:$A, MATCH($E6655, 'Starlink Launches'!$B:$B, 0)),
  ""
)
</f>
        <v/>
      </c>
      <c r="B6655" s="26"/>
      <c r="C6655" s="12"/>
      <c r="D6655" s="13"/>
      <c r="E6655" s="4"/>
      <c r="F6655" s="4" t="str">
        <f>IF(D6655="","", IFNA(VLOOKUP(D6655, SATCAT_DECAY!A:B, 2, FALSE), ""))
</f>
        <v/>
      </c>
      <c r="G6655" s="3"/>
    </row>
    <row r="6656" ht="22.5" hidden="1" customHeight="1">
      <c r="A6656" s="11" t="str">
        <f t="array" ref="A6656">IFERROR(
  INDEX('Starlink Launches'!$A:$A, MATCH($E6656, 'Starlink Launches'!$B:$B, 0)),
  ""
)
</f>
        <v/>
      </c>
      <c r="B6656" s="26"/>
      <c r="C6656" s="12"/>
      <c r="D6656" s="13"/>
      <c r="E6656" s="4"/>
      <c r="F6656" s="4" t="str">
        <f>IF(D6656="","", IFNA(VLOOKUP(D6656, SATCAT_DECAY!A:B, 2, FALSE), ""))
</f>
        <v/>
      </c>
      <c r="G6656" s="3"/>
    </row>
    <row r="6657" ht="22.5" hidden="1" customHeight="1">
      <c r="A6657" s="11" t="str">
        <f t="array" ref="A6657">IFERROR(
  INDEX('Starlink Launches'!$A:$A, MATCH($E6657, 'Starlink Launches'!$B:$B, 0)),
  ""
)
</f>
        <v/>
      </c>
      <c r="B6657" s="26"/>
      <c r="C6657" s="12"/>
      <c r="D6657" s="13"/>
      <c r="E6657" s="4"/>
      <c r="F6657" s="4" t="str">
        <f>IF(D6657="","", IFNA(VLOOKUP(D6657, SATCAT_DECAY!A:B, 2, FALSE), ""))
</f>
        <v/>
      </c>
      <c r="G6657" s="3"/>
    </row>
    <row r="6658" ht="22.5" hidden="1" customHeight="1">
      <c r="A6658" s="11" t="str">
        <f t="array" ref="A6658">IFERROR(
  INDEX('Starlink Launches'!$A:$A, MATCH($E6658, 'Starlink Launches'!$B:$B, 0)),
  ""
)
</f>
        <v/>
      </c>
      <c r="B6658" s="26"/>
      <c r="C6658" s="12"/>
      <c r="D6658" s="13"/>
      <c r="E6658" s="4"/>
      <c r="F6658" s="4" t="str">
        <f>IF(D6658="","", IFNA(VLOOKUP(D6658, SATCAT_DECAY!A:B, 2, FALSE), ""))
</f>
        <v/>
      </c>
      <c r="G6658" s="3"/>
    </row>
    <row r="6659" ht="22.5" hidden="1" customHeight="1">
      <c r="A6659" s="11" t="str">
        <f t="array" ref="A6659">IFERROR(
  INDEX('Starlink Launches'!$A:$A, MATCH($E6659, 'Starlink Launches'!$B:$B, 0)),
  ""
)
</f>
        <v/>
      </c>
      <c r="B6659" s="26"/>
      <c r="C6659" s="12"/>
      <c r="D6659" s="13"/>
      <c r="E6659" s="4"/>
      <c r="F6659" s="4" t="str">
        <f>IF(D6659="","", IFNA(VLOOKUP(D6659, SATCAT_DECAY!A:B, 2, FALSE), ""))
</f>
        <v/>
      </c>
      <c r="G6659" s="3"/>
    </row>
    <row r="6660" ht="22.5" hidden="1" customHeight="1">
      <c r="A6660" s="11" t="str">
        <f t="array" ref="A6660">IFERROR(
  INDEX('Starlink Launches'!$A:$A, MATCH($E6660, 'Starlink Launches'!$B:$B, 0)),
  ""
)
</f>
        <v/>
      </c>
      <c r="B6660" s="26"/>
      <c r="C6660" s="12"/>
      <c r="D6660" s="13"/>
      <c r="E6660" s="4"/>
      <c r="F6660" s="4" t="str">
        <f>IF(D6660="","", IFNA(VLOOKUP(D6660, SATCAT_DECAY!A:B, 2, FALSE), ""))
</f>
        <v/>
      </c>
      <c r="G6660" s="3"/>
    </row>
    <row r="6661" ht="22.5" hidden="1" customHeight="1">
      <c r="A6661" s="11" t="str">
        <f t="array" ref="A6661">IFERROR(
  INDEX('Starlink Launches'!$A:$A, MATCH($E6661, 'Starlink Launches'!$B:$B, 0)),
  ""
)
</f>
        <v/>
      </c>
      <c r="B6661" s="26"/>
      <c r="C6661" s="12"/>
      <c r="D6661" s="13"/>
      <c r="E6661" s="4"/>
      <c r="F6661" s="4" t="str">
        <f>IF(D6661="","", IFNA(VLOOKUP(D6661, SATCAT_DECAY!A:B, 2, FALSE), ""))
</f>
        <v/>
      </c>
      <c r="G6661" s="3"/>
    </row>
    <row r="6662" ht="22.5" hidden="1" customHeight="1">
      <c r="A6662" s="11" t="str">
        <f t="array" ref="A6662">IFERROR(
  INDEX('Starlink Launches'!$A:$A, MATCH($E6662, 'Starlink Launches'!$B:$B, 0)),
  ""
)
</f>
        <v/>
      </c>
      <c r="B6662" s="26"/>
      <c r="C6662" s="12"/>
      <c r="D6662" s="13"/>
      <c r="E6662" s="4"/>
      <c r="F6662" s="4" t="str">
        <f>IF(D6662="","", IFNA(VLOOKUP(D6662, SATCAT_DECAY!A:B, 2, FALSE), ""))
</f>
        <v/>
      </c>
      <c r="G6662" s="3"/>
    </row>
    <row r="6663" ht="22.5" hidden="1" customHeight="1">
      <c r="A6663" s="11" t="str">
        <f t="array" ref="A6663">IFERROR(
  INDEX('Starlink Launches'!$A:$A, MATCH($E6663, 'Starlink Launches'!$B:$B, 0)),
  ""
)
</f>
        <v/>
      </c>
      <c r="B6663" s="26"/>
      <c r="C6663" s="12"/>
      <c r="D6663" s="13"/>
      <c r="E6663" s="4"/>
      <c r="F6663" s="4" t="str">
        <f>IF(D6663="","", IFNA(VLOOKUP(D6663, SATCAT_DECAY!A:B, 2, FALSE), ""))
</f>
        <v/>
      </c>
      <c r="G6663" s="3"/>
    </row>
    <row r="6664" ht="22.5" hidden="1" customHeight="1">
      <c r="A6664" s="11" t="str">
        <f t="array" ref="A6664">IFERROR(
  INDEX('Starlink Launches'!$A:$A, MATCH($E6664, 'Starlink Launches'!$B:$B, 0)),
  ""
)
</f>
        <v/>
      </c>
      <c r="B6664" s="26"/>
      <c r="C6664" s="12"/>
      <c r="D6664" s="13"/>
      <c r="E6664" s="4"/>
      <c r="F6664" s="4" t="str">
        <f>IF(D6664="","", IFNA(VLOOKUP(D6664, SATCAT_DECAY!A:B, 2, FALSE), ""))
</f>
        <v/>
      </c>
      <c r="G6664" s="3"/>
    </row>
    <row r="6665" ht="22.5" hidden="1" customHeight="1">
      <c r="A6665" s="11" t="str">
        <f t="array" ref="A6665">IFERROR(
  INDEX('Starlink Launches'!$A:$A, MATCH($E6665, 'Starlink Launches'!$B:$B, 0)),
  ""
)
</f>
        <v/>
      </c>
      <c r="B6665" s="26"/>
      <c r="C6665" s="12"/>
      <c r="D6665" s="13"/>
      <c r="E6665" s="4"/>
      <c r="F6665" s="4" t="str">
        <f>IF(D6665="","", IFNA(VLOOKUP(D6665, SATCAT_DECAY!A:B, 2, FALSE), ""))
</f>
        <v/>
      </c>
      <c r="G6665" s="3"/>
    </row>
    <row r="6666" ht="22.5" hidden="1" customHeight="1">
      <c r="A6666" s="11" t="str">
        <f t="array" ref="A6666">IFERROR(
  INDEX('Starlink Launches'!$A:$A, MATCH($E6666, 'Starlink Launches'!$B:$B, 0)),
  ""
)
</f>
        <v/>
      </c>
      <c r="B6666" s="26"/>
      <c r="C6666" s="12"/>
      <c r="D6666" s="13"/>
      <c r="E6666" s="4"/>
      <c r="F6666" s="4" t="str">
        <f>IF(D6666="","", IFNA(VLOOKUP(D6666, SATCAT_DECAY!A:B, 2, FALSE), ""))
</f>
        <v/>
      </c>
      <c r="G6666" s="3"/>
    </row>
    <row r="6667" ht="22.5" hidden="1" customHeight="1">
      <c r="A6667" s="11" t="str">
        <f t="array" ref="A6667">IFERROR(
  INDEX('Starlink Launches'!$A:$A, MATCH($E6667, 'Starlink Launches'!$B:$B, 0)),
  ""
)
</f>
        <v/>
      </c>
      <c r="B6667" s="26"/>
      <c r="C6667" s="12"/>
      <c r="D6667" s="13"/>
      <c r="E6667" s="4"/>
      <c r="F6667" s="4" t="str">
        <f>IF(D6667="","", IFNA(VLOOKUP(D6667, SATCAT_DECAY!A:B, 2, FALSE), ""))
</f>
        <v/>
      </c>
      <c r="G6667" s="3"/>
    </row>
    <row r="6668" ht="22.5" hidden="1" customHeight="1">
      <c r="A6668" s="11" t="str">
        <f t="array" ref="A6668">IFERROR(
  INDEX('Starlink Launches'!$A:$A, MATCH($E6668, 'Starlink Launches'!$B:$B, 0)),
  ""
)
</f>
        <v/>
      </c>
      <c r="B6668" s="26"/>
      <c r="C6668" s="12"/>
      <c r="D6668" s="13"/>
      <c r="E6668" s="4"/>
      <c r="F6668" s="4" t="str">
        <f>IF(D6668="","", IFNA(VLOOKUP(D6668, SATCAT_DECAY!A:B, 2, FALSE), ""))
</f>
        <v/>
      </c>
      <c r="G6668" s="3"/>
    </row>
    <row r="6669" ht="22.5" hidden="1" customHeight="1">
      <c r="A6669" s="11" t="str">
        <f t="array" ref="A6669">IFERROR(
  INDEX('Starlink Launches'!$A:$A, MATCH($E6669, 'Starlink Launches'!$B:$B, 0)),
  ""
)
</f>
        <v/>
      </c>
      <c r="B6669" s="26"/>
      <c r="C6669" s="12"/>
      <c r="D6669" s="13"/>
      <c r="E6669" s="4"/>
      <c r="F6669" s="4" t="str">
        <f>IF(D6669="","", IFNA(VLOOKUP(D6669, SATCAT_DECAY!A:B, 2, FALSE), ""))
</f>
        <v/>
      </c>
      <c r="G6669" s="3"/>
    </row>
    <row r="6670" ht="22.5" hidden="1" customHeight="1">
      <c r="A6670" s="11" t="str">
        <f t="array" ref="A6670">IFERROR(
  INDEX('Starlink Launches'!$A:$A, MATCH($E6670, 'Starlink Launches'!$B:$B, 0)),
  ""
)
</f>
        <v/>
      </c>
      <c r="B6670" s="26"/>
      <c r="C6670" s="12"/>
      <c r="D6670" s="13"/>
      <c r="E6670" s="4"/>
      <c r="F6670" s="4" t="str">
        <f>IF(D6670="","", IFNA(VLOOKUP(D6670, SATCAT_DECAY!A:B, 2, FALSE), ""))
</f>
        <v/>
      </c>
      <c r="G6670" s="3"/>
    </row>
    <row r="6671" ht="22.5" hidden="1" customHeight="1">
      <c r="A6671" s="11" t="str">
        <f t="array" ref="A6671">IFERROR(
  INDEX('Starlink Launches'!$A:$A, MATCH($E6671, 'Starlink Launches'!$B:$B, 0)),
  ""
)
</f>
        <v/>
      </c>
      <c r="B6671" s="26"/>
      <c r="C6671" s="12"/>
      <c r="D6671" s="13"/>
      <c r="E6671" s="4"/>
      <c r="F6671" s="4" t="str">
        <f>IF(D6671="","", IFNA(VLOOKUP(D6671, SATCAT_DECAY!A:B, 2, FALSE), ""))
</f>
        <v/>
      </c>
      <c r="G6671" s="3"/>
    </row>
    <row r="6672" ht="22.5" hidden="1" customHeight="1">
      <c r="A6672" s="11" t="str">
        <f t="array" ref="A6672">IFERROR(
  INDEX('Starlink Launches'!$A:$A, MATCH($E6672, 'Starlink Launches'!$B:$B, 0)),
  ""
)
</f>
        <v/>
      </c>
      <c r="B6672" s="26"/>
      <c r="C6672" s="12"/>
      <c r="D6672" s="13"/>
      <c r="E6672" s="4"/>
      <c r="F6672" s="4" t="str">
        <f>IF(D6672="","", IFNA(VLOOKUP(D6672, SATCAT_DECAY!A:B, 2, FALSE), ""))
</f>
        <v/>
      </c>
      <c r="G6672" s="3"/>
    </row>
    <row r="6673" ht="22.5" hidden="1" customHeight="1">
      <c r="A6673" s="11" t="str">
        <f t="array" ref="A6673">IFERROR(
  INDEX('Starlink Launches'!$A:$A, MATCH($E6673, 'Starlink Launches'!$B:$B, 0)),
  ""
)
</f>
        <v/>
      </c>
      <c r="B6673" s="26"/>
      <c r="C6673" s="12"/>
      <c r="D6673" s="13"/>
      <c r="E6673" s="4"/>
      <c r="F6673" s="4" t="str">
        <f>IF(D6673="","", IFNA(VLOOKUP(D6673, SATCAT_DECAY!A:B, 2, FALSE), ""))
</f>
        <v/>
      </c>
      <c r="G6673" s="3"/>
    </row>
    <row r="6674" ht="22.5" hidden="1" customHeight="1">
      <c r="A6674" s="11" t="str">
        <f t="array" ref="A6674">IFERROR(
  INDEX('Starlink Launches'!$A:$A, MATCH($E6674, 'Starlink Launches'!$B:$B, 0)),
  ""
)
</f>
        <v/>
      </c>
      <c r="B6674" s="26"/>
      <c r="C6674" s="12"/>
      <c r="D6674" s="13"/>
      <c r="E6674" s="4"/>
      <c r="F6674" s="4" t="str">
        <f>IF(D6674="","", IFNA(VLOOKUP(D6674, SATCAT_DECAY!A:B, 2, FALSE), ""))
</f>
        <v/>
      </c>
      <c r="G6674" s="3"/>
    </row>
    <row r="6675" ht="22.5" hidden="1" customHeight="1">
      <c r="A6675" s="11" t="str">
        <f t="array" ref="A6675">IFERROR(
  INDEX('Starlink Launches'!$A:$A, MATCH($E6675, 'Starlink Launches'!$B:$B, 0)),
  ""
)
</f>
        <v/>
      </c>
      <c r="B6675" s="26"/>
      <c r="C6675" s="12"/>
      <c r="D6675" s="13"/>
      <c r="E6675" s="4"/>
      <c r="F6675" s="4" t="str">
        <f>IF(D6675="","", IFNA(VLOOKUP(D6675, SATCAT_DECAY!A:B, 2, FALSE), ""))
</f>
        <v/>
      </c>
      <c r="G6675" s="3"/>
    </row>
    <row r="6676" ht="22.5" hidden="1" customHeight="1">
      <c r="A6676" s="11" t="str">
        <f t="array" ref="A6676">IFERROR(
  INDEX('Starlink Launches'!$A:$A, MATCH($E6676, 'Starlink Launches'!$B:$B, 0)),
  ""
)
</f>
        <v/>
      </c>
      <c r="B6676" s="26"/>
      <c r="C6676" s="12"/>
      <c r="D6676" s="13"/>
      <c r="E6676" s="4"/>
      <c r="F6676" s="4" t="str">
        <f>IF(D6676="","", IFNA(VLOOKUP(D6676, SATCAT_DECAY!A:B, 2, FALSE), ""))
</f>
        <v/>
      </c>
      <c r="G6676" s="3"/>
    </row>
    <row r="6677" ht="22.5" hidden="1" customHeight="1">
      <c r="A6677" s="11" t="str">
        <f t="array" ref="A6677">IFERROR(
  INDEX('Starlink Launches'!$A:$A, MATCH($E6677, 'Starlink Launches'!$B:$B, 0)),
  ""
)
</f>
        <v/>
      </c>
      <c r="B6677" s="26"/>
      <c r="C6677" s="12"/>
      <c r="D6677" s="13"/>
      <c r="E6677" s="4"/>
      <c r="F6677" s="4" t="str">
        <f>IF(D6677="","", IFNA(VLOOKUP(D6677, SATCAT_DECAY!A:B, 2, FALSE), ""))
</f>
        <v/>
      </c>
      <c r="G6677" s="3"/>
    </row>
    <row r="6678" ht="22.5" hidden="1" customHeight="1">
      <c r="A6678" s="11" t="str">
        <f t="array" ref="A6678">IFERROR(
  INDEX('Starlink Launches'!$A:$A, MATCH($E6678, 'Starlink Launches'!$B:$B, 0)),
  ""
)
</f>
        <v/>
      </c>
      <c r="B6678" s="26"/>
      <c r="C6678" s="12"/>
      <c r="D6678" s="13"/>
      <c r="E6678" s="4"/>
      <c r="F6678" s="4" t="str">
        <f>IF(D6678="","", IFNA(VLOOKUP(D6678, SATCAT_DECAY!A:B, 2, FALSE), ""))
</f>
        <v/>
      </c>
      <c r="G6678" s="3"/>
    </row>
    <row r="6679" ht="22.5" hidden="1" customHeight="1">
      <c r="A6679" s="11" t="str">
        <f t="array" ref="A6679">IFERROR(
  INDEX('Starlink Launches'!$A:$A, MATCH($E6679, 'Starlink Launches'!$B:$B, 0)),
  ""
)
</f>
        <v/>
      </c>
      <c r="B6679" s="26"/>
      <c r="C6679" s="12"/>
      <c r="D6679" s="13"/>
      <c r="E6679" s="4"/>
      <c r="F6679" s="4" t="str">
        <f>IF(D6679="","", IFNA(VLOOKUP(D6679, SATCAT_DECAY!A:B, 2, FALSE), ""))
</f>
        <v/>
      </c>
      <c r="G6679" s="3"/>
    </row>
    <row r="6680" ht="22.5" hidden="1" customHeight="1">
      <c r="A6680" s="11" t="str">
        <f t="array" ref="A6680">IFERROR(
  INDEX('Starlink Launches'!$A:$A, MATCH($E6680, 'Starlink Launches'!$B:$B, 0)),
  ""
)
</f>
        <v/>
      </c>
      <c r="B6680" s="26"/>
      <c r="C6680" s="12"/>
      <c r="D6680" s="13"/>
      <c r="E6680" s="4"/>
      <c r="F6680" s="4" t="str">
        <f>IF(D6680="","", IFNA(VLOOKUP(D6680, SATCAT_DECAY!A:B, 2, FALSE), ""))
</f>
        <v/>
      </c>
      <c r="G6680" s="3"/>
    </row>
    <row r="6681" ht="22.5" hidden="1" customHeight="1">
      <c r="A6681" s="11" t="str">
        <f t="array" ref="A6681">IFERROR(
  INDEX('Starlink Launches'!$A:$A, MATCH($E6681, 'Starlink Launches'!$B:$B, 0)),
  ""
)
</f>
        <v/>
      </c>
      <c r="B6681" s="26"/>
      <c r="C6681" s="12"/>
      <c r="D6681" s="13"/>
      <c r="E6681" s="4"/>
      <c r="F6681" s="4" t="str">
        <f>IF(D6681="","", IFNA(VLOOKUP(D6681, SATCAT_DECAY!A:B, 2, FALSE), ""))
</f>
        <v/>
      </c>
      <c r="G6681" s="3"/>
    </row>
    <row r="6682" ht="22.5" hidden="1" customHeight="1">
      <c r="A6682" s="11" t="str">
        <f t="array" ref="A6682">IFERROR(
  INDEX('Starlink Launches'!$A:$A, MATCH($E6682, 'Starlink Launches'!$B:$B, 0)),
  ""
)
</f>
        <v/>
      </c>
      <c r="B6682" s="26"/>
      <c r="C6682" s="12"/>
      <c r="D6682" s="13"/>
      <c r="E6682" s="4"/>
      <c r="F6682" s="4" t="str">
        <f>IF(D6682="","", IFNA(VLOOKUP(D6682, SATCAT_DECAY!A:B, 2, FALSE), ""))
</f>
        <v/>
      </c>
      <c r="G6682" s="3"/>
    </row>
    <row r="6683" ht="22.5" hidden="1" customHeight="1">
      <c r="A6683" s="11" t="str">
        <f t="array" ref="A6683">IFERROR(
  INDEX('Starlink Launches'!$A:$A, MATCH($E6683, 'Starlink Launches'!$B:$B, 0)),
  ""
)
</f>
        <v/>
      </c>
      <c r="B6683" s="26"/>
      <c r="C6683" s="12"/>
      <c r="D6683" s="13"/>
      <c r="E6683" s="4"/>
      <c r="F6683" s="4" t="str">
        <f>IF(D6683="","", IFNA(VLOOKUP(D6683, SATCAT_DECAY!A:B, 2, FALSE), ""))
</f>
        <v/>
      </c>
      <c r="G6683" s="3"/>
    </row>
    <row r="6684" ht="22.5" hidden="1" customHeight="1">
      <c r="A6684" s="11" t="str">
        <f t="array" ref="A6684">IFERROR(
  INDEX('Starlink Launches'!$A:$A, MATCH($E6684, 'Starlink Launches'!$B:$B, 0)),
  ""
)
</f>
        <v/>
      </c>
      <c r="B6684" s="26"/>
      <c r="C6684" s="12"/>
      <c r="D6684" s="13"/>
      <c r="E6684" s="4"/>
      <c r="F6684" s="4" t="str">
        <f>IF(D6684="","", IFNA(VLOOKUP(D6684, SATCAT_DECAY!A:B, 2, FALSE), ""))
</f>
        <v/>
      </c>
      <c r="G6684" s="3"/>
    </row>
    <row r="6685" ht="22.5" hidden="1" customHeight="1">
      <c r="A6685" s="11" t="str">
        <f t="array" ref="A6685">IFERROR(
  INDEX('Starlink Launches'!$A:$A, MATCH($E6685, 'Starlink Launches'!$B:$B, 0)),
  ""
)
</f>
        <v/>
      </c>
      <c r="B6685" s="26"/>
      <c r="C6685" s="12"/>
      <c r="D6685" s="13"/>
      <c r="E6685" s="4"/>
      <c r="F6685" s="4" t="str">
        <f>IF(D6685="","", IFNA(VLOOKUP(D6685, SATCAT_DECAY!A:B, 2, FALSE), ""))
</f>
        <v/>
      </c>
      <c r="G6685" s="3"/>
    </row>
    <row r="6686" ht="22.5" hidden="1" customHeight="1">
      <c r="A6686" s="11" t="str">
        <f t="array" ref="A6686">IFERROR(
  INDEX('Starlink Launches'!$A:$A, MATCH($E6686, 'Starlink Launches'!$B:$B, 0)),
  ""
)
</f>
        <v/>
      </c>
      <c r="B6686" s="26"/>
      <c r="C6686" s="12"/>
      <c r="D6686" s="13"/>
      <c r="E6686" s="4"/>
      <c r="F6686" s="4" t="str">
        <f>IF(D6686="","", IFNA(VLOOKUP(D6686, SATCAT_DECAY!A:B, 2, FALSE), ""))
</f>
        <v/>
      </c>
      <c r="G6686" s="3"/>
    </row>
    <row r="6687" ht="22.5" hidden="1" customHeight="1">
      <c r="A6687" s="11" t="str">
        <f t="array" ref="A6687">IFERROR(
  INDEX('Starlink Launches'!$A:$A, MATCH($E6687, 'Starlink Launches'!$B:$B, 0)),
  ""
)
</f>
        <v/>
      </c>
      <c r="B6687" s="26"/>
      <c r="C6687" s="12"/>
      <c r="D6687" s="13"/>
      <c r="E6687" s="4"/>
      <c r="F6687" s="4" t="str">
        <f>IF(D6687="","", IFNA(VLOOKUP(D6687, SATCAT_DECAY!A:B, 2, FALSE), ""))
</f>
        <v/>
      </c>
      <c r="G6687" s="3"/>
    </row>
    <row r="6688" ht="22.5" hidden="1" customHeight="1">
      <c r="A6688" s="11" t="str">
        <f t="array" ref="A6688">IFERROR(
  INDEX('Starlink Launches'!$A:$A, MATCH($E6688, 'Starlink Launches'!$B:$B, 0)),
  ""
)
</f>
        <v/>
      </c>
      <c r="B6688" s="26"/>
      <c r="C6688" s="12"/>
      <c r="D6688" s="13"/>
      <c r="E6688" s="4"/>
      <c r="F6688" s="4" t="str">
        <f>IF(D6688="","", IFNA(VLOOKUP(D6688, SATCAT_DECAY!A:B, 2, FALSE), ""))
</f>
        <v/>
      </c>
      <c r="G6688" s="3"/>
    </row>
    <row r="6689" ht="22.5" hidden="1" customHeight="1">
      <c r="A6689" s="11" t="str">
        <f t="array" ref="A6689">IFERROR(
  INDEX('Starlink Launches'!$A:$A, MATCH($E6689, 'Starlink Launches'!$B:$B, 0)),
  ""
)
</f>
        <v/>
      </c>
      <c r="B6689" s="26"/>
      <c r="C6689" s="12"/>
      <c r="D6689" s="13"/>
      <c r="E6689" s="4"/>
      <c r="F6689" s="4" t="str">
        <f>IF(D6689="","", IFNA(VLOOKUP(D6689, SATCAT_DECAY!A:B, 2, FALSE), ""))
</f>
        <v/>
      </c>
      <c r="G6689" s="3"/>
    </row>
    <row r="6690" ht="22.5" hidden="1" customHeight="1">
      <c r="A6690" s="11" t="str">
        <f t="array" ref="A6690">IFERROR(
  INDEX('Starlink Launches'!$A:$A, MATCH($E6690, 'Starlink Launches'!$B:$B, 0)),
  ""
)
</f>
        <v/>
      </c>
      <c r="B6690" s="26"/>
      <c r="C6690" s="12"/>
      <c r="D6690" s="13"/>
      <c r="E6690" s="4"/>
      <c r="F6690" s="4" t="str">
        <f>IF(D6690="","", IFNA(VLOOKUP(D6690, SATCAT_DECAY!A:B, 2, FALSE), ""))
</f>
        <v/>
      </c>
      <c r="G6690" s="3"/>
    </row>
    <row r="6691" ht="22.5" hidden="1" customHeight="1">
      <c r="A6691" s="11" t="str">
        <f t="array" ref="A6691">IFERROR(
  INDEX('Starlink Launches'!$A:$A, MATCH($E6691, 'Starlink Launches'!$B:$B, 0)),
  ""
)
</f>
        <v/>
      </c>
      <c r="B6691" s="26"/>
      <c r="C6691" s="12"/>
      <c r="D6691" s="13"/>
      <c r="E6691" s="4"/>
      <c r="F6691" s="4" t="str">
        <f>IF(D6691="","", IFNA(VLOOKUP(D6691, SATCAT_DECAY!A:B, 2, FALSE), ""))
</f>
        <v/>
      </c>
      <c r="G6691" s="3"/>
    </row>
    <row r="6692" ht="22.5" hidden="1" customHeight="1">
      <c r="A6692" s="11" t="str">
        <f t="array" ref="A6692">IFERROR(
  INDEX('Starlink Launches'!$A:$A, MATCH($E6692, 'Starlink Launches'!$B:$B, 0)),
  ""
)
</f>
        <v/>
      </c>
      <c r="B6692" s="26"/>
      <c r="C6692" s="12"/>
      <c r="D6692" s="13"/>
      <c r="E6692" s="4"/>
      <c r="F6692" s="4" t="str">
        <f>IF(D6692="","", IFNA(VLOOKUP(D6692, SATCAT_DECAY!A:B, 2, FALSE), ""))
</f>
        <v/>
      </c>
      <c r="G6692" s="3"/>
    </row>
    <row r="6693" ht="22.5" hidden="1" customHeight="1">
      <c r="A6693" s="11" t="str">
        <f t="array" ref="A6693">IFERROR(
  INDEX('Starlink Launches'!$A:$A, MATCH($E6693, 'Starlink Launches'!$B:$B, 0)),
  ""
)
</f>
        <v/>
      </c>
      <c r="B6693" s="26"/>
      <c r="C6693" s="12"/>
      <c r="D6693" s="13"/>
      <c r="E6693" s="4"/>
      <c r="F6693" s="4" t="str">
        <f>IF(D6693="","", IFNA(VLOOKUP(D6693, SATCAT_DECAY!A:B, 2, FALSE), ""))
</f>
        <v/>
      </c>
      <c r="G6693" s="3"/>
    </row>
    <row r="6694" ht="22.5" hidden="1" customHeight="1">
      <c r="A6694" s="11" t="str">
        <f t="array" ref="A6694">IFERROR(
  INDEX('Starlink Launches'!$A:$A, MATCH($E6694, 'Starlink Launches'!$B:$B, 0)),
  ""
)
</f>
        <v/>
      </c>
      <c r="B6694" s="26"/>
      <c r="C6694" s="12"/>
      <c r="D6694" s="13"/>
      <c r="E6694" s="4"/>
      <c r="F6694" s="4" t="str">
        <f>IF(D6694="","", IFNA(VLOOKUP(D6694, SATCAT_DECAY!A:B, 2, FALSE), ""))
</f>
        <v/>
      </c>
      <c r="G6694" s="3"/>
    </row>
    <row r="6695" ht="22.5" hidden="1" customHeight="1">
      <c r="A6695" s="11" t="str">
        <f t="array" ref="A6695">IFERROR(
  INDEX('Starlink Launches'!$A:$A, MATCH($E6695, 'Starlink Launches'!$B:$B, 0)),
  ""
)
</f>
        <v/>
      </c>
      <c r="B6695" s="26"/>
      <c r="C6695" s="12"/>
      <c r="D6695" s="13"/>
      <c r="E6695" s="4"/>
      <c r="F6695" s="4" t="str">
        <f>IF(D6695="","", IFNA(VLOOKUP(D6695, SATCAT_DECAY!A:B, 2, FALSE), ""))
</f>
        <v/>
      </c>
      <c r="G6695" s="3"/>
    </row>
    <row r="6696" ht="22.5" hidden="1" customHeight="1">
      <c r="A6696" s="11" t="str">
        <f t="array" ref="A6696">IFERROR(
  INDEX('Starlink Launches'!$A:$A, MATCH($E6696, 'Starlink Launches'!$B:$B, 0)),
  ""
)
</f>
        <v/>
      </c>
      <c r="B6696" s="26"/>
      <c r="C6696" s="12"/>
      <c r="D6696" s="13"/>
      <c r="E6696" s="4"/>
      <c r="F6696" s="4" t="str">
        <f>IF(D6696="","", IFNA(VLOOKUP(D6696, SATCAT_DECAY!A:B, 2, FALSE), ""))
</f>
        <v/>
      </c>
      <c r="G6696" s="3"/>
    </row>
    <row r="6697" ht="22.5" hidden="1" customHeight="1">
      <c r="A6697" s="11" t="str">
        <f t="array" ref="A6697">IFERROR(
  INDEX('Starlink Launches'!$A:$A, MATCH($E6697, 'Starlink Launches'!$B:$B, 0)),
  ""
)
</f>
        <v/>
      </c>
      <c r="B6697" s="26"/>
      <c r="C6697" s="12"/>
      <c r="D6697" s="13"/>
      <c r="E6697" s="4"/>
      <c r="F6697" s="4" t="str">
        <f>IF(D6697="","", IFNA(VLOOKUP(D6697, SATCAT_DECAY!A:B, 2, FALSE), ""))
</f>
        <v/>
      </c>
      <c r="G6697" s="3"/>
    </row>
    <row r="6698" ht="22.5" hidden="1" customHeight="1">
      <c r="A6698" s="11" t="str">
        <f t="array" ref="A6698">IFERROR(
  INDEX('Starlink Launches'!$A:$A, MATCH($E6698, 'Starlink Launches'!$B:$B, 0)),
  ""
)
</f>
        <v/>
      </c>
      <c r="B6698" s="26"/>
      <c r="C6698" s="12"/>
      <c r="D6698" s="13"/>
      <c r="E6698" s="4"/>
      <c r="F6698" s="4" t="str">
        <f>IF(D6698="","", IFNA(VLOOKUP(D6698, SATCAT_DECAY!A:B, 2, FALSE), ""))
</f>
        <v/>
      </c>
      <c r="G6698" s="3"/>
    </row>
    <row r="6699" ht="22.5" hidden="1" customHeight="1">
      <c r="A6699" s="11" t="str">
        <f t="array" ref="A6699">IFERROR(
  INDEX('Starlink Launches'!$A:$A, MATCH($E6699, 'Starlink Launches'!$B:$B, 0)),
  ""
)
</f>
        <v/>
      </c>
      <c r="B6699" s="26"/>
      <c r="C6699" s="12"/>
      <c r="D6699" s="13"/>
      <c r="E6699" s="4"/>
      <c r="F6699" s="4" t="str">
        <f>IF(D6699="","", IFNA(VLOOKUP(D6699, SATCAT_DECAY!A:B, 2, FALSE), ""))
</f>
        <v/>
      </c>
      <c r="G6699" s="3"/>
    </row>
    <row r="6700" ht="22.5" hidden="1" customHeight="1">
      <c r="A6700" s="11" t="str">
        <f t="array" ref="A6700">IFERROR(
  INDEX('Starlink Launches'!$A:$A, MATCH($E6700, 'Starlink Launches'!$B:$B, 0)),
  ""
)
</f>
        <v/>
      </c>
      <c r="B6700" s="26"/>
      <c r="C6700" s="12"/>
      <c r="D6700" s="13"/>
      <c r="E6700" s="4"/>
      <c r="F6700" s="4" t="str">
        <f>IF(D6700="","", IFNA(VLOOKUP(D6700, SATCAT_DECAY!A:B, 2, FALSE), ""))
</f>
        <v/>
      </c>
      <c r="G6700" s="3"/>
    </row>
    <row r="6701" ht="22.5" hidden="1" customHeight="1">
      <c r="A6701" s="11" t="str">
        <f t="array" ref="A6701">IFERROR(
  INDEX('Starlink Launches'!$A:$A, MATCH($E6701, 'Starlink Launches'!$B:$B, 0)),
  ""
)
</f>
        <v/>
      </c>
      <c r="B6701" s="26"/>
      <c r="C6701" s="12"/>
      <c r="D6701" s="13"/>
      <c r="E6701" s="4"/>
      <c r="F6701" s="4" t="str">
        <f>IF(D6701="","", IFNA(VLOOKUP(D6701, SATCAT_DECAY!A:B, 2, FALSE), ""))
</f>
        <v/>
      </c>
      <c r="G6701" s="3"/>
    </row>
    <row r="6702" ht="22.5" hidden="1" customHeight="1">
      <c r="A6702" s="11" t="str">
        <f t="array" ref="A6702">IFERROR(
  INDEX('Starlink Launches'!$A:$A, MATCH($E6702, 'Starlink Launches'!$B:$B, 0)),
  ""
)
</f>
        <v/>
      </c>
      <c r="B6702" s="26"/>
      <c r="C6702" s="12"/>
      <c r="D6702" s="13"/>
      <c r="E6702" s="4"/>
      <c r="F6702" s="4" t="str">
        <f>IF(D6702="","", IFNA(VLOOKUP(D6702, SATCAT_DECAY!A:B, 2, FALSE), ""))
</f>
        <v/>
      </c>
      <c r="G6702" s="3"/>
    </row>
    <row r="6703" ht="22.5" hidden="1" customHeight="1">
      <c r="A6703" s="11" t="str">
        <f t="array" ref="A6703">IFERROR(
  INDEX('Starlink Launches'!$A:$A, MATCH($E6703, 'Starlink Launches'!$B:$B, 0)),
  ""
)
</f>
        <v/>
      </c>
      <c r="B6703" s="26"/>
      <c r="C6703" s="12"/>
      <c r="D6703" s="13"/>
      <c r="E6703" s="4"/>
      <c r="F6703" s="4" t="str">
        <f>IF(D6703="","", IFNA(VLOOKUP(D6703, SATCAT_DECAY!A:B, 2, FALSE), ""))
</f>
        <v/>
      </c>
      <c r="G6703" s="3"/>
    </row>
    <row r="6704" ht="22.5" hidden="1" customHeight="1">
      <c r="A6704" s="11" t="str">
        <f t="array" ref="A6704">IFERROR(
  INDEX('Starlink Launches'!$A:$A, MATCH($E6704, 'Starlink Launches'!$B:$B, 0)),
  ""
)
</f>
        <v/>
      </c>
      <c r="B6704" s="26"/>
      <c r="C6704" s="12"/>
      <c r="D6704" s="13"/>
      <c r="E6704" s="4"/>
      <c r="F6704" s="4" t="str">
        <f>IF(D6704="","", IFNA(VLOOKUP(D6704, SATCAT_DECAY!A:B, 2, FALSE), ""))
</f>
        <v/>
      </c>
      <c r="G6704" s="3"/>
    </row>
    <row r="6705" ht="22.5" hidden="1" customHeight="1">
      <c r="A6705" s="11" t="str">
        <f t="array" ref="A6705">IFERROR(
  INDEX('Starlink Launches'!$A:$A, MATCH($E6705, 'Starlink Launches'!$B:$B, 0)),
  ""
)
</f>
        <v/>
      </c>
      <c r="B6705" s="26"/>
      <c r="C6705" s="12"/>
      <c r="D6705" s="13"/>
      <c r="E6705" s="4"/>
      <c r="F6705" s="4" t="str">
        <f>IF(D6705="","", IFNA(VLOOKUP(D6705, SATCAT_DECAY!A:B, 2, FALSE), ""))
</f>
        <v/>
      </c>
      <c r="G6705" s="3"/>
    </row>
    <row r="6706" ht="22.5" hidden="1" customHeight="1">
      <c r="A6706" s="11" t="str">
        <f t="array" ref="A6706">IFERROR(
  INDEX('Starlink Launches'!$A:$A, MATCH($E6706, 'Starlink Launches'!$B:$B, 0)),
  ""
)
</f>
        <v/>
      </c>
      <c r="B6706" s="26"/>
      <c r="C6706" s="12"/>
      <c r="D6706" s="13"/>
      <c r="E6706" s="4"/>
      <c r="F6706" s="4" t="str">
        <f>IF(D6706="","", IFNA(VLOOKUP(D6706, SATCAT_DECAY!A:B, 2, FALSE), ""))
</f>
        <v/>
      </c>
      <c r="G6706" s="3"/>
    </row>
    <row r="6707" ht="22.5" hidden="1" customHeight="1">
      <c r="A6707" s="11" t="str">
        <f t="array" ref="A6707">IFERROR(
  INDEX('Starlink Launches'!$A:$A, MATCH($E6707, 'Starlink Launches'!$B:$B, 0)),
  ""
)
</f>
        <v/>
      </c>
      <c r="B6707" s="26"/>
      <c r="C6707" s="12"/>
      <c r="D6707" s="13"/>
      <c r="E6707" s="4"/>
      <c r="F6707" s="4" t="str">
        <f>IF(D6707="","", IFNA(VLOOKUP(D6707, SATCAT_DECAY!A:B, 2, FALSE), ""))
</f>
        <v/>
      </c>
      <c r="G6707" s="3"/>
    </row>
    <row r="6708" ht="22.5" hidden="1" customHeight="1">
      <c r="A6708" s="11" t="str">
        <f t="array" ref="A6708">IFERROR(
  INDEX('Starlink Launches'!$A:$A, MATCH($E6708, 'Starlink Launches'!$B:$B, 0)),
  ""
)
</f>
        <v/>
      </c>
      <c r="B6708" s="26"/>
      <c r="C6708" s="12"/>
      <c r="D6708" s="13"/>
      <c r="E6708" s="4"/>
      <c r="F6708" s="4" t="str">
        <f>IF(D6708="","", IFNA(VLOOKUP(D6708, SATCAT_DECAY!A:B, 2, FALSE), ""))
</f>
        <v/>
      </c>
      <c r="G6708" s="3"/>
    </row>
    <row r="6709" ht="22.5" hidden="1" customHeight="1">
      <c r="A6709" s="11" t="str">
        <f t="array" ref="A6709">IFERROR(
  INDEX('Starlink Launches'!$A:$A, MATCH($E6709, 'Starlink Launches'!$B:$B, 0)),
  ""
)
</f>
        <v/>
      </c>
      <c r="B6709" s="26"/>
      <c r="C6709" s="12"/>
      <c r="D6709" s="13"/>
      <c r="E6709" s="4"/>
      <c r="F6709" s="4" t="str">
        <f>IF(D6709="","", IFNA(VLOOKUP(D6709, SATCAT_DECAY!A:B, 2, FALSE), ""))
</f>
        <v/>
      </c>
      <c r="G6709" s="3"/>
    </row>
    <row r="6710" ht="22.5" hidden="1" customHeight="1">
      <c r="A6710" s="11" t="str">
        <f t="array" ref="A6710">IFERROR(
  INDEX('Starlink Launches'!$A:$A, MATCH($E6710, 'Starlink Launches'!$B:$B, 0)),
  ""
)
</f>
        <v/>
      </c>
      <c r="B6710" s="26"/>
      <c r="C6710" s="12"/>
      <c r="D6710" s="13"/>
      <c r="E6710" s="4"/>
      <c r="F6710" s="4" t="str">
        <f>IF(D6710="","", IFNA(VLOOKUP(D6710, SATCAT_DECAY!A:B, 2, FALSE), ""))
</f>
        <v/>
      </c>
      <c r="G6710" s="3"/>
    </row>
    <row r="6711" ht="22.5" hidden="1" customHeight="1">
      <c r="A6711" s="11" t="str">
        <f t="array" ref="A6711">IFERROR(
  INDEX('Starlink Launches'!$A:$A, MATCH($E6711, 'Starlink Launches'!$B:$B, 0)),
  ""
)
</f>
        <v/>
      </c>
      <c r="B6711" s="26"/>
      <c r="C6711" s="12"/>
      <c r="D6711" s="13"/>
      <c r="E6711" s="4"/>
      <c r="F6711" s="4" t="str">
        <f>IF(D6711="","", IFNA(VLOOKUP(D6711, SATCAT_DECAY!A:B, 2, FALSE), ""))
</f>
        <v/>
      </c>
      <c r="G6711" s="3"/>
    </row>
    <row r="6712" ht="22.5" hidden="1" customHeight="1">
      <c r="A6712" s="11" t="str">
        <f t="array" ref="A6712">IFERROR(
  INDEX('Starlink Launches'!$A:$A, MATCH($E6712, 'Starlink Launches'!$B:$B, 0)),
  ""
)
</f>
        <v/>
      </c>
      <c r="B6712" s="26"/>
      <c r="C6712" s="12"/>
      <c r="D6712" s="13"/>
      <c r="E6712" s="4"/>
      <c r="F6712" s="4" t="str">
        <f>IF(D6712="","", IFNA(VLOOKUP(D6712, SATCAT_DECAY!A:B, 2, FALSE), ""))
</f>
        <v/>
      </c>
      <c r="G6712" s="3"/>
    </row>
    <row r="6713" ht="22.5" hidden="1" customHeight="1">
      <c r="A6713" s="11" t="str">
        <f t="array" ref="A6713">IFERROR(
  INDEX('Starlink Launches'!$A:$A, MATCH($E6713, 'Starlink Launches'!$B:$B, 0)),
  ""
)
</f>
        <v/>
      </c>
      <c r="B6713" s="26"/>
      <c r="C6713" s="12"/>
      <c r="D6713" s="13"/>
      <c r="E6713" s="4"/>
      <c r="F6713" s="4" t="str">
        <f>IF(D6713="","", IFNA(VLOOKUP(D6713, SATCAT_DECAY!A:B, 2, FALSE), ""))
</f>
        <v/>
      </c>
      <c r="G6713" s="3"/>
    </row>
    <row r="6714" ht="22.5" hidden="1" customHeight="1">
      <c r="A6714" s="11" t="str">
        <f t="array" ref="A6714">IFERROR(
  INDEX('Starlink Launches'!$A:$A, MATCH($E6714, 'Starlink Launches'!$B:$B, 0)),
  ""
)
</f>
        <v/>
      </c>
      <c r="B6714" s="26"/>
      <c r="C6714" s="12"/>
      <c r="D6714" s="13"/>
      <c r="E6714" s="4"/>
      <c r="F6714" s="4" t="str">
        <f>IF(D6714="","", IFNA(VLOOKUP(D6714, SATCAT_DECAY!A:B, 2, FALSE), ""))
</f>
        <v/>
      </c>
      <c r="G6714" s="3"/>
    </row>
    <row r="6715" ht="22.5" hidden="1" customHeight="1">
      <c r="A6715" s="11" t="str">
        <f t="array" ref="A6715">IFERROR(
  INDEX('Starlink Launches'!$A:$A, MATCH($E6715, 'Starlink Launches'!$B:$B, 0)),
  ""
)
</f>
        <v/>
      </c>
      <c r="B6715" s="26"/>
      <c r="C6715" s="12"/>
      <c r="D6715" s="13"/>
      <c r="E6715" s="4"/>
      <c r="F6715" s="4" t="str">
        <f>IF(D6715="","", IFNA(VLOOKUP(D6715, SATCAT_DECAY!A:B, 2, FALSE), ""))
</f>
        <v/>
      </c>
      <c r="G6715" s="3"/>
    </row>
    <row r="6716" ht="22.5" hidden="1" customHeight="1">
      <c r="A6716" s="11" t="str">
        <f t="array" ref="A6716">IFERROR(
  INDEX('Starlink Launches'!$A:$A, MATCH($E6716, 'Starlink Launches'!$B:$B, 0)),
  ""
)
</f>
        <v/>
      </c>
      <c r="B6716" s="26"/>
      <c r="C6716" s="12"/>
      <c r="D6716" s="13"/>
      <c r="E6716" s="4"/>
      <c r="F6716" s="4" t="str">
        <f>IF(D6716="","", IFNA(VLOOKUP(D6716, SATCAT_DECAY!A:B, 2, FALSE), ""))
</f>
        <v/>
      </c>
      <c r="G6716" s="3"/>
    </row>
    <row r="6717" ht="22.5" hidden="1" customHeight="1">
      <c r="A6717" s="11" t="str">
        <f t="array" ref="A6717">IFERROR(
  INDEX('Starlink Launches'!$A:$A, MATCH($E6717, 'Starlink Launches'!$B:$B, 0)),
  ""
)
</f>
        <v/>
      </c>
      <c r="B6717" s="26"/>
      <c r="C6717" s="12"/>
      <c r="D6717" s="13"/>
      <c r="E6717" s="4"/>
      <c r="F6717" s="4" t="str">
        <f>IF(D6717="","", IFNA(VLOOKUP(D6717, SATCAT_DECAY!A:B, 2, FALSE), ""))
</f>
        <v/>
      </c>
      <c r="G6717" s="3"/>
    </row>
    <row r="6718" ht="22.5" hidden="1" customHeight="1">
      <c r="A6718" s="11" t="str">
        <f t="array" ref="A6718">IFERROR(
  INDEX('Starlink Launches'!$A:$A, MATCH($E6718, 'Starlink Launches'!$B:$B, 0)),
  ""
)
</f>
        <v/>
      </c>
      <c r="B6718" s="26"/>
      <c r="C6718" s="12"/>
      <c r="D6718" s="13"/>
      <c r="E6718" s="4"/>
      <c r="F6718" s="4" t="str">
        <f>IF(D6718="","", IFNA(VLOOKUP(D6718, SATCAT_DECAY!A:B, 2, FALSE), ""))
</f>
        <v/>
      </c>
      <c r="G6718" s="3"/>
    </row>
    <row r="6719" ht="22.5" hidden="1" customHeight="1">
      <c r="A6719" s="11" t="str">
        <f t="array" ref="A6719">IFERROR(
  INDEX('Starlink Launches'!$A:$A, MATCH($E6719, 'Starlink Launches'!$B:$B, 0)),
  ""
)
</f>
        <v/>
      </c>
      <c r="B6719" s="26"/>
      <c r="C6719" s="12"/>
      <c r="D6719" s="13"/>
      <c r="E6719" s="4"/>
      <c r="F6719" s="4" t="str">
        <f>IF(D6719="","", IFNA(VLOOKUP(D6719, SATCAT_DECAY!A:B, 2, FALSE), ""))
</f>
        <v/>
      </c>
      <c r="G6719" s="3"/>
    </row>
    <row r="6720" ht="22.5" hidden="1" customHeight="1">
      <c r="A6720" s="11" t="str">
        <f t="array" ref="A6720">IFERROR(
  INDEX('Starlink Launches'!$A:$A, MATCH($E6720, 'Starlink Launches'!$B:$B, 0)),
  ""
)
</f>
        <v/>
      </c>
      <c r="B6720" s="26"/>
      <c r="C6720" s="12"/>
      <c r="D6720" s="13"/>
      <c r="E6720" s="4"/>
      <c r="F6720" s="4" t="str">
        <f>IF(D6720="","", IFNA(VLOOKUP(D6720, SATCAT_DECAY!A:B, 2, FALSE), ""))
</f>
        <v/>
      </c>
      <c r="G6720" s="3"/>
    </row>
    <row r="6721" ht="22.5" hidden="1" customHeight="1">
      <c r="A6721" s="11" t="str">
        <f t="array" ref="A6721">IFERROR(
  INDEX('Starlink Launches'!$A:$A, MATCH($E6721, 'Starlink Launches'!$B:$B, 0)),
  ""
)
</f>
        <v/>
      </c>
      <c r="B6721" s="26"/>
      <c r="C6721" s="12"/>
      <c r="D6721" s="13"/>
      <c r="E6721" s="4"/>
      <c r="F6721" s="4" t="str">
        <f>IF(D6721="","", IFNA(VLOOKUP(D6721, SATCAT_DECAY!A:B, 2, FALSE), ""))
</f>
        <v/>
      </c>
      <c r="G6721" s="3"/>
    </row>
    <row r="6722" ht="22.5" hidden="1" customHeight="1">
      <c r="A6722" s="11" t="str">
        <f t="array" ref="A6722">IFERROR(
  INDEX('Starlink Launches'!$A:$A, MATCH($E6722, 'Starlink Launches'!$B:$B, 0)),
  ""
)
</f>
        <v/>
      </c>
      <c r="B6722" s="26"/>
      <c r="C6722" s="12"/>
      <c r="D6722" s="13"/>
      <c r="E6722" s="4"/>
      <c r="F6722" s="4" t="str">
        <f>IF(D6722="","", IFNA(VLOOKUP(D6722, SATCAT_DECAY!A:B, 2, FALSE), ""))
</f>
        <v/>
      </c>
      <c r="G6722" s="3"/>
    </row>
    <row r="6723" ht="22.5" hidden="1" customHeight="1">
      <c r="A6723" s="11" t="str">
        <f t="array" ref="A6723">IFERROR(
  INDEX('Starlink Launches'!$A:$A, MATCH($E6723, 'Starlink Launches'!$B:$B, 0)),
  ""
)
</f>
        <v/>
      </c>
      <c r="B6723" s="26"/>
      <c r="C6723" s="12"/>
      <c r="D6723" s="13"/>
      <c r="E6723" s="4"/>
      <c r="F6723" s="4" t="str">
        <f>IF(D6723="","", IFNA(VLOOKUP(D6723, SATCAT_DECAY!A:B, 2, FALSE), ""))
</f>
        <v/>
      </c>
      <c r="G6723" s="3"/>
    </row>
    <row r="6724" ht="22.5" hidden="1" customHeight="1">
      <c r="A6724" s="11" t="str">
        <f t="array" ref="A6724">IFERROR(
  INDEX('Starlink Launches'!$A:$A, MATCH($E6724, 'Starlink Launches'!$B:$B, 0)),
  ""
)
</f>
        <v/>
      </c>
      <c r="B6724" s="26"/>
      <c r="C6724" s="12"/>
      <c r="D6724" s="13"/>
      <c r="E6724" s="4"/>
      <c r="F6724" s="4" t="str">
        <f>IF(D6724="","", IFNA(VLOOKUP(D6724, SATCAT_DECAY!A:B, 2, FALSE), ""))
</f>
        <v/>
      </c>
      <c r="G6724" s="3"/>
    </row>
    <row r="6725" ht="22.5" hidden="1" customHeight="1">
      <c r="A6725" s="11" t="str">
        <f t="array" ref="A6725">IFERROR(
  INDEX('Starlink Launches'!$A:$A, MATCH($E6725, 'Starlink Launches'!$B:$B, 0)),
  ""
)
</f>
        <v/>
      </c>
      <c r="B6725" s="26"/>
      <c r="C6725" s="12"/>
      <c r="D6725" s="13"/>
      <c r="E6725" s="4"/>
      <c r="F6725" s="4" t="str">
        <f>IF(D6725="","", IFNA(VLOOKUP(D6725, SATCAT_DECAY!A:B, 2, FALSE), ""))
</f>
        <v/>
      </c>
      <c r="G6725" s="3"/>
    </row>
    <row r="6726" ht="22.5" hidden="1" customHeight="1">
      <c r="A6726" s="11" t="str">
        <f t="array" ref="A6726">IFERROR(
  INDEX('Starlink Launches'!$A:$A, MATCH($E6726, 'Starlink Launches'!$B:$B, 0)),
  ""
)
</f>
        <v/>
      </c>
      <c r="B6726" s="26"/>
      <c r="C6726" s="12"/>
      <c r="D6726" s="13"/>
      <c r="E6726" s="4"/>
      <c r="F6726" s="4" t="str">
        <f>IF(D6726="","", IFNA(VLOOKUP(D6726, SATCAT_DECAY!A:B, 2, FALSE), ""))
</f>
        <v/>
      </c>
      <c r="G6726" s="3"/>
    </row>
    <row r="6727" ht="22.5" hidden="1" customHeight="1">
      <c r="A6727" s="11" t="str">
        <f t="array" ref="A6727">IFERROR(
  INDEX('Starlink Launches'!$A:$A, MATCH($E6727, 'Starlink Launches'!$B:$B, 0)),
  ""
)
</f>
        <v/>
      </c>
      <c r="B6727" s="26"/>
      <c r="C6727" s="12"/>
      <c r="D6727" s="13"/>
      <c r="E6727" s="4"/>
      <c r="F6727" s="4" t="str">
        <f>IF(D6727="","", IFNA(VLOOKUP(D6727, SATCAT_DECAY!A:B, 2, FALSE), ""))
</f>
        <v/>
      </c>
      <c r="G6727" s="3"/>
    </row>
    <row r="6728" ht="22.5" hidden="1" customHeight="1">
      <c r="A6728" s="11" t="str">
        <f t="array" ref="A6728">IFERROR(
  INDEX('Starlink Launches'!$A:$A, MATCH($E6728, 'Starlink Launches'!$B:$B, 0)),
  ""
)
</f>
        <v/>
      </c>
      <c r="B6728" s="26"/>
      <c r="C6728" s="12"/>
      <c r="D6728" s="13"/>
      <c r="E6728" s="4"/>
      <c r="F6728" s="4" t="str">
        <f>IF(D6728="","", IFNA(VLOOKUP(D6728, SATCAT_DECAY!A:B, 2, FALSE), ""))
</f>
        <v/>
      </c>
      <c r="G6728" s="3"/>
    </row>
    <row r="6729" ht="22.5" hidden="1" customHeight="1">
      <c r="A6729" s="11" t="str">
        <f t="array" ref="A6729">IFERROR(
  INDEX('Starlink Launches'!$A:$A, MATCH($E6729, 'Starlink Launches'!$B:$B, 0)),
  ""
)
</f>
        <v/>
      </c>
      <c r="B6729" s="26"/>
      <c r="C6729" s="12"/>
      <c r="D6729" s="13"/>
      <c r="E6729" s="4"/>
      <c r="F6729" s="4" t="str">
        <f>IF(D6729="","", IFNA(VLOOKUP(D6729, SATCAT_DECAY!A:B, 2, FALSE), ""))
</f>
        <v/>
      </c>
      <c r="G6729" s="3"/>
    </row>
    <row r="6730" ht="22.5" hidden="1" customHeight="1">
      <c r="A6730" s="11" t="str">
        <f t="array" ref="A6730">IFERROR(
  INDEX('Starlink Launches'!$A:$A, MATCH($E6730, 'Starlink Launches'!$B:$B, 0)),
  ""
)
</f>
        <v/>
      </c>
      <c r="B6730" s="26"/>
      <c r="C6730" s="12"/>
      <c r="D6730" s="13"/>
      <c r="E6730" s="4"/>
      <c r="F6730" s="4" t="str">
        <f>IF(D6730="","", IFNA(VLOOKUP(D6730, SATCAT_DECAY!A:B, 2, FALSE), ""))
</f>
        <v/>
      </c>
      <c r="G6730" s="3"/>
    </row>
    <row r="6731" ht="22.5" hidden="1" customHeight="1">
      <c r="A6731" s="11" t="str">
        <f t="array" ref="A6731">IFERROR(
  INDEX('Starlink Launches'!$A:$A, MATCH($E6731, 'Starlink Launches'!$B:$B, 0)),
  ""
)
</f>
        <v/>
      </c>
      <c r="B6731" s="26"/>
      <c r="C6731" s="12"/>
      <c r="D6731" s="13"/>
      <c r="E6731" s="4"/>
      <c r="F6731" s="4" t="str">
        <f>IF(D6731="","", IFNA(VLOOKUP(D6731, SATCAT_DECAY!A:B, 2, FALSE), ""))
</f>
        <v/>
      </c>
      <c r="G6731" s="3"/>
    </row>
    <row r="6732" ht="22.5" hidden="1" customHeight="1">
      <c r="A6732" s="11" t="str">
        <f t="array" ref="A6732">IFERROR(
  INDEX('Starlink Launches'!$A:$A, MATCH($E6732, 'Starlink Launches'!$B:$B, 0)),
  ""
)
</f>
        <v/>
      </c>
      <c r="B6732" s="26"/>
      <c r="C6732" s="12"/>
      <c r="D6732" s="13"/>
      <c r="E6732" s="4"/>
      <c r="F6732" s="4" t="str">
        <f>IF(D6732="","", IFNA(VLOOKUP(D6732, SATCAT_DECAY!A:B, 2, FALSE), ""))
</f>
        <v/>
      </c>
      <c r="G6732" s="3"/>
    </row>
    <row r="6733" ht="22.5" hidden="1" customHeight="1">
      <c r="A6733" s="11" t="str">
        <f t="array" ref="A6733">IFERROR(
  INDEX('Starlink Launches'!$A:$A, MATCH($E6733, 'Starlink Launches'!$B:$B, 0)),
  ""
)
</f>
        <v/>
      </c>
      <c r="B6733" s="26"/>
      <c r="C6733" s="12"/>
      <c r="D6733" s="13"/>
      <c r="E6733" s="4"/>
      <c r="F6733" s="4" t="str">
        <f>IF(D6733="","", IFNA(VLOOKUP(D6733, SATCAT_DECAY!A:B, 2, FALSE), ""))
</f>
        <v/>
      </c>
      <c r="G6733" s="3"/>
    </row>
    <row r="6734" ht="22.5" hidden="1" customHeight="1">
      <c r="A6734" s="11" t="str">
        <f t="array" ref="A6734">IFERROR(
  INDEX('Starlink Launches'!$A:$A, MATCH($E6734, 'Starlink Launches'!$B:$B, 0)),
  ""
)
</f>
        <v/>
      </c>
      <c r="B6734" s="26"/>
      <c r="C6734" s="12"/>
      <c r="D6734" s="13"/>
      <c r="E6734" s="4"/>
      <c r="F6734" s="4" t="str">
        <f>IF(D6734="","", IFNA(VLOOKUP(D6734, SATCAT_DECAY!A:B, 2, FALSE), ""))
</f>
        <v/>
      </c>
      <c r="G6734" s="3"/>
    </row>
    <row r="6735" ht="22.5" hidden="1" customHeight="1">
      <c r="A6735" s="11" t="str">
        <f t="array" ref="A6735">IFERROR(
  INDEX('Starlink Launches'!$A:$A, MATCH($E6735, 'Starlink Launches'!$B:$B, 0)),
  ""
)
</f>
        <v/>
      </c>
      <c r="B6735" s="26"/>
      <c r="C6735" s="12"/>
      <c r="D6735" s="13"/>
      <c r="E6735" s="4"/>
      <c r="F6735" s="4" t="str">
        <f>IF(D6735="","", IFNA(VLOOKUP(D6735, SATCAT_DECAY!A:B, 2, FALSE), ""))
</f>
        <v/>
      </c>
      <c r="G6735" s="3"/>
    </row>
    <row r="6736" ht="22.5" hidden="1" customHeight="1">
      <c r="A6736" s="11" t="str">
        <f t="array" ref="A6736">IFERROR(
  INDEX('Starlink Launches'!$A:$A, MATCH($E6736, 'Starlink Launches'!$B:$B, 0)),
  ""
)
</f>
        <v/>
      </c>
      <c r="B6736" s="26"/>
      <c r="C6736" s="12"/>
      <c r="D6736" s="13"/>
      <c r="E6736" s="4"/>
      <c r="F6736" s="4" t="str">
        <f>IF(D6736="","", IFNA(VLOOKUP(D6736, SATCAT_DECAY!A:B, 2, FALSE), ""))
</f>
        <v/>
      </c>
      <c r="G6736" s="3"/>
    </row>
    <row r="6737" ht="22.5" hidden="1" customHeight="1">
      <c r="A6737" s="11" t="str">
        <f t="array" ref="A6737">IFERROR(
  INDEX('Starlink Launches'!$A:$A, MATCH($E6737, 'Starlink Launches'!$B:$B, 0)),
  ""
)
</f>
        <v/>
      </c>
      <c r="B6737" s="26"/>
      <c r="C6737" s="12"/>
      <c r="D6737" s="13"/>
      <c r="E6737" s="4"/>
      <c r="F6737" s="4" t="str">
        <f>IF(D6737="","", IFNA(VLOOKUP(D6737, SATCAT_DECAY!A:B, 2, FALSE), ""))
</f>
        <v/>
      </c>
      <c r="G6737" s="3"/>
    </row>
    <row r="6738" ht="22.5" hidden="1" customHeight="1">
      <c r="A6738" s="11" t="str">
        <f t="array" ref="A6738">IFERROR(
  INDEX('Starlink Launches'!$A:$A, MATCH($E6738, 'Starlink Launches'!$B:$B, 0)),
  ""
)
</f>
        <v/>
      </c>
      <c r="B6738" s="26"/>
      <c r="C6738" s="12"/>
      <c r="D6738" s="13"/>
      <c r="E6738" s="4"/>
      <c r="F6738" s="4" t="str">
        <f>IF(D6738="","", IFNA(VLOOKUP(D6738, SATCAT_DECAY!A:B, 2, FALSE), ""))
</f>
        <v/>
      </c>
      <c r="G6738" s="3"/>
    </row>
    <row r="6739" ht="22.5" hidden="1" customHeight="1">
      <c r="A6739" s="11" t="str">
        <f t="array" ref="A6739">IFERROR(
  INDEX('Starlink Launches'!$A:$A, MATCH($E6739, 'Starlink Launches'!$B:$B, 0)),
  ""
)
</f>
        <v/>
      </c>
      <c r="B6739" s="26"/>
      <c r="C6739" s="12"/>
      <c r="D6739" s="13"/>
      <c r="E6739" s="4"/>
      <c r="F6739" s="4" t="str">
        <f>IF(D6739="","", IFNA(VLOOKUP(D6739, SATCAT_DECAY!A:B, 2, FALSE), ""))
</f>
        <v/>
      </c>
      <c r="G6739" s="3"/>
    </row>
    <row r="6740" ht="22.5" hidden="1" customHeight="1">
      <c r="A6740" s="11" t="str">
        <f t="array" ref="A6740">IFERROR(
  INDEX('Starlink Launches'!$A:$A, MATCH($E6740, 'Starlink Launches'!$B:$B, 0)),
  ""
)
</f>
        <v/>
      </c>
      <c r="B6740" s="26"/>
      <c r="C6740" s="12"/>
      <c r="D6740" s="13"/>
      <c r="E6740" s="4"/>
      <c r="F6740" s="4" t="str">
        <f>IF(D6740="","", IFNA(VLOOKUP(D6740, SATCAT_DECAY!A:B, 2, FALSE), ""))
</f>
        <v/>
      </c>
      <c r="G6740" s="3"/>
    </row>
    <row r="6741" ht="22.5" hidden="1" customHeight="1">
      <c r="A6741" s="11" t="str">
        <f t="array" ref="A6741">IFERROR(
  INDEX('Starlink Launches'!$A:$A, MATCH($E6741, 'Starlink Launches'!$B:$B, 0)),
  ""
)
</f>
        <v/>
      </c>
      <c r="B6741" s="26"/>
      <c r="C6741" s="12"/>
      <c r="D6741" s="13"/>
      <c r="E6741" s="4"/>
      <c r="F6741" s="4" t="str">
        <f>IF(D6741="","", IFNA(VLOOKUP(D6741, SATCAT_DECAY!A:B, 2, FALSE), ""))
</f>
        <v/>
      </c>
      <c r="G6741" s="3"/>
    </row>
    <row r="6742" ht="22.5" hidden="1" customHeight="1">
      <c r="A6742" s="11" t="str">
        <f t="array" ref="A6742">IFERROR(
  INDEX('Starlink Launches'!$A:$A, MATCH($E6742, 'Starlink Launches'!$B:$B, 0)),
  ""
)
</f>
        <v/>
      </c>
      <c r="B6742" s="26"/>
      <c r="C6742" s="12"/>
      <c r="D6742" s="13"/>
      <c r="E6742" s="4"/>
      <c r="F6742" s="4" t="str">
        <f>IF(D6742="","", IFNA(VLOOKUP(D6742, SATCAT_DECAY!A:B, 2, FALSE), ""))
</f>
        <v/>
      </c>
      <c r="G6742" s="3"/>
    </row>
    <row r="6743" ht="22.5" hidden="1" customHeight="1">
      <c r="A6743" s="11" t="str">
        <f t="array" ref="A6743">IFERROR(
  INDEX('Starlink Launches'!$A:$A, MATCH($E6743, 'Starlink Launches'!$B:$B, 0)),
  ""
)
</f>
        <v/>
      </c>
      <c r="B6743" s="26"/>
      <c r="C6743" s="12"/>
      <c r="D6743" s="13"/>
      <c r="E6743" s="4"/>
      <c r="F6743" s="4" t="str">
        <f>IF(D6743="","", IFNA(VLOOKUP(D6743, SATCAT_DECAY!A:B, 2, FALSE), ""))
</f>
        <v/>
      </c>
      <c r="G6743" s="3"/>
    </row>
    <row r="6744" ht="22.5" hidden="1" customHeight="1">
      <c r="A6744" s="11" t="str">
        <f t="array" ref="A6744">IFERROR(
  INDEX('Starlink Launches'!$A:$A, MATCH($E6744, 'Starlink Launches'!$B:$B, 0)),
  ""
)
</f>
        <v/>
      </c>
      <c r="B6744" s="26"/>
      <c r="C6744" s="12"/>
      <c r="D6744" s="13"/>
      <c r="E6744" s="4"/>
      <c r="F6744" s="4" t="str">
        <f>IF(D6744="","", IFNA(VLOOKUP(D6744, SATCAT_DECAY!A:B, 2, FALSE), ""))
</f>
        <v/>
      </c>
      <c r="G6744" s="3"/>
    </row>
    <row r="6745" ht="22.5" hidden="1" customHeight="1">
      <c r="A6745" s="11" t="str">
        <f t="array" ref="A6745">IFERROR(
  INDEX('Starlink Launches'!$A:$A, MATCH($E6745, 'Starlink Launches'!$B:$B, 0)),
  ""
)
</f>
        <v/>
      </c>
      <c r="B6745" s="26"/>
      <c r="C6745" s="12"/>
      <c r="D6745" s="13"/>
      <c r="E6745" s="4"/>
      <c r="F6745" s="4" t="str">
        <f>IF(D6745="","", IFNA(VLOOKUP(D6745, SATCAT_DECAY!A:B, 2, FALSE), ""))
</f>
        <v/>
      </c>
      <c r="G6745" s="3"/>
    </row>
    <row r="6746" ht="22.5" hidden="1" customHeight="1">
      <c r="A6746" s="11" t="str">
        <f t="array" ref="A6746">IFERROR(
  INDEX('Starlink Launches'!$A:$A, MATCH($E6746, 'Starlink Launches'!$B:$B, 0)),
  ""
)
</f>
        <v/>
      </c>
      <c r="B6746" s="26"/>
      <c r="C6746" s="12"/>
      <c r="D6746" s="13"/>
      <c r="E6746" s="4"/>
      <c r="F6746" s="4" t="str">
        <f>IF(D6746="","", IFNA(VLOOKUP(D6746, SATCAT_DECAY!A:B, 2, FALSE), ""))
</f>
        <v/>
      </c>
      <c r="G6746" s="3"/>
    </row>
    <row r="6747" ht="22.5" hidden="1" customHeight="1">
      <c r="A6747" s="11" t="str">
        <f t="array" ref="A6747">IFERROR(
  INDEX('Starlink Launches'!$A:$A, MATCH($E6747, 'Starlink Launches'!$B:$B, 0)),
  ""
)
</f>
        <v/>
      </c>
      <c r="B6747" s="26"/>
      <c r="C6747" s="12"/>
      <c r="D6747" s="13"/>
      <c r="E6747" s="4"/>
      <c r="F6747" s="4" t="str">
        <f>IF(D6747="","", IFNA(VLOOKUP(D6747, SATCAT_DECAY!A:B, 2, FALSE), ""))
</f>
        <v/>
      </c>
      <c r="G6747" s="3"/>
    </row>
    <row r="6748" ht="22.5" hidden="1" customHeight="1">
      <c r="A6748" s="11" t="str">
        <f t="array" ref="A6748">IFERROR(
  INDEX('Starlink Launches'!$A:$A, MATCH($E6748, 'Starlink Launches'!$B:$B, 0)),
  ""
)
</f>
        <v/>
      </c>
      <c r="B6748" s="26"/>
      <c r="C6748" s="12"/>
      <c r="D6748" s="13"/>
      <c r="E6748" s="4"/>
      <c r="F6748" s="4" t="str">
        <f>IF(D6748="","", IFNA(VLOOKUP(D6748, SATCAT_DECAY!A:B, 2, FALSE), ""))
</f>
        <v/>
      </c>
      <c r="G6748" s="3"/>
    </row>
    <row r="6749" ht="22.5" hidden="1" customHeight="1">
      <c r="A6749" s="11" t="str">
        <f t="array" ref="A6749">IFERROR(
  INDEX('Starlink Launches'!$A:$A, MATCH($E6749, 'Starlink Launches'!$B:$B, 0)),
  ""
)
</f>
        <v/>
      </c>
      <c r="B6749" s="26"/>
      <c r="C6749" s="12"/>
      <c r="D6749" s="13"/>
      <c r="E6749" s="4"/>
      <c r="F6749" s="4" t="str">
        <f>IF(D6749="","", IFNA(VLOOKUP(D6749, SATCAT_DECAY!A:B, 2, FALSE), ""))
</f>
        <v/>
      </c>
      <c r="G6749" s="3"/>
    </row>
    <row r="6750" ht="22.5" hidden="1" customHeight="1">
      <c r="A6750" s="11" t="str">
        <f t="array" ref="A6750">IFERROR(
  INDEX('Starlink Launches'!$A:$A, MATCH($E6750, 'Starlink Launches'!$B:$B, 0)),
  ""
)
</f>
        <v/>
      </c>
      <c r="B6750" s="26"/>
      <c r="C6750" s="12"/>
      <c r="D6750" s="13"/>
      <c r="E6750" s="4"/>
      <c r="F6750" s="4" t="str">
        <f>IF(D6750="","", IFNA(VLOOKUP(D6750, SATCAT_DECAY!A:B, 2, FALSE), ""))
</f>
        <v/>
      </c>
      <c r="G6750" s="3"/>
    </row>
    <row r="6751" ht="22.5" hidden="1" customHeight="1">
      <c r="A6751" s="11" t="str">
        <f t="array" ref="A6751">IFERROR(
  INDEX('Starlink Launches'!$A:$A, MATCH($E6751, 'Starlink Launches'!$B:$B, 0)),
  ""
)
</f>
        <v/>
      </c>
      <c r="B6751" s="26"/>
      <c r="C6751" s="12"/>
      <c r="D6751" s="13"/>
      <c r="E6751" s="4"/>
      <c r="F6751" s="4" t="str">
        <f>IF(D6751="","", IFNA(VLOOKUP(D6751, SATCAT_DECAY!A:B, 2, FALSE), ""))
</f>
        <v/>
      </c>
      <c r="G6751" s="3"/>
    </row>
    <row r="6752" ht="22.5" hidden="1" customHeight="1">
      <c r="A6752" s="11" t="str">
        <f t="array" ref="A6752">IFERROR(
  INDEX('Starlink Launches'!$A:$A, MATCH($E6752, 'Starlink Launches'!$B:$B, 0)),
  ""
)
</f>
        <v/>
      </c>
      <c r="B6752" s="26"/>
      <c r="C6752" s="12"/>
      <c r="D6752" s="13"/>
      <c r="E6752" s="4"/>
      <c r="F6752" s="4" t="str">
        <f>IF(D6752="","", IFNA(VLOOKUP(D6752, SATCAT_DECAY!A:B, 2, FALSE), ""))
</f>
        <v/>
      </c>
      <c r="G6752" s="3"/>
    </row>
    <row r="6753" ht="22.5" hidden="1" customHeight="1">
      <c r="A6753" s="11" t="str">
        <f t="array" ref="A6753">IFERROR(
  INDEX('Starlink Launches'!$A:$A, MATCH($E6753, 'Starlink Launches'!$B:$B, 0)),
  ""
)
</f>
        <v/>
      </c>
      <c r="B6753" s="26"/>
      <c r="C6753" s="12"/>
      <c r="D6753" s="13"/>
      <c r="E6753" s="4"/>
      <c r="F6753" s="4" t="str">
        <f>IF(D6753="","", IFNA(VLOOKUP(D6753, SATCAT_DECAY!A:B, 2, FALSE), ""))
</f>
        <v/>
      </c>
      <c r="G6753" s="3"/>
    </row>
    <row r="6754" ht="22.5" hidden="1" customHeight="1">
      <c r="A6754" s="11" t="str">
        <f t="array" ref="A6754">IFERROR(
  INDEX('Starlink Launches'!$A:$A, MATCH($E6754, 'Starlink Launches'!$B:$B, 0)),
  ""
)
</f>
        <v/>
      </c>
      <c r="B6754" s="26"/>
      <c r="C6754" s="12"/>
      <c r="D6754" s="13"/>
      <c r="E6754" s="4"/>
      <c r="F6754" s="4" t="str">
        <f>IF(D6754="","", IFNA(VLOOKUP(D6754, SATCAT_DECAY!A:B, 2, FALSE), ""))
</f>
        <v/>
      </c>
      <c r="G6754" s="3"/>
    </row>
    <row r="6755" ht="22.5" hidden="1" customHeight="1">
      <c r="A6755" s="11" t="str">
        <f t="array" ref="A6755">IFERROR(
  INDEX('Starlink Launches'!$A:$A, MATCH($E6755, 'Starlink Launches'!$B:$B, 0)),
  ""
)
</f>
        <v/>
      </c>
      <c r="B6755" s="26"/>
      <c r="C6755" s="12"/>
      <c r="D6755" s="13"/>
      <c r="E6755" s="4"/>
      <c r="F6755" s="4" t="str">
        <f>IF(D6755="","", IFNA(VLOOKUP(D6755, SATCAT_DECAY!A:B, 2, FALSE), ""))
</f>
        <v/>
      </c>
      <c r="G6755" s="3"/>
    </row>
    <row r="6756" ht="22.5" hidden="1" customHeight="1">
      <c r="A6756" s="11" t="str">
        <f t="array" ref="A6756">IFERROR(
  INDEX('Starlink Launches'!$A:$A, MATCH($E6756, 'Starlink Launches'!$B:$B, 0)),
  ""
)
</f>
        <v/>
      </c>
      <c r="B6756" s="26"/>
      <c r="C6756" s="12"/>
      <c r="D6756" s="13"/>
      <c r="E6756" s="4"/>
      <c r="F6756" s="4" t="str">
        <f>IF(D6756="","", IFNA(VLOOKUP(D6756, SATCAT_DECAY!A:B, 2, FALSE), ""))
</f>
        <v/>
      </c>
      <c r="G6756" s="3"/>
    </row>
    <row r="6757" ht="22.5" hidden="1" customHeight="1">
      <c r="A6757" s="11" t="str">
        <f t="array" ref="A6757">IFERROR(
  INDEX('Starlink Launches'!$A:$A, MATCH($E6757, 'Starlink Launches'!$B:$B, 0)),
  ""
)
</f>
        <v/>
      </c>
      <c r="B6757" s="26"/>
      <c r="C6757" s="12"/>
      <c r="D6757" s="13"/>
      <c r="E6757" s="4"/>
      <c r="F6757" s="4" t="str">
        <f>IF(D6757="","", IFNA(VLOOKUP(D6757, SATCAT_DECAY!A:B, 2, FALSE), ""))
</f>
        <v/>
      </c>
      <c r="G6757" s="3"/>
    </row>
    <row r="6758" ht="22.5" hidden="1" customHeight="1">
      <c r="A6758" s="11" t="str">
        <f t="array" ref="A6758">IFERROR(
  INDEX('Starlink Launches'!$A:$A, MATCH($E6758, 'Starlink Launches'!$B:$B, 0)),
  ""
)
</f>
        <v/>
      </c>
      <c r="B6758" s="26"/>
      <c r="C6758" s="12"/>
      <c r="D6758" s="13"/>
      <c r="E6758" s="4"/>
      <c r="F6758" s="4" t="str">
        <f>IF(D6758="","", IFNA(VLOOKUP(D6758, SATCAT_DECAY!A:B, 2, FALSE), ""))
</f>
        <v/>
      </c>
      <c r="G6758" s="3"/>
    </row>
    <row r="6759" ht="22.5" hidden="1" customHeight="1">
      <c r="A6759" s="11" t="str">
        <f t="array" ref="A6759">IFERROR(
  INDEX('Starlink Launches'!$A:$A, MATCH($E6759, 'Starlink Launches'!$B:$B, 0)),
  ""
)
</f>
        <v/>
      </c>
      <c r="B6759" s="26"/>
      <c r="C6759" s="12"/>
      <c r="D6759" s="13"/>
      <c r="E6759" s="4"/>
      <c r="F6759" s="4" t="str">
        <f>IF(D6759="","", IFNA(VLOOKUP(D6759, SATCAT_DECAY!A:B, 2, FALSE), ""))
</f>
        <v/>
      </c>
      <c r="G6759" s="3"/>
    </row>
    <row r="6760" ht="22.5" hidden="1" customHeight="1">
      <c r="A6760" s="11" t="str">
        <f t="array" ref="A6760">IFERROR(
  INDEX('Starlink Launches'!$A:$A, MATCH($E6760, 'Starlink Launches'!$B:$B, 0)),
  ""
)
</f>
        <v/>
      </c>
      <c r="B6760" s="26"/>
      <c r="C6760" s="12"/>
      <c r="D6760" s="13"/>
      <c r="E6760" s="4"/>
      <c r="F6760" s="4" t="str">
        <f>IF(D6760="","", IFNA(VLOOKUP(D6760, SATCAT_DECAY!A:B, 2, FALSE), ""))
</f>
        <v/>
      </c>
      <c r="G6760" s="3"/>
    </row>
    <row r="6761" ht="22.5" hidden="1" customHeight="1">
      <c r="A6761" s="11" t="str">
        <f t="array" ref="A6761">IFERROR(
  INDEX('Starlink Launches'!$A:$A, MATCH($E6761, 'Starlink Launches'!$B:$B, 0)),
  ""
)
</f>
        <v/>
      </c>
      <c r="B6761" s="26"/>
      <c r="C6761" s="12"/>
      <c r="D6761" s="13"/>
      <c r="E6761" s="4"/>
      <c r="F6761" s="4" t="str">
        <f>IF(D6761="","", IFNA(VLOOKUP(D6761, SATCAT_DECAY!A:B, 2, FALSE), ""))
</f>
        <v/>
      </c>
      <c r="G6761" s="3"/>
    </row>
    <row r="6762" ht="22.5" hidden="1" customHeight="1">
      <c r="A6762" s="11" t="str">
        <f t="array" ref="A6762">IFERROR(
  INDEX('Starlink Launches'!$A:$A, MATCH($E6762, 'Starlink Launches'!$B:$B, 0)),
  ""
)
</f>
        <v/>
      </c>
      <c r="B6762" s="26"/>
      <c r="C6762" s="12"/>
      <c r="D6762" s="13"/>
      <c r="E6762" s="4"/>
      <c r="F6762" s="4" t="str">
        <f>IF(D6762="","", IFNA(VLOOKUP(D6762, SATCAT_DECAY!A:B, 2, FALSE), ""))
</f>
        <v/>
      </c>
      <c r="G6762" s="3"/>
    </row>
    <row r="6763" ht="22.5" hidden="1" customHeight="1">
      <c r="A6763" s="11" t="str">
        <f t="array" ref="A6763">IFERROR(
  INDEX('Starlink Launches'!$A:$A, MATCH($E6763, 'Starlink Launches'!$B:$B, 0)),
  ""
)
</f>
        <v/>
      </c>
      <c r="B6763" s="26"/>
      <c r="C6763" s="12"/>
      <c r="D6763" s="13"/>
      <c r="E6763" s="4"/>
      <c r="F6763" s="4" t="str">
        <f>IF(D6763="","", IFNA(VLOOKUP(D6763, SATCAT_DECAY!A:B, 2, FALSE), ""))
</f>
        <v/>
      </c>
      <c r="G6763" s="3"/>
    </row>
    <row r="6764" ht="22.5" hidden="1" customHeight="1">
      <c r="A6764" s="11" t="str">
        <f t="array" ref="A6764">IFERROR(
  INDEX('Starlink Launches'!$A:$A, MATCH($E6764, 'Starlink Launches'!$B:$B, 0)),
  ""
)
</f>
        <v/>
      </c>
      <c r="B6764" s="26"/>
      <c r="C6764" s="12"/>
      <c r="D6764" s="13"/>
      <c r="E6764" s="4"/>
      <c r="F6764" s="4" t="str">
        <f>IF(D6764="","", IFNA(VLOOKUP(D6764, SATCAT_DECAY!A:B, 2, FALSE), ""))
</f>
        <v/>
      </c>
      <c r="G6764" s="3"/>
    </row>
    <row r="6765" ht="22.5" hidden="1" customHeight="1">
      <c r="A6765" s="11" t="str">
        <f t="array" ref="A6765">IFERROR(
  INDEX('Starlink Launches'!$A:$A, MATCH($E6765, 'Starlink Launches'!$B:$B, 0)),
  ""
)
</f>
        <v/>
      </c>
      <c r="B6765" s="26"/>
      <c r="C6765" s="12"/>
      <c r="D6765" s="13"/>
      <c r="E6765" s="4"/>
      <c r="F6765" s="4" t="str">
        <f>IF(D6765="","", IFNA(VLOOKUP(D6765, SATCAT_DECAY!A:B, 2, FALSE), ""))
</f>
        <v/>
      </c>
      <c r="G6765" s="3"/>
    </row>
    <row r="6766" ht="22.5" hidden="1" customHeight="1">
      <c r="A6766" s="11" t="str">
        <f t="array" ref="A6766">IFERROR(
  INDEX('Starlink Launches'!$A:$A, MATCH($E6766, 'Starlink Launches'!$B:$B, 0)),
  ""
)
</f>
        <v/>
      </c>
      <c r="B6766" s="26"/>
      <c r="C6766" s="12"/>
      <c r="D6766" s="13"/>
      <c r="E6766" s="4"/>
      <c r="F6766" s="4" t="str">
        <f>IF(D6766="","", IFNA(VLOOKUP(D6766, SATCAT_DECAY!A:B, 2, FALSE), ""))
</f>
        <v/>
      </c>
      <c r="G6766" s="3"/>
    </row>
    <row r="6767" ht="22.5" hidden="1" customHeight="1">
      <c r="A6767" s="11" t="str">
        <f t="array" ref="A6767">IFERROR(
  INDEX('Starlink Launches'!$A:$A, MATCH($E6767, 'Starlink Launches'!$B:$B, 0)),
  ""
)
</f>
        <v/>
      </c>
      <c r="B6767" s="26"/>
      <c r="C6767" s="12"/>
      <c r="D6767" s="13"/>
      <c r="E6767" s="4"/>
      <c r="F6767" s="4" t="str">
        <f>IF(D6767="","", IFNA(VLOOKUP(D6767, SATCAT_DECAY!A:B, 2, FALSE), ""))
</f>
        <v/>
      </c>
      <c r="G6767" s="3"/>
    </row>
    <row r="6768" ht="22.5" hidden="1" customHeight="1">
      <c r="A6768" s="11" t="str">
        <f t="array" ref="A6768">IFERROR(
  INDEX('Starlink Launches'!$A:$A, MATCH($E6768, 'Starlink Launches'!$B:$B, 0)),
  ""
)
</f>
        <v/>
      </c>
      <c r="B6768" s="26"/>
      <c r="C6768" s="12"/>
      <c r="D6768" s="13"/>
      <c r="E6768" s="4"/>
      <c r="F6768" s="4" t="str">
        <f>IF(D6768="","", IFNA(VLOOKUP(D6768, SATCAT_DECAY!A:B, 2, FALSE), ""))
</f>
        <v/>
      </c>
      <c r="G6768" s="3"/>
    </row>
    <row r="6769" ht="22.5" hidden="1" customHeight="1">
      <c r="A6769" s="11" t="str">
        <f t="array" ref="A6769">IFERROR(
  INDEX('Starlink Launches'!$A:$A, MATCH($E6769, 'Starlink Launches'!$B:$B, 0)),
  ""
)
</f>
        <v/>
      </c>
      <c r="B6769" s="26"/>
      <c r="C6769" s="12"/>
      <c r="D6769" s="13"/>
      <c r="E6769" s="4"/>
      <c r="F6769" s="4" t="str">
        <f>IF(D6769="","", IFNA(VLOOKUP(D6769, SATCAT_DECAY!A:B, 2, FALSE), ""))
</f>
        <v/>
      </c>
      <c r="G6769" s="3"/>
    </row>
    <row r="6770" ht="22.5" hidden="1" customHeight="1">
      <c r="A6770" s="11" t="str">
        <f t="array" ref="A6770">IFERROR(
  INDEX('Starlink Launches'!$A:$A, MATCH($E6770, 'Starlink Launches'!$B:$B, 0)),
  ""
)
</f>
        <v/>
      </c>
      <c r="B6770" s="26"/>
      <c r="C6770" s="12"/>
      <c r="D6770" s="13"/>
      <c r="E6770" s="4"/>
      <c r="F6770" s="4" t="str">
        <f>IF(D6770="","", IFNA(VLOOKUP(D6770, SATCAT_DECAY!A:B, 2, FALSE), ""))
</f>
        <v/>
      </c>
      <c r="G6770" s="3"/>
    </row>
    <row r="6771" ht="22.5" hidden="1" customHeight="1">
      <c r="A6771" s="11" t="str">
        <f t="array" ref="A6771">IFERROR(
  INDEX('Starlink Launches'!$A:$A, MATCH($E6771, 'Starlink Launches'!$B:$B, 0)),
  ""
)
</f>
        <v/>
      </c>
      <c r="B6771" s="26"/>
      <c r="C6771" s="12"/>
      <c r="D6771" s="13"/>
      <c r="E6771" s="4"/>
      <c r="F6771" s="4" t="str">
        <f>IF(D6771="","", IFNA(VLOOKUP(D6771, SATCAT_DECAY!A:B, 2, FALSE), ""))
</f>
        <v/>
      </c>
      <c r="G6771" s="3"/>
    </row>
    <row r="6772" ht="22.5" hidden="1" customHeight="1">
      <c r="A6772" s="11" t="str">
        <f t="array" ref="A6772">IFERROR(
  INDEX('Starlink Launches'!$A:$A, MATCH($E6772, 'Starlink Launches'!$B:$B, 0)),
  ""
)
</f>
        <v/>
      </c>
      <c r="B6772" s="26"/>
      <c r="C6772" s="12"/>
      <c r="D6772" s="13"/>
      <c r="E6772" s="4"/>
      <c r="F6772" s="4" t="str">
        <f>IF(D6772="","", IFNA(VLOOKUP(D6772, SATCAT_DECAY!A:B, 2, FALSE), ""))
</f>
        <v/>
      </c>
      <c r="G6772" s="3"/>
    </row>
    <row r="6773" ht="22.5" hidden="1" customHeight="1">
      <c r="A6773" s="11" t="str">
        <f t="array" ref="A6773">IFERROR(
  INDEX('Starlink Launches'!$A:$A, MATCH($E6773, 'Starlink Launches'!$B:$B, 0)),
  ""
)
</f>
        <v/>
      </c>
      <c r="B6773" s="26"/>
      <c r="C6773" s="12"/>
      <c r="D6773" s="13"/>
      <c r="E6773" s="4"/>
      <c r="F6773" s="4" t="str">
        <f>IF(D6773="","", IFNA(VLOOKUP(D6773, SATCAT_DECAY!A:B, 2, FALSE), ""))
</f>
        <v/>
      </c>
      <c r="G6773" s="3"/>
    </row>
    <row r="6774" ht="22.5" hidden="1" customHeight="1">
      <c r="A6774" s="11" t="str">
        <f t="array" ref="A6774">IFERROR(
  INDEX('Starlink Launches'!$A:$A, MATCH($E6774, 'Starlink Launches'!$B:$B, 0)),
  ""
)
</f>
        <v/>
      </c>
      <c r="B6774" s="26"/>
      <c r="C6774" s="12"/>
      <c r="D6774" s="13"/>
      <c r="E6774" s="4"/>
      <c r="F6774" s="4" t="str">
        <f>IF(D6774="","", IFNA(VLOOKUP(D6774, SATCAT_DECAY!A:B, 2, FALSE), ""))
</f>
        <v/>
      </c>
      <c r="G6774" s="3"/>
    </row>
    <row r="6775" ht="22.5" hidden="1" customHeight="1">
      <c r="A6775" s="11" t="str">
        <f t="array" ref="A6775">IFERROR(
  INDEX('Starlink Launches'!$A:$A, MATCH($E6775, 'Starlink Launches'!$B:$B, 0)),
  ""
)
</f>
        <v/>
      </c>
      <c r="B6775" s="26"/>
      <c r="C6775" s="12"/>
      <c r="D6775" s="13"/>
      <c r="E6775" s="4"/>
      <c r="F6775" s="4" t="str">
        <f>IF(D6775="","", IFNA(VLOOKUP(D6775, SATCAT_DECAY!A:B, 2, FALSE), ""))
</f>
        <v/>
      </c>
      <c r="G6775" s="3"/>
    </row>
    <row r="6776" ht="22.5" hidden="1" customHeight="1">
      <c r="A6776" s="11" t="str">
        <f t="array" ref="A6776">IFERROR(
  INDEX('Starlink Launches'!$A:$A, MATCH($E6776, 'Starlink Launches'!$B:$B, 0)),
  ""
)
</f>
        <v/>
      </c>
      <c r="B6776" s="26"/>
      <c r="C6776" s="12"/>
      <c r="D6776" s="13"/>
      <c r="E6776" s="4"/>
      <c r="F6776" s="4" t="str">
        <f>IF(D6776="","", IFNA(VLOOKUP(D6776, SATCAT_DECAY!A:B, 2, FALSE), ""))
</f>
        <v/>
      </c>
      <c r="G6776" s="3"/>
    </row>
    <row r="6777" ht="22.5" hidden="1" customHeight="1">
      <c r="A6777" s="11" t="str">
        <f t="array" ref="A6777">IFERROR(
  INDEX('Starlink Launches'!$A:$A, MATCH($E6777, 'Starlink Launches'!$B:$B, 0)),
  ""
)
</f>
        <v/>
      </c>
      <c r="B6777" s="26"/>
      <c r="C6777" s="12"/>
      <c r="D6777" s="13"/>
      <c r="E6777" s="4"/>
      <c r="F6777" s="4" t="str">
        <f>IF(D6777="","", IFNA(VLOOKUP(D6777, SATCAT_DECAY!A:B, 2, FALSE), ""))
</f>
        <v/>
      </c>
      <c r="G6777" s="3"/>
    </row>
    <row r="6778" ht="22.5" hidden="1" customHeight="1">
      <c r="A6778" s="11" t="str">
        <f t="array" ref="A6778">IFERROR(
  INDEX('Starlink Launches'!$A:$A, MATCH($E6778, 'Starlink Launches'!$B:$B, 0)),
  ""
)
</f>
        <v/>
      </c>
      <c r="B6778" s="26"/>
      <c r="C6778" s="12"/>
      <c r="D6778" s="13"/>
      <c r="E6778" s="4"/>
      <c r="F6778" s="4" t="str">
        <f>IF(D6778="","", IFNA(VLOOKUP(D6778, SATCAT_DECAY!A:B, 2, FALSE), ""))
</f>
        <v/>
      </c>
      <c r="G6778" s="3"/>
    </row>
    <row r="6779" ht="22.5" hidden="1" customHeight="1">
      <c r="A6779" s="11" t="str">
        <f t="array" ref="A6779">IFERROR(
  INDEX('Starlink Launches'!$A:$A, MATCH($E6779, 'Starlink Launches'!$B:$B, 0)),
  ""
)
</f>
        <v/>
      </c>
      <c r="B6779" s="26"/>
      <c r="C6779" s="12"/>
      <c r="D6779" s="13"/>
      <c r="E6779" s="4"/>
      <c r="F6779" s="4" t="str">
        <f>IF(D6779="","", IFNA(VLOOKUP(D6779, SATCAT_DECAY!A:B, 2, FALSE), ""))
</f>
        <v/>
      </c>
      <c r="G6779" s="3"/>
    </row>
    <row r="6780" ht="22.5" hidden="1" customHeight="1">
      <c r="A6780" s="11" t="str">
        <f t="array" ref="A6780">IFERROR(
  INDEX('Starlink Launches'!$A:$A, MATCH($E6780, 'Starlink Launches'!$B:$B, 0)),
  ""
)
</f>
        <v/>
      </c>
      <c r="B6780" s="26"/>
      <c r="C6780" s="12"/>
      <c r="D6780" s="13"/>
      <c r="E6780" s="4"/>
      <c r="F6780" s="4" t="str">
        <f>IF(D6780="","", IFNA(VLOOKUP(D6780, SATCAT_DECAY!A:B, 2, FALSE), ""))
</f>
        <v/>
      </c>
      <c r="G6780" s="3"/>
    </row>
    <row r="6781" ht="22.5" hidden="1" customHeight="1">
      <c r="A6781" s="11" t="str">
        <f t="array" ref="A6781">IFERROR(
  INDEX('Starlink Launches'!$A:$A, MATCH($E6781, 'Starlink Launches'!$B:$B, 0)),
  ""
)
</f>
        <v/>
      </c>
      <c r="B6781" s="26"/>
      <c r="C6781" s="12"/>
      <c r="D6781" s="13"/>
      <c r="E6781" s="4"/>
      <c r="F6781" s="4" t="str">
        <f>IF(D6781="","", IFNA(VLOOKUP(D6781, SATCAT_DECAY!A:B, 2, FALSE), ""))
</f>
        <v/>
      </c>
      <c r="G6781" s="3"/>
    </row>
    <row r="6782" ht="22.5" hidden="1" customHeight="1">
      <c r="A6782" s="11" t="str">
        <f t="array" ref="A6782">IFERROR(
  INDEX('Starlink Launches'!$A:$A, MATCH($E6782, 'Starlink Launches'!$B:$B, 0)),
  ""
)
</f>
        <v/>
      </c>
      <c r="B6782" s="26"/>
      <c r="C6782" s="12"/>
      <c r="D6782" s="13"/>
      <c r="E6782" s="4"/>
      <c r="F6782" s="4" t="str">
        <f>IF(D6782="","", IFNA(VLOOKUP(D6782, SATCAT_DECAY!A:B, 2, FALSE), ""))
</f>
        <v/>
      </c>
      <c r="G6782" s="3"/>
    </row>
    <row r="6783" ht="22.5" hidden="1" customHeight="1">
      <c r="A6783" s="11" t="str">
        <f t="array" ref="A6783">IFERROR(
  INDEX('Starlink Launches'!$A:$A, MATCH($E6783, 'Starlink Launches'!$B:$B, 0)),
  ""
)
</f>
        <v/>
      </c>
      <c r="B6783" s="26"/>
      <c r="C6783" s="12"/>
      <c r="D6783" s="13"/>
      <c r="E6783" s="4"/>
      <c r="F6783" s="4" t="str">
        <f>IF(D6783="","", IFNA(VLOOKUP(D6783, SATCAT_DECAY!A:B, 2, FALSE), ""))
</f>
        <v/>
      </c>
      <c r="G6783" s="3"/>
    </row>
    <row r="6784" ht="22.5" hidden="1" customHeight="1">
      <c r="A6784" s="11" t="str">
        <f t="array" ref="A6784">IFERROR(
  INDEX('Starlink Launches'!$A:$A, MATCH($E6784, 'Starlink Launches'!$B:$B, 0)),
  ""
)
</f>
        <v/>
      </c>
      <c r="B6784" s="26"/>
      <c r="C6784" s="12"/>
      <c r="D6784" s="13"/>
      <c r="E6784" s="4"/>
      <c r="F6784" s="4" t="str">
        <f>IF(D6784="","", IFNA(VLOOKUP(D6784, SATCAT_DECAY!A:B, 2, FALSE), ""))
</f>
        <v/>
      </c>
      <c r="G6784" s="3"/>
    </row>
    <row r="6785" ht="22.5" hidden="1" customHeight="1">
      <c r="A6785" s="11" t="str">
        <f t="array" ref="A6785">IFERROR(
  INDEX('Starlink Launches'!$A:$A, MATCH($E6785, 'Starlink Launches'!$B:$B, 0)),
  ""
)
</f>
        <v/>
      </c>
      <c r="B6785" s="26"/>
      <c r="C6785" s="12"/>
      <c r="D6785" s="13"/>
      <c r="E6785" s="4"/>
      <c r="F6785" s="4" t="str">
        <f>IF(D6785="","", IFNA(VLOOKUP(D6785, SATCAT_DECAY!A:B, 2, FALSE), ""))
</f>
        <v/>
      </c>
      <c r="G6785" s="3"/>
    </row>
    <row r="6786" ht="22.5" hidden="1" customHeight="1">
      <c r="A6786" s="11" t="str">
        <f t="array" ref="A6786">IFERROR(
  INDEX('Starlink Launches'!$A:$A, MATCH($E6786, 'Starlink Launches'!$B:$B, 0)),
  ""
)
</f>
        <v/>
      </c>
      <c r="B6786" s="26"/>
      <c r="C6786" s="12"/>
      <c r="D6786" s="13"/>
      <c r="E6786" s="4"/>
      <c r="F6786" s="4" t="str">
        <f>IF(D6786="","", IFNA(VLOOKUP(D6786, SATCAT_DECAY!A:B, 2, FALSE), ""))
</f>
        <v/>
      </c>
      <c r="G6786" s="3"/>
    </row>
    <row r="6787" ht="22.5" hidden="1" customHeight="1">
      <c r="A6787" s="11" t="str">
        <f t="array" ref="A6787">IFERROR(
  INDEX('Starlink Launches'!$A:$A, MATCH($E6787, 'Starlink Launches'!$B:$B, 0)),
  ""
)
</f>
        <v/>
      </c>
      <c r="B6787" s="26"/>
      <c r="C6787" s="12"/>
      <c r="D6787" s="13"/>
      <c r="E6787" s="4"/>
      <c r="F6787" s="4" t="str">
        <f>IF(D6787="","", IFNA(VLOOKUP(D6787, SATCAT_DECAY!A:B, 2, FALSE), ""))
</f>
        <v/>
      </c>
      <c r="G6787" s="3"/>
    </row>
    <row r="6788" ht="22.5" hidden="1" customHeight="1">
      <c r="A6788" s="11" t="str">
        <f t="array" ref="A6788">IFERROR(
  INDEX('Starlink Launches'!$A:$A, MATCH($E6788, 'Starlink Launches'!$B:$B, 0)),
  ""
)
</f>
        <v/>
      </c>
      <c r="B6788" s="26"/>
      <c r="C6788" s="12"/>
      <c r="D6788" s="13"/>
      <c r="E6788" s="4"/>
      <c r="F6788" s="4" t="str">
        <f>IF(D6788="","", IFNA(VLOOKUP(D6788, SATCAT_DECAY!A:B, 2, FALSE), ""))
</f>
        <v/>
      </c>
      <c r="G6788" s="3"/>
    </row>
    <row r="6789" ht="22.5" hidden="1" customHeight="1">
      <c r="A6789" s="11" t="str">
        <f t="array" ref="A6789">IFERROR(
  INDEX('Starlink Launches'!$A:$A, MATCH($E6789, 'Starlink Launches'!$B:$B, 0)),
  ""
)
</f>
        <v/>
      </c>
      <c r="B6789" s="26"/>
      <c r="C6789" s="12"/>
      <c r="D6789" s="13"/>
      <c r="E6789" s="4"/>
      <c r="F6789" s="4" t="str">
        <f>IF(D6789="","", IFNA(VLOOKUP(D6789, SATCAT_DECAY!A:B, 2, FALSE), ""))
</f>
        <v/>
      </c>
      <c r="G6789" s="3"/>
    </row>
    <row r="6790" ht="22.5" hidden="1" customHeight="1">
      <c r="A6790" s="11" t="str">
        <f t="array" ref="A6790">IFERROR(
  INDEX('Starlink Launches'!$A:$A, MATCH($E6790, 'Starlink Launches'!$B:$B, 0)),
  ""
)
</f>
        <v/>
      </c>
      <c r="B6790" s="26"/>
      <c r="C6790" s="12"/>
      <c r="D6790" s="13"/>
      <c r="E6790" s="4"/>
      <c r="F6790" s="4" t="str">
        <f>IF(D6790="","", IFNA(VLOOKUP(D6790, SATCAT_DECAY!A:B, 2, FALSE), ""))
</f>
        <v/>
      </c>
      <c r="G6790" s="3"/>
    </row>
    <row r="6791" ht="22.5" hidden="1" customHeight="1">
      <c r="A6791" s="11" t="str">
        <f t="array" ref="A6791">IFERROR(
  INDEX('Starlink Launches'!$A:$A, MATCH($E6791, 'Starlink Launches'!$B:$B, 0)),
  ""
)
</f>
        <v/>
      </c>
      <c r="B6791" s="26"/>
      <c r="C6791" s="12"/>
      <c r="D6791" s="13"/>
      <c r="E6791" s="4"/>
      <c r="F6791" s="4" t="str">
        <f>IF(D6791="","", IFNA(VLOOKUP(D6791, SATCAT_DECAY!A:B, 2, FALSE), ""))
</f>
        <v/>
      </c>
      <c r="G6791" s="3"/>
    </row>
    <row r="6792" ht="22.5" hidden="1" customHeight="1">
      <c r="A6792" s="11" t="str">
        <f t="array" ref="A6792">IFERROR(
  INDEX('Starlink Launches'!$A:$A, MATCH($E6792, 'Starlink Launches'!$B:$B, 0)),
  ""
)
</f>
        <v/>
      </c>
      <c r="B6792" s="26"/>
      <c r="C6792" s="12"/>
      <c r="D6792" s="13"/>
      <c r="E6792" s="4"/>
      <c r="F6792" s="4" t="str">
        <f>IF(D6792="","", IFNA(VLOOKUP(D6792, SATCAT_DECAY!A:B, 2, FALSE), ""))
</f>
        <v/>
      </c>
      <c r="G6792" s="3"/>
    </row>
    <row r="6793" ht="22.5" hidden="1" customHeight="1">
      <c r="A6793" s="11" t="str">
        <f t="array" ref="A6793">IFERROR(
  INDEX('Starlink Launches'!$A:$A, MATCH($E6793, 'Starlink Launches'!$B:$B, 0)),
  ""
)
</f>
        <v/>
      </c>
      <c r="B6793" s="26"/>
      <c r="C6793" s="12"/>
      <c r="D6793" s="13"/>
      <c r="E6793" s="4"/>
      <c r="F6793" s="4" t="str">
        <f>IF(D6793="","", IFNA(VLOOKUP(D6793, SATCAT_DECAY!A:B, 2, FALSE), ""))
</f>
        <v/>
      </c>
      <c r="G6793" s="3"/>
    </row>
    <row r="6794" ht="22.5" hidden="1" customHeight="1">
      <c r="A6794" s="11" t="str">
        <f t="array" ref="A6794">IFERROR(
  INDEX('Starlink Launches'!$A:$A, MATCH($E6794, 'Starlink Launches'!$B:$B, 0)),
  ""
)
</f>
        <v/>
      </c>
      <c r="B6794" s="26"/>
      <c r="C6794" s="12"/>
      <c r="D6794" s="13"/>
      <c r="E6794" s="4"/>
      <c r="F6794" s="4" t="str">
        <f>IF(D6794="","", IFNA(VLOOKUP(D6794, SATCAT_DECAY!A:B, 2, FALSE), ""))
</f>
        <v/>
      </c>
      <c r="G6794" s="3"/>
    </row>
    <row r="6795" ht="22.5" hidden="1" customHeight="1">
      <c r="A6795" s="11" t="str">
        <f t="array" ref="A6795">IFERROR(
  INDEX('Starlink Launches'!$A:$A, MATCH($E6795, 'Starlink Launches'!$B:$B, 0)),
  ""
)
</f>
        <v/>
      </c>
      <c r="B6795" s="26"/>
      <c r="C6795" s="12"/>
      <c r="D6795" s="13"/>
      <c r="E6795" s="4"/>
      <c r="F6795" s="4" t="str">
        <f>IF(D6795="","", IFNA(VLOOKUP(D6795, SATCAT_DECAY!A:B, 2, FALSE), ""))
</f>
        <v/>
      </c>
      <c r="G6795" s="3"/>
    </row>
    <row r="6796" ht="22.5" hidden="1" customHeight="1">
      <c r="A6796" s="11" t="str">
        <f t="array" ref="A6796">IFERROR(
  INDEX('Starlink Launches'!$A:$A, MATCH($E6796, 'Starlink Launches'!$B:$B, 0)),
  ""
)
</f>
        <v/>
      </c>
      <c r="B6796" s="26"/>
      <c r="C6796" s="12"/>
      <c r="D6796" s="13"/>
      <c r="E6796" s="4"/>
      <c r="F6796" s="4" t="str">
        <f>IF(D6796="","", IFNA(VLOOKUP(D6796, SATCAT_DECAY!A:B, 2, FALSE), ""))
</f>
        <v/>
      </c>
      <c r="G6796" s="3"/>
    </row>
    <row r="6797" ht="22.5" hidden="1" customHeight="1">
      <c r="A6797" s="11" t="str">
        <f t="array" ref="A6797">IFERROR(
  INDEX('Starlink Launches'!$A:$A, MATCH($E6797, 'Starlink Launches'!$B:$B, 0)),
  ""
)
</f>
        <v/>
      </c>
      <c r="B6797" s="26"/>
      <c r="C6797" s="12"/>
      <c r="D6797" s="13"/>
      <c r="E6797" s="4"/>
      <c r="F6797" s="4" t="str">
        <f>IF(D6797="","", IFNA(VLOOKUP(D6797, SATCAT_DECAY!A:B, 2, FALSE), ""))
</f>
        <v/>
      </c>
      <c r="G6797" s="3"/>
    </row>
    <row r="6798" ht="22.5" hidden="1" customHeight="1">
      <c r="A6798" s="11" t="str">
        <f t="array" ref="A6798">IFERROR(
  INDEX('Starlink Launches'!$A:$A, MATCH($E6798, 'Starlink Launches'!$B:$B, 0)),
  ""
)
</f>
        <v/>
      </c>
      <c r="B6798" s="26"/>
      <c r="C6798" s="12"/>
      <c r="D6798" s="13"/>
      <c r="E6798" s="4"/>
      <c r="F6798" s="4" t="str">
        <f>IF(D6798="","", IFNA(VLOOKUP(D6798, SATCAT_DECAY!A:B, 2, FALSE), ""))
</f>
        <v/>
      </c>
      <c r="G6798" s="3"/>
    </row>
    <row r="6799" ht="22.5" hidden="1" customHeight="1">
      <c r="A6799" s="11" t="str">
        <f t="array" ref="A6799">IFERROR(
  INDEX('Starlink Launches'!$A:$A, MATCH($E6799, 'Starlink Launches'!$B:$B, 0)),
  ""
)
</f>
        <v/>
      </c>
      <c r="B6799" s="26"/>
      <c r="C6799" s="12"/>
      <c r="D6799" s="13"/>
      <c r="E6799" s="4"/>
      <c r="F6799" s="4" t="str">
        <f>IF(D6799="","", IFNA(VLOOKUP(D6799, SATCAT_DECAY!A:B, 2, FALSE), ""))
</f>
        <v/>
      </c>
      <c r="G6799" s="3"/>
    </row>
    <row r="6800" ht="22.5" hidden="1" customHeight="1">
      <c r="A6800" s="11" t="str">
        <f t="array" ref="A6800">IFERROR(
  INDEX('Starlink Launches'!$A:$A, MATCH($E6800, 'Starlink Launches'!$B:$B, 0)),
  ""
)
</f>
        <v/>
      </c>
      <c r="B6800" s="26"/>
      <c r="C6800" s="12"/>
      <c r="D6800" s="13"/>
      <c r="E6800" s="4"/>
      <c r="F6800" s="4" t="str">
        <f>IF(D6800="","", IFNA(VLOOKUP(D6800, SATCAT_DECAY!A:B, 2, FALSE), ""))
</f>
        <v/>
      </c>
      <c r="G6800" s="3"/>
    </row>
    <row r="6801" ht="22.5" hidden="1" customHeight="1">
      <c r="A6801" s="11" t="str">
        <f t="array" ref="A6801">IFERROR(
  INDEX('Starlink Launches'!$A:$A, MATCH($E6801, 'Starlink Launches'!$B:$B, 0)),
  ""
)
</f>
        <v/>
      </c>
      <c r="B6801" s="26"/>
      <c r="C6801" s="12"/>
      <c r="D6801" s="13"/>
      <c r="E6801" s="4"/>
      <c r="F6801" s="4" t="str">
        <f>IF(D6801="","", IFNA(VLOOKUP(D6801, SATCAT_DECAY!A:B, 2, FALSE), ""))
</f>
        <v/>
      </c>
      <c r="G6801" s="3"/>
    </row>
    <row r="6802" ht="22.5" hidden="1" customHeight="1">
      <c r="A6802" s="11" t="str">
        <f t="array" ref="A6802">IFERROR(
  INDEX('Starlink Launches'!$A:$A, MATCH($E6802, 'Starlink Launches'!$B:$B, 0)),
  ""
)
</f>
        <v/>
      </c>
      <c r="B6802" s="26"/>
      <c r="C6802" s="12"/>
      <c r="D6802" s="13"/>
      <c r="E6802" s="4"/>
      <c r="F6802" s="4" t="str">
        <f>IF(D6802="","", IFNA(VLOOKUP(D6802, SATCAT_DECAY!A:B, 2, FALSE), ""))
</f>
        <v/>
      </c>
      <c r="G6802" s="3"/>
    </row>
    <row r="6803" ht="22.5" hidden="1" customHeight="1">
      <c r="A6803" s="11" t="str">
        <f t="array" ref="A6803">IFERROR(
  INDEX('Starlink Launches'!$A:$A, MATCH($E6803, 'Starlink Launches'!$B:$B, 0)),
  ""
)
</f>
        <v/>
      </c>
      <c r="B6803" s="26"/>
      <c r="C6803" s="12"/>
      <c r="D6803" s="13"/>
      <c r="E6803" s="4"/>
      <c r="F6803" s="4" t="str">
        <f>IF(D6803="","", IFNA(VLOOKUP(D6803, SATCAT_DECAY!A:B, 2, FALSE), ""))
</f>
        <v/>
      </c>
      <c r="G6803" s="3"/>
    </row>
    <row r="6804" ht="22.5" hidden="1" customHeight="1">
      <c r="A6804" s="11" t="str">
        <f t="array" ref="A6804">IFERROR(
  INDEX('Starlink Launches'!$A:$A, MATCH($E6804, 'Starlink Launches'!$B:$B, 0)),
  ""
)
</f>
        <v/>
      </c>
      <c r="B6804" s="26"/>
      <c r="C6804" s="12"/>
      <c r="D6804" s="13"/>
      <c r="E6804" s="4"/>
      <c r="F6804" s="4" t="str">
        <f>IF(D6804="","", IFNA(VLOOKUP(D6804, SATCAT_DECAY!A:B, 2, FALSE), ""))
</f>
        <v/>
      </c>
      <c r="G6804" s="3"/>
    </row>
    <row r="6805" ht="22.5" hidden="1" customHeight="1">
      <c r="A6805" s="11" t="str">
        <f t="array" ref="A6805">IFERROR(
  INDEX('Starlink Launches'!$A:$A, MATCH($E6805, 'Starlink Launches'!$B:$B, 0)),
  ""
)
</f>
        <v/>
      </c>
      <c r="B6805" s="26"/>
      <c r="C6805" s="12"/>
      <c r="D6805" s="13"/>
      <c r="E6805" s="4"/>
      <c r="F6805" s="4" t="str">
        <f>IF(D6805="","", IFNA(VLOOKUP(D6805, SATCAT_DECAY!A:B, 2, FALSE), ""))
</f>
        <v/>
      </c>
      <c r="G6805" s="3"/>
    </row>
    <row r="6806" ht="22.5" hidden="1" customHeight="1">
      <c r="A6806" s="11" t="str">
        <f t="array" ref="A6806">IFERROR(
  INDEX('Starlink Launches'!$A:$A, MATCH($E6806, 'Starlink Launches'!$B:$B, 0)),
  ""
)
</f>
        <v/>
      </c>
      <c r="B6806" s="26"/>
      <c r="C6806" s="12"/>
      <c r="D6806" s="13"/>
      <c r="E6806" s="4"/>
      <c r="F6806" s="4" t="str">
        <f>IF(D6806="","", IFNA(VLOOKUP(D6806, SATCAT_DECAY!A:B, 2, FALSE), ""))
</f>
        <v/>
      </c>
      <c r="G6806" s="3"/>
    </row>
    <row r="6807" ht="22.5" hidden="1" customHeight="1">
      <c r="A6807" s="11" t="str">
        <f t="array" ref="A6807">IFERROR(
  INDEX('Starlink Launches'!$A:$A, MATCH($E6807, 'Starlink Launches'!$B:$B, 0)),
  ""
)
</f>
        <v/>
      </c>
      <c r="B6807" s="26"/>
      <c r="C6807" s="12"/>
      <c r="D6807" s="13"/>
      <c r="E6807" s="4"/>
      <c r="F6807" s="4" t="str">
        <f>IF(D6807="","", IFNA(VLOOKUP(D6807, SATCAT_DECAY!A:B, 2, FALSE), ""))
</f>
        <v/>
      </c>
      <c r="G6807" s="3"/>
    </row>
    <row r="6808" ht="22.5" hidden="1" customHeight="1">
      <c r="A6808" s="11" t="str">
        <f t="array" ref="A6808">IFERROR(
  INDEX('Starlink Launches'!$A:$A, MATCH($E6808, 'Starlink Launches'!$B:$B, 0)),
  ""
)
</f>
        <v/>
      </c>
      <c r="B6808" s="26"/>
      <c r="C6808" s="12"/>
      <c r="D6808" s="13"/>
      <c r="E6808" s="4"/>
      <c r="F6808" s="4" t="str">
        <f>IF(D6808="","", IFNA(VLOOKUP(D6808, SATCAT_DECAY!A:B, 2, FALSE), ""))
</f>
        <v/>
      </c>
      <c r="G6808" s="3"/>
    </row>
    <row r="6809" ht="22.5" hidden="1" customHeight="1">
      <c r="A6809" s="11" t="str">
        <f t="array" ref="A6809">IFERROR(
  INDEX('Starlink Launches'!$A:$A, MATCH($E6809, 'Starlink Launches'!$B:$B, 0)),
  ""
)
</f>
        <v/>
      </c>
      <c r="B6809" s="26"/>
      <c r="C6809" s="12"/>
      <c r="D6809" s="13"/>
      <c r="E6809" s="4"/>
      <c r="F6809" s="4" t="str">
        <f>IF(D6809="","", IFNA(VLOOKUP(D6809, SATCAT_DECAY!A:B, 2, FALSE), ""))
</f>
        <v/>
      </c>
      <c r="G6809" s="3"/>
    </row>
    <row r="6810" ht="22.5" hidden="1" customHeight="1">
      <c r="A6810" s="11" t="str">
        <f t="array" ref="A6810">IFERROR(
  INDEX('Starlink Launches'!$A:$A, MATCH($E6810, 'Starlink Launches'!$B:$B, 0)),
  ""
)
</f>
        <v/>
      </c>
      <c r="B6810" s="26"/>
      <c r="C6810" s="12"/>
      <c r="D6810" s="13"/>
      <c r="E6810" s="4"/>
      <c r="F6810" s="4" t="str">
        <f>IF(D6810="","", IFNA(VLOOKUP(D6810, SATCAT_DECAY!A:B, 2, FALSE), ""))
</f>
        <v/>
      </c>
      <c r="G6810" s="3"/>
    </row>
    <row r="6811" ht="22.5" hidden="1" customHeight="1">
      <c r="A6811" s="11" t="str">
        <f t="array" ref="A6811">IFERROR(
  INDEX('Starlink Launches'!$A:$A, MATCH($E6811, 'Starlink Launches'!$B:$B, 0)),
  ""
)
</f>
        <v/>
      </c>
      <c r="B6811" s="26"/>
      <c r="C6811" s="12"/>
      <c r="D6811" s="13"/>
      <c r="E6811" s="4"/>
      <c r="F6811" s="4" t="str">
        <f>IF(D6811="","", IFNA(VLOOKUP(D6811, SATCAT_DECAY!A:B, 2, FALSE), ""))
</f>
        <v/>
      </c>
      <c r="G6811" s="3"/>
    </row>
    <row r="6812" ht="22.5" hidden="1" customHeight="1">
      <c r="A6812" s="11" t="str">
        <f t="array" ref="A6812">IFERROR(
  INDEX('Starlink Launches'!$A:$A, MATCH($E6812, 'Starlink Launches'!$B:$B, 0)),
  ""
)
</f>
        <v/>
      </c>
      <c r="B6812" s="26"/>
      <c r="C6812" s="12"/>
      <c r="D6812" s="13"/>
      <c r="E6812" s="4"/>
      <c r="F6812" s="4" t="str">
        <f>IF(D6812="","", IFNA(VLOOKUP(D6812, SATCAT_DECAY!A:B, 2, FALSE), ""))
</f>
        <v/>
      </c>
      <c r="G6812" s="3"/>
    </row>
    <row r="6813" ht="22.5" hidden="1" customHeight="1">
      <c r="A6813" s="11" t="str">
        <f t="array" ref="A6813">IFERROR(
  INDEX('Starlink Launches'!$A:$A, MATCH($E6813, 'Starlink Launches'!$B:$B, 0)),
  ""
)
</f>
        <v/>
      </c>
      <c r="B6813" s="26"/>
      <c r="C6813" s="12"/>
      <c r="D6813" s="13"/>
      <c r="E6813" s="4"/>
      <c r="F6813" s="4" t="str">
        <f>IF(D6813="","", IFNA(VLOOKUP(D6813, SATCAT_DECAY!A:B, 2, FALSE), ""))
</f>
        <v/>
      </c>
      <c r="G6813" s="3"/>
    </row>
    <row r="6814" ht="22.5" hidden="1" customHeight="1">
      <c r="A6814" s="11" t="str">
        <f t="array" ref="A6814">IFERROR(
  INDEX('Starlink Launches'!$A:$A, MATCH($E6814, 'Starlink Launches'!$B:$B, 0)),
  ""
)
</f>
        <v/>
      </c>
      <c r="B6814" s="26"/>
      <c r="C6814" s="12"/>
      <c r="D6814" s="13"/>
      <c r="E6814" s="4"/>
      <c r="F6814" s="4" t="str">
        <f>IF(D6814="","", IFNA(VLOOKUP(D6814, SATCAT_DECAY!A:B, 2, FALSE), ""))
</f>
        <v/>
      </c>
      <c r="G6814" s="3"/>
    </row>
    <row r="6815" ht="22.5" hidden="1" customHeight="1">
      <c r="A6815" s="11" t="str">
        <f t="array" ref="A6815">IFERROR(
  INDEX('Starlink Launches'!$A:$A, MATCH($E6815, 'Starlink Launches'!$B:$B, 0)),
  ""
)
</f>
        <v/>
      </c>
      <c r="B6815" s="26"/>
      <c r="C6815" s="12"/>
      <c r="D6815" s="13"/>
      <c r="E6815" s="4"/>
      <c r="F6815" s="4" t="str">
        <f>IF(D6815="","", IFNA(VLOOKUP(D6815, SATCAT_DECAY!A:B, 2, FALSE), ""))
</f>
        <v/>
      </c>
      <c r="G6815" s="3"/>
    </row>
    <row r="6816" ht="22.5" hidden="1" customHeight="1">
      <c r="A6816" s="11" t="str">
        <f t="array" ref="A6816">IFERROR(
  INDEX('Starlink Launches'!$A:$A, MATCH($E6816, 'Starlink Launches'!$B:$B, 0)),
  ""
)
</f>
        <v/>
      </c>
      <c r="B6816" s="26"/>
      <c r="C6816" s="12"/>
      <c r="D6816" s="13"/>
      <c r="E6816" s="4"/>
      <c r="F6816" s="4" t="str">
        <f>IF(D6816="","", IFNA(VLOOKUP(D6816, SATCAT_DECAY!A:B, 2, FALSE), ""))
</f>
        <v/>
      </c>
      <c r="G6816" s="3"/>
    </row>
    <row r="6817" ht="22.5" hidden="1" customHeight="1">
      <c r="A6817" s="11" t="str">
        <f t="array" ref="A6817">IFERROR(
  INDEX('Starlink Launches'!$A:$A, MATCH($E6817, 'Starlink Launches'!$B:$B, 0)),
  ""
)
</f>
        <v/>
      </c>
      <c r="B6817" s="26"/>
      <c r="C6817" s="12"/>
      <c r="D6817" s="13"/>
      <c r="E6817" s="4"/>
      <c r="F6817" s="4" t="str">
        <f>IF(D6817="","", IFNA(VLOOKUP(D6817, SATCAT_DECAY!A:B, 2, FALSE), ""))
</f>
        <v/>
      </c>
      <c r="G6817" s="3"/>
    </row>
    <row r="6818" ht="22.5" hidden="1" customHeight="1">
      <c r="A6818" s="11" t="str">
        <f t="array" ref="A6818">IFERROR(
  INDEX('Starlink Launches'!$A:$A, MATCH($E6818, 'Starlink Launches'!$B:$B, 0)),
  ""
)
</f>
        <v/>
      </c>
      <c r="B6818" s="26"/>
      <c r="C6818" s="12"/>
      <c r="D6818" s="13"/>
      <c r="E6818" s="4"/>
      <c r="F6818" s="4" t="str">
        <f>IF(D6818="","", IFNA(VLOOKUP(D6818, SATCAT_DECAY!A:B, 2, FALSE), ""))
</f>
        <v/>
      </c>
      <c r="G6818" s="3"/>
    </row>
    <row r="6819" ht="22.5" hidden="1" customHeight="1">
      <c r="A6819" s="11" t="str">
        <f t="array" ref="A6819">IFERROR(
  INDEX('Starlink Launches'!$A:$A, MATCH($E6819, 'Starlink Launches'!$B:$B, 0)),
  ""
)
</f>
        <v/>
      </c>
      <c r="B6819" s="26"/>
      <c r="C6819" s="12"/>
      <c r="D6819" s="13"/>
      <c r="E6819" s="4"/>
      <c r="F6819" s="4" t="str">
        <f>IF(D6819="","", IFNA(VLOOKUP(D6819, SATCAT_DECAY!A:B, 2, FALSE), ""))
</f>
        <v/>
      </c>
      <c r="G6819" s="3"/>
    </row>
    <row r="6820" ht="22.5" hidden="1" customHeight="1">
      <c r="A6820" s="11" t="str">
        <f t="array" ref="A6820">IFERROR(
  INDEX('Starlink Launches'!$A:$A, MATCH($E6820, 'Starlink Launches'!$B:$B, 0)),
  ""
)
</f>
        <v/>
      </c>
      <c r="B6820" s="26"/>
      <c r="C6820" s="12"/>
      <c r="D6820" s="13"/>
      <c r="E6820" s="4"/>
      <c r="F6820" s="4" t="str">
        <f>IF(D6820="","", IFNA(VLOOKUP(D6820, SATCAT_DECAY!A:B, 2, FALSE), ""))
</f>
        <v/>
      </c>
      <c r="G6820" s="3"/>
    </row>
    <row r="6821" ht="22.5" hidden="1" customHeight="1">
      <c r="A6821" s="11" t="str">
        <f t="array" ref="A6821">IFERROR(
  INDEX('Starlink Launches'!$A:$A, MATCH($E6821, 'Starlink Launches'!$B:$B, 0)),
  ""
)
</f>
        <v/>
      </c>
      <c r="B6821" s="26"/>
      <c r="C6821" s="12"/>
      <c r="D6821" s="13"/>
      <c r="E6821" s="4"/>
      <c r="F6821" s="4" t="str">
        <f>IF(D6821="","", IFNA(VLOOKUP(D6821, SATCAT_DECAY!A:B, 2, FALSE), ""))
</f>
        <v/>
      </c>
      <c r="G6821" s="3"/>
    </row>
    <row r="6822" ht="22.5" hidden="1" customHeight="1">
      <c r="A6822" s="11" t="str">
        <f t="array" ref="A6822">IFERROR(
  INDEX('Starlink Launches'!$A:$A, MATCH($E6822, 'Starlink Launches'!$B:$B, 0)),
  ""
)
</f>
        <v/>
      </c>
      <c r="B6822" s="26"/>
      <c r="C6822" s="12"/>
      <c r="D6822" s="13"/>
      <c r="E6822" s="4"/>
      <c r="F6822" s="4" t="str">
        <f>IF(D6822="","", IFNA(VLOOKUP(D6822, SATCAT_DECAY!A:B, 2, FALSE), ""))
</f>
        <v/>
      </c>
      <c r="G6822" s="3"/>
    </row>
    <row r="6823" ht="22.5" hidden="1" customHeight="1">
      <c r="A6823" s="11" t="str">
        <f t="array" ref="A6823">IFERROR(
  INDEX('Starlink Launches'!$A:$A, MATCH($E6823, 'Starlink Launches'!$B:$B, 0)),
  ""
)
</f>
        <v/>
      </c>
      <c r="B6823" s="26"/>
      <c r="C6823" s="12"/>
      <c r="D6823" s="13"/>
      <c r="E6823" s="4"/>
      <c r="F6823" s="4" t="str">
        <f>IF(D6823="","", IFNA(VLOOKUP(D6823, SATCAT_DECAY!A:B, 2, FALSE), ""))
</f>
        <v/>
      </c>
      <c r="G6823" s="3"/>
    </row>
    <row r="6824" ht="22.5" hidden="1" customHeight="1">
      <c r="A6824" s="11" t="str">
        <f t="array" ref="A6824">IFERROR(
  INDEX('Starlink Launches'!$A:$A, MATCH($E6824, 'Starlink Launches'!$B:$B, 0)),
  ""
)
</f>
        <v/>
      </c>
      <c r="B6824" s="26"/>
      <c r="C6824" s="12"/>
      <c r="D6824" s="13"/>
      <c r="E6824" s="4"/>
      <c r="F6824" s="4" t="str">
        <f>IF(D6824="","", IFNA(VLOOKUP(D6824, SATCAT_DECAY!A:B, 2, FALSE), ""))
</f>
        <v/>
      </c>
      <c r="G6824" s="3"/>
    </row>
    <row r="6825" ht="22.5" hidden="1" customHeight="1">
      <c r="A6825" s="11" t="str">
        <f t="array" ref="A6825">IFERROR(
  INDEX('Starlink Launches'!$A:$A, MATCH($E6825, 'Starlink Launches'!$B:$B, 0)),
  ""
)
</f>
        <v/>
      </c>
      <c r="B6825" s="26"/>
      <c r="C6825" s="12"/>
      <c r="D6825" s="13"/>
      <c r="E6825" s="4"/>
      <c r="F6825" s="4" t="str">
        <f>IF(D6825="","", IFNA(VLOOKUP(D6825, SATCAT_DECAY!A:B, 2, FALSE), ""))
</f>
        <v/>
      </c>
      <c r="G6825" s="3"/>
    </row>
    <row r="6826" ht="22.5" hidden="1" customHeight="1">
      <c r="A6826" s="11" t="str">
        <f t="array" ref="A6826">IFERROR(
  INDEX('Starlink Launches'!$A:$A, MATCH($E6826, 'Starlink Launches'!$B:$B, 0)),
  ""
)
</f>
        <v/>
      </c>
      <c r="B6826" s="26"/>
      <c r="C6826" s="12"/>
      <c r="D6826" s="13"/>
      <c r="E6826" s="4"/>
      <c r="F6826" s="4" t="str">
        <f>IF(D6826="","", IFNA(VLOOKUP(D6826, SATCAT_DECAY!A:B, 2, FALSE), ""))
</f>
        <v/>
      </c>
      <c r="G6826" s="3"/>
    </row>
    <row r="6827" ht="22.5" hidden="1" customHeight="1">
      <c r="A6827" s="11" t="str">
        <f t="array" ref="A6827">IFERROR(
  INDEX('Starlink Launches'!$A:$A, MATCH($E6827, 'Starlink Launches'!$B:$B, 0)),
  ""
)
</f>
        <v/>
      </c>
      <c r="B6827" s="26"/>
      <c r="C6827" s="12"/>
      <c r="D6827" s="13"/>
      <c r="E6827" s="4"/>
      <c r="F6827" s="4" t="str">
        <f>IF(D6827="","", IFNA(VLOOKUP(D6827, SATCAT_DECAY!A:B, 2, FALSE), ""))
</f>
        <v/>
      </c>
      <c r="G6827" s="3"/>
    </row>
    <row r="6828" ht="22.5" hidden="1" customHeight="1">
      <c r="A6828" s="11" t="str">
        <f t="array" ref="A6828">IFERROR(
  INDEX('Starlink Launches'!$A:$A, MATCH($E6828, 'Starlink Launches'!$B:$B, 0)),
  ""
)
</f>
        <v/>
      </c>
      <c r="B6828" s="26"/>
      <c r="C6828" s="12"/>
      <c r="D6828" s="13"/>
      <c r="E6828" s="4"/>
      <c r="F6828" s="4" t="str">
        <f>IF(D6828="","", IFNA(VLOOKUP(D6828, SATCAT_DECAY!A:B, 2, FALSE), ""))
</f>
        <v/>
      </c>
      <c r="G6828" s="3"/>
    </row>
    <row r="6829" ht="22.5" hidden="1" customHeight="1">
      <c r="A6829" s="11" t="str">
        <f t="array" ref="A6829">IFERROR(
  INDEX('Starlink Launches'!$A:$A, MATCH($E6829, 'Starlink Launches'!$B:$B, 0)),
  ""
)
</f>
        <v/>
      </c>
      <c r="B6829" s="26"/>
      <c r="C6829" s="12"/>
      <c r="D6829" s="13"/>
      <c r="E6829" s="4"/>
      <c r="F6829" s="4" t="str">
        <f>IF(D6829="","", IFNA(VLOOKUP(D6829, SATCAT_DECAY!A:B, 2, FALSE), ""))
</f>
        <v/>
      </c>
      <c r="G6829" s="3"/>
    </row>
    <row r="6830" ht="22.5" hidden="1" customHeight="1">
      <c r="A6830" s="11" t="str">
        <f t="array" ref="A6830">IFERROR(
  INDEX('Starlink Launches'!$A:$A, MATCH($E6830, 'Starlink Launches'!$B:$B, 0)),
  ""
)
</f>
        <v/>
      </c>
      <c r="B6830" s="26"/>
      <c r="C6830" s="12"/>
      <c r="D6830" s="13"/>
      <c r="E6830" s="4"/>
      <c r="F6830" s="4" t="str">
        <f>IF(D6830="","", IFNA(VLOOKUP(D6830, SATCAT_DECAY!A:B, 2, FALSE), ""))
</f>
        <v/>
      </c>
      <c r="G6830" s="3"/>
    </row>
    <row r="6831" ht="22.5" hidden="1" customHeight="1">
      <c r="A6831" s="11" t="str">
        <f t="array" ref="A6831">IFERROR(
  INDEX('Starlink Launches'!$A:$A, MATCH($E6831, 'Starlink Launches'!$B:$B, 0)),
  ""
)
</f>
        <v/>
      </c>
      <c r="B6831" s="26"/>
      <c r="C6831" s="12"/>
      <c r="D6831" s="13"/>
      <c r="E6831" s="4"/>
      <c r="F6831" s="4" t="str">
        <f>IF(D6831="","", IFNA(VLOOKUP(D6831, SATCAT_DECAY!A:B, 2, FALSE), ""))
</f>
        <v/>
      </c>
      <c r="G6831" s="3"/>
    </row>
    <row r="6832" ht="22.5" hidden="1" customHeight="1">
      <c r="A6832" s="11" t="str">
        <f t="array" ref="A6832">IFERROR(
  INDEX('Starlink Launches'!$A:$A, MATCH($E6832, 'Starlink Launches'!$B:$B, 0)),
  ""
)
</f>
        <v/>
      </c>
      <c r="B6832" s="26"/>
      <c r="C6832" s="12"/>
      <c r="D6832" s="13"/>
      <c r="E6832" s="4"/>
      <c r="F6832" s="4" t="str">
        <f>IF(D6832="","", IFNA(VLOOKUP(D6832, SATCAT_DECAY!A:B, 2, FALSE), ""))
</f>
        <v/>
      </c>
      <c r="G6832" s="3"/>
    </row>
    <row r="6833" ht="22.5" hidden="1" customHeight="1">
      <c r="A6833" s="11" t="str">
        <f t="array" ref="A6833">IFERROR(
  INDEX('Starlink Launches'!$A:$A, MATCH($E6833, 'Starlink Launches'!$B:$B, 0)),
  ""
)
</f>
        <v/>
      </c>
      <c r="B6833" s="26"/>
      <c r="C6833" s="12"/>
      <c r="D6833" s="13"/>
      <c r="E6833" s="4"/>
      <c r="F6833" s="4" t="str">
        <f>IF(D6833="","", IFNA(VLOOKUP(D6833, SATCAT_DECAY!A:B, 2, FALSE), ""))
</f>
        <v/>
      </c>
      <c r="G6833" s="3"/>
    </row>
    <row r="6834" ht="22.5" hidden="1" customHeight="1">
      <c r="A6834" s="11" t="str">
        <f t="array" ref="A6834">IFERROR(
  INDEX('Starlink Launches'!$A:$A, MATCH($E6834, 'Starlink Launches'!$B:$B, 0)),
  ""
)
</f>
        <v/>
      </c>
      <c r="B6834" s="26"/>
      <c r="C6834" s="12"/>
      <c r="D6834" s="13"/>
      <c r="E6834" s="4"/>
      <c r="F6834" s="4" t="str">
        <f>IF(D6834="","", IFNA(VLOOKUP(D6834, SATCAT_DECAY!A:B, 2, FALSE), ""))
</f>
        <v/>
      </c>
      <c r="G6834" s="3"/>
    </row>
    <row r="6835" ht="22.5" hidden="1" customHeight="1">
      <c r="A6835" s="11" t="str">
        <f t="array" ref="A6835">IFERROR(
  INDEX('Starlink Launches'!$A:$A, MATCH($E6835, 'Starlink Launches'!$B:$B, 0)),
  ""
)
</f>
        <v/>
      </c>
      <c r="B6835" s="26"/>
      <c r="C6835" s="12"/>
      <c r="D6835" s="13"/>
      <c r="E6835" s="4"/>
      <c r="F6835" s="4" t="str">
        <f>IF(D6835="","", IFNA(VLOOKUP(D6835, SATCAT_DECAY!A:B, 2, FALSE), ""))
</f>
        <v/>
      </c>
      <c r="G6835" s="3"/>
    </row>
    <row r="6836" ht="22.5" hidden="1" customHeight="1">
      <c r="A6836" s="11" t="str">
        <f t="array" ref="A6836">IFERROR(
  INDEX('Starlink Launches'!$A:$A, MATCH($E6836, 'Starlink Launches'!$B:$B, 0)),
  ""
)
</f>
        <v/>
      </c>
      <c r="B6836" s="26"/>
      <c r="C6836" s="12"/>
      <c r="D6836" s="13"/>
      <c r="E6836" s="4"/>
      <c r="F6836" s="4" t="str">
        <f>IF(D6836="","", IFNA(VLOOKUP(D6836, SATCAT_DECAY!A:B, 2, FALSE), ""))
</f>
        <v/>
      </c>
      <c r="G6836" s="3"/>
    </row>
    <row r="6837" ht="22.5" hidden="1" customHeight="1">
      <c r="A6837" s="11" t="str">
        <f t="array" ref="A6837">IFERROR(
  INDEX('Starlink Launches'!$A:$A, MATCH($E6837, 'Starlink Launches'!$B:$B, 0)),
  ""
)
</f>
        <v/>
      </c>
      <c r="B6837" s="26"/>
      <c r="C6837" s="12"/>
      <c r="D6837" s="13"/>
      <c r="E6837" s="4"/>
      <c r="F6837" s="4" t="str">
        <f>IF(D6837="","", IFNA(VLOOKUP(D6837, SATCAT_DECAY!A:B, 2, FALSE), ""))
</f>
        <v/>
      </c>
      <c r="G6837" s="3"/>
    </row>
    <row r="6838" ht="22.5" hidden="1" customHeight="1">
      <c r="A6838" s="11" t="str">
        <f t="array" ref="A6838">IFERROR(
  INDEX('Starlink Launches'!$A:$A, MATCH($E6838, 'Starlink Launches'!$B:$B, 0)),
  ""
)
</f>
        <v/>
      </c>
      <c r="B6838" s="26"/>
      <c r="C6838" s="12"/>
      <c r="D6838" s="13"/>
      <c r="E6838" s="4"/>
      <c r="F6838" s="4" t="str">
        <f>IF(D6838="","", IFNA(VLOOKUP(D6838, SATCAT_DECAY!A:B, 2, FALSE), ""))
</f>
        <v/>
      </c>
      <c r="G6838" s="3"/>
    </row>
    <row r="6839" ht="22.5" hidden="1" customHeight="1">
      <c r="A6839" s="11" t="str">
        <f t="array" ref="A6839">IFERROR(
  INDEX('Starlink Launches'!$A:$A, MATCH($E6839, 'Starlink Launches'!$B:$B, 0)),
  ""
)
</f>
        <v/>
      </c>
      <c r="B6839" s="26"/>
      <c r="C6839" s="12"/>
      <c r="D6839" s="13"/>
      <c r="E6839" s="4"/>
      <c r="F6839" s="4" t="str">
        <f>IF(D6839="","", IFNA(VLOOKUP(D6839, SATCAT_DECAY!A:B, 2, FALSE), ""))
</f>
        <v/>
      </c>
      <c r="G6839" s="3"/>
    </row>
    <row r="6840" ht="22.5" hidden="1" customHeight="1">
      <c r="A6840" s="11" t="str">
        <f t="array" ref="A6840">IFERROR(
  INDEX('Starlink Launches'!$A:$A, MATCH($E6840, 'Starlink Launches'!$B:$B, 0)),
  ""
)
</f>
        <v/>
      </c>
      <c r="B6840" s="26"/>
      <c r="C6840" s="12"/>
      <c r="D6840" s="13"/>
      <c r="E6840" s="4"/>
      <c r="F6840" s="4" t="str">
        <f>IF(D6840="","", IFNA(VLOOKUP(D6840, SATCAT_DECAY!A:B, 2, FALSE), ""))
</f>
        <v/>
      </c>
      <c r="G6840" s="3"/>
    </row>
    <row r="6841" ht="22.5" hidden="1" customHeight="1">
      <c r="A6841" s="11" t="str">
        <f t="array" ref="A6841">IFERROR(
  INDEX('Starlink Launches'!$A:$A, MATCH($E6841, 'Starlink Launches'!$B:$B, 0)),
  ""
)
</f>
        <v/>
      </c>
      <c r="B6841" s="26"/>
      <c r="C6841" s="12"/>
      <c r="D6841" s="13"/>
      <c r="E6841" s="4"/>
      <c r="F6841" s="4" t="str">
        <f>IF(D6841="","", IFNA(VLOOKUP(D6841, SATCAT_DECAY!A:B, 2, FALSE), ""))
</f>
        <v/>
      </c>
      <c r="G6841" s="3"/>
    </row>
    <row r="6842" ht="22.5" hidden="1" customHeight="1">
      <c r="A6842" s="11" t="str">
        <f t="array" ref="A6842">IFERROR(
  INDEX('Starlink Launches'!$A:$A, MATCH($E6842, 'Starlink Launches'!$B:$B, 0)),
  ""
)
</f>
        <v/>
      </c>
      <c r="B6842" s="26"/>
      <c r="C6842" s="12"/>
      <c r="D6842" s="13"/>
      <c r="E6842" s="4"/>
      <c r="F6842" s="4" t="str">
        <f>IF(D6842="","", IFNA(VLOOKUP(D6842, SATCAT_DECAY!A:B, 2, FALSE), ""))
</f>
        <v/>
      </c>
      <c r="G6842" s="3"/>
    </row>
    <row r="6843" ht="22.5" hidden="1" customHeight="1">
      <c r="A6843" s="11" t="str">
        <f t="array" ref="A6843">IFERROR(
  INDEX('Starlink Launches'!$A:$A, MATCH($E6843, 'Starlink Launches'!$B:$B, 0)),
  ""
)
</f>
        <v/>
      </c>
      <c r="B6843" s="26"/>
      <c r="C6843" s="12"/>
      <c r="D6843" s="13"/>
      <c r="E6843" s="4"/>
      <c r="F6843" s="4" t="str">
        <f>IF(D6843="","", IFNA(VLOOKUP(D6843, SATCAT_DECAY!A:B, 2, FALSE), ""))
</f>
        <v/>
      </c>
      <c r="G6843" s="3"/>
    </row>
    <row r="6844" ht="22.5" hidden="1" customHeight="1">
      <c r="A6844" s="11" t="str">
        <f t="array" ref="A6844">IFERROR(
  INDEX('Starlink Launches'!$A:$A, MATCH($E6844, 'Starlink Launches'!$B:$B, 0)),
  ""
)
</f>
        <v/>
      </c>
      <c r="B6844" s="26"/>
      <c r="C6844" s="12"/>
      <c r="D6844" s="13"/>
      <c r="E6844" s="4"/>
      <c r="F6844" s="4" t="str">
        <f>IF(D6844="","", IFNA(VLOOKUP(D6844, SATCAT_DECAY!A:B, 2, FALSE), ""))
</f>
        <v/>
      </c>
      <c r="G6844" s="3"/>
    </row>
    <row r="6845" ht="22.5" hidden="1" customHeight="1">
      <c r="A6845" s="11" t="str">
        <f t="array" ref="A6845">IFERROR(
  INDEX('Starlink Launches'!$A:$A, MATCH($E6845, 'Starlink Launches'!$B:$B, 0)),
  ""
)
</f>
        <v/>
      </c>
      <c r="B6845" s="26"/>
      <c r="C6845" s="12"/>
      <c r="D6845" s="13"/>
      <c r="E6845" s="4"/>
      <c r="F6845" s="4" t="str">
        <f>IF(D6845="","", IFNA(VLOOKUP(D6845, SATCAT_DECAY!A:B, 2, FALSE), ""))
</f>
        <v/>
      </c>
      <c r="G6845" s="3"/>
    </row>
    <row r="6846" ht="22.5" hidden="1" customHeight="1">
      <c r="A6846" s="11" t="str">
        <f t="array" ref="A6846">IFERROR(
  INDEX('Starlink Launches'!$A:$A, MATCH($E6846, 'Starlink Launches'!$B:$B, 0)),
  ""
)
</f>
        <v/>
      </c>
      <c r="B6846" s="26"/>
      <c r="C6846" s="12"/>
      <c r="D6846" s="13"/>
      <c r="E6846" s="4"/>
      <c r="F6846" s="4" t="str">
        <f>IF(D6846="","", IFNA(VLOOKUP(D6846, SATCAT_DECAY!A:B, 2, FALSE), ""))
</f>
        <v/>
      </c>
      <c r="G6846" s="3"/>
    </row>
    <row r="6847" ht="22.5" hidden="1" customHeight="1">
      <c r="A6847" s="11" t="str">
        <f t="array" ref="A6847">IFERROR(
  INDEX('Starlink Launches'!$A:$A, MATCH($E6847, 'Starlink Launches'!$B:$B, 0)),
  ""
)
</f>
        <v/>
      </c>
      <c r="B6847" s="26"/>
      <c r="C6847" s="12"/>
      <c r="D6847" s="13"/>
      <c r="E6847" s="4"/>
      <c r="F6847" s="4" t="str">
        <f>IF(D6847="","", IFNA(VLOOKUP(D6847, SATCAT_DECAY!A:B, 2, FALSE), ""))
</f>
        <v/>
      </c>
      <c r="G6847" s="3"/>
    </row>
    <row r="6848" ht="22.5" hidden="1" customHeight="1">
      <c r="A6848" s="11" t="str">
        <f t="array" ref="A6848">IFERROR(
  INDEX('Starlink Launches'!$A:$A, MATCH($E6848, 'Starlink Launches'!$B:$B, 0)),
  ""
)
</f>
        <v/>
      </c>
      <c r="B6848" s="26"/>
      <c r="C6848" s="12"/>
      <c r="D6848" s="13"/>
      <c r="E6848" s="4"/>
      <c r="F6848" s="4" t="str">
        <f>IF(D6848="","", IFNA(VLOOKUP(D6848, SATCAT_DECAY!A:B, 2, FALSE), ""))
</f>
        <v/>
      </c>
      <c r="G6848" s="3"/>
    </row>
    <row r="6849" ht="22.5" hidden="1" customHeight="1">
      <c r="A6849" s="11" t="str">
        <f t="array" ref="A6849">IFERROR(
  INDEX('Starlink Launches'!$A:$A, MATCH($E6849, 'Starlink Launches'!$B:$B, 0)),
  ""
)
</f>
        <v/>
      </c>
      <c r="B6849" s="26"/>
      <c r="C6849" s="12"/>
      <c r="D6849" s="13"/>
      <c r="E6849" s="4"/>
      <c r="F6849" s="4" t="str">
        <f>IF(D6849="","", IFNA(VLOOKUP(D6849, SATCAT_DECAY!A:B, 2, FALSE), ""))
</f>
        <v/>
      </c>
      <c r="G6849" s="3"/>
    </row>
    <row r="6850" ht="22.5" hidden="1" customHeight="1">
      <c r="A6850" s="11" t="str">
        <f t="array" ref="A6850">IFERROR(
  INDEX('Starlink Launches'!$A:$A, MATCH($E6850, 'Starlink Launches'!$B:$B, 0)),
  ""
)
</f>
        <v/>
      </c>
      <c r="B6850" s="26"/>
      <c r="C6850" s="12"/>
      <c r="D6850" s="13"/>
      <c r="E6850" s="4"/>
      <c r="F6850" s="4" t="str">
        <f>IF(D6850="","", IFNA(VLOOKUP(D6850, SATCAT_DECAY!A:B, 2, FALSE), ""))
</f>
        <v/>
      </c>
      <c r="G6850" s="3"/>
    </row>
    <row r="6851" ht="22.5" hidden="1" customHeight="1">
      <c r="A6851" s="11" t="str">
        <f t="array" ref="A6851">IFERROR(
  INDEX('Starlink Launches'!$A:$A, MATCH($E6851, 'Starlink Launches'!$B:$B, 0)),
  ""
)
</f>
        <v/>
      </c>
      <c r="B6851" s="26"/>
      <c r="C6851" s="12"/>
      <c r="D6851" s="13"/>
      <c r="E6851" s="4"/>
      <c r="F6851" s="4" t="str">
        <f>IF(D6851="","", IFNA(VLOOKUP(D6851, SATCAT_DECAY!A:B, 2, FALSE), ""))
</f>
        <v/>
      </c>
      <c r="G6851" s="3"/>
    </row>
    <row r="6852" ht="22.5" hidden="1" customHeight="1">
      <c r="A6852" s="11" t="str">
        <f t="array" ref="A6852">IFERROR(
  INDEX('Starlink Launches'!$A:$A, MATCH($E6852, 'Starlink Launches'!$B:$B, 0)),
  ""
)
</f>
        <v/>
      </c>
      <c r="B6852" s="26"/>
      <c r="C6852" s="12"/>
      <c r="D6852" s="13"/>
      <c r="E6852" s="4"/>
      <c r="F6852" s="4" t="str">
        <f>IF(D6852="","", IFNA(VLOOKUP(D6852, SATCAT_DECAY!A:B, 2, FALSE), ""))
</f>
        <v/>
      </c>
      <c r="G6852" s="3"/>
    </row>
    <row r="6853" ht="22.5" hidden="1" customHeight="1">
      <c r="A6853" s="11" t="str">
        <f t="array" ref="A6853">IFERROR(
  INDEX('Starlink Launches'!$A:$A, MATCH($E6853, 'Starlink Launches'!$B:$B, 0)),
  ""
)
</f>
        <v/>
      </c>
      <c r="B6853" s="26"/>
      <c r="C6853" s="12"/>
      <c r="D6853" s="13"/>
      <c r="E6853" s="4"/>
      <c r="F6853" s="4" t="str">
        <f>IF(D6853="","", IFNA(VLOOKUP(D6853, SATCAT_DECAY!A:B, 2, FALSE), ""))
</f>
        <v/>
      </c>
      <c r="G6853" s="3"/>
    </row>
    <row r="6854" ht="22.5" hidden="1" customHeight="1">
      <c r="A6854" s="11" t="str">
        <f t="array" ref="A6854">IFERROR(
  INDEX('Starlink Launches'!$A:$A, MATCH($E6854, 'Starlink Launches'!$B:$B, 0)),
  ""
)
</f>
        <v/>
      </c>
      <c r="B6854" s="26"/>
      <c r="C6854" s="12"/>
      <c r="D6854" s="13"/>
      <c r="E6854" s="4"/>
      <c r="F6854" s="4" t="str">
        <f>IF(D6854="","", IFNA(VLOOKUP(D6854, SATCAT_DECAY!A:B, 2, FALSE), ""))
</f>
        <v/>
      </c>
      <c r="G6854" s="3"/>
    </row>
    <row r="6855" ht="22.5" hidden="1" customHeight="1">
      <c r="A6855" s="11" t="str">
        <f t="array" ref="A6855">IFERROR(
  INDEX('Starlink Launches'!$A:$A, MATCH($E6855, 'Starlink Launches'!$B:$B, 0)),
  ""
)
</f>
        <v/>
      </c>
      <c r="B6855" s="26"/>
      <c r="C6855" s="12"/>
      <c r="D6855" s="13"/>
      <c r="E6855" s="4"/>
      <c r="F6855" s="4" t="str">
        <f>IF(D6855="","", IFNA(VLOOKUP(D6855, SATCAT_DECAY!A:B, 2, FALSE), ""))
</f>
        <v/>
      </c>
      <c r="G6855" s="3"/>
    </row>
    <row r="6856" ht="22.5" hidden="1" customHeight="1">
      <c r="A6856" s="11" t="str">
        <f t="array" ref="A6856">IFERROR(
  INDEX('Starlink Launches'!$A:$A, MATCH($E6856, 'Starlink Launches'!$B:$B, 0)),
  ""
)
</f>
        <v/>
      </c>
      <c r="B6856" s="26"/>
      <c r="C6856" s="12"/>
      <c r="D6856" s="13"/>
      <c r="E6856" s="4"/>
      <c r="F6856" s="4" t="str">
        <f>IF(D6856="","", IFNA(VLOOKUP(D6856, SATCAT_DECAY!A:B, 2, FALSE), ""))
</f>
        <v/>
      </c>
      <c r="G6856" s="3"/>
    </row>
    <row r="6857" ht="22.5" hidden="1" customHeight="1">
      <c r="A6857" s="11" t="str">
        <f t="array" ref="A6857">IFERROR(
  INDEX('Starlink Launches'!$A:$A, MATCH($E6857, 'Starlink Launches'!$B:$B, 0)),
  ""
)
</f>
        <v/>
      </c>
      <c r="B6857" s="26"/>
      <c r="C6857" s="12"/>
      <c r="D6857" s="13"/>
      <c r="E6857" s="4"/>
      <c r="F6857" s="4" t="str">
        <f>IF(D6857="","", IFNA(VLOOKUP(D6857, SATCAT_DECAY!A:B, 2, FALSE), ""))
</f>
        <v/>
      </c>
      <c r="G6857" s="3"/>
    </row>
    <row r="6858" ht="22.5" hidden="1" customHeight="1">
      <c r="A6858" s="11" t="str">
        <f t="array" ref="A6858">IFERROR(
  INDEX('Starlink Launches'!$A:$A, MATCH($E6858, 'Starlink Launches'!$B:$B, 0)),
  ""
)
</f>
        <v/>
      </c>
      <c r="B6858" s="26"/>
      <c r="C6858" s="12"/>
      <c r="D6858" s="13"/>
      <c r="E6858" s="4"/>
      <c r="F6858" s="4" t="str">
        <f>IF(D6858="","", IFNA(VLOOKUP(D6858, SATCAT_DECAY!A:B, 2, FALSE), ""))
</f>
        <v/>
      </c>
      <c r="G6858" s="3"/>
    </row>
    <row r="6859" ht="22.5" hidden="1" customHeight="1">
      <c r="A6859" s="11" t="str">
        <f t="array" ref="A6859">IFERROR(
  INDEX('Starlink Launches'!$A:$A, MATCH($E6859, 'Starlink Launches'!$B:$B, 0)),
  ""
)
</f>
        <v/>
      </c>
      <c r="B6859" s="26"/>
      <c r="C6859" s="12"/>
      <c r="D6859" s="13"/>
      <c r="E6859" s="4"/>
      <c r="F6859" s="4" t="str">
        <f>IF(D6859="","", IFNA(VLOOKUP(D6859, SATCAT_DECAY!A:B, 2, FALSE), ""))
</f>
        <v/>
      </c>
      <c r="G6859" s="3"/>
    </row>
    <row r="6860" ht="22.5" hidden="1" customHeight="1">
      <c r="A6860" s="11" t="str">
        <f t="array" ref="A6860">IFERROR(
  INDEX('Starlink Launches'!$A:$A, MATCH($E6860, 'Starlink Launches'!$B:$B, 0)),
  ""
)
</f>
        <v/>
      </c>
      <c r="B6860" s="26"/>
      <c r="C6860" s="12"/>
      <c r="D6860" s="13"/>
      <c r="E6860" s="4"/>
      <c r="F6860" s="4" t="str">
        <f>IF(D6860="","", IFNA(VLOOKUP(D6860, SATCAT_DECAY!A:B, 2, FALSE), ""))
</f>
        <v/>
      </c>
      <c r="G6860" s="3"/>
    </row>
    <row r="6861" ht="22.5" hidden="1" customHeight="1">
      <c r="A6861" s="11" t="str">
        <f t="array" ref="A6861">IFERROR(
  INDEX('Starlink Launches'!$A:$A, MATCH($E6861, 'Starlink Launches'!$B:$B, 0)),
  ""
)
</f>
        <v/>
      </c>
      <c r="B6861" s="26"/>
      <c r="C6861" s="12"/>
      <c r="D6861" s="13"/>
      <c r="E6861" s="4"/>
      <c r="F6861" s="4" t="str">
        <f>IF(D6861="","", IFNA(VLOOKUP(D6861, SATCAT_DECAY!A:B, 2, FALSE), ""))
</f>
        <v/>
      </c>
      <c r="G6861" s="3"/>
    </row>
    <row r="6862" ht="22.5" hidden="1" customHeight="1">
      <c r="A6862" s="11" t="str">
        <f t="array" ref="A6862">IFERROR(
  INDEX('Starlink Launches'!$A:$A, MATCH($E6862, 'Starlink Launches'!$B:$B, 0)),
  ""
)
</f>
        <v/>
      </c>
      <c r="B6862" s="26"/>
      <c r="C6862" s="12"/>
      <c r="D6862" s="13"/>
      <c r="E6862" s="4"/>
      <c r="F6862" s="4" t="str">
        <f>IF(D6862="","", IFNA(VLOOKUP(D6862, SATCAT_DECAY!A:B, 2, FALSE), ""))
</f>
        <v/>
      </c>
      <c r="G6862" s="3"/>
    </row>
    <row r="6863" ht="22.5" hidden="1" customHeight="1">
      <c r="A6863" s="11" t="str">
        <f t="array" ref="A6863">IFERROR(
  INDEX('Starlink Launches'!$A:$A, MATCH($E6863, 'Starlink Launches'!$B:$B, 0)),
  ""
)
</f>
        <v/>
      </c>
      <c r="B6863" s="26"/>
      <c r="C6863" s="12"/>
      <c r="D6863" s="13"/>
      <c r="E6863" s="4"/>
      <c r="F6863" s="4" t="str">
        <f>IF(D6863="","", IFNA(VLOOKUP(D6863, SATCAT_DECAY!A:B, 2, FALSE), ""))
</f>
        <v/>
      </c>
      <c r="G6863" s="3"/>
    </row>
    <row r="6864" ht="22.5" hidden="1" customHeight="1">
      <c r="A6864" s="11" t="str">
        <f t="array" ref="A6864">IFERROR(
  INDEX('Starlink Launches'!$A:$A, MATCH($E6864, 'Starlink Launches'!$B:$B, 0)),
  ""
)
</f>
        <v/>
      </c>
      <c r="B6864" s="26"/>
      <c r="C6864" s="12"/>
      <c r="D6864" s="13"/>
      <c r="E6864" s="4"/>
      <c r="F6864" s="4" t="str">
        <f>IF(D6864="","", IFNA(VLOOKUP(D6864, SATCAT_DECAY!A:B, 2, FALSE), ""))
</f>
        <v/>
      </c>
      <c r="G6864" s="3"/>
    </row>
    <row r="6865" ht="22.5" hidden="1" customHeight="1">
      <c r="A6865" s="11" t="str">
        <f t="array" ref="A6865">IFERROR(
  INDEX('Starlink Launches'!$A:$A, MATCH($E6865, 'Starlink Launches'!$B:$B, 0)),
  ""
)
</f>
        <v/>
      </c>
      <c r="B6865" s="26"/>
      <c r="C6865" s="12"/>
      <c r="D6865" s="13"/>
      <c r="E6865" s="4"/>
      <c r="F6865" s="4" t="str">
        <f>IF(D6865="","", IFNA(VLOOKUP(D6865, SATCAT_DECAY!A:B, 2, FALSE), ""))
</f>
        <v/>
      </c>
      <c r="G6865" s="3"/>
    </row>
    <row r="6866" ht="22.5" hidden="1" customHeight="1">
      <c r="A6866" s="11" t="str">
        <f t="array" ref="A6866">IFERROR(
  INDEX('Starlink Launches'!$A:$A, MATCH($E6866, 'Starlink Launches'!$B:$B, 0)),
  ""
)
</f>
        <v/>
      </c>
      <c r="B6866" s="26"/>
      <c r="C6866" s="12"/>
      <c r="D6866" s="13"/>
      <c r="E6866" s="4"/>
      <c r="F6866" s="4" t="str">
        <f>IF(D6866="","", IFNA(VLOOKUP(D6866, SATCAT_DECAY!A:B, 2, FALSE), ""))
</f>
        <v/>
      </c>
      <c r="G6866" s="3"/>
    </row>
    <row r="6867" ht="22.5" hidden="1" customHeight="1">
      <c r="A6867" s="11" t="str">
        <f t="array" ref="A6867">IFERROR(
  INDEX('Starlink Launches'!$A:$A, MATCH($E6867, 'Starlink Launches'!$B:$B, 0)),
  ""
)
</f>
        <v/>
      </c>
      <c r="B6867" s="26"/>
      <c r="C6867" s="12"/>
      <c r="D6867" s="13"/>
      <c r="E6867" s="4"/>
      <c r="F6867" s="4" t="str">
        <f>IF(D6867="","", IFNA(VLOOKUP(D6867, SATCAT_DECAY!A:B, 2, FALSE), ""))
</f>
        <v/>
      </c>
      <c r="G6867" s="3"/>
    </row>
    <row r="6868" ht="22.5" hidden="1" customHeight="1">
      <c r="A6868" s="11" t="str">
        <f t="array" ref="A6868">IFERROR(
  INDEX('Starlink Launches'!$A:$A, MATCH($E6868, 'Starlink Launches'!$B:$B, 0)),
  ""
)
</f>
        <v/>
      </c>
      <c r="B6868" s="26"/>
      <c r="C6868" s="12"/>
      <c r="D6868" s="13"/>
      <c r="E6868" s="4"/>
      <c r="F6868" s="4" t="str">
        <f>IF(D6868="","", IFNA(VLOOKUP(D6868, SATCAT_DECAY!A:B, 2, FALSE), ""))
</f>
        <v/>
      </c>
      <c r="G6868" s="3"/>
    </row>
    <row r="6869" ht="22.5" hidden="1" customHeight="1">
      <c r="A6869" s="11" t="str">
        <f t="array" ref="A6869">IFERROR(
  INDEX('Starlink Launches'!$A:$A, MATCH($E6869, 'Starlink Launches'!$B:$B, 0)),
  ""
)
</f>
        <v/>
      </c>
      <c r="B6869" s="26"/>
      <c r="C6869" s="12"/>
      <c r="D6869" s="13"/>
      <c r="E6869" s="4"/>
      <c r="F6869" s="4" t="str">
        <f>IF(D6869="","", IFNA(VLOOKUP(D6869, SATCAT_DECAY!A:B, 2, FALSE), ""))
</f>
        <v/>
      </c>
      <c r="G6869" s="3"/>
    </row>
    <row r="6870" ht="22.5" hidden="1" customHeight="1">
      <c r="A6870" s="11" t="str">
        <f t="array" ref="A6870">IFERROR(
  INDEX('Starlink Launches'!$A:$A, MATCH($E6870, 'Starlink Launches'!$B:$B, 0)),
  ""
)
</f>
        <v/>
      </c>
      <c r="B6870" s="26"/>
      <c r="C6870" s="12"/>
      <c r="D6870" s="13"/>
      <c r="E6870" s="4"/>
      <c r="F6870" s="4" t="str">
        <f>IF(D6870="","", IFNA(VLOOKUP(D6870, SATCAT_DECAY!A:B, 2, FALSE), ""))
</f>
        <v/>
      </c>
      <c r="G6870" s="3"/>
    </row>
    <row r="6871" ht="22.5" hidden="1" customHeight="1">
      <c r="A6871" s="11" t="str">
        <f t="array" ref="A6871">IFERROR(
  INDEX('Starlink Launches'!$A:$A, MATCH($E6871, 'Starlink Launches'!$B:$B, 0)),
  ""
)
</f>
        <v/>
      </c>
      <c r="B6871" s="26"/>
      <c r="C6871" s="12"/>
      <c r="D6871" s="13"/>
      <c r="E6871" s="4"/>
      <c r="F6871" s="4" t="str">
        <f>IF(D6871="","", IFNA(VLOOKUP(D6871, SATCAT_DECAY!A:B, 2, FALSE), ""))
</f>
        <v/>
      </c>
      <c r="G6871" s="3"/>
    </row>
    <row r="6872" ht="22.5" hidden="1" customHeight="1">
      <c r="A6872" s="11" t="str">
        <f t="array" ref="A6872">IFERROR(
  INDEX('Starlink Launches'!$A:$A, MATCH($E6872, 'Starlink Launches'!$B:$B, 0)),
  ""
)
</f>
        <v/>
      </c>
      <c r="B6872" s="26"/>
      <c r="C6872" s="12"/>
      <c r="D6872" s="13"/>
      <c r="E6872" s="4"/>
      <c r="F6872" s="4" t="str">
        <f>IF(D6872="","", IFNA(VLOOKUP(D6872, SATCAT_DECAY!A:B, 2, FALSE), ""))
</f>
        <v/>
      </c>
      <c r="G6872" s="3"/>
    </row>
    <row r="6873" ht="22.5" hidden="1" customHeight="1">
      <c r="A6873" s="11" t="str">
        <f t="array" ref="A6873">IFERROR(
  INDEX('Starlink Launches'!$A:$A, MATCH($E6873, 'Starlink Launches'!$B:$B, 0)),
  ""
)
</f>
        <v/>
      </c>
      <c r="B6873" s="26"/>
      <c r="C6873" s="12"/>
      <c r="D6873" s="13"/>
      <c r="E6873" s="4"/>
      <c r="F6873" s="4" t="str">
        <f>IF(D6873="","", IFNA(VLOOKUP(D6873, SATCAT_DECAY!A:B, 2, FALSE), ""))
</f>
        <v/>
      </c>
      <c r="G6873" s="3"/>
    </row>
    <row r="6874" ht="22.5" hidden="1" customHeight="1">
      <c r="A6874" s="11" t="str">
        <f t="array" ref="A6874">IFERROR(
  INDEX('Starlink Launches'!$A:$A, MATCH($E6874, 'Starlink Launches'!$B:$B, 0)),
  ""
)
</f>
        <v/>
      </c>
      <c r="B6874" s="26"/>
      <c r="C6874" s="12"/>
      <c r="D6874" s="13"/>
      <c r="E6874" s="4"/>
      <c r="F6874" s="4" t="str">
        <f>IF(D6874="","", IFNA(VLOOKUP(D6874, SATCAT_DECAY!A:B, 2, FALSE), ""))
</f>
        <v/>
      </c>
      <c r="G6874" s="3"/>
    </row>
    <row r="6875" ht="22.5" hidden="1" customHeight="1">
      <c r="A6875" s="11" t="str">
        <f t="array" ref="A6875">IFERROR(
  INDEX('Starlink Launches'!$A:$A, MATCH($E6875, 'Starlink Launches'!$B:$B, 0)),
  ""
)
</f>
        <v/>
      </c>
      <c r="B6875" s="26"/>
      <c r="C6875" s="12"/>
      <c r="D6875" s="13"/>
      <c r="E6875" s="4"/>
      <c r="F6875" s="4" t="str">
        <f>IF(D6875="","", IFNA(VLOOKUP(D6875, SATCAT_DECAY!A:B, 2, FALSE), ""))
</f>
        <v/>
      </c>
      <c r="G6875" s="3"/>
    </row>
    <row r="6876" ht="22.5" hidden="1" customHeight="1">
      <c r="A6876" s="11" t="str">
        <f t="array" ref="A6876">IFERROR(
  INDEX('Starlink Launches'!$A:$A, MATCH($E6876, 'Starlink Launches'!$B:$B, 0)),
  ""
)
</f>
        <v/>
      </c>
      <c r="B6876" s="26"/>
      <c r="C6876" s="12"/>
      <c r="D6876" s="13"/>
      <c r="E6876" s="4"/>
      <c r="F6876" s="4" t="str">
        <f>IF(D6876="","", IFNA(VLOOKUP(D6876, SATCAT_DECAY!A:B, 2, FALSE), ""))
</f>
        <v/>
      </c>
      <c r="G6876" s="3"/>
    </row>
    <row r="6877" ht="22.5" hidden="1" customHeight="1">
      <c r="A6877" s="11" t="str">
        <f t="array" ref="A6877">IFERROR(
  INDEX('Starlink Launches'!$A:$A, MATCH($E6877, 'Starlink Launches'!$B:$B, 0)),
  ""
)
</f>
        <v/>
      </c>
      <c r="B6877" s="26"/>
      <c r="C6877" s="12"/>
      <c r="D6877" s="13"/>
      <c r="E6877" s="4"/>
      <c r="F6877" s="4" t="str">
        <f>IF(D6877="","", IFNA(VLOOKUP(D6877, SATCAT_DECAY!A:B, 2, FALSE), ""))
</f>
        <v/>
      </c>
      <c r="G6877" s="3"/>
    </row>
    <row r="6878" ht="22.5" hidden="1" customHeight="1">
      <c r="A6878" s="11" t="str">
        <f t="array" ref="A6878">IFERROR(
  INDEX('Starlink Launches'!$A:$A, MATCH($E6878, 'Starlink Launches'!$B:$B, 0)),
  ""
)
</f>
        <v/>
      </c>
      <c r="B6878" s="26"/>
      <c r="C6878" s="12"/>
      <c r="D6878" s="13"/>
      <c r="E6878" s="4"/>
      <c r="F6878" s="4" t="str">
        <f>IF(D6878="","", IFNA(VLOOKUP(D6878, SATCAT_DECAY!A:B, 2, FALSE), ""))
</f>
        <v/>
      </c>
      <c r="G6878" s="3"/>
    </row>
    <row r="6879" ht="22.5" hidden="1" customHeight="1">
      <c r="A6879" s="11" t="str">
        <f t="array" ref="A6879">IFERROR(
  INDEX('Starlink Launches'!$A:$A, MATCH($E6879, 'Starlink Launches'!$B:$B, 0)),
  ""
)
</f>
        <v/>
      </c>
      <c r="B6879" s="26"/>
      <c r="C6879" s="12"/>
      <c r="D6879" s="13"/>
      <c r="E6879" s="4"/>
      <c r="F6879" s="4" t="str">
        <f>IF(D6879="","", IFNA(VLOOKUP(D6879, SATCAT_DECAY!A:B, 2, FALSE), ""))
</f>
        <v/>
      </c>
      <c r="G6879" s="3"/>
    </row>
    <row r="6880" ht="22.5" hidden="1" customHeight="1">
      <c r="A6880" s="11" t="str">
        <f t="array" ref="A6880">IFERROR(
  INDEX('Starlink Launches'!$A:$A, MATCH($E6880, 'Starlink Launches'!$B:$B, 0)),
  ""
)
</f>
        <v/>
      </c>
      <c r="B6880" s="26"/>
      <c r="C6880" s="12"/>
      <c r="D6880" s="13"/>
      <c r="E6880" s="4"/>
      <c r="F6880" s="4" t="str">
        <f>IF(D6880="","", IFNA(VLOOKUP(D6880, SATCAT_DECAY!A:B, 2, FALSE), ""))
</f>
        <v/>
      </c>
      <c r="G6880" s="3"/>
    </row>
    <row r="6881" ht="22.5" hidden="1" customHeight="1">
      <c r="A6881" s="11" t="str">
        <f t="array" ref="A6881">IFERROR(
  INDEX('Starlink Launches'!$A:$A, MATCH($E6881, 'Starlink Launches'!$B:$B, 0)),
  ""
)
</f>
        <v/>
      </c>
      <c r="B6881" s="26"/>
      <c r="C6881" s="12"/>
      <c r="D6881" s="13"/>
      <c r="E6881" s="4"/>
      <c r="F6881" s="4" t="str">
        <f>IF(D6881="","", IFNA(VLOOKUP(D6881, SATCAT_DECAY!A:B, 2, FALSE), ""))
</f>
        <v/>
      </c>
      <c r="G6881" s="3"/>
    </row>
    <row r="6882" ht="22.5" hidden="1" customHeight="1">
      <c r="A6882" s="11" t="str">
        <f t="array" ref="A6882">IFERROR(
  INDEX('Starlink Launches'!$A:$A, MATCH($E6882, 'Starlink Launches'!$B:$B, 0)),
  ""
)
</f>
        <v/>
      </c>
      <c r="B6882" s="26"/>
      <c r="C6882" s="12"/>
      <c r="D6882" s="13"/>
      <c r="E6882" s="4"/>
      <c r="F6882" s="4" t="str">
        <f>IF(D6882="","", IFNA(VLOOKUP(D6882, SATCAT_DECAY!A:B, 2, FALSE), ""))
</f>
        <v/>
      </c>
      <c r="G6882" s="3"/>
    </row>
    <row r="6883" ht="22.5" hidden="1" customHeight="1">
      <c r="A6883" s="11" t="str">
        <f t="array" ref="A6883">IFERROR(
  INDEX('Starlink Launches'!$A:$A, MATCH($E6883, 'Starlink Launches'!$B:$B, 0)),
  ""
)
</f>
        <v/>
      </c>
      <c r="B6883" s="26"/>
      <c r="C6883" s="12"/>
      <c r="D6883" s="13"/>
      <c r="E6883" s="4"/>
      <c r="F6883" s="4" t="str">
        <f>IF(D6883="","", IFNA(VLOOKUP(D6883, SATCAT_DECAY!A:B, 2, FALSE), ""))
</f>
        <v/>
      </c>
      <c r="G6883" s="3"/>
    </row>
    <row r="6884" ht="22.5" hidden="1" customHeight="1">
      <c r="A6884" s="11" t="str">
        <f t="array" ref="A6884">IFERROR(
  INDEX('Starlink Launches'!$A:$A, MATCH($E6884, 'Starlink Launches'!$B:$B, 0)),
  ""
)
</f>
        <v/>
      </c>
      <c r="B6884" s="26"/>
      <c r="C6884" s="12"/>
      <c r="D6884" s="13"/>
      <c r="E6884" s="4"/>
      <c r="F6884" s="4" t="str">
        <f>IF(D6884="","", IFNA(VLOOKUP(D6884, SATCAT_DECAY!A:B, 2, FALSE), ""))
</f>
        <v/>
      </c>
      <c r="G6884" s="3"/>
    </row>
    <row r="6885" ht="22.5" hidden="1" customHeight="1">
      <c r="A6885" s="11" t="str">
        <f t="array" ref="A6885">IFERROR(
  INDEX('Starlink Launches'!$A:$A, MATCH($E6885, 'Starlink Launches'!$B:$B, 0)),
  ""
)
</f>
        <v/>
      </c>
      <c r="B6885" s="26"/>
      <c r="C6885" s="12"/>
      <c r="D6885" s="13"/>
      <c r="E6885" s="4"/>
      <c r="F6885" s="4" t="str">
        <f>IF(D6885="","", IFNA(VLOOKUP(D6885, SATCAT_DECAY!A:B, 2, FALSE), ""))
</f>
        <v/>
      </c>
      <c r="G6885" s="3"/>
    </row>
    <row r="6886" ht="22.5" hidden="1" customHeight="1">
      <c r="A6886" s="11" t="str">
        <f t="array" ref="A6886">IFERROR(
  INDEX('Starlink Launches'!$A:$A, MATCH($E6886, 'Starlink Launches'!$B:$B, 0)),
  ""
)
</f>
        <v/>
      </c>
      <c r="B6886" s="26"/>
      <c r="C6886" s="12"/>
      <c r="D6886" s="13"/>
      <c r="E6886" s="4"/>
      <c r="F6886" s="4" t="str">
        <f>IF(D6886="","", IFNA(VLOOKUP(D6886, SATCAT_DECAY!A:B, 2, FALSE), ""))
</f>
        <v/>
      </c>
      <c r="G6886" s="3"/>
    </row>
    <row r="6887" ht="22.5" hidden="1" customHeight="1">
      <c r="A6887" s="11" t="str">
        <f t="array" ref="A6887">IFERROR(
  INDEX('Starlink Launches'!$A:$A, MATCH($E6887, 'Starlink Launches'!$B:$B, 0)),
  ""
)
</f>
        <v/>
      </c>
      <c r="B6887" s="26"/>
      <c r="C6887" s="12"/>
      <c r="D6887" s="13"/>
      <c r="E6887" s="4"/>
      <c r="F6887" s="4" t="str">
        <f>IF(D6887="","", IFNA(VLOOKUP(D6887, SATCAT_DECAY!A:B, 2, FALSE), ""))
</f>
        <v/>
      </c>
      <c r="G6887" s="3"/>
    </row>
    <row r="6888" ht="22.5" hidden="1" customHeight="1">
      <c r="A6888" s="11" t="str">
        <f t="array" ref="A6888">IFERROR(
  INDEX('Starlink Launches'!$A:$A, MATCH($E6888, 'Starlink Launches'!$B:$B, 0)),
  ""
)
</f>
        <v/>
      </c>
      <c r="B6888" s="26"/>
      <c r="C6888" s="12"/>
      <c r="D6888" s="13"/>
      <c r="E6888" s="4"/>
      <c r="F6888" s="4" t="str">
        <f>IF(D6888="","", IFNA(VLOOKUP(D6888, SATCAT_DECAY!A:B, 2, FALSE), ""))
</f>
        <v/>
      </c>
      <c r="G6888" s="3"/>
    </row>
    <row r="6889" ht="22.5" hidden="1" customHeight="1">
      <c r="A6889" s="11" t="str">
        <f t="array" ref="A6889">IFERROR(
  INDEX('Starlink Launches'!$A:$A, MATCH($E6889, 'Starlink Launches'!$B:$B, 0)),
  ""
)
</f>
        <v/>
      </c>
      <c r="B6889" s="26"/>
      <c r="C6889" s="12"/>
      <c r="D6889" s="13"/>
      <c r="E6889" s="4"/>
      <c r="F6889" s="4" t="str">
        <f>IF(D6889="","", IFNA(VLOOKUP(D6889, SATCAT_DECAY!A:B, 2, FALSE), ""))
</f>
        <v/>
      </c>
      <c r="G6889" s="3"/>
    </row>
    <row r="6890" ht="22.5" hidden="1" customHeight="1">
      <c r="A6890" s="11" t="str">
        <f t="array" ref="A6890">IFERROR(
  INDEX('Starlink Launches'!$A:$A, MATCH($E6890, 'Starlink Launches'!$B:$B, 0)),
  ""
)
</f>
        <v/>
      </c>
      <c r="B6890" s="26"/>
      <c r="C6890" s="12"/>
      <c r="D6890" s="13"/>
      <c r="E6890" s="4"/>
      <c r="F6890" s="4" t="str">
        <f>IF(D6890="","", IFNA(VLOOKUP(D6890, SATCAT_DECAY!A:B, 2, FALSE), ""))
</f>
        <v/>
      </c>
      <c r="G6890" s="3"/>
    </row>
    <row r="6891" ht="22.5" hidden="1" customHeight="1">
      <c r="A6891" s="11" t="str">
        <f t="array" ref="A6891">IFERROR(
  INDEX('Starlink Launches'!$A:$A, MATCH($E6891, 'Starlink Launches'!$B:$B, 0)),
  ""
)
</f>
        <v/>
      </c>
      <c r="B6891" s="26"/>
      <c r="C6891" s="12"/>
      <c r="D6891" s="13"/>
      <c r="E6891" s="4"/>
      <c r="F6891" s="4" t="str">
        <f>IF(D6891="","", IFNA(VLOOKUP(D6891, SATCAT_DECAY!A:B, 2, FALSE), ""))
</f>
        <v/>
      </c>
      <c r="G6891" s="3"/>
    </row>
    <row r="6892" ht="22.5" hidden="1" customHeight="1">
      <c r="A6892" s="11" t="str">
        <f t="array" ref="A6892">IFERROR(
  INDEX('Starlink Launches'!$A:$A, MATCH($E6892, 'Starlink Launches'!$B:$B, 0)),
  ""
)
</f>
        <v/>
      </c>
      <c r="B6892" s="26"/>
      <c r="C6892" s="12"/>
      <c r="D6892" s="13"/>
      <c r="E6892" s="4"/>
      <c r="F6892" s="4" t="str">
        <f>IF(D6892="","", IFNA(VLOOKUP(D6892, SATCAT_DECAY!A:B, 2, FALSE), ""))
</f>
        <v/>
      </c>
      <c r="G6892" s="3"/>
    </row>
    <row r="6893" ht="22.5" hidden="1" customHeight="1">
      <c r="A6893" s="11" t="str">
        <f t="array" ref="A6893">IFERROR(
  INDEX('Starlink Launches'!$A:$A, MATCH($E6893, 'Starlink Launches'!$B:$B, 0)),
  ""
)
</f>
        <v/>
      </c>
      <c r="B6893" s="26"/>
      <c r="C6893" s="12"/>
      <c r="D6893" s="13"/>
      <c r="E6893" s="4"/>
      <c r="F6893" s="4" t="str">
        <f>IF(D6893="","", IFNA(VLOOKUP(D6893, SATCAT_DECAY!A:B, 2, FALSE), ""))
</f>
        <v/>
      </c>
      <c r="G6893" s="3"/>
    </row>
    <row r="6894" ht="22.5" hidden="1" customHeight="1">
      <c r="A6894" s="11" t="str">
        <f t="array" ref="A6894">IFERROR(
  INDEX('Starlink Launches'!$A:$A, MATCH($E6894, 'Starlink Launches'!$B:$B, 0)),
  ""
)
</f>
        <v/>
      </c>
      <c r="B6894" s="26"/>
      <c r="C6894" s="12"/>
      <c r="D6894" s="13"/>
      <c r="E6894" s="4"/>
      <c r="F6894" s="4" t="str">
        <f>IF(D6894="","", IFNA(VLOOKUP(D6894, SATCAT_DECAY!A:B, 2, FALSE), ""))
</f>
        <v/>
      </c>
      <c r="G6894" s="3"/>
    </row>
    <row r="6895" ht="22.5" hidden="1" customHeight="1">
      <c r="A6895" s="11" t="str">
        <f t="array" ref="A6895">IFERROR(
  INDEX('Starlink Launches'!$A:$A, MATCH($E6895, 'Starlink Launches'!$B:$B, 0)),
  ""
)
</f>
        <v/>
      </c>
      <c r="B6895" s="26"/>
      <c r="C6895" s="12"/>
      <c r="D6895" s="13"/>
      <c r="E6895" s="4"/>
      <c r="F6895" s="4" t="str">
        <f>IF(D6895="","", IFNA(VLOOKUP(D6895, SATCAT_DECAY!A:B, 2, FALSE), ""))
</f>
        <v/>
      </c>
      <c r="G6895" s="3"/>
    </row>
    <row r="6896" ht="22.5" hidden="1" customHeight="1">
      <c r="A6896" s="11" t="str">
        <f t="array" ref="A6896">IFERROR(
  INDEX('Starlink Launches'!$A:$A, MATCH($E6896, 'Starlink Launches'!$B:$B, 0)),
  ""
)
</f>
        <v/>
      </c>
      <c r="B6896" s="26"/>
      <c r="C6896" s="12"/>
      <c r="D6896" s="13"/>
      <c r="E6896" s="4"/>
      <c r="F6896" s="4" t="str">
        <f>IF(D6896="","", IFNA(VLOOKUP(D6896, SATCAT_DECAY!A:B, 2, FALSE), ""))
</f>
        <v/>
      </c>
      <c r="G6896" s="3"/>
    </row>
    <row r="6897" ht="22.5" hidden="1" customHeight="1">
      <c r="A6897" s="11" t="str">
        <f t="array" ref="A6897">IFERROR(
  INDEX('Starlink Launches'!$A:$A, MATCH($E6897, 'Starlink Launches'!$B:$B, 0)),
  ""
)
</f>
        <v/>
      </c>
      <c r="B6897" s="26"/>
      <c r="C6897" s="12"/>
      <c r="D6897" s="13"/>
      <c r="E6897" s="4"/>
      <c r="F6897" s="4" t="str">
        <f>IF(D6897="","", IFNA(VLOOKUP(D6897, SATCAT_DECAY!A:B, 2, FALSE), ""))
</f>
        <v/>
      </c>
      <c r="G6897" s="3"/>
    </row>
    <row r="6898" ht="22.5" hidden="1" customHeight="1">
      <c r="A6898" s="11" t="str">
        <f t="array" ref="A6898">IFERROR(
  INDEX('Starlink Launches'!$A:$A, MATCH($E6898, 'Starlink Launches'!$B:$B, 0)),
  ""
)
</f>
        <v/>
      </c>
      <c r="B6898" s="26"/>
      <c r="C6898" s="12"/>
      <c r="D6898" s="13"/>
      <c r="E6898" s="4"/>
      <c r="F6898" s="4" t="str">
        <f>IF(D6898="","", IFNA(VLOOKUP(D6898, SATCAT_DECAY!A:B, 2, FALSE), ""))
</f>
        <v/>
      </c>
      <c r="G6898" s="3"/>
    </row>
    <row r="6899" ht="22.5" hidden="1" customHeight="1">
      <c r="A6899" s="11" t="str">
        <f t="array" ref="A6899">IFERROR(
  INDEX('Starlink Launches'!$A:$A, MATCH($E6899, 'Starlink Launches'!$B:$B, 0)),
  ""
)
</f>
        <v/>
      </c>
      <c r="B6899" s="26"/>
      <c r="C6899" s="12"/>
      <c r="D6899" s="13"/>
      <c r="E6899" s="4"/>
      <c r="F6899" s="4" t="str">
        <f>IF(D6899="","", IFNA(VLOOKUP(D6899, SATCAT_DECAY!A:B, 2, FALSE), ""))
</f>
        <v/>
      </c>
      <c r="G6899" s="3"/>
    </row>
    <row r="6900" ht="22.5" hidden="1" customHeight="1">
      <c r="A6900" s="11" t="str">
        <f t="array" ref="A6900">IFERROR(
  INDEX('Starlink Launches'!$A:$A, MATCH($E6900, 'Starlink Launches'!$B:$B, 0)),
  ""
)
</f>
        <v/>
      </c>
      <c r="B6900" s="26"/>
      <c r="C6900" s="12"/>
      <c r="D6900" s="13"/>
      <c r="E6900" s="4"/>
      <c r="F6900" s="4" t="str">
        <f>IF(D6900="","", IFNA(VLOOKUP(D6900, SATCAT_DECAY!A:B, 2, FALSE), ""))
</f>
        <v/>
      </c>
      <c r="G6900" s="3"/>
    </row>
    <row r="6901" ht="22.5" hidden="1" customHeight="1">
      <c r="A6901" s="11" t="str">
        <f t="array" ref="A6901">IFERROR(
  INDEX('Starlink Launches'!$A:$A, MATCH($E6901, 'Starlink Launches'!$B:$B, 0)),
  ""
)
</f>
        <v/>
      </c>
      <c r="B6901" s="26"/>
      <c r="C6901" s="12"/>
      <c r="D6901" s="13"/>
      <c r="E6901" s="4"/>
      <c r="F6901" s="4" t="str">
        <f>IF(D6901="","", IFNA(VLOOKUP(D6901, SATCAT_DECAY!A:B, 2, FALSE), ""))
</f>
        <v/>
      </c>
      <c r="G6901" s="3"/>
    </row>
    <row r="6902" ht="22.5" hidden="1" customHeight="1">
      <c r="A6902" s="11" t="str">
        <f t="array" ref="A6902">IFERROR(
  INDEX('Starlink Launches'!$A:$A, MATCH($E6902, 'Starlink Launches'!$B:$B, 0)),
  ""
)
</f>
        <v/>
      </c>
      <c r="B6902" s="26"/>
      <c r="C6902" s="12"/>
      <c r="D6902" s="13"/>
      <c r="E6902" s="4"/>
      <c r="F6902" s="4" t="str">
        <f>IF(D6902="","", IFNA(VLOOKUP(D6902, SATCAT_DECAY!A:B, 2, FALSE), ""))
</f>
        <v/>
      </c>
      <c r="G6902" s="3"/>
    </row>
    <row r="6903" ht="22.5" hidden="1" customHeight="1">
      <c r="A6903" s="11" t="str">
        <f t="array" ref="A6903">IFERROR(
  INDEX('Starlink Launches'!$A:$A, MATCH($E6903, 'Starlink Launches'!$B:$B, 0)),
  ""
)
</f>
        <v/>
      </c>
      <c r="B6903" s="26"/>
      <c r="C6903" s="12"/>
      <c r="D6903" s="13"/>
      <c r="E6903" s="4"/>
      <c r="F6903" s="4" t="str">
        <f>IF(D6903="","", IFNA(VLOOKUP(D6903, SATCAT_DECAY!A:B, 2, FALSE), ""))
</f>
        <v/>
      </c>
      <c r="G6903" s="3"/>
    </row>
    <row r="6904" ht="22.5" hidden="1" customHeight="1">
      <c r="A6904" s="11" t="str">
        <f t="array" ref="A6904">IFERROR(
  INDEX('Starlink Launches'!$A:$A, MATCH($E6904, 'Starlink Launches'!$B:$B, 0)),
  ""
)
</f>
        <v/>
      </c>
      <c r="B6904" s="26"/>
      <c r="C6904" s="12"/>
      <c r="D6904" s="13"/>
      <c r="E6904" s="4"/>
      <c r="F6904" s="4" t="str">
        <f>IF(D6904="","", IFNA(VLOOKUP(D6904, SATCAT_DECAY!A:B, 2, FALSE), ""))
</f>
        <v/>
      </c>
      <c r="G6904" s="3"/>
    </row>
    <row r="6905" ht="22.5" hidden="1" customHeight="1">
      <c r="A6905" s="11" t="str">
        <f t="array" ref="A6905">IFERROR(
  INDEX('Starlink Launches'!$A:$A, MATCH($E6905, 'Starlink Launches'!$B:$B, 0)),
  ""
)
</f>
        <v/>
      </c>
      <c r="B6905" s="26"/>
      <c r="C6905" s="12"/>
      <c r="D6905" s="13"/>
      <c r="E6905" s="4"/>
      <c r="F6905" s="4" t="str">
        <f>IF(D6905="","", IFNA(VLOOKUP(D6905, SATCAT_DECAY!A:B, 2, FALSE), ""))
</f>
        <v/>
      </c>
      <c r="G6905" s="3"/>
    </row>
    <row r="6906" ht="22.5" hidden="1" customHeight="1">
      <c r="A6906" s="11" t="str">
        <f t="array" ref="A6906">IFERROR(
  INDEX('Starlink Launches'!$A:$A, MATCH($E6906, 'Starlink Launches'!$B:$B, 0)),
  ""
)
</f>
        <v/>
      </c>
      <c r="B6906" s="26"/>
      <c r="C6906" s="12"/>
      <c r="D6906" s="13"/>
      <c r="E6906" s="4"/>
      <c r="F6906" s="4" t="str">
        <f>IF(D6906="","", IFNA(VLOOKUP(D6906, SATCAT_DECAY!A:B, 2, FALSE), ""))
</f>
        <v/>
      </c>
      <c r="G6906" s="3"/>
    </row>
    <row r="6907" ht="22.5" hidden="1" customHeight="1">
      <c r="A6907" s="11" t="str">
        <f t="array" ref="A6907">IFERROR(
  INDEX('Starlink Launches'!$A:$A, MATCH($E6907, 'Starlink Launches'!$B:$B, 0)),
  ""
)
</f>
        <v/>
      </c>
      <c r="B6907" s="26"/>
      <c r="C6907" s="12"/>
      <c r="D6907" s="13"/>
      <c r="E6907" s="4"/>
      <c r="F6907" s="4" t="str">
        <f>IF(D6907="","", IFNA(VLOOKUP(D6907, SATCAT_DECAY!A:B, 2, FALSE), ""))
</f>
        <v/>
      </c>
      <c r="G6907" s="3"/>
    </row>
    <row r="6908" ht="22.5" hidden="1" customHeight="1">
      <c r="A6908" s="11" t="str">
        <f t="array" ref="A6908">IFERROR(
  INDEX('Starlink Launches'!$A:$A, MATCH($E6908, 'Starlink Launches'!$B:$B, 0)),
  ""
)
</f>
        <v/>
      </c>
      <c r="B6908" s="26"/>
      <c r="C6908" s="12"/>
      <c r="D6908" s="13"/>
      <c r="E6908" s="4"/>
      <c r="F6908" s="4" t="str">
        <f>IF(D6908="","", IFNA(VLOOKUP(D6908, SATCAT_DECAY!A:B, 2, FALSE), ""))
</f>
        <v/>
      </c>
      <c r="G6908" s="3"/>
    </row>
    <row r="6909" ht="22.5" hidden="1" customHeight="1">
      <c r="A6909" s="11" t="str">
        <f t="array" ref="A6909">IFERROR(
  INDEX('Starlink Launches'!$A:$A, MATCH($E6909, 'Starlink Launches'!$B:$B, 0)),
  ""
)
</f>
        <v/>
      </c>
      <c r="B6909" s="26"/>
      <c r="C6909" s="12"/>
      <c r="D6909" s="13"/>
      <c r="E6909" s="4"/>
      <c r="F6909" s="4" t="str">
        <f>IF(D6909="","", IFNA(VLOOKUP(D6909, SATCAT_DECAY!A:B, 2, FALSE), ""))
</f>
        <v/>
      </c>
      <c r="G6909" s="3"/>
    </row>
    <row r="6910" ht="22.5" hidden="1" customHeight="1">
      <c r="A6910" s="11" t="str">
        <f t="array" ref="A6910">IFERROR(
  INDEX('Starlink Launches'!$A:$A, MATCH($E6910, 'Starlink Launches'!$B:$B, 0)),
  ""
)
</f>
        <v/>
      </c>
      <c r="B6910" s="26"/>
      <c r="C6910" s="12"/>
      <c r="D6910" s="13"/>
      <c r="E6910" s="4"/>
      <c r="F6910" s="4" t="str">
        <f>IF(D6910="","", IFNA(VLOOKUP(D6910, SATCAT_DECAY!A:B, 2, FALSE), ""))
</f>
        <v/>
      </c>
      <c r="G6910" s="3"/>
    </row>
    <row r="6911" ht="22.5" hidden="1" customHeight="1">
      <c r="A6911" s="11" t="str">
        <f t="array" ref="A6911">IFERROR(
  INDEX('Starlink Launches'!$A:$A, MATCH($E6911, 'Starlink Launches'!$B:$B, 0)),
  ""
)
</f>
        <v/>
      </c>
      <c r="B6911" s="26"/>
      <c r="C6911" s="12"/>
      <c r="D6911" s="13"/>
      <c r="E6911" s="4"/>
      <c r="F6911" s="4" t="str">
        <f>IF(D6911="","", IFNA(VLOOKUP(D6911, SATCAT_DECAY!A:B, 2, FALSE), ""))
</f>
        <v/>
      </c>
      <c r="G6911" s="3"/>
    </row>
    <row r="6912" ht="22.5" hidden="1" customHeight="1">
      <c r="A6912" s="11" t="str">
        <f t="array" ref="A6912">IFERROR(
  INDEX('Starlink Launches'!$A:$A, MATCH($E6912, 'Starlink Launches'!$B:$B, 0)),
  ""
)
</f>
        <v/>
      </c>
      <c r="B6912" s="26"/>
      <c r="C6912" s="12"/>
      <c r="D6912" s="13"/>
      <c r="E6912" s="4"/>
      <c r="F6912" s="4" t="str">
        <f>IF(D6912="","", IFNA(VLOOKUP(D6912, SATCAT_DECAY!A:B, 2, FALSE), ""))
</f>
        <v/>
      </c>
      <c r="G6912" s="3"/>
    </row>
    <row r="6913" ht="22.5" hidden="1" customHeight="1">
      <c r="A6913" s="11" t="str">
        <f t="array" ref="A6913">IFERROR(
  INDEX('Starlink Launches'!$A:$A, MATCH($E6913, 'Starlink Launches'!$B:$B, 0)),
  ""
)
</f>
        <v/>
      </c>
      <c r="B6913" s="26"/>
      <c r="C6913" s="12"/>
      <c r="D6913" s="13"/>
      <c r="E6913" s="4"/>
      <c r="F6913" s="4" t="str">
        <f>IF(D6913="","", IFNA(VLOOKUP(D6913, SATCAT_DECAY!A:B, 2, FALSE), ""))
</f>
        <v/>
      </c>
      <c r="G6913" s="3"/>
    </row>
    <row r="6914" ht="22.5" hidden="1" customHeight="1">
      <c r="A6914" s="11" t="str">
        <f t="array" ref="A6914">IFERROR(
  INDEX('Starlink Launches'!$A:$A, MATCH($E6914, 'Starlink Launches'!$B:$B, 0)),
  ""
)
</f>
        <v/>
      </c>
      <c r="B6914" s="26"/>
      <c r="C6914" s="12"/>
      <c r="D6914" s="13"/>
      <c r="E6914" s="4"/>
      <c r="F6914" s="4" t="str">
        <f>IF(D6914="","", IFNA(VLOOKUP(D6914, SATCAT_DECAY!A:B, 2, FALSE), ""))
</f>
        <v/>
      </c>
      <c r="G6914" s="3"/>
    </row>
    <row r="6915" ht="22.5" hidden="1" customHeight="1">
      <c r="A6915" s="11" t="str">
        <f t="array" ref="A6915">IFERROR(
  INDEX('Starlink Launches'!$A:$A, MATCH($E6915, 'Starlink Launches'!$B:$B, 0)),
  ""
)
</f>
        <v/>
      </c>
      <c r="B6915" s="26"/>
      <c r="C6915" s="12"/>
      <c r="D6915" s="13"/>
      <c r="E6915" s="4"/>
      <c r="F6915" s="4" t="str">
        <f>IF(D6915="","", IFNA(VLOOKUP(D6915, SATCAT_DECAY!A:B, 2, FALSE), ""))
</f>
        <v/>
      </c>
      <c r="G6915" s="3"/>
    </row>
    <row r="6916" ht="22.5" hidden="1" customHeight="1">
      <c r="A6916" s="11" t="str">
        <f t="array" ref="A6916">IFERROR(
  INDEX('Starlink Launches'!$A:$A, MATCH($E6916, 'Starlink Launches'!$B:$B, 0)),
  ""
)
</f>
        <v/>
      </c>
      <c r="B6916" s="26"/>
      <c r="C6916" s="12"/>
      <c r="D6916" s="13"/>
      <c r="E6916" s="4"/>
      <c r="F6916" s="4" t="str">
        <f>IF(D6916="","", IFNA(VLOOKUP(D6916, SATCAT_DECAY!A:B, 2, FALSE), ""))
</f>
        <v/>
      </c>
      <c r="G6916" s="3"/>
    </row>
    <row r="6917" ht="22.5" hidden="1" customHeight="1">
      <c r="A6917" s="11" t="str">
        <f t="array" ref="A6917">IFERROR(
  INDEX('Starlink Launches'!$A:$A, MATCH($E6917, 'Starlink Launches'!$B:$B, 0)),
  ""
)
</f>
        <v/>
      </c>
      <c r="B6917" s="26"/>
      <c r="C6917" s="12"/>
      <c r="D6917" s="13"/>
      <c r="E6917" s="4"/>
      <c r="F6917" s="4" t="str">
        <f>IF(D6917="","", IFNA(VLOOKUP(D6917, SATCAT_DECAY!A:B, 2, FALSE), ""))
</f>
        <v/>
      </c>
      <c r="G6917" s="3"/>
    </row>
    <row r="6918" ht="22.5" hidden="1" customHeight="1">
      <c r="A6918" s="11" t="str">
        <f t="array" ref="A6918">IFERROR(
  INDEX('Starlink Launches'!$A:$A, MATCH($E6918, 'Starlink Launches'!$B:$B, 0)),
  ""
)
</f>
        <v/>
      </c>
      <c r="B6918" s="26"/>
      <c r="C6918" s="12"/>
      <c r="D6918" s="13"/>
      <c r="E6918" s="4"/>
      <c r="F6918" s="4" t="str">
        <f>IF(D6918="","", IFNA(VLOOKUP(D6918, SATCAT_DECAY!A:B, 2, FALSE), ""))
</f>
        <v/>
      </c>
      <c r="G6918" s="3"/>
    </row>
    <row r="6919" ht="22.5" hidden="1" customHeight="1">
      <c r="A6919" s="11" t="str">
        <f t="array" ref="A6919">IFERROR(
  INDEX('Starlink Launches'!$A:$A, MATCH($E6919, 'Starlink Launches'!$B:$B, 0)),
  ""
)
</f>
        <v/>
      </c>
      <c r="B6919" s="26"/>
      <c r="C6919" s="12"/>
      <c r="D6919" s="13"/>
      <c r="E6919" s="4"/>
      <c r="F6919" s="4" t="str">
        <f>IF(D6919="","", IFNA(VLOOKUP(D6919, SATCAT_DECAY!A:B, 2, FALSE), ""))
</f>
        <v/>
      </c>
      <c r="G6919" s="3"/>
    </row>
    <row r="6920" ht="22.5" hidden="1" customHeight="1">
      <c r="A6920" s="11" t="str">
        <f t="array" ref="A6920">IFERROR(
  INDEX('Starlink Launches'!$A:$A, MATCH($E6920, 'Starlink Launches'!$B:$B, 0)),
  ""
)
</f>
        <v/>
      </c>
      <c r="B6920" s="26"/>
      <c r="C6920" s="12"/>
      <c r="D6920" s="13"/>
      <c r="E6920" s="4"/>
      <c r="F6920" s="4" t="str">
        <f>IF(D6920="","", IFNA(VLOOKUP(D6920, SATCAT_DECAY!A:B, 2, FALSE), ""))
</f>
        <v/>
      </c>
      <c r="G6920" s="3"/>
    </row>
    <row r="6921" ht="22.5" hidden="1" customHeight="1">
      <c r="A6921" s="11" t="str">
        <f t="array" ref="A6921">IFERROR(
  INDEX('Starlink Launches'!$A:$A, MATCH($E6921, 'Starlink Launches'!$B:$B, 0)),
  ""
)
</f>
        <v/>
      </c>
      <c r="B6921" s="26"/>
      <c r="C6921" s="12"/>
      <c r="D6921" s="13"/>
      <c r="E6921" s="4"/>
      <c r="F6921" s="4" t="str">
        <f>IF(D6921="","", IFNA(VLOOKUP(D6921, SATCAT_DECAY!A:B, 2, FALSE), ""))
</f>
        <v/>
      </c>
      <c r="G6921" s="3"/>
    </row>
    <row r="6922" ht="22.5" hidden="1" customHeight="1">
      <c r="A6922" s="11" t="str">
        <f t="array" ref="A6922">IFERROR(
  INDEX('Starlink Launches'!$A:$A, MATCH($E6922, 'Starlink Launches'!$B:$B, 0)),
  ""
)
</f>
        <v/>
      </c>
      <c r="B6922" s="26"/>
      <c r="C6922" s="12"/>
      <c r="D6922" s="13"/>
      <c r="E6922" s="4"/>
      <c r="F6922" s="4" t="str">
        <f>IF(D6922="","", IFNA(VLOOKUP(D6922, SATCAT_DECAY!A:B, 2, FALSE), ""))
</f>
        <v/>
      </c>
      <c r="G6922" s="3"/>
    </row>
    <row r="6923" ht="22.5" hidden="1" customHeight="1">
      <c r="A6923" s="11" t="str">
        <f t="array" ref="A6923">IFERROR(
  INDEX('Starlink Launches'!$A:$A, MATCH($E6923, 'Starlink Launches'!$B:$B, 0)),
  ""
)
</f>
        <v/>
      </c>
      <c r="B6923" s="26"/>
      <c r="C6923" s="12"/>
      <c r="D6923" s="13"/>
      <c r="E6923" s="4"/>
      <c r="F6923" s="4" t="str">
        <f>IF(D6923="","", IFNA(VLOOKUP(D6923, SATCAT_DECAY!A:B, 2, FALSE), ""))
</f>
        <v/>
      </c>
      <c r="G6923" s="3"/>
    </row>
    <row r="6924" ht="22.5" hidden="1" customHeight="1">
      <c r="A6924" s="11" t="str">
        <f t="array" ref="A6924">IFERROR(
  INDEX('Starlink Launches'!$A:$A, MATCH($E6924, 'Starlink Launches'!$B:$B, 0)),
  ""
)
</f>
        <v/>
      </c>
      <c r="B6924" s="26"/>
      <c r="C6924" s="12"/>
      <c r="D6924" s="13"/>
      <c r="E6924" s="4"/>
      <c r="F6924" s="4" t="str">
        <f>IF(D6924="","", IFNA(VLOOKUP(D6924, SATCAT_DECAY!A:B, 2, FALSE), ""))
</f>
        <v/>
      </c>
      <c r="G6924" s="3"/>
    </row>
    <row r="6925" ht="22.5" hidden="1" customHeight="1">
      <c r="A6925" s="11" t="str">
        <f t="array" ref="A6925">IFERROR(
  INDEX('Starlink Launches'!$A:$A, MATCH($E6925, 'Starlink Launches'!$B:$B, 0)),
  ""
)
</f>
        <v/>
      </c>
      <c r="B6925" s="26"/>
      <c r="C6925" s="12"/>
      <c r="D6925" s="13"/>
      <c r="E6925" s="4"/>
      <c r="F6925" s="4" t="str">
        <f>IF(D6925="","", IFNA(VLOOKUP(D6925, SATCAT_DECAY!A:B, 2, FALSE), ""))
</f>
        <v/>
      </c>
      <c r="G6925" s="3"/>
    </row>
    <row r="6926" ht="22.5" hidden="1" customHeight="1">
      <c r="A6926" s="11" t="str">
        <f t="array" ref="A6926">IFERROR(
  INDEX('Starlink Launches'!$A:$A, MATCH($E6926, 'Starlink Launches'!$B:$B, 0)),
  ""
)
</f>
        <v/>
      </c>
      <c r="B6926" s="26"/>
      <c r="C6926" s="12"/>
      <c r="D6926" s="13"/>
      <c r="E6926" s="4"/>
      <c r="F6926" s="4" t="str">
        <f>IF(D6926="","", IFNA(VLOOKUP(D6926, SATCAT_DECAY!A:B, 2, FALSE), ""))
</f>
        <v/>
      </c>
      <c r="G6926" s="3"/>
    </row>
    <row r="6927" ht="22.5" hidden="1" customHeight="1">
      <c r="A6927" s="11" t="str">
        <f t="array" ref="A6927">IFERROR(
  INDEX('Starlink Launches'!$A:$A, MATCH($E6927, 'Starlink Launches'!$B:$B, 0)),
  ""
)
</f>
        <v/>
      </c>
      <c r="B6927" s="26"/>
      <c r="C6927" s="12"/>
      <c r="D6927" s="13"/>
      <c r="E6927" s="4"/>
      <c r="F6927" s="4" t="str">
        <f>IF(D6927="","", IFNA(VLOOKUP(D6927, SATCAT_DECAY!A:B, 2, FALSE), ""))
</f>
        <v/>
      </c>
      <c r="G6927" s="3"/>
    </row>
    <row r="6928" ht="22.5" hidden="1" customHeight="1">
      <c r="A6928" s="11" t="str">
        <f t="array" ref="A6928">IFERROR(
  INDEX('Starlink Launches'!$A:$A, MATCH($E6928, 'Starlink Launches'!$B:$B, 0)),
  ""
)
</f>
        <v/>
      </c>
      <c r="B6928" s="26"/>
      <c r="C6928" s="12"/>
      <c r="D6928" s="13"/>
      <c r="E6928" s="4"/>
      <c r="F6928" s="4" t="str">
        <f>IF(D6928="","", IFNA(VLOOKUP(D6928, SATCAT_DECAY!A:B, 2, FALSE), ""))
</f>
        <v/>
      </c>
      <c r="G6928" s="3"/>
    </row>
    <row r="6929" ht="22.5" hidden="1" customHeight="1">
      <c r="A6929" s="11" t="str">
        <f t="array" ref="A6929">IFERROR(
  INDEX('Starlink Launches'!$A:$A, MATCH($E6929, 'Starlink Launches'!$B:$B, 0)),
  ""
)
</f>
        <v/>
      </c>
      <c r="B6929" s="26"/>
      <c r="C6929" s="12"/>
      <c r="D6929" s="13"/>
      <c r="E6929" s="4"/>
      <c r="F6929" s="4" t="str">
        <f>IF(D6929="","", IFNA(VLOOKUP(D6929, SATCAT_DECAY!A:B, 2, FALSE), ""))
</f>
        <v/>
      </c>
      <c r="G6929" s="3"/>
    </row>
    <row r="6930" ht="22.5" hidden="1" customHeight="1">
      <c r="A6930" s="11" t="str">
        <f t="array" ref="A6930">IFERROR(
  INDEX('Starlink Launches'!$A:$A, MATCH($E6930, 'Starlink Launches'!$B:$B, 0)),
  ""
)
</f>
        <v/>
      </c>
      <c r="B6930" s="26"/>
      <c r="C6930" s="12"/>
      <c r="D6930" s="13"/>
      <c r="E6930" s="4"/>
      <c r="F6930" s="4" t="str">
        <f>IF(D6930="","", IFNA(VLOOKUP(D6930, SATCAT_DECAY!A:B, 2, FALSE), ""))
</f>
        <v/>
      </c>
      <c r="G6930" s="3"/>
    </row>
    <row r="6931" ht="22.5" hidden="1" customHeight="1">
      <c r="A6931" s="11" t="str">
        <f t="array" ref="A6931">IFERROR(
  INDEX('Starlink Launches'!$A:$A, MATCH($E6931, 'Starlink Launches'!$B:$B, 0)),
  ""
)
</f>
        <v/>
      </c>
      <c r="B6931" s="26"/>
      <c r="C6931" s="12"/>
      <c r="D6931" s="13"/>
      <c r="E6931" s="4"/>
      <c r="F6931" s="4" t="str">
        <f>IF(D6931="","", IFNA(VLOOKUP(D6931, SATCAT_DECAY!A:B, 2, FALSE), ""))
</f>
        <v/>
      </c>
      <c r="G6931" s="3"/>
    </row>
    <row r="6932" ht="22.5" hidden="1" customHeight="1">
      <c r="A6932" s="11" t="str">
        <f t="array" ref="A6932">IFERROR(
  INDEX('Starlink Launches'!$A:$A, MATCH($E6932, 'Starlink Launches'!$B:$B, 0)),
  ""
)
</f>
        <v/>
      </c>
      <c r="B6932" s="26"/>
      <c r="C6932" s="12"/>
      <c r="D6932" s="13"/>
      <c r="E6932" s="4"/>
      <c r="F6932" s="4" t="str">
        <f>IF(D6932="","", IFNA(VLOOKUP(D6932, SATCAT_DECAY!A:B, 2, FALSE), ""))
</f>
        <v/>
      </c>
      <c r="G6932" s="3"/>
    </row>
    <row r="6933" ht="22.5" hidden="1" customHeight="1">
      <c r="A6933" s="11" t="str">
        <f t="array" ref="A6933">IFERROR(
  INDEX('Starlink Launches'!$A:$A, MATCH($E6933, 'Starlink Launches'!$B:$B, 0)),
  ""
)
</f>
        <v/>
      </c>
      <c r="B6933" s="26"/>
      <c r="C6933" s="12"/>
      <c r="D6933" s="13"/>
      <c r="E6933" s="4"/>
      <c r="F6933" s="4" t="str">
        <f>IF(D6933="","", IFNA(VLOOKUP(D6933, SATCAT_DECAY!A:B, 2, FALSE), ""))
</f>
        <v/>
      </c>
      <c r="G6933" s="3"/>
    </row>
    <row r="6934" ht="22.5" hidden="1" customHeight="1">
      <c r="A6934" s="11" t="str">
        <f t="array" ref="A6934">IFERROR(
  INDEX('Starlink Launches'!$A:$A, MATCH($E6934, 'Starlink Launches'!$B:$B, 0)),
  ""
)
</f>
        <v/>
      </c>
      <c r="B6934" s="26"/>
      <c r="C6934" s="12"/>
      <c r="D6934" s="13"/>
      <c r="E6934" s="4"/>
      <c r="F6934" s="4" t="str">
        <f>IF(D6934="","", IFNA(VLOOKUP(D6934, SATCAT_DECAY!A:B, 2, FALSE), ""))
</f>
        <v/>
      </c>
      <c r="G6934" s="3"/>
    </row>
    <row r="6935" ht="22.5" hidden="1" customHeight="1">
      <c r="A6935" s="11" t="str">
        <f t="array" ref="A6935">IFERROR(
  INDEX('Starlink Launches'!$A:$A, MATCH($E6935, 'Starlink Launches'!$B:$B, 0)),
  ""
)
</f>
        <v/>
      </c>
      <c r="B6935" s="26"/>
      <c r="C6935" s="12"/>
      <c r="D6935" s="13"/>
      <c r="E6935" s="4"/>
      <c r="F6935" s="4" t="str">
        <f>IF(D6935="","", IFNA(VLOOKUP(D6935, SATCAT_DECAY!A:B, 2, FALSE), ""))
</f>
        <v/>
      </c>
      <c r="G6935" s="3"/>
    </row>
    <row r="6936" ht="22.5" hidden="1" customHeight="1">
      <c r="A6936" s="11" t="str">
        <f t="array" ref="A6936">IFERROR(
  INDEX('Starlink Launches'!$A:$A, MATCH($E6936, 'Starlink Launches'!$B:$B, 0)),
  ""
)
</f>
        <v/>
      </c>
      <c r="B6936" s="26"/>
      <c r="C6936" s="12"/>
      <c r="D6936" s="13"/>
      <c r="E6936" s="4"/>
      <c r="F6936" s="4" t="str">
        <f>IF(D6936="","", IFNA(VLOOKUP(D6936, SATCAT_DECAY!A:B, 2, FALSE), ""))
</f>
        <v/>
      </c>
      <c r="G6936" s="3"/>
    </row>
    <row r="6937" ht="22.5" hidden="1" customHeight="1">
      <c r="A6937" s="11" t="str">
        <f t="array" ref="A6937">IFERROR(
  INDEX('Starlink Launches'!$A:$A, MATCH($E6937, 'Starlink Launches'!$B:$B, 0)),
  ""
)
</f>
        <v/>
      </c>
      <c r="B6937" s="26"/>
      <c r="C6937" s="12"/>
      <c r="D6937" s="13"/>
      <c r="E6937" s="4"/>
      <c r="F6937" s="4" t="str">
        <f>IF(D6937="","", IFNA(VLOOKUP(D6937, SATCAT_DECAY!A:B, 2, FALSE), ""))
</f>
        <v/>
      </c>
      <c r="G6937" s="3"/>
    </row>
    <row r="6938" ht="22.5" hidden="1" customHeight="1">
      <c r="A6938" s="11" t="str">
        <f t="array" ref="A6938">IFERROR(
  INDEX('Starlink Launches'!$A:$A, MATCH($E6938, 'Starlink Launches'!$B:$B, 0)),
  ""
)
</f>
        <v/>
      </c>
      <c r="B6938" s="26"/>
      <c r="C6938" s="12"/>
      <c r="D6938" s="13"/>
      <c r="E6938" s="4"/>
      <c r="F6938" s="4" t="str">
        <f>IF(D6938="","", IFNA(VLOOKUP(D6938, SATCAT_DECAY!A:B, 2, FALSE), ""))
</f>
        <v/>
      </c>
      <c r="G6938" s="3"/>
    </row>
    <row r="6939" ht="22.5" hidden="1" customHeight="1">
      <c r="A6939" s="11" t="str">
        <f t="array" ref="A6939">IFERROR(
  INDEX('Starlink Launches'!$A:$A, MATCH($E6939, 'Starlink Launches'!$B:$B, 0)),
  ""
)
</f>
        <v/>
      </c>
      <c r="B6939" s="26"/>
      <c r="C6939" s="12"/>
      <c r="D6939" s="13"/>
      <c r="E6939" s="4"/>
      <c r="F6939" s="4" t="str">
        <f>IF(D6939="","", IFNA(VLOOKUP(D6939, SATCAT_DECAY!A:B, 2, FALSE), ""))
</f>
        <v/>
      </c>
      <c r="G6939" s="3"/>
    </row>
    <row r="6940" ht="22.5" hidden="1" customHeight="1">
      <c r="A6940" s="11" t="str">
        <f t="array" ref="A6940">IFERROR(
  INDEX('Starlink Launches'!$A:$A, MATCH($E6940, 'Starlink Launches'!$B:$B, 0)),
  ""
)
</f>
        <v/>
      </c>
      <c r="B6940" s="26"/>
      <c r="C6940" s="12"/>
      <c r="D6940" s="13"/>
      <c r="E6940" s="4"/>
      <c r="F6940" s="4" t="str">
        <f>IF(D6940="","", IFNA(VLOOKUP(D6940, SATCAT_DECAY!A:B, 2, FALSE), ""))
</f>
        <v/>
      </c>
      <c r="G6940" s="3"/>
    </row>
    <row r="6941" ht="22.5" hidden="1" customHeight="1">
      <c r="A6941" s="11" t="str">
        <f t="array" ref="A6941">IFERROR(
  INDEX('Starlink Launches'!$A:$A, MATCH($E6941, 'Starlink Launches'!$B:$B, 0)),
  ""
)
</f>
        <v/>
      </c>
      <c r="B6941" s="26"/>
      <c r="C6941" s="12"/>
      <c r="D6941" s="13"/>
      <c r="E6941" s="4"/>
      <c r="F6941" s="4" t="str">
        <f>IF(D6941="","", IFNA(VLOOKUP(D6941, SATCAT_DECAY!A:B, 2, FALSE), ""))
</f>
        <v/>
      </c>
      <c r="G6941" s="3"/>
    </row>
    <row r="6942" ht="22.5" hidden="1" customHeight="1">
      <c r="A6942" s="11" t="str">
        <f t="array" ref="A6942">IFERROR(
  INDEX('Starlink Launches'!$A:$A, MATCH($E6942, 'Starlink Launches'!$B:$B, 0)),
  ""
)
</f>
        <v/>
      </c>
      <c r="B6942" s="26"/>
      <c r="C6942" s="12"/>
      <c r="D6942" s="13"/>
      <c r="E6942" s="4"/>
      <c r="F6942" s="4" t="str">
        <f>IF(D6942="","", IFNA(VLOOKUP(D6942, SATCAT_DECAY!A:B, 2, FALSE), ""))
</f>
        <v/>
      </c>
      <c r="G6942" s="3"/>
    </row>
    <row r="6943" ht="22.5" hidden="1" customHeight="1">
      <c r="A6943" s="11" t="str">
        <f t="array" ref="A6943">IFERROR(
  INDEX('Starlink Launches'!$A:$A, MATCH($E6943, 'Starlink Launches'!$B:$B, 0)),
  ""
)
</f>
        <v/>
      </c>
      <c r="B6943" s="26"/>
      <c r="C6943" s="12"/>
      <c r="D6943" s="13"/>
      <c r="E6943" s="4"/>
      <c r="F6943" s="4" t="str">
        <f>IF(D6943="","", IFNA(VLOOKUP(D6943, SATCAT_DECAY!A:B, 2, FALSE), ""))
</f>
        <v/>
      </c>
      <c r="G6943" s="3"/>
    </row>
    <row r="6944" ht="22.5" hidden="1" customHeight="1">
      <c r="A6944" s="11" t="str">
        <f t="array" ref="A6944">IFERROR(
  INDEX('Starlink Launches'!$A:$A, MATCH($E6944, 'Starlink Launches'!$B:$B, 0)),
  ""
)
</f>
        <v/>
      </c>
      <c r="B6944" s="26"/>
      <c r="C6944" s="12"/>
      <c r="D6944" s="13"/>
      <c r="E6944" s="4"/>
      <c r="F6944" s="4" t="str">
        <f>IF(D6944="","", IFNA(VLOOKUP(D6944, SATCAT_DECAY!A:B, 2, FALSE), ""))
</f>
        <v/>
      </c>
      <c r="G6944" s="3"/>
    </row>
    <row r="6945" ht="22.5" hidden="1" customHeight="1">
      <c r="A6945" s="11" t="str">
        <f t="array" ref="A6945">IFERROR(
  INDEX('Starlink Launches'!$A:$A, MATCH($E6945, 'Starlink Launches'!$B:$B, 0)),
  ""
)
</f>
        <v/>
      </c>
      <c r="B6945" s="26"/>
      <c r="C6945" s="12"/>
      <c r="D6945" s="13"/>
      <c r="E6945" s="4"/>
      <c r="F6945" s="4" t="str">
        <f>IF(D6945="","", IFNA(VLOOKUP(D6945, SATCAT_DECAY!A:B, 2, FALSE), ""))
</f>
        <v/>
      </c>
      <c r="G6945" s="3"/>
    </row>
    <row r="6946" ht="22.5" hidden="1" customHeight="1">
      <c r="A6946" s="11" t="str">
        <f t="array" ref="A6946">IFERROR(
  INDEX('Starlink Launches'!$A:$A, MATCH($E6946, 'Starlink Launches'!$B:$B, 0)),
  ""
)
</f>
        <v/>
      </c>
      <c r="B6946" s="26"/>
      <c r="C6946" s="12"/>
      <c r="D6946" s="13"/>
      <c r="E6946" s="4"/>
      <c r="F6946" s="4" t="str">
        <f>IF(D6946="","", IFNA(VLOOKUP(D6946, SATCAT_DECAY!A:B, 2, FALSE), ""))
</f>
        <v/>
      </c>
      <c r="G6946" s="3"/>
    </row>
    <row r="6947" ht="22.5" hidden="1" customHeight="1">
      <c r="A6947" s="11" t="str">
        <f t="array" ref="A6947">IFERROR(
  INDEX('Starlink Launches'!$A:$A, MATCH($E6947, 'Starlink Launches'!$B:$B, 0)),
  ""
)
</f>
        <v/>
      </c>
      <c r="B6947" s="26"/>
      <c r="C6947" s="12"/>
      <c r="D6947" s="13"/>
      <c r="E6947" s="4"/>
      <c r="F6947" s="4" t="str">
        <f>IF(D6947="","", IFNA(VLOOKUP(D6947, SATCAT_DECAY!A:B, 2, FALSE), ""))
</f>
        <v/>
      </c>
      <c r="G6947" s="3"/>
    </row>
    <row r="6948" ht="22.5" hidden="1" customHeight="1">
      <c r="A6948" s="11" t="str">
        <f t="array" ref="A6948">IFERROR(
  INDEX('Starlink Launches'!$A:$A, MATCH($E6948, 'Starlink Launches'!$B:$B, 0)),
  ""
)
</f>
        <v/>
      </c>
      <c r="B6948" s="26"/>
      <c r="C6948" s="12"/>
      <c r="D6948" s="13"/>
      <c r="E6948" s="4"/>
      <c r="F6948" s="4" t="str">
        <f>IF(D6948="","", IFNA(VLOOKUP(D6948, SATCAT_DECAY!A:B, 2, FALSE), ""))
</f>
        <v/>
      </c>
      <c r="G6948" s="3"/>
    </row>
    <row r="6949" ht="22.5" hidden="1" customHeight="1">
      <c r="A6949" s="11" t="str">
        <f t="array" ref="A6949">IFERROR(
  INDEX('Starlink Launches'!$A:$A, MATCH($E6949, 'Starlink Launches'!$B:$B, 0)),
  ""
)
</f>
        <v/>
      </c>
      <c r="B6949" s="26"/>
      <c r="C6949" s="12"/>
      <c r="D6949" s="13"/>
      <c r="E6949" s="4"/>
      <c r="F6949" s="4" t="str">
        <f>IF(D6949="","", IFNA(VLOOKUP(D6949, SATCAT_DECAY!A:B, 2, FALSE), ""))
</f>
        <v/>
      </c>
      <c r="G6949" s="3"/>
    </row>
    <row r="6950" ht="22.5" hidden="1" customHeight="1">
      <c r="A6950" s="11" t="str">
        <f t="array" ref="A6950">IFERROR(
  INDEX('Starlink Launches'!$A:$A, MATCH($E6950, 'Starlink Launches'!$B:$B, 0)),
  ""
)
</f>
        <v/>
      </c>
      <c r="B6950" s="26"/>
      <c r="C6950" s="12"/>
      <c r="D6950" s="13"/>
      <c r="E6950" s="4"/>
      <c r="F6950" s="4" t="str">
        <f>IF(D6950="","", IFNA(VLOOKUP(D6950, SATCAT_DECAY!A:B, 2, FALSE), ""))
</f>
        <v/>
      </c>
      <c r="G6950" s="3"/>
    </row>
    <row r="6951" ht="22.5" hidden="1" customHeight="1">
      <c r="A6951" s="11" t="str">
        <f t="array" ref="A6951">IFERROR(
  INDEX('Starlink Launches'!$A:$A, MATCH($E6951, 'Starlink Launches'!$B:$B, 0)),
  ""
)
</f>
        <v/>
      </c>
      <c r="B6951" s="26"/>
      <c r="C6951" s="12"/>
      <c r="D6951" s="13"/>
      <c r="E6951" s="4"/>
      <c r="F6951" s="4" t="str">
        <f>IF(D6951="","", IFNA(VLOOKUP(D6951, SATCAT_DECAY!A:B, 2, FALSE), ""))
</f>
        <v/>
      </c>
      <c r="G6951" s="3"/>
    </row>
    <row r="6952" ht="22.5" hidden="1" customHeight="1">
      <c r="A6952" s="11" t="str">
        <f t="array" ref="A6952">IFERROR(
  INDEX('Starlink Launches'!$A:$A, MATCH($E6952, 'Starlink Launches'!$B:$B, 0)),
  ""
)
</f>
        <v/>
      </c>
      <c r="B6952" s="26"/>
      <c r="C6952" s="12"/>
      <c r="D6952" s="13"/>
      <c r="E6952" s="4"/>
      <c r="F6952" s="4" t="str">
        <f>IF(D6952="","", IFNA(VLOOKUP(D6952, SATCAT_DECAY!A:B, 2, FALSE), ""))
</f>
        <v/>
      </c>
      <c r="G6952" s="3"/>
    </row>
    <row r="6953" ht="22.5" hidden="1" customHeight="1">
      <c r="A6953" s="11" t="str">
        <f t="array" ref="A6953">IFERROR(
  INDEX('Starlink Launches'!$A:$A, MATCH($E6953, 'Starlink Launches'!$B:$B, 0)),
  ""
)
</f>
        <v/>
      </c>
      <c r="B6953" s="26"/>
      <c r="C6953" s="12"/>
      <c r="D6953" s="13"/>
      <c r="E6953" s="4"/>
      <c r="F6953" s="4" t="str">
        <f>IF(D6953="","", IFNA(VLOOKUP(D6953, SATCAT_DECAY!A:B, 2, FALSE), ""))
</f>
        <v/>
      </c>
      <c r="G6953" s="3"/>
    </row>
    <row r="6954" ht="22.5" hidden="1" customHeight="1">
      <c r="A6954" s="11" t="str">
        <f t="array" ref="A6954">IFERROR(
  INDEX('Starlink Launches'!$A:$A, MATCH($E6954, 'Starlink Launches'!$B:$B, 0)),
  ""
)
</f>
        <v/>
      </c>
      <c r="B6954" s="26"/>
      <c r="C6954" s="12"/>
      <c r="D6954" s="13"/>
      <c r="E6954" s="4"/>
      <c r="F6954" s="4" t="str">
        <f>IF(D6954="","", IFNA(VLOOKUP(D6954, SATCAT_DECAY!A:B, 2, FALSE), ""))
</f>
        <v/>
      </c>
      <c r="G6954" s="3"/>
    </row>
    <row r="6955" ht="22.5" hidden="1" customHeight="1">
      <c r="A6955" s="11" t="str">
        <f t="array" ref="A6955">IFERROR(
  INDEX('Starlink Launches'!$A:$A, MATCH($E6955, 'Starlink Launches'!$B:$B, 0)),
  ""
)
</f>
        <v/>
      </c>
      <c r="B6955" s="26"/>
      <c r="C6955" s="12"/>
      <c r="D6955" s="13"/>
      <c r="E6955" s="4"/>
      <c r="F6955" s="4" t="str">
        <f>IF(D6955="","", IFNA(VLOOKUP(D6955, SATCAT_DECAY!A:B, 2, FALSE), ""))
</f>
        <v/>
      </c>
      <c r="G6955" s="3"/>
    </row>
    <row r="6956" ht="22.5" hidden="1" customHeight="1">
      <c r="A6956" s="11" t="str">
        <f t="array" ref="A6956">IFERROR(
  INDEX('Starlink Launches'!$A:$A, MATCH($E6956, 'Starlink Launches'!$B:$B, 0)),
  ""
)
</f>
        <v/>
      </c>
      <c r="B6956" s="26"/>
      <c r="C6956" s="12"/>
      <c r="D6956" s="13"/>
      <c r="E6956" s="4"/>
      <c r="F6956" s="4" t="str">
        <f>IF(D6956="","", IFNA(VLOOKUP(D6956, SATCAT_DECAY!A:B, 2, FALSE), ""))
</f>
        <v/>
      </c>
      <c r="G6956" s="3"/>
    </row>
    <row r="6957" ht="22.5" hidden="1" customHeight="1">
      <c r="A6957" s="11" t="str">
        <f t="array" ref="A6957">IFERROR(
  INDEX('Starlink Launches'!$A:$A, MATCH($E6957, 'Starlink Launches'!$B:$B, 0)),
  ""
)
</f>
        <v/>
      </c>
      <c r="B6957" s="26"/>
      <c r="C6957" s="12"/>
      <c r="D6957" s="13"/>
      <c r="E6957" s="4"/>
      <c r="F6957" s="4" t="str">
        <f>IF(D6957="","", IFNA(VLOOKUP(D6957, SATCAT_DECAY!A:B, 2, FALSE), ""))
</f>
        <v/>
      </c>
      <c r="G6957" s="3"/>
    </row>
    <row r="6958" ht="22.5" hidden="1" customHeight="1">
      <c r="A6958" s="11" t="str">
        <f t="array" ref="A6958">IFERROR(
  INDEX('Starlink Launches'!$A:$A, MATCH($E6958, 'Starlink Launches'!$B:$B, 0)),
  ""
)
</f>
        <v/>
      </c>
      <c r="B6958" s="26"/>
      <c r="C6958" s="12"/>
      <c r="D6958" s="13"/>
      <c r="E6958" s="4"/>
      <c r="F6958" s="4" t="str">
        <f>IF(D6958="","", IFNA(VLOOKUP(D6958, SATCAT_DECAY!A:B, 2, FALSE), ""))
</f>
        <v/>
      </c>
      <c r="G6958" s="3"/>
    </row>
    <row r="6959" ht="22.5" hidden="1" customHeight="1">
      <c r="A6959" s="11" t="str">
        <f t="array" ref="A6959">IFERROR(
  INDEX('Starlink Launches'!$A:$A, MATCH($E6959, 'Starlink Launches'!$B:$B, 0)),
  ""
)
</f>
        <v/>
      </c>
      <c r="B6959" s="26"/>
      <c r="C6959" s="12"/>
      <c r="D6959" s="13"/>
      <c r="E6959" s="4"/>
      <c r="F6959" s="4" t="str">
        <f>IF(D6959="","", IFNA(VLOOKUP(D6959, SATCAT_DECAY!A:B, 2, FALSE), ""))
</f>
        <v/>
      </c>
      <c r="G6959" s="3"/>
    </row>
    <row r="6960" ht="22.5" hidden="1" customHeight="1">
      <c r="A6960" s="11" t="str">
        <f t="array" ref="A6960">IFERROR(
  INDEX('Starlink Launches'!$A:$A, MATCH($E6960, 'Starlink Launches'!$B:$B, 0)),
  ""
)
</f>
        <v/>
      </c>
      <c r="B6960" s="26"/>
      <c r="C6960" s="12"/>
      <c r="D6960" s="13"/>
      <c r="E6960" s="4"/>
      <c r="F6960" s="4" t="str">
        <f>IF(D6960="","", IFNA(VLOOKUP(D6960, SATCAT_DECAY!A:B, 2, FALSE), ""))
</f>
        <v/>
      </c>
      <c r="G6960" s="3"/>
    </row>
    <row r="6961" ht="22.5" hidden="1" customHeight="1">
      <c r="A6961" s="11" t="str">
        <f t="array" ref="A6961">IFERROR(
  INDEX('Starlink Launches'!$A:$A, MATCH($E6961, 'Starlink Launches'!$B:$B, 0)),
  ""
)
</f>
        <v/>
      </c>
      <c r="B6961" s="26"/>
      <c r="C6961" s="12"/>
      <c r="D6961" s="13"/>
      <c r="E6961" s="4"/>
      <c r="F6961" s="4" t="str">
        <f>IF(D6961="","", IFNA(VLOOKUP(D6961, SATCAT_DECAY!A:B, 2, FALSE), ""))
</f>
        <v/>
      </c>
      <c r="G6961" s="3"/>
    </row>
    <row r="6962" ht="22.5" hidden="1" customHeight="1">
      <c r="A6962" s="11" t="str">
        <f t="array" ref="A6962">IFERROR(
  INDEX('Starlink Launches'!$A:$A, MATCH($E6962, 'Starlink Launches'!$B:$B, 0)),
  ""
)
</f>
        <v/>
      </c>
      <c r="B6962" s="26"/>
      <c r="C6962" s="12"/>
      <c r="D6962" s="13"/>
      <c r="E6962" s="4"/>
      <c r="F6962" s="4" t="str">
        <f>IF(D6962="","", IFNA(VLOOKUP(D6962, SATCAT_DECAY!A:B, 2, FALSE), ""))
</f>
        <v/>
      </c>
      <c r="G6962" s="3"/>
    </row>
    <row r="6963" ht="22.5" hidden="1" customHeight="1">
      <c r="A6963" s="11" t="str">
        <f t="array" ref="A6963">IFERROR(
  INDEX('Starlink Launches'!$A:$A, MATCH($E6963, 'Starlink Launches'!$B:$B, 0)),
  ""
)
</f>
        <v/>
      </c>
      <c r="B6963" s="26"/>
      <c r="C6963" s="12"/>
      <c r="D6963" s="13"/>
      <c r="E6963" s="4"/>
      <c r="F6963" s="4" t="str">
        <f>IF(D6963="","", IFNA(VLOOKUP(D6963, SATCAT_DECAY!A:B, 2, FALSE), ""))
</f>
        <v/>
      </c>
      <c r="G6963" s="3"/>
    </row>
    <row r="6964" ht="22.5" hidden="1" customHeight="1">
      <c r="A6964" s="11" t="str">
        <f t="array" ref="A6964">IFERROR(
  INDEX('Starlink Launches'!$A:$A, MATCH($E6964, 'Starlink Launches'!$B:$B, 0)),
  ""
)
</f>
        <v/>
      </c>
      <c r="B6964" s="26"/>
      <c r="C6964" s="12"/>
      <c r="D6964" s="13"/>
      <c r="E6964" s="4"/>
      <c r="F6964" s="4" t="str">
        <f>IF(D6964="","", IFNA(VLOOKUP(D6964, SATCAT_DECAY!A:B, 2, FALSE), ""))
</f>
        <v/>
      </c>
      <c r="G6964" s="3"/>
    </row>
    <row r="6965" ht="22.5" hidden="1" customHeight="1">
      <c r="A6965" s="11" t="str">
        <f t="array" ref="A6965">IFERROR(
  INDEX('Starlink Launches'!$A:$A, MATCH($E6965, 'Starlink Launches'!$B:$B, 0)),
  ""
)
</f>
        <v/>
      </c>
      <c r="B6965" s="26"/>
      <c r="C6965" s="12"/>
      <c r="D6965" s="13"/>
      <c r="E6965" s="4"/>
      <c r="F6965" s="4" t="str">
        <f>IF(D6965="","", IFNA(VLOOKUP(D6965, SATCAT_DECAY!A:B, 2, FALSE), ""))
</f>
        <v/>
      </c>
      <c r="G6965" s="3"/>
    </row>
    <row r="6966" ht="22.5" hidden="1" customHeight="1">
      <c r="A6966" s="11" t="str">
        <f t="array" ref="A6966">IFERROR(
  INDEX('Starlink Launches'!$A:$A, MATCH($E6966, 'Starlink Launches'!$B:$B, 0)),
  ""
)
</f>
        <v/>
      </c>
      <c r="B6966" s="26"/>
      <c r="C6966" s="12"/>
      <c r="D6966" s="13"/>
      <c r="E6966" s="4"/>
      <c r="F6966" s="4" t="str">
        <f>IF(D6966="","", IFNA(VLOOKUP(D6966, SATCAT_DECAY!A:B, 2, FALSE), ""))
</f>
        <v/>
      </c>
      <c r="G6966" s="3"/>
    </row>
    <row r="6967" ht="22.5" hidden="1" customHeight="1">
      <c r="A6967" s="11" t="str">
        <f t="array" ref="A6967">IFERROR(
  INDEX('Starlink Launches'!$A:$A, MATCH($E6967, 'Starlink Launches'!$B:$B, 0)),
  ""
)
</f>
        <v/>
      </c>
      <c r="B6967" s="26"/>
      <c r="C6967" s="12"/>
      <c r="D6967" s="13"/>
      <c r="E6967" s="4"/>
      <c r="F6967" s="4" t="str">
        <f>IF(D6967="","", IFNA(VLOOKUP(D6967, SATCAT_DECAY!A:B, 2, FALSE), ""))
</f>
        <v/>
      </c>
      <c r="G6967" s="3"/>
    </row>
    <row r="6968" ht="22.5" hidden="1" customHeight="1">
      <c r="A6968" s="11" t="str">
        <f t="array" ref="A6968">IFERROR(
  INDEX('Starlink Launches'!$A:$A, MATCH($E6968, 'Starlink Launches'!$B:$B, 0)),
  ""
)
</f>
        <v/>
      </c>
      <c r="B6968" s="26"/>
      <c r="C6968" s="12"/>
      <c r="D6968" s="13"/>
      <c r="E6968" s="4"/>
      <c r="F6968" s="4" t="str">
        <f>IF(D6968="","", IFNA(VLOOKUP(D6968, SATCAT_DECAY!A:B, 2, FALSE), ""))
</f>
        <v/>
      </c>
      <c r="G6968" s="3"/>
    </row>
    <row r="6969" ht="22.5" hidden="1" customHeight="1">
      <c r="A6969" s="11" t="str">
        <f t="array" ref="A6969">IFERROR(
  INDEX('Starlink Launches'!$A:$A, MATCH($E6969, 'Starlink Launches'!$B:$B, 0)),
  ""
)
</f>
        <v/>
      </c>
      <c r="B6969" s="26"/>
      <c r="C6969" s="12"/>
      <c r="D6969" s="13"/>
      <c r="E6969" s="4"/>
      <c r="F6969" s="4" t="str">
        <f>IF(D6969="","", IFNA(VLOOKUP(D6969, SATCAT_DECAY!A:B, 2, FALSE), ""))
</f>
        <v/>
      </c>
      <c r="G6969" s="3"/>
    </row>
    <row r="6970" ht="22.5" hidden="1" customHeight="1">
      <c r="A6970" s="11" t="str">
        <f t="array" ref="A6970">IFERROR(
  INDEX('Starlink Launches'!$A:$A, MATCH($E6970, 'Starlink Launches'!$B:$B, 0)),
  ""
)
</f>
        <v/>
      </c>
      <c r="B6970" s="26"/>
      <c r="C6970" s="12"/>
      <c r="D6970" s="13"/>
      <c r="E6970" s="4"/>
      <c r="F6970" s="4" t="str">
        <f>IF(D6970="","", IFNA(VLOOKUP(D6970, SATCAT_DECAY!A:B, 2, FALSE), ""))
</f>
        <v/>
      </c>
      <c r="G6970" s="3"/>
    </row>
    <row r="6971" ht="22.5" hidden="1" customHeight="1">
      <c r="A6971" s="11" t="str">
        <f t="array" ref="A6971">IFERROR(
  INDEX('Starlink Launches'!$A:$A, MATCH($E6971, 'Starlink Launches'!$B:$B, 0)),
  ""
)
</f>
        <v/>
      </c>
      <c r="B6971" s="26"/>
      <c r="C6971" s="12"/>
      <c r="D6971" s="13"/>
      <c r="E6971" s="4"/>
      <c r="F6971" s="4" t="str">
        <f>IF(D6971="","", IFNA(VLOOKUP(D6971, SATCAT_DECAY!A:B, 2, FALSE), ""))
</f>
        <v/>
      </c>
      <c r="G6971" s="3"/>
    </row>
    <row r="6972" ht="22.5" hidden="1" customHeight="1">
      <c r="A6972" s="11" t="str">
        <f t="array" ref="A6972">IFERROR(
  INDEX('Starlink Launches'!$A:$A, MATCH($E6972, 'Starlink Launches'!$B:$B, 0)),
  ""
)
</f>
        <v/>
      </c>
      <c r="B6972" s="26"/>
      <c r="C6972" s="12"/>
      <c r="D6972" s="13"/>
      <c r="E6972" s="4"/>
      <c r="F6972" s="4" t="str">
        <f>IF(D6972="","", IFNA(VLOOKUP(D6972, SATCAT_DECAY!A:B, 2, FALSE), ""))
</f>
        <v/>
      </c>
      <c r="G6972" s="3"/>
    </row>
    <row r="6973" ht="22.5" hidden="1" customHeight="1">
      <c r="A6973" s="11" t="str">
        <f t="array" ref="A6973">IFERROR(
  INDEX('Starlink Launches'!$A:$A, MATCH($E6973, 'Starlink Launches'!$B:$B, 0)),
  ""
)
</f>
        <v/>
      </c>
      <c r="B6973" s="26"/>
      <c r="C6973" s="12"/>
      <c r="D6973" s="13"/>
      <c r="E6973" s="4"/>
      <c r="F6973" s="4" t="str">
        <f>IF(D6973="","", IFNA(VLOOKUP(D6973, SATCAT_DECAY!A:B, 2, FALSE), ""))
</f>
        <v/>
      </c>
      <c r="G6973" s="3"/>
    </row>
    <row r="6974" ht="22.5" hidden="1" customHeight="1">
      <c r="A6974" s="11" t="str">
        <f t="array" ref="A6974">IFERROR(
  INDEX('Starlink Launches'!$A:$A, MATCH($E6974, 'Starlink Launches'!$B:$B, 0)),
  ""
)
</f>
        <v/>
      </c>
      <c r="B6974" s="26"/>
      <c r="C6974" s="12"/>
      <c r="D6974" s="13"/>
      <c r="E6974" s="4"/>
      <c r="F6974" s="4" t="str">
        <f>IF(D6974="","", IFNA(VLOOKUP(D6974, SATCAT_DECAY!A:B, 2, FALSE), ""))
</f>
        <v/>
      </c>
      <c r="G6974" s="3"/>
    </row>
    <row r="6975" ht="22.5" hidden="1" customHeight="1">
      <c r="A6975" s="11" t="str">
        <f t="array" ref="A6975">IFERROR(
  INDEX('Starlink Launches'!$A:$A, MATCH($E6975, 'Starlink Launches'!$B:$B, 0)),
  ""
)
</f>
        <v/>
      </c>
      <c r="B6975" s="26"/>
      <c r="C6975" s="12"/>
      <c r="D6975" s="13"/>
      <c r="E6975" s="4"/>
      <c r="F6975" s="4" t="str">
        <f>IF(D6975="","", IFNA(VLOOKUP(D6975, SATCAT_DECAY!A:B, 2, FALSE), ""))
</f>
        <v/>
      </c>
      <c r="G6975" s="3"/>
    </row>
    <row r="6976" ht="22.5" hidden="1" customHeight="1">
      <c r="A6976" s="11" t="str">
        <f t="array" ref="A6976">IFERROR(
  INDEX('Starlink Launches'!$A:$A, MATCH($E6976, 'Starlink Launches'!$B:$B, 0)),
  ""
)
</f>
        <v/>
      </c>
      <c r="B6976" s="26"/>
      <c r="C6976" s="12"/>
      <c r="D6976" s="13"/>
      <c r="E6976" s="4"/>
      <c r="F6976" s="4" t="str">
        <f>IF(D6976="","", IFNA(VLOOKUP(D6976, SATCAT_DECAY!A:B, 2, FALSE), ""))
</f>
        <v/>
      </c>
      <c r="G6976" s="3"/>
    </row>
    <row r="6977" ht="22.5" hidden="1" customHeight="1">
      <c r="A6977" s="11" t="str">
        <f t="array" ref="A6977">IFERROR(
  INDEX('Starlink Launches'!$A:$A, MATCH($E6977, 'Starlink Launches'!$B:$B, 0)),
  ""
)
</f>
        <v/>
      </c>
      <c r="B6977" s="26"/>
      <c r="C6977" s="12"/>
      <c r="D6977" s="13"/>
      <c r="E6977" s="4"/>
      <c r="F6977" s="4" t="str">
        <f>IF(D6977="","", IFNA(VLOOKUP(D6977, SATCAT_DECAY!A:B, 2, FALSE), ""))
</f>
        <v/>
      </c>
      <c r="G6977" s="3"/>
    </row>
    <row r="6978" ht="22.5" hidden="1" customHeight="1">
      <c r="A6978" s="11" t="str">
        <f t="array" ref="A6978">IFERROR(
  INDEX('Starlink Launches'!$A:$A, MATCH($E6978, 'Starlink Launches'!$B:$B, 0)),
  ""
)
</f>
        <v/>
      </c>
      <c r="B6978" s="26"/>
      <c r="C6978" s="12"/>
      <c r="D6978" s="13"/>
      <c r="E6978" s="4"/>
      <c r="F6978" s="4" t="str">
        <f>IF(D6978="","", IFNA(VLOOKUP(D6978, SATCAT_DECAY!A:B, 2, FALSE), ""))
</f>
        <v/>
      </c>
      <c r="G6978" s="3"/>
    </row>
    <row r="6979" ht="22.5" hidden="1" customHeight="1">
      <c r="A6979" s="11" t="str">
        <f t="array" ref="A6979">IFERROR(
  INDEX('Starlink Launches'!$A:$A, MATCH($E6979, 'Starlink Launches'!$B:$B, 0)),
  ""
)
</f>
        <v/>
      </c>
      <c r="B6979" s="26"/>
      <c r="C6979" s="12"/>
      <c r="D6979" s="13"/>
      <c r="E6979" s="4"/>
      <c r="F6979" s="4" t="str">
        <f>IF(D6979="","", IFNA(VLOOKUP(D6979, SATCAT_DECAY!A:B, 2, FALSE), ""))
</f>
        <v/>
      </c>
      <c r="G6979" s="3"/>
    </row>
    <row r="6980" ht="22.5" hidden="1" customHeight="1">
      <c r="A6980" s="11" t="str">
        <f t="array" ref="A6980">IFERROR(
  INDEX('Starlink Launches'!$A:$A, MATCH($E6980, 'Starlink Launches'!$B:$B, 0)),
  ""
)
</f>
        <v/>
      </c>
      <c r="B6980" s="26"/>
      <c r="C6980" s="12"/>
      <c r="D6980" s="13"/>
      <c r="E6980" s="4"/>
      <c r="F6980" s="4" t="str">
        <f>IF(D6980="","", IFNA(VLOOKUP(D6980, SATCAT_DECAY!A:B, 2, FALSE), ""))
</f>
        <v/>
      </c>
      <c r="G6980" s="3"/>
    </row>
    <row r="6981" ht="22.5" hidden="1" customHeight="1">
      <c r="A6981" s="11" t="str">
        <f t="array" ref="A6981">IFERROR(
  INDEX('Starlink Launches'!$A:$A, MATCH($E6981, 'Starlink Launches'!$B:$B, 0)),
  ""
)
</f>
        <v/>
      </c>
      <c r="B6981" s="26"/>
      <c r="C6981" s="12"/>
      <c r="D6981" s="13"/>
      <c r="E6981" s="4"/>
      <c r="F6981" s="4" t="str">
        <f>IF(D6981="","", IFNA(VLOOKUP(D6981, SATCAT_DECAY!A:B, 2, FALSE), ""))
</f>
        <v/>
      </c>
      <c r="G6981" s="3"/>
    </row>
    <row r="6982" ht="22.5" hidden="1" customHeight="1">
      <c r="A6982" s="11" t="str">
        <f t="array" ref="A6982">IFERROR(
  INDEX('Starlink Launches'!$A:$A, MATCH($E6982, 'Starlink Launches'!$B:$B, 0)),
  ""
)
</f>
        <v/>
      </c>
      <c r="B6982" s="26"/>
      <c r="C6982" s="12"/>
      <c r="D6982" s="13"/>
      <c r="E6982" s="4"/>
      <c r="F6982" s="4" t="str">
        <f>IF(D6982="","", IFNA(VLOOKUP(D6982, SATCAT_DECAY!A:B, 2, FALSE), ""))
</f>
        <v/>
      </c>
      <c r="G6982" s="3"/>
    </row>
    <row r="6983" ht="22.5" hidden="1" customHeight="1">
      <c r="A6983" s="11" t="str">
        <f t="array" ref="A6983">IFERROR(
  INDEX('Starlink Launches'!$A:$A, MATCH($E6983, 'Starlink Launches'!$B:$B, 0)),
  ""
)
</f>
        <v/>
      </c>
      <c r="B6983" s="26"/>
      <c r="C6983" s="12"/>
      <c r="D6983" s="13"/>
      <c r="E6983" s="4"/>
      <c r="F6983" s="4" t="str">
        <f>IF(D6983="","", IFNA(VLOOKUP(D6983, SATCAT_DECAY!A:B, 2, FALSE), ""))
</f>
        <v/>
      </c>
      <c r="G6983" s="3"/>
    </row>
    <row r="6984" ht="22.5" hidden="1" customHeight="1">
      <c r="A6984" s="11" t="str">
        <f t="array" ref="A6984">IFERROR(
  INDEX('Starlink Launches'!$A:$A, MATCH($E6984, 'Starlink Launches'!$B:$B, 0)),
  ""
)
</f>
        <v/>
      </c>
      <c r="B6984" s="26"/>
      <c r="C6984" s="12"/>
      <c r="D6984" s="13"/>
      <c r="E6984" s="4"/>
      <c r="F6984" s="4" t="str">
        <f>IF(D6984="","", IFNA(VLOOKUP(D6984, SATCAT_DECAY!A:B, 2, FALSE), ""))
</f>
        <v/>
      </c>
      <c r="G6984" s="3"/>
    </row>
    <row r="6985" ht="22.5" hidden="1" customHeight="1">
      <c r="A6985" s="11" t="str">
        <f t="array" ref="A6985">IFERROR(
  INDEX('Starlink Launches'!$A:$A, MATCH($E6985, 'Starlink Launches'!$B:$B, 0)),
  ""
)
</f>
        <v/>
      </c>
      <c r="B6985" s="26"/>
      <c r="C6985" s="12"/>
      <c r="D6985" s="13"/>
      <c r="E6985" s="4"/>
      <c r="F6985" s="4" t="str">
        <f>IF(D6985="","", IFNA(VLOOKUP(D6985, SATCAT_DECAY!A:B, 2, FALSE), ""))
</f>
        <v/>
      </c>
      <c r="G6985" s="3"/>
    </row>
    <row r="6986" ht="22.5" hidden="1" customHeight="1">
      <c r="A6986" s="11" t="str">
        <f t="array" ref="A6986">IFERROR(
  INDEX('Starlink Launches'!$A:$A, MATCH($E6986, 'Starlink Launches'!$B:$B, 0)),
  ""
)
</f>
        <v/>
      </c>
      <c r="B6986" s="26"/>
      <c r="C6986" s="12"/>
      <c r="D6986" s="13"/>
      <c r="E6986" s="4"/>
      <c r="F6986" s="4" t="str">
        <f>IF(D6986="","", IFNA(VLOOKUP(D6986, SATCAT_DECAY!A:B, 2, FALSE), ""))
</f>
        <v/>
      </c>
      <c r="G6986" s="3"/>
    </row>
    <row r="6987" ht="22.5" hidden="1" customHeight="1">
      <c r="A6987" s="11" t="str">
        <f t="array" ref="A6987">IFERROR(
  INDEX('Starlink Launches'!$A:$A, MATCH($E6987, 'Starlink Launches'!$B:$B, 0)),
  ""
)
</f>
        <v/>
      </c>
      <c r="B6987" s="26"/>
      <c r="C6987" s="12"/>
      <c r="D6987" s="13"/>
      <c r="E6987" s="4"/>
      <c r="F6987" s="4" t="str">
        <f>IF(D6987="","", IFNA(VLOOKUP(D6987, SATCAT_DECAY!A:B, 2, FALSE), ""))
</f>
        <v/>
      </c>
      <c r="G6987" s="3"/>
    </row>
    <row r="6988" ht="22.5" hidden="1" customHeight="1">
      <c r="A6988" s="11" t="str">
        <f t="array" ref="A6988">IFERROR(
  INDEX('Starlink Launches'!$A:$A, MATCH($E6988, 'Starlink Launches'!$B:$B, 0)),
  ""
)
</f>
        <v/>
      </c>
      <c r="B6988" s="26"/>
      <c r="C6988" s="12"/>
      <c r="D6988" s="13"/>
      <c r="E6988" s="4"/>
      <c r="F6988" s="4" t="str">
        <f>IF(D6988="","", IFNA(VLOOKUP(D6988, SATCAT_DECAY!A:B, 2, FALSE), ""))
</f>
        <v/>
      </c>
      <c r="G6988" s="3"/>
    </row>
    <row r="6989" ht="22.5" hidden="1" customHeight="1">
      <c r="A6989" s="11" t="str">
        <f t="array" ref="A6989">IFERROR(
  INDEX('Starlink Launches'!$A:$A, MATCH($E6989, 'Starlink Launches'!$B:$B, 0)),
  ""
)
</f>
        <v/>
      </c>
      <c r="B6989" s="26"/>
      <c r="C6989" s="12"/>
      <c r="D6989" s="13"/>
      <c r="E6989" s="4"/>
      <c r="F6989" s="4" t="str">
        <f>IF(D6989="","", IFNA(VLOOKUP(D6989, SATCAT_DECAY!A:B, 2, FALSE), ""))
</f>
        <v/>
      </c>
      <c r="G6989" s="3"/>
    </row>
    <row r="6990" ht="22.5" hidden="1" customHeight="1">
      <c r="A6990" s="11" t="str">
        <f t="array" ref="A6990">IFERROR(
  INDEX('Starlink Launches'!$A:$A, MATCH($E6990, 'Starlink Launches'!$B:$B, 0)),
  ""
)
</f>
        <v/>
      </c>
      <c r="B6990" s="26"/>
      <c r="C6990" s="12"/>
      <c r="D6990" s="13"/>
      <c r="E6990" s="4"/>
      <c r="F6990" s="4" t="str">
        <f>IF(D6990="","", IFNA(VLOOKUP(D6990, SATCAT_DECAY!A:B, 2, FALSE), ""))
</f>
        <v/>
      </c>
      <c r="G6990" s="3"/>
    </row>
    <row r="6991" ht="22.5" hidden="1" customHeight="1">
      <c r="A6991" s="11" t="str">
        <f t="array" ref="A6991">IFERROR(
  INDEX('Starlink Launches'!$A:$A, MATCH($E6991, 'Starlink Launches'!$B:$B, 0)),
  ""
)
</f>
        <v/>
      </c>
      <c r="B6991" s="26"/>
      <c r="C6991" s="12"/>
      <c r="D6991" s="13"/>
      <c r="E6991" s="4"/>
      <c r="F6991" s="4" t="str">
        <f>IF(D6991="","", IFNA(VLOOKUP(D6991, SATCAT_DECAY!A:B, 2, FALSE), ""))
</f>
        <v/>
      </c>
      <c r="G6991" s="3"/>
    </row>
    <row r="6992" ht="22.5" hidden="1" customHeight="1">
      <c r="A6992" s="11" t="str">
        <f t="array" ref="A6992">IFERROR(
  INDEX('Starlink Launches'!$A:$A, MATCH($E6992, 'Starlink Launches'!$B:$B, 0)),
  ""
)
</f>
        <v/>
      </c>
      <c r="B6992" s="26"/>
      <c r="C6992" s="12"/>
      <c r="D6992" s="13"/>
      <c r="E6992" s="4"/>
      <c r="F6992" s="4" t="str">
        <f>IF(D6992="","", IFNA(VLOOKUP(D6992, SATCAT_DECAY!A:B, 2, FALSE), ""))
</f>
        <v/>
      </c>
      <c r="G6992" s="3"/>
    </row>
    <row r="6993" ht="22.5" hidden="1" customHeight="1">
      <c r="A6993" s="11" t="str">
        <f t="array" ref="A6993">IFERROR(
  INDEX('Starlink Launches'!$A:$A, MATCH($E6993, 'Starlink Launches'!$B:$B, 0)),
  ""
)
</f>
        <v/>
      </c>
      <c r="B6993" s="26"/>
      <c r="C6993" s="12"/>
      <c r="D6993" s="13"/>
      <c r="E6993" s="4"/>
      <c r="F6993" s="4" t="str">
        <f>IF(D6993="","", IFNA(VLOOKUP(D6993, SATCAT_DECAY!A:B, 2, FALSE), ""))
</f>
        <v/>
      </c>
      <c r="G6993" s="3"/>
    </row>
    <row r="6994" ht="22.5" hidden="1" customHeight="1">
      <c r="A6994" s="11" t="str">
        <f t="array" ref="A6994">IFERROR(
  INDEX('Starlink Launches'!$A:$A, MATCH($E6994, 'Starlink Launches'!$B:$B, 0)),
  ""
)
</f>
        <v/>
      </c>
      <c r="B6994" s="26"/>
      <c r="C6994" s="12"/>
      <c r="D6994" s="13"/>
      <c r="E6994" s="4"/>
      <c r="F6994" s="4" t="str">
        <f>IF(D6994="","", IFNA(VLOOKUP(D6994, SATCAT_DECAY!A:B, 2, FALSE), ""))
</f>
        <v/>
      </c>
      <c r="G6994" s="3"/>
    </row>
    <row r="6995" ht="22.5" hidden="1" customHeight="1">
      <c r="A6995" s="11" t="str">
        <f t="array" ref="A6995">IFERROR(
  INDEX('Starlink Launches'!$A:$A, MATCH($E6995, 'Starlink Launches'!$B:$B, 0)),
  ""
)
</f>
        <v/>
      </c>
      <c r="B6995" s="26"/>
      <c r="C6995" s="12"/>
      <c r="D6995" s="13"/>
      <c r="E6995" s="4"/>
      <c r="F6995" s="4" t="str">
        <f>IF(D6995="","", IFNA(VLOOKUP(D6995, SATCAT_DECAY!A:B, 2, FALSE), ""))
</f>
        <v/>
      </c>
      <c r="G6995" s="3"/>
    </row>
    <row r="6996" ht="22.5" hidden="1" customHeight="1">
      <c r="A6996" s="11" t="str">
        <f t="array" ref="A6996">IFERROR(
  INDEX('Starlink Launches'!$A:$A, MATCH($E6996, 'Starlink Launches'!$B:$B, 0)),
  ""
)
</f>
        <v/>
      </c>
      <c r="B6996" s="26"/>
      <c r="C6996" s="12"/>
      <c r="D6996" s="13"/>
      <c r="E6996" s="4"/>
      <c r="F6996" s="4" t="str">
        <f>IF(D6996="","", IFNA(VLOOKUP(D6996, SATCAT_DECAY!A:B, 2, FALSE), ""))
</f>
        <v/>
      </c>
      <c r="G6996" s="3"/>
    </row>
    <row r="6997" ht="22.5" hidden="1" customHeight="1">
      <c r="A6997" s="11" t="str">
        <f t="array" ref="A6997">IFERROR(
  INDEX('Starlink Launches'!$A:$A, MATCH($E6997, 'Starlink Launches'!$B:$B, 0)),
  ""
)
</f>
        <v/>
      </c>
      <c r="B6997" s="26"/>
      <c r="C6997" s="12"/>
      <c r="D6997" s="13"/>
      <c r="E6997" s="4"/>
      <c r="F6997" s="4" t="str">
        <f>IF(D6997="","", IFNA(VLOOKUP(D6997, SATCAT_DECAY!A:B, 2, FALSE), ""))
</f>
        <v/>
      </c>
      <c r="G6997" s="3"/>
    </row>
    <row r="6998" ht="22.5" hidden="1" customHeight="1">
      <c r="A6998" s="11" t="str">
        <f t="array" ref="A6998">IFERROR(
  INDEX('Starlink Launches'!$A:$A, MATCH($E6998, 'Starlink Launches'!$B:$B, 0)),
  ""
)
</f>
        <v/>
      </c>
      <c r="B6998" s="26"/>
      <c r="C6998" s="12"/>
      <c r="D6998" s="13"/>
      <c r="E6998" s="4"/>
      <c r="F6998" s="4" t="str">
        <f>IF(D6998="","", IFNA(VLOOKUP(D6998, SATCAT_DECAY!A:B, 2, FALSE), ""))
</f>
        <v/>
      </c>
      <c r="G6998" s="3"/>
    </row>
    <row r="6999" ht="22.5" hidden="1" customHeight="1">
      <c r="A6999" s="11" t="str">
        <f t="array" ref="A6999">IFERROR(
  INDEX('Starlink Launches'!$A:$A, MATCH($E6999, 'Starlink Launches'!$B:$B, 0)),
  ""
)
</f>
        <v/>
      </c>
      <c r="B6999" s="26"/>
      <c r="C6999" s="12"/>
      <c r="D6999" s="13"/>
      <c r="E6999" s="4"/>
      <c r="F6999" s="4" t="str">
        <f>IF(D6999="","", IFNA(VLOOKUP(D6999, SATCAT_DECAY!A:B, 2, FALSE), ""))
</f>
        <v/>
      </c>
      <c r="G6999" s="3"/>
    </row>
    <row r="7000" ht="22.5" hidden="1" customHeight="1">
      <c r="A7000" s="11" t="str">
        <f t="array" ref="A7000">IFERROR(
  INDEX('Starlink Launches'!$A:$A, MATCH($E7000, 'Starlink Launches'!$B:$B, 0)),
  ""
)
</f>
        <v/>
      </c>
      <c r="B7000" s="26"/>
      <c r="C7000" s="12"/>
      <c r="D7000" s="13"/>
      <c r="E7000" s="4"/>
      <c r="F7000" s="4" t="str">
        <f>IF(D7000="","", IFNA(VLOOKUP(D7000, SATCAT_DECAY!A:B, 2, FALSE), ""))
</f>
        <v/>
      </c>
      <c r="G7000" s="3"/>
    </row>
    <row r="7001" ht="22.5" hidden="1" customHeight="1">
      <c r="A7001" s="11" t="str">
        <f t="array" ref="A7001">IFERROR(
  INDEX('Starlink Launches'!$A:$A, MATCH($E7001, 'Starlink Launches'!$B:$B, 0)),
  ""
)
</f>
        <v/>
      </c>
      <c r="B7001" s="26"/>
      <c r="C7001" s="12"/>
      <c r="D7001" s="13"/>
      <c r="E7001" s="4"/>
      <c r="F7001" s="4" t="str">
        <f>IF(D7001="","", IFNA(VLOOKUP(D7001, SATCAT_DECAY!A:B, 2, FALSE), ""))
</f>
        <v/>
      </c>
      <c r="G7001" s="3"/>
    </row>
    <row r="7002" ht="22.5" hidden="1" customHeight="1">
      <c r="A7002" s="11" t="str">
        <f t="array" ref="A7002">IFERROR(
  INDEX('Starlink Launches'!$A:$A, MATCH($E7002, 'Starlink Launches'!$B:$B, 0)),
  ""
)
</f>
        <v/>
      </c>
      <c r="B7002" s="26"/>
      <c r="C7002" s="12"/>
      <c r="D7002" s="13"/>
      <c r="E7002" s="4"/>
      <c r="F7002" s="4" t="str">
        <f>IF(D7002="","", IFNA(VLOOKUP(D7002, SATCAT_DECAY!A:B, 2, FALSE), ""))
</f>
        <v/>
      </c>
      <c r="G7002" s="3"/>
    </row>
    <row r="7003" ht="22.5" hidden="1" customHeight="1">
      <c r="A7003" s="11" t="str">
        <f t="array" ref="A7003">IFERROR(
  INDEX('Starlink Launches'!$A:$A, MATCH($E7003, 'Starlink Launches'!$B:$B, 0)),
  ""
)
</f>
        <v/>
      </c>
      <c r="B7003" s="26"/>
      <c r="C7003" s="12"/>
      <c r="D7003" s="13"/>
      <c r="E7003" s="4"/>
      <c r="F7003" s="4" t="str">
        <f>IF(D7003="","", IFNA(VLOOKUP(D7003, SATCAT_DECAY!A:B, 2, FALSE), ""))
</f>
        <v/>
      </c>
      <c r="G7003" s="3"/>
    </row>
    <row r="7004" ht="22.5" hidden="1" customHeight="1">
      <c r="A7004" s="11" t="str">
        <f t="array" ref="A7004">IFERROR(
  INDEX('Starlink Launches'!$A:$A, MATCH($E7004, 'Starlink Launches'!$B:$B, 0)),
  ""
)
</f>
        <v/>
      </c>
      <c r="B7004" s="26"/>
      <c r="C7004" s="12"/>
      <c r="D7004" s="13"/>
      <c r="E7004" s="4"/>
      <c r="F7004" s="4" t="str">
        <f>IF(D7004="","", IFNA(VLOOKUP(D7004, SATCAT_DECAY!A:B, 2, FALSE), ""))
</f>
        <v/>
      </c>
      <c r="G7004" s="3"/>
    </row>
    <row r="7005" ht="22.5" hidden="1" customHeight="1">
      <c r="A7005" s="11" t="str">
        <f t="array" ref="A7005">IFERROR(
  INDEX('Starlink Launches'!$A:$A, MATCH($E7005, 'Starlink Launches'!$B:$B, 0)),
  ""
)
</f>
        <v/>
      </c>
      <c r="B7005" s="26"/>
      <c r="C7005" s="12"/>
      <c r="D7005" s="13"/>
      <c r="E7005" s="4"/>
      <c r="F7005" s="4" t="str">
        <f>IF(D7005="","", IFNA(VLOOKUP(D7005, SATCAT_DECAY!A:B, 2, FALSE), ""))
</f>
        <v/>
      </c>
      <c r="G7005" s="3"/>
    </row>
    <row r="7006" ht="22.5" hidden="1" customHeight="1">
      <c r="A7006" s="11" t="str">
        <f t="array" ref="A7006">IFERROR(
  INDEX('Starlink Launches'!$A:$A, MATCH($E7006, 'Starlink Launches'!$B:$B, 0)),
  ""
)
</f>
        <v/>
      </c>
      <c r="B7006" s="26"/>
      <c r="C7006" s="12"/>
      <c r="D7006" s="13"/>
      <c r="E7006" s="4"/>
      <c r="F7006" s="4" t="str">
        <f>IF(D7006="","", IFNA(VLOOKUP(D7006, SATCAT_DECAY!A:B, 2, FALSE), ""))
</f>
        <v/>
      </c>
      <c r="G7006" s="3"/>
    </row>
    <row r="7007" ht="22.5" hidden="1" customHeight="1">
      <c r="A7007" s="11" t="str">
        <f t="array" ref="A7007">IFERROR(
  INDEX('Starlink Launches'!$A:$A, MATCH($E7007, 'Starlink Launches'!$B:$B, 0)),
  ""
)
</f>
        <v/>
      </c>
      <c r="B7007" s="26"/>
      <c r="C7007" s="12"/>
      <c r="D7007" s="13"/>
      <c r="E7007" s="4"/>
      <c r="F7007" s="4" t="str">
        <f>IF(D7007="","", IFNA(VLOOKUP(D7007, SATCAT_DECAY!A:B, 2, FALSE), ""))
</f>
        <v/>
      </c>
      <c r="G7007" s="3"/>
    </row>
    <row r="7008" ht="22.5" hidden="1" customHeight="1">
      <c r="A7008" s="11" t="str">
        <f t="array" ref="A7008">IFERROR(
  INDEX('Starlink Launches'!$A:$A, MATCH($E7008, 'Starlink Launches'!$B:$B, 0)),
  ""
)
</f>
        <v/>
      </c>
      <c r="B7008" s="26"/>
      <c r="C7008" s="12"/>
      <c r="D7008" s="13"/>
      <c r="E7008" s="4"/>
      <c r="F7008" s="4" t="str">
        <f>IF(D7008="","", IFNA(VLOOKUP(D7008, SATCAT_DECAY!A:B, 2, FALSE), ""))
</f>
        <v/>
      </c>
      <c r="G7008" s="3"/>
    </row>
    <row r="7009" ht="22.5" hidden="1" customHeight="1">
      <c r="A7009" s="11" t="str">
        <f t="array" ref="A7009">IFERROR(
  INDEX('Starlink Launches'!$A:$A, MATCH($E7009, 'Starlink Launches'!$B:$B, 0)),
  ""
)
</f>
        <v/>
      </c>
      <c r="B7009" s="26"/>
      <c r="C7009" s="12"/>
      <c r="D7009" s="13"/>
      <c r="E7009" s="4"/>
      <c r="F7009" s="4" t="str">
        <f>IF(D7009="","", IFNA(VLOOKUP(D7009, SATCAT_DECAY!A:B, 2, FALSE), ""))
</f>
        <v/>
      </c>
      <c r="G7009" s="3"/>
    </row>
    <row r="7010" ht="22.5" hidden="1" customHeight="1">
      <c r="A7010" s="11" t="str">
        <f t="array" ref="A7010">IFERROR(
  INDEX('Starlink Launches'!$A:$A, MATCH($E7010, 'Starlink Launches'!$B:$B, 0)),
  ""
)
</f>
        <v/>
      </c>
      <c r="B7010" s="26"/>
      <c r="C7010" s="12"/>
      <c r="D7010" s="13"/>
      <c r="E7010" s="4"/>
      <c r="F7010" s="4" t="str">
        <f>IF(D7010="","", IFNA(VLOOKUP(D7010, SATCAT_DECAY!A:B, 2, FALSE), ""))
</f>
        <v/>
      </c>
      <c r="G7010" s="3"/>
    </row>
    <row r="7011" ht="22.5" hidden="1" customHeight="1">
      <c r="A7011" s="11" t="str">
        <f t="array" ref="A7011">IFERROR(
  INDEX('Starlink Launches'!$A:$A, MATCH($E7011, 'Starlink Launches'!$B:$B, 0)),
  ""
)
</f>
        <v/>
      </c>
      <c r="B7011" s="26"/>
      <c r="C7011" s="12"/>
      <c r="D7011" s="13"/>
      <c r="E7011" s="4"/>
      <c r="F7011" s="4" t="str">
        <f>IF(D7011="","", IFNA(VLOOKUP(D7011, SATCAT_DECAY!A:B, 2, FALSE), ""))
</f>
        <v/>
      </c>
      <c r="G7011" s="3"/>
    </row>
    <row r="7012" ht="22.5" hidden="1" customHeight="1">
      <c r="A7012" s="11" t="str">
        <f t="array" ref="A7012">IFERROR(
  INDEX('Starlink Launches'!$A:$A, MATCH($E7012, 'Starlink Launches'!$B:$B, 0)),
  ""
)
</f>
        <v/>
      </c>
      <c r="B7012" s="26"/>
      <c r="C7012" s="12"/>
      <c r="D7012" s="13"/>
      <c r="E7012" s="4"/>
      <c r="F7012" s="4" t="str">
        <f>IF(D7012="","", IFNA(VLOOKUP(D7012, SATCAT_DECAY!A:B, 2, FALSE), ""))
</f>
        <v/>
      </c>
      <c r="G7012" s="3"/>
    </row>
    <row r="7013" ht="22.5" hidden="1" customHeight="1">
      <c r="A7013" s="11" t="str">
        <f t="array" ref="A7013">IFERROR(
  INDEX('Starlink Launches'!$A:$A, MATCH($E7013, 'Starlink Launches'!$B:$B, 0)),
  ""
)
</f>
        <v/>
      </c>
      <c r="B7013" s="26"/>
      <c r="C7013" s="12"/>
      <c r="D7013" s="13"/>
      <c r="E7013" s="4"/>
      <c r="F7013" s="4" t="str">
        <f>IF(D7013="","", IFNA(VLOOKUP(D7013, SATCAT_DECAY!A:B, 2, FALSE), ""))
</f>
        <v/>
      </c>
      <c r="G7013" s="3"/>
    </row>
    <row r="7014" ht="22.5" hidden="1" customHeight="1">
      <c r="A7014" s="11" t="str">
        <f t="array" ref="A7014">IFERROR(
  INDEX('Starlink Launches'!$A:$A, MATCH($E7014, 'Starlink Launches'!$B:$B, 0)),
  ""
)
</f>
        <v/>
      </c>
      <c r="B7014" s="26"/>
      <c r="C7014" s="12"/>
      <c r="D7014" s="13"/>
      <c r="E7014" s="4"/>
      <c r="F7014" s="4" t="str">
        <f>IF(D7014="","", IFNA(VLOOKUP(D7014, SATCAT_DECAY!A:B, 2, FALSE), ""))
</f>
        <v/>
      </c>
      <c r="G7014" s="3"/>
    </row>
    <row r="7015" ht="22.5" hidden="1" customHeight="1">
      <c r="A7015" s="11" t="str">
        <f t="array" ref="A7015">IFERROR(
  INDEX('Starlink Launches'!$A:$A, MATCH($E7015, 'Starlink Launches'!$B:$B, 0)),
  ""
)
</f>
        <v/>
      </c>
      <c r="B7015" s="26"/>
      <c r="C7015" s="12"/>
      <c r="D7015" s="13"/>
      <c r="E7015" s="4"/>
      <c r="F7015" s="4" t="str">
        <f>IF(D7015="","", IFNA(VLOOKUP(D7015, SATCAT_DECAY!A:B, 2, FALSE), ""))
</f>
        <v/>
      </c>
      <c r="G7015" s="3"/>
    </row>
    <row r="7016" ht="22.5" hidden="1" customHeight="1">
      <c r="A7016" s="11" t="str">
        <f t="array" ref="A7016">IFERROR(
  INDEX('Starlink Launches'!$A:$A, MATCH($E7016, 'Starlink Launches'!$B:$B, 0)),
  ""
)
</f>
        <v/>
      </c>
      <c r="B7016" s="26"/>
      <c r="C7016" s="12"/>
      <c r="D7016" s="13"/>
      <c r="E7016" s="4"/>
      <c r="F7016" s="4" t="str">
        <f>IF(D7016="","", IFNA(VLOOKUP(D7016, SATCAT_DECAY!A:B, 2, FALSE), ""))
</f>
        <v/>
      </c>
      <c r="G7016" s="3"/>
    </row>
    <row r="7017" ht="22.5" hidden="1" customHeight="1">
      <c r="A7017" s="11" t="str">
        <f t="array" ref="A7017">IFERROR(
  INDEX('Starlink Launches'!$A:$A, MATCH($E7017, 'Starlink Launches'!$B:$B, 0)),
  ""
)
</f>
        <v/>
      </c>
      <c r="B7017" s="26"/>
      <c r="C7017" s="12"/>
      <c r="D7017" s="13"/>
      <c r="E7017" s="4"/>
      <c r="F7017" s="4" t="str">
        <f>IF(D7017="","", IFNA(VLOOKUP(D7017, SATCAT_DECAY!A:B, 2, FALSE), ""))
</f>
        <v/>
      </c>
      <c r="G7017" s="3"/>
    </row>
    <row r="7018" ht="22.5" hidden="1" customHeight="1">
      <c r="A7018" s="11" t="str">
        <f t="array" ref="A7018">IFERROR(
  INDEX('Starlink Launches'!$A:$A, MATCH($E7018, 'Starlink Launches'!$B:$B, 0)),
  ""
)
</f>
        <v/>
      </c>
      <c r="B7018" s="26"/>
      <c r="C7018" s="12"/>
      <c r="D7018" s="13"/>
      <c r="E7018" s="4"/>
      <c r="F7018" s="4" t="str">
        <f>IF(D7018="","", IFNA(VLOOKUP(D7018, SATCAT_DECAY!A:B, 2, FALSE), ""))
</f>
        <v/>
      </c>
      <c r="G7018" s="3"/>
    </row>
    <row r="7019" ht="22.5" hidden="1" customHeight="1">
      <c r="A7019" s="11" t="str">
        <f t="array" ref="A7019">IFERROR(
  INDEX('Starlink Launches'!$A:$A, MATCH($E7019, 'Starlink Launches'!$B:$B, 0)),
  ""
)
</f>
        <v/>
      </c>
      <c r="B7019" s="26"/>
      <c r="C7019" s="12"/>
      <c r="D7019" s="13"/>
      <c r="E7019" s="4"/>
      <c r="F7019" s="4" t="str">
        <f>IF(D7019="","", IFNA(VLOOKUP(D7019, SATCAT_DECAY!A:B, 2, FALSE), ""))
</f>
        <v/>
      </c>
      <c r="G7019" s="3"/>
    </row>
    <row r="7020" ht="22.5" hidden="1" customHeight="1">
      <c r="A7020" s="11" t="str">
        <f t="array" ref="A7020">IFERROR(
  INDEX('Starlink Launches'!$A:$A, MATCH($E7020, 'Starlink Launches'!$B:$B, 0)),
  ""
)
</f>
        <v/>
      </c>
      <c r="B7020" s="26"/>
      <c r="C7020" s="12"/>
      <c r="D7020" s="13"/>
      <c r="E7020" s="4"/>
      <c r="F7020" s="4" t="str">
        <f>IF(D7020="","", IFNA(VLOOKUP(D7020, SATCAT_DECAY!A:B, 2, FALSE), ""))
</f>
        <v/>
      </c>
      <c r="G7020" s="3"/>
    </row>
    <row r="7021" ht="22.5" hidden="1" customHeight="1">
      <c r="A7021" s="11" t="str">
        <f t="array" ref="A7021">IFERROR(
  INDEX('Starlink Launches'!$A:$A, MATCH($E7021, 'Starlink Launches'!$B:$B, 0)),
  ""
)
</f>
        <v/>
      </c>
      <c r="B7021" s="26"/>
      <c r="C7021" s="12"/>
      <c r="D7021" s="13"/>
      <c r="E7021" s="4"/>
      <c r="F7021" s="4" t="str">
        <f>IF(D7021="","", IFNA(VLOOKUP(D7021, SATCAT_DECAY!A:B, 2, FALSE), ""))
</f>
        <v/>
      </c>
      <c r="G7021" s="3"/>
    </row>
    <row r="7022" ht="22.5" hidden="1" customHeight="1">
      <c r="A7022" s="11" t="str">
        <f t="array" ref="A7022">IFERROR(
  INDEX('Starlink Launches'!$A:$A, MATCH($E7022, 'Starlink Launches'!$B:$B, 0)),
  ""
)
</f>
        <v/>
      </c>
      <c r="B7022" s="26"/>
      <c r="C7022" s="12"/>
      <c r="D7022" s="13"/>
      <c r="E7022" s="4"/>
      <c r="F7022" s="4" t="str">
        <f>IF(D7022="","", IFNA(VLOOKUP(D7022, SATCAT_DECAY!A:B, 2, FALSE), ""))
</f>
        <v/>
      </c>
      <c r="G7022" s="3"/>
    </row>
    <row r="7023" ht="22.5" hidden="1" customHeight="1">
      <c r="A7023" s="11" t="str">
        <f t="array" ref="A7023">IFERROR(
  INDEX('Starlink Launches'!$A:$A, MATCH($E7023, 'Starlink Launches'!$B:$B, 0)),
  ""
)
</f>
        <v/>
      </c>
      <c r="B7023" s="26"/>
      <c r="C7023" s="12"/>
      <c r="D7023" s="13"/>
      <c r="E7023" s="4"/>
      <c r="F7023" s="4" t="str">
        <f>IF(D7023="","", IFNA(VLOOKUP(D7023, SATCAT_DECAY!A:B, 2, FALSE), ""))
</f>
        <v/>
      </c>
      <c r="G7023" s="3"/>
    </row>
    <row r="7024" ht="22.5" hidden="1" customHeight="1">
      <c r="A7024" s="11" t="str">
        <f t="array" ref="A7024">IFERROR(
  INDEX('Starlink Launches'!$A:$A, MATCH($E7024, 'Starlink Launches'!$B:$B, 0)),
  ""
)
</f>
        <v/>
      </c>
      <c r="B7024" s="26"/>
      <c r="C7024" s="12"/>
      <c r="D7024" s="13"/>
      <c r="E7024" s="4"/>
      <c r="F7024" s="4" t="str">
        <f>IF(D7024="","", IFNA(VLOOKUP(D7024, SATCAT_DECAY!A:B, 2, FALSE), ""))
</f>
        <v/>
      </c>
      <c r="G7024" s="3"/>
    </row>
    <row r="7025" ht="22.5" hidden="1" customHeight="1">
      <c r="A7025" s="11" t="str">
        <f t="array" ref="A7025">IFERROR(
  INDEX('Starlink Launches'!$A:$A, MATCH($E7025, 'Starlink Launches'!$B:$B, 0)),
  ""
)
</f>
        <v/>
      </c>
      <c r="B7025" s="26"/>
      <c r="C7025" s="12"/>
      <c r="D7025" s="13"/>
      <c r="E7025" s="4"/>
      <c r="F7025" s="4" t="str">
        <f>IF(D7025="","", IFNA(VLOOKUP(D7025, SATCAT_DECAY!A:B, 2, FALSE), ""))
</f>
        <v/>
      </c>
      <c r="G7025" s="3"/>
    </row>
    <row r="7026" ht="22.5" hidden="1" customHeight="1">
      <c r="A7026" s="11" t="str">
        <f t="array" ref="A7026">IFERROR(
  INDEX('Starlink Launches'!$A:$A, MATCH($E7026, 'Starlink Launches'!$B:$B, 0)),
  ""
)
</f>
        <v/>
      </c>
      <c r="B7026" s="26"/>
      <c r="C7026" s="12"/>
      <c r="D7026" s="13"/>
      <c r="E7026" s="4"/>
      <c r="F7026" s="4" t="str">
        <f>IF(D7026="","", IFNA(VLOOKUP(D7026, SATCAT_DECAY!A:B, 2, FALSE), ""))
</f>
        <v/>
      </c>
      <c r="G7026" s="3"/>
    </row>
    <row r="7027" ht="22.5" hidden="1" customHeight="1">
      <c r="A7027" s="11" t="str">
        <f t="array" ref="A7027">IFERROR(
  INDEX('Starlink Launches'!$A:$A, MATCH($E7027, 'Starlink Launches'!$B:$B, 0)),
  ""
)
</f>
        <v/>
      </c>
      <c r="B7027" s="26"/>
      <c r="C7027" s="12"/>
      <c r="D7027" s="13"/>
      <c r="E7027" s="4"/>
      <c r="F7027" s="4" t="str">
        <f>IF(D7027="","", IFNA(VLOOKUP(D7027, SATCAT_DECAY!A:B, 2, FALSE), ""))
</f>
        <v/>
      </c>
      <c r="G7027" s="3"/>
    </row>
    <row r="7028" ht="22.5" hidden="1" customHeight="1">
      <c r="A7028" s="11" t="str">
        <f t="array" ref="A7028">IFERROR(
  INDEX('Starlink Launches'!$A:$A, MATCH($E7028, 'Starlink Launches'!$B:$B, 0)),
  ""
)
</f>
        <v/>
      </c>
      <c r="B7028" s="26"/>
      <c r="C7028" s="12"/>
      <c r="D7028" s="13"/>
      <c r="E7028" s="4"/>
      <c r="F7028" s="4" t="str">
        <f>IF(D7028="","", IFNA(VLOOKUP(D7028, SATCAT_DECAY!A:B, 2, FALSE), ""))
</f>
        <v/>
      </c>
      <c r="G7028" s="3"/>
    </row>
    <row r="7029" ht="22.5" hidden="1" customHeight="1">
      <c r="A7029" s="11" t="str">
        <f t="array" ref="A7029">IFERROR(
  INDEX('Starlink Launches'!$A:$A, MATCH($E7029, 'Starlink Launches'!$B:$B, 0)),
  ""
)
</f>
        <v/>
      </c>
      <c r="B7029" s="26"/>
      <c r="C7029" s="12"/>
      <c r="D7029" s="13"/>
      <c r="E7029" s="4"/>
      <c r="F7029" s="4" t="str">
        <f>IF(D7029="","", IFNA(VLOOKUP(D7029, SATCAT_DECAY!A:B, 2, FALSE), ""))
</f>
        <v/>
      </c>
      <c r="G7029" s="3"/>
    </row>
    <row r="7030" ht="22.5" hidden="1" customHeight="1">
      <c r="A7030" s="11" t="str">
        <f t="array" ref="A7030">IFERROR(
  INDEX('Starlink Launches'!$A:$A, MATCH($E7030, 'Starlink Launches'!$B:$B, 0)),
  ""
)
</f>
        <v/>
      </c>
      <c r="B7030" s="26"/>
      <c r="C7030" s="12"/>
      <c r="D7030" s="13"/>
      <c r="E7030" s="4"/>
      <c r="F7030" s="4" t="str">
        <f>IF(D7030="","", IFNA(VLOOKUP(D7030, SATCAT_DECAY!A:B, 2, FALSE), ""))
</f>
        <v/>
      </c>
      <c r="G7030" s="3"/>
    </row>
    <row r="7031" ht="22.5" hidden="1" customHeight="1">
      <c r="A7031" s="11" t="str">
        <f t="array" ref="A7031">IFERROR(
  INDEX('Starlink Launches'!$A:$A, MATCH($E7031, 'Starlink Launches'!$B:$B, 0)),
  ""
)
</f>
        <v/>
      </c>
      <c r="B7031" s="26"/>
      <c r="C7031" s="12"/>
      <c r="D7031" s="13"/>
      <c r="E7031" s="4"/>
      <c r="F7031" s="4" t="str">
        <f>IF(D7031="","", IFNA(VLOOKUP(D7031, SATCAT_DECAY!A:B, 2, FALSE), ""))
</f>
        <v/>
      </c>
      <c r="G7031" s="3"/>
    </row>
    <row r="7032" ht="22.5" hidden="1" customHeight="1">
      <c r="A7032" s="11" t="str">
        <f t="array" ref="A7032">IFERROR(
  INDEX('Starlink Launches'!$A:$A, MATCH($E7032, 'Starlink Launches'!$B:$B, 0)),
  ""
)
</f>
        <v/>
      </c>
      <c r="B7032" s="26"/>
      <c r="C7032" s="12"/>
      <c r="D7032" s="13"/>
      <c r="E7032" s="4"/>
      <c r="F7032" s="4" t="str">
        <f>IF(D7032="","", IFNA(VLOOKUP(D7032, SATCAT_DECAY!A:B, 2, FALSE), ""))
</f>
        <v/>
      </c>
      <c r="G7032" s="3"/>
    </row>
    <row r="7033" ht="22.5" hidden="1" customHeight="1">
      <c r="A7033" s="11" t="str">
        <f t="array" ref="A7033">IFERROR(
  INDEX('Starlink Launches'!$A:$A, MATCH($E7033, 'Starlink Launches'!$B:$B, 0)),
  ""
)
</f>
        <v/>
      </c>
      <c r="B7033" s="26"/>
      <c r="C7033" s="12"/>
      <c r="D7033" s="13"/>
      <c r="E7033" s="4"/>
      <c r="F7033" s="4" t="str">
        <f>IF(D7033="","", IFNA(VLOOKUP(D7033, SATCAT_DECAY!A:B, 2, FALSE), ""))
</f>
        <v/>
      </c>
      <c r="G7033" s="3"/>
    </row>
    <row r="7034" ht="22.5" hidden="1" customHeight="1">
      <c r="A7034" s="11" t="str">
        <f t="array" ref="A7034">IFERROR(
  INDEX('Starlink Launches'!$A:$A, MATCH($E7034, 'Starlink Launches'!$B:$B, 0)),
  ""
)
</f>
        <v/>
      </c>
      <c r="B7034" s="26"/>
      <c r="C7034" s="12"/>
      <c r="D7034" s="13"/>
      <c r="E7034" s="4"/>
      <c r="F7034" s="4" t="str">
        <f>IF(D7034="","", IFNA(VLOOKUP(D7034, SATCAT_DECAY!A:B, 2, FALSE), ""))
</f>
        <v/>
      </c>
      <c r="G7034" s="3"/>
    </row>
    <row r="7035" ht="22.5" hidden="1" customHeight="1">
      <c r="A7035" s="11" t="str">
        <f t="array" ref="A7035">IFERROR(
  INDEX('Starlink Launches'!$A:$A, MATCH($E7035, 'Starlink Launches'!$B:$B, 0)),
  ""
)
</f>
        <v/>
      </c>
      <c r="B7035" s="26"/>
      <c r="C7035" s="12"/>
      <c r="D7035" s="13"/>
      <c r="E7035" s="4"/>
      <c r="F7035" s="4" t="str">
        <f>IF(D7035="","", IFNA(VLOOKUP(D7035, SATCAT_DECAY!A:B, 2, FALSE), ""))
</f>
        <v/>
      </c>
      <c r="G7035" s="3"/>
    </row>
    <row r="7036" ht="22.5" hidden="1" customHeight="1">
      <c r="A7036" s="11" t="str">
        <f t="array" ref="A7036">IFERROR(
  INDEX('Starlink Launches'!$A:$A, MATCH($E7036, 'Starlink Launches'!$B:$B, 0)),
  ""
)
</f>
        <v/>
      </c>
      <c r="B7036" s="26"/>
      <c r="C7036" s="12"/>
      <c r="D7036" s="13"/>
      <c r="E7036" s="4"/>
      <c r="F7036" s="4" t="str">
        <f>IF(D7036="","", IFNA(VLOOKUP(D7036, SATCAT_DECAY!A:B, 2, FALSE), ""))
</f>
        <v/>
      </c>
      <c r="G7036" s="3"/>
    </row>
    <row r="7037" ht="22.5" hidden="1" customHeight="1">
      <c r="A7037" s="11" t="str">
        <f t="array" ref="A7037">IFERROR(
  INDEX('Starlink Launches'!$A:$A, MATCH($E7037, 'Starlink Launches'!$B:$B, 0)),
  ""
)
</f>
        <v/>
      </c>
      <c r="B7037" s="26"/>
      <c r="C7037" s="12"/>
      <c r="D7037" s="13"/>
      <c r="E7037" s="4"/>
      <c r="F7037" s="4" t="str">
        <f>IF(D7037="","", IFNA(VLOOKUP(D7037, SATCAT_DECAY!A:B, 2, FALSE), ""))
</f>
        <v/>
      </c>
      <c r="G7037" s="3"/>
    </row>
    <row r="7038" ht="22.5" hidden="1" customHeight="1">
      <c r="A7038" s="11" t="str">
        <f t="array" ref="A7038">IFERROR(
  INDEX('Starlink Launches'!$A:$A, MATCH($E7038, 'Starlink Launches'!$B:$B, 0)),
  ""
)
</f>
        <v/>
      </c>
      <c r="B7038" s="26"/>
      <c r="C7038" s="12"/>
      <c r="D7038" s="13"/>
      <c r="E7038" s="4"/>
      <c r="F7038" s="4" t="str">
        <f>IF(D7038="","", IFNA(VLOOKUP(D7038, SATCAT_DECAY!A:B, 2, FALSE), ""))
</f>
        <v/>
      </c>
      <c r="G7038" s="3"/>
    </row>
    <row r="7039" ht="22.5" hidden="1" customHeight="1">
      <c r="A7039" s="11" t="str">
        <f t="array" ref="A7039">IFERROR(
  INDEX('Starlink Launches'!$A:$A, MATCH($E7039, 'Starlink Launches'!$B:$B, 0)),
  ""
)
</f>
        <v/>
      </c>
      <c r="B7039" s="26"/>
      <c r="C7039" s="12"/>
      <c r="D7039" s="13"/>
      <c r="E7039" s="4"/>
      <c r="F7039" s="4" t="str">
        <f>IF(D7039="","", IFNA(VLOOKUP(D7039, SATCAT_DECAY!A:B, 2, FALSE), ""))
</f>
        <v/>
      </c>
      <c r="G7039" s="3"/>
    </row>
    <row r="7040" ht="22.5" hidden="1" customHeight="1">
      <c r="A7040" s="11" t="str">
        <f t="array" ref="A7040">IFERROR(
  INDEX('Starlink Launches'!$A:$A, MATCH($E7040, 'Starlink Launches'!$B:$B, 0)),
  ""
)
</f>
        <v/>
      </c>
      <c r="B7040" s="26"/>
      <c r="C7040" s="12"/>
      <c r="D7040" s="13"/>
      <c r="E7040" s="4"/>
      <c r="F7040" s="4" t="str">
        <f>IF(D7040="","", IFNA(VLOOKUP(D7040, SATCAT_DECAY!A:B, 2, FALSE), ""))
</f>
        <v/>
      </c>
      <c r="G7040" s="3"/>
    </row>
    <row r="7041" ht="22.5" hidden="1" customHeight="1">
      <c r="A7041" s="11" t="str">
        <f t="array" ref="A7041">IFERROR(
  INDEX('Starlink Launches'!$A:$A, MATCH($E7041, 'Starlink Launches'!$B:$B, 0)),
  ""
)
</f>
        <v/>
      </c>
      <c r="B7041" s="26"/>
      <c r="C7041" s="12"/>
      <c r="D7041" s="13"/>
      <c r="E7041" s="4"/>
      <c r="F7041" s="4" t="str">
        <f>IF(D7041="","", IFNA(VLOOKUP(D7041, SATCAT_DECAY!A:B, 2, FALSE), ""))
</f>
        <v/>
      </c>
      <c r="G7041" s="3"/>
    </row>
    <row r="7042" ht="22.5" hidden="1" customHeight="1">
      <c r="A7042" s="11" t="str">
        <f t="array" ref="A7042">IFERROR(
  INDEX('Starlink Launches'!$A:$A, MATCH($E7042, 'Starlink Launches'!$B:$B, 0)),
  ""
)
</f>
        <v/>
      </c>
      <c r="B7042" s="26"/>
      <c r="C7042" s="12"/>
      <c r="D7042" s="13"/>
      <c r="E7042" s="4"/>
      <c r="F7042" s="4" t="str">
        <f>IF(D7042="","", IFNA(VLOOKUP(D7042, SATCAT_DECAY!A:B, 2, FALSE), ""))
</f>
        <v/>
      </c>
      <c r="G7042" s="3"/>
    </row>
    <row r="7043" ht="22.5" hidden="1" customHeight="1">
      <c r="A7043" s="11" t="str">
        <f t="array" ref="A7043">IFERROR(
  INDEX('Starlink Launches'!$A:$A, MATCH($E7043, 'Starlink Launches'!$B:$B, 0)),
  ""
)
</f>
        <v/>
      </c>
      <c r="B7043" s="26"/>
      <c r="C7043" s="12"/>
      <c r="D7043" s="13"/>
      <c r="E7043" s="4"/>
      <c r="F7043" s="4" t="str">
        <f>IF(D7043="","", IFNA(VLOOKUP(D7043, SATCAT_DECAY!A:B, 2, FALSE), ""))
</f>
        <v/>
      </c>
      <c r="G7043" s="3"/>
    </row>
    <row r="7044" ht="22.5" hidden="1" customHeight="1">
      <c r="A7044" s="11" t="str">
        <f t="array" ref="A7044">IFERROR(
  INDEX('Starlink Launches'!$A:$A, MATCH($E7044, 'Starlink Launches'!$B:$B, 0)),
  ""
)
</f>
        <v/>
      </c>
      <c r="B7044" s="26"/>
      <c r="C7044" s="12"/>
      <c r="D7044" s="13"/>
      <c r="E7044" s="4"/>
      <c r="F7044" s="4" t="str">
        <f>IF(D7044="","", IFNA(VLOOKUP(D7044, SATCAT_DECAY!A:B, 2, FALSE), ""))
</f>
        <v/>
      </c>
      <c r="G7044" s="3"/>
    </row>
    <row r="7045" ht="22.5" hidden="1" customHeight="1">
      <c r="A7045" s="11" t="str">
        <f t="array" ref="A7045">IFERROR(
  INDEX('Starlink Launches'!$A:$A, MATCH($E7045, 'Starlink Launches'!$B:$B, 0)),
  ""
)
</f>
        <v/>
      </c>
      <c r="B7045" s="26"/>
      <c r="C7045" s="12"/>
      <c r="D7045" s="13"/>
      <c r="E7045" s="4"/>
      <c r="F7045" s="4" t="str">
        <f>IF(D7045="","", IFNA(VLOOKUP(D7045, SATCAT_DECAY!A:B, 2, FALSE), ""))
</f>
        <v/>
      </c>
      <c r="G7045" s="3"/>
    </row>
    <row r="7046" ht="22.5" hidden="1" customHeight="1">
      <c r="A7046" s="11" t="str">
        <f t="array" ref="A7046">IFERROR(
  INDEX('Starlink Launches'!$A:$A, MATCH($E7046, 'Starlink Launches'!$B:$B, 0)),
  ""
)
</f>
        <v/>
      </c>
      <c r="B7046" s="26"/>
      <c r="C7046" s="12"/>
      <c r="D7046" s="13"/>
      <c r="E7046" s="4"/>
      <c r="F7046" s="4" t="str">
        <f>IF(D7046="","", IFNA(VLOOKUP(D7046, SATCAT_DECAY!A:B, 2, FALSE), ""))
</f>
        <v/>
      </c>
      <c r="G7046" s="3"/>
    </row>
    <row r="7047" ht="22.5" hidden="1" customHeight="1">
      <c r="A7047" s="11" t="str">
        <f t="array" ref="A7047">IFERROR(
  INDEX('Starlink Launches'!$A:$A, MATCH($E7047, 'Starlink Launches'!$B:$B, 0)),
  ""
)
</f>
        <v/>
      </c>
      <c r="B7047" s="26"/>
      <c r="C7047" s="12"/>
      <c r="D7047" s="13"/>
      <c r="E7047" s="4"/>
      <c r="F7047" s="4" t="str">
        <f>IF(D7047="","", IFNA(VLOOKUP(D7047, SATCAT_DECAY!A:B, 2, FALSE), ""))
</f>
        <v/>
      </c>
      <c r="G7047" s="3"/>
    </row>
    <row r="7048" ht="22.5" hidden="1" customHeight="1">
      <c r="A7048" s="11" t="str">
        <f t="array" ref="A7048">IFERROR(
  INDEX('Starlink Launches'!$A:$A, MATCH($E7048, 'Starlink Launches'!$B:$B, 0)),
  ""
)
</f>
        <v/>
      </c>
      <c r="B7048" s="26"/>
      <c r="C7048" s="12"/>
      <c r="D7048" s="13"/>
      <c r="E7048" s="4"/>
      <c r="F7048" s="4" t="str">
        <f>IF(D7048="","", IFNA(VLOOKUP(D7048, SATCAT_DECAY!A:B, 2, FALSE), ""))
</f>
        <v/>
      </c>
      <c r="G7048" s="3"/>
    </row>
    <row r="7049" ht="22.5" hidden="1" customHeight="1">
      <c r="A7049" s="11" t="str">
        <f t="array" ref="A7049">IFERROR(
  INDEX('Starlink Launches'!$A:$A, MATCH($E7049, 'Starlink Launches'!$B:$B, 0)),
  ""
)
</f>
        <v/>
      </c>
      <c r="B7049" s="26"/>
      <c r="C7049" s="12"/>
      <c r="D7049" s="13"/>
      <c r="E7049" s="4"/>
      <c r="F7049" s="4" t="str">
        <f>IF(D7049="","", IFNA(VLOOKUP(D7049, SATCAT_DECAY!A:B, 2, FALSE), ""))
</f>
        <v/>
      </c>
      <c r="G7049" s="3"/>
    </row>
    <row r="7050" ht="22.5" hidden="1" customHeight="1">
      <c r="A7050" s="11" t="str">
        <f t="array" ref="A7050">IFERROR(
  INDEX('Starlink Launches'!$A:$A, MATCH($E7050, 'Starlink Launches'!$B:$B, 0)),
  ""
)
</f>
        <v/>
      </c>
      <c r="B7050" s="26"/>
      <c r="C7050" s="12"/>
      <c r="D7050" s="13"/>
      <c r="E7050" s="4"/>
      <c r="F7050" s="4" t="str">
        <f>IF(D7050="","", IFNA(VLOOKUP(D7050, SATCAT_DECAY!A:B, 2, FALSE), ""))
</f>
        <v/>
      </c>
      <c r="G7050" s="3"/>
    </row>
    <row r="7051" ht="22.5" hidden="1" customHeight="1">
      <c r="A7051" s="11" t="str">
        <f t="array" ref="A7051">IFERROR(
  INDEX('Starlink Launches'!$A:$A, MATCH($E7051, 'Starlink Launches'!$B:$B, 0)),
  ""
)
</f>
        <v/>
      </c>
      <c r="B7051" s="26"/>
      <c r="C7051" s="12"/>
      <c r="D7051" s="13"/>
      <c r="E7051" s="4"/>
      <c r="F7051" s="4" t="str">
        <f>IF(D7051="","", IFNA(VLOOKUP(D7051, SATCAT_DECAY!A:B, 2, FALSE), ""))
</f>
        <v/>
      </c>
      <c r="G7051" s="3"/>
    </row>
    <row r="7052" ht="22.5" hidden="1" customHeight="1">
      <c r="A7052" s="11" t="str">
        <f t="array" ref="A7052">IFERROR(
  INDEX('Starlink Launches'!$A:$A, MATCH($E7052, 'Starlink Launches'!$B:$B, 0)),
  ""
)
</f>
        <v/>
      </c>
      <c r="B7052" s="26"/>
      <c r="C7052" s="12"/>
      <c r="D7052" s="13"/>
      <c r="E7052" s="4"/>
      <c r="F7052" s="4" t="str">
        <f>IF(D7052="","", IFNA(VLOOKUP(D7052, SATCAT_DECAY!A:B, 2, FALSE), ""))
</f>
        <v/>
      </c>
      <c r="G7052" s="3"/>
    </row>
    <row r="7053" ht="22.5" hidden="1" customHeight="1">
      <c r="A7053" s="11" t="str">
        <f t="array" ref="A7053">IFERROR(
  INDEX('Starlink Launches'!$A:$A, MATCH($E7053, 'Starlink Launches'!$B:$B, 0)),
  ""
)
</f>
        <v/>
      </c>
      <c r="B7053" s="26"/>
      <c r="C7053" s="12"/>
      <c r="D7053" s="13"/>
      <c r="E7053" s="4"/>
      <c r="F7053" s="4" t="str">
        <f>IF(D7053="","", IFNA(VLOOKUP(D7053, SATCAT_DECAY!A:B, 2, FALSE), ""))
</f>
        <v/>
      </c>
      <c r="G7053" s="3"/>
    </row>
    <row r="7054" ht="22.5" hidden="1" customHeight="1">
      <c r="A7054" s="11" t="str">
        <f t="array" ref="A7054">IFERROR(
  INDEX('Starlink Launches'!$A:$A, MATCH($E7054, 'Starlink Launches'!$B:$B, 0)),
  ""
)
</f>
        <v/>
      </c>
      <c r="B7054" s="26"/>
      <c r="C7054" s="12"/>
      <c r="D7054" s="13"/>
      <c r="E7054" s="4"/>
      <c r="F7054" s="4" t="str">
        <f>IF(D7054="","", IFNA(VLOOKUP(D7054, SATCAT_DECAY!A:B, 2, FALSE), ""))
</f>
        <v/>
      </c>
      <c r="G7054" s="3"/>
    </row>
    <row r="7055" ht="22.5" hidden="1" customHeight="1">
      <c r="A7055" s="11" t="str">
        <f t="array" ref="A7055">IFERROR(
  INDEX('Starlink Launches'!$A:$A, MATCH($E7055, 'Starlink Launches'!$B:$B, 0)),
  ""
)
</f>
        <v/>
      </c>
      <c r="B7055" s="26"/>
      <c r="C7055" s="12"/>
      <c r="D7055" s="13"/>
      <c r="E7055" s="4"/>
      <c r="F7055" s="4" t="str">
        <f>IF(D7055="","", IFNA(VLOOKUP(D7055, SATCAT_DECAY!A:B, 2, FALSE), ""))
</f>
        <v/>
      </c>
      <c r="G7055" s="3"/>
    </row>
    <row r="7056" ht="22.5" hidden="1" customHeight="1">
      <c r="A7056" s="11" t="str">
        <f t="array" ref="A7056">IFERROR(
  INDEX('Starlink Launches'!$A:$A, MATCH($E7056, 'Starlink Launches'!$B:$B, 0)),
  ""
)
</f>
        <v/>
      </c>
      <c r="B7056" s="26"/>
      <c r="C7056" s="12"/>
      <c r="D7056" s="13"/>
      <c r="E7056" s="4"/>
      <c r="F7056" s="4" t="str">
        <f>IF(D7056="","", IFNA(VLOOKUP(D7056, SATCAT_DECAY!A:B, 2, FALSE), ""))
</f>
        <v/>
      </c>
      <c r="G7056" s="3"/>
    </row>
    <row r="7057" ht="22.5" hidden="1" customHeight="1">
      <c r="A7057" s="11" t="str">
        <f t="array" ref="A7057">IFERROR(
  INDEX('Starlink Launches'!$A:$A, MATCH($E7057, 'Starlink Launches'!$B:$B, 0)),
  ""
)
</f>
        <v/>
      </c>
      <c r="B7057" s="26"/>
      <c r="C7057" s="12"/>
      <c r="D7057" s="13"/>
      <c r="E7057" s="4"/>
      <c r="F7057" s="4" t="str">
        <f>IF(D7057="","", IFNA(VLOOKUP(D7057, SATCAT_DECAY!A:B, 2, FALSE), ""))
</f>
        <v/>
      </c>
      <c r="G7057" s="3"/>
    </row>
    <row r="7058" ht="22.5" hidden="1" customHeight="1">
      <c r="A7058" s="11" t="str">
        <f t="array" ref="A7058">IFERROR(
  INDEX('Starlink Launches'!$A:$A, MATCH($E7058, 'Starlink Launches'!$B:$B, 0)),
  ""
)
</f>
        <v/>
      </c>
      <c r="B7058" s="26"/>
      <c r="C7058" s="12"/>
      <c r="D7058" s="13"/>
      <c r="E7058" s="4"/>
      <c r="F7058" s="4" t="str">
        <f>IF(D7058="","", IFNA(VLOOKUP(D7058, SATCAT_DECAY!A:B, 2, FALSE), ""))
</f>
        <v/>
      </c>
      <c r="G7058" s="3"/>
    </row>
    <row r="7059" ht="22.5" hidden="1" customHeight="1">
      <c r="A7059" s="11" t="str">
        <f t="array" ref="A7059">IFERROR(
  INDEX('Starlink Launches'!$A:$A, MATCH($E7059, 'Starlink Launches'!$B:$B, 0)),
  ""
)
</f>
        <v/>
      </c>
      <c r="B7059" s="26"/>
      <c r="C7059" s="12"/>
      <c r="D7059" s="13"/>
      <c r="E7059" s="4"/>
      <c r="F7059" s="4" t="str">
        <f>IF(D7059="","", IFNA(VLOOKUP(D7059, SATCAT_DECAY!A:B, 2, FALSE), ""))
</f>
        <v/>
      </c>
      <c r="G7059" s="3"/>
    </row>
    <row r="7060" ht="22.5" hidden="1" customHeight="1">
      <c r="A7060" s="11" t="str">
        <f t="array" ref="A7060">IFERROR(
  INDEX('Starlink Launches'!$A:$A, MATCH($E7060, 'Starlink Launches'!$B:$B, 0)),
  ""
)
</f>
        <v/>
      </c>
      <c r="B7060" s="26"/>
      <c r="C7060" s="12"/>
      <c r="D7060" s="13"/>
      <c r="E7060" s="4"/>
      <c r="F7060" s="4" t="str">
        <f>IF(D7060="","", IFNA(VLOOKUP(D7060, SATCAT_DECAY!A:B, 2, FALSE), ""))
</f>
        <v/>
      </c>
      <c r="G7060" s="3"/>
    </row>
    <row r="7061" ht="22.5" hidden="1" customHeight="1">
      <c r="A7061" s="11" t="str">
        <f t="array" ref="A7061">IFERROR(
  INDEX('Starlink Launches'!$A:$A, MATCH($E7061, 'Starlink Launches'!$B:$B, 0)),
  ""
)
</f>
        <v/>
      </c>
      <c r="B7061" s="26"/>
      <c r="C7061" s="12"/>
      <c r="D7061" s="13"/>
      <c r="E7061" s="4"/>
      <c r="F7061" s="4" t="str">
        <f>IF(D7061="","", IFNA(VLOOKUP(D7061, SATCAT_DECAY!A:B, 2, FALSE), ""))
</f>
        <v/>
      </c>
      <c r="G7061" s="3"/>
    </row>
    <row r="7062" ht="22.5" hidden="1" customHeight="1">
      <c r="A7062" s="11" t="str">
        <f t="array" ref="A7062">IFERROR(
  INDEX('Starlink Launches'!$A:$A, MATCH($E7062, 'Starlink Launches'!$B:$B, 0)),
  ""
)
</f>
        <v/>
      </c>
      <c r="B7062" s="26"/>
      <c r="C7062" s="12"/>
      <c r="D7062" s="13"/>
      <c r="E7062" s="4"/>
      <c r="F7062" s="4" t="str">
        <f>IF(D7062="","", IFNA(VLOOKUP(D7062, SATCAT_DECAY!A:B, 2, FALSE), ""))
</f>
        <v/>
      </c>
      <c r="G7062" s="3"/>
    </row>
    <row r="7063" ht="22.5" hidden="1" customHeight="1">
      <c r="A7063" s="11" t="str">
        <f t="array" ref="A7063">IFERROR(
  INDEX('Starlink Launches'!$A:$A, MATCH($E7063, 'Starlink Launches'!$B:$B, 0)),
  ""
)
</f>
        <v/>
      </c>
      <c r="B7063" s="26"/>
      <c r="C7063" s="12"/>
      <c r="D7063" s="13"/>
      <c r="E7063" s="4"/>
      <c r="F7063" s="4" t="str">
        <f>IF(D7063="","", IFNA(VLOOKUP(D7063, SATCAT_DECAY!A:B, 2, FALSE), ""))
</f>
        <v/>
      </c>
      <c r="G7063" s="3"/>
    </row>
    <row r="7064" ht="22.5" hidden="1" customHeight="1">
      <c r="A7064" s="11" t="str">
        <f t="array" ref="A7064">IFERROR(
  INDEX('Starlink Launches'!$A:$A, MATCH($E7064, 'Starlink Launches'!$B:$B, 0)),
  ""
)
</f>
        <v/>
      </c>
      <c r="B7064" s="26"/>
      <c r="C7064" s="12"/>
      <c r="D7064" s="13"/>
      <c r="E7064" s="4"/>
      <c r="F7064" s="4" t="str">
        <f>IF(D7064="","", IFNA(VLOOKUP(D7064, SATCAT_DECAY!A:B, 2, FALSE), ""))
</f>
        <v/>
      </c>
      <c r="G7064" s="3"/>
    </row>
    <row r="7065" ht="22.5" hidden="1" customHeight="1">
      <c r="A7065" s="11" t="str">
        <f t="array" ref="A7065">IFERROR(
  INDEX('Starlink Launches'!$A:$A, MATCH($E7065, 'Starlink Launches'!$B:$B, 0)),
  ""
)
</f>
        <v/>
      </c>
      <c r="B7065" s="26"/>
      <c r="C7065" s="12"/>
      <c r="D7065" s="13"/>
      <c r="E7065" s="4"/>
      <c r="F7065" s="4" t="str">
        <f>IF(D7065="","", IFNA(VLOOKUP(D7065, SATCAT_DECAY!A:B, 2, FALSE), ""))
</f>
        <v/>
      </c>
      <c r="G7065" s="3"/>
    </row>
    <row r="7066" ht="22.5" hidden="1" customHeight="1">
      <c r="A7066" s="11" t="str">
        <f t="array" ref="A7066">IFERROR(
  INDEX('Starlink Launches'!$A:$A, MATCH($E7066, 'Starlink Launches'!$B:$B, 0)),
  ""
)
</f>
        <v/>
      </c>
      <c r="B7066" s="26"/>
      <c r="C7066" s="12"/>
      <c r="D7066" s="13"/>
      <c r="E7066" s="4"/>
      <c r="F7066" s="4" t="str">
        <f>IF(D7066="","", IFNA(VLOOKUP(D7066, SATCAT_DECAY!A:B, 2, FALSE), ""))
</f>
        <v/>
      </c>
      <c r="G7066" s="3"/>
    </row>
    <row r="7067" ht="22.5" hidden="1" customHeight="1">
      <c r="A7067" s="11" t="str">
        <f t="array" ref="A7067">IFERROR(
  INDEX('Starlink Launches'!$A:$A, MATCH($E7067, 'Starlink Launches'!$B:$B, 0)),
  ""
)
</f>
        <v/>
      </c>
      <c r="B7067" s="26"/>
      <c r="C7067" s="12"/>
      <c r="D7067" s="13"/>
      <c r="E7067" s="4"/>
      <c r="F7067" s="4" t="str">
        <f>IF(D7067="","", IFNA(VLOOKUP(D7067, SATCAT_DECAY!A:B, 2, FALSE), ""))
</f>
        <v/>
      </c>
      <c r="G7067" s="3"/>
    </row>
    <row r="7068" ht="22.5" hidden="1" customHeight="1">
      <c r="A7068" s="11" t="str">
        <f t="array" ref="A7068">IFERROR(
  INDEX('Starlink Launches'!$A:$A, MATCH($E7068, 'Starlink Launches'!$B:$B, 0)),
  ""
)
</f>
        <v/>
      </c>
      <c r="B7068" s="26"/>
      <c r="C7068" s="12"/>
      <c r="D7068" s="13"/>
      <c r="E7068" s="4"/>
      <c r="F7068" s="4" t="str">
        <f>IF(D7068="","", IFNA(VLOOKUP(D7068, SATCAT_DECAY!A:B, 2, FALSE), ""))
</f>
        <v/>
      </c>
      <c r="G7068" s="3"/>
    </row>
    <row r="7069" ht="22.5" hidden="1" customHeight="1">
      <c r="A7069" s="11" t="str">
        <f t="array" ref="A7069">IFERROR(
  INDEX('Starlink Launches'!$A:$A, MATCH($E7069, 'Starlink Launches'!$B:$B, 0)),
  ""
)
</f>
        <v/>
      </c>
      <c r="B7069" s="26"/>
      <c r="C7069" s="12"/>
      <c r="D7069" s="13"/>
      <c r="E7069" s="4"/>
      <c r="F7069" s="4" t="str">
        <f>IF(D7069="","", IFNA(VLOOKUP(D7069, SATCAT_DECAY!A:B, 2, FALSE), ""))
</f>
        <v/>
      </c>
      <c r="G7069" s="3"/>
    </row>
    <row r="7070" ht="22.5" hidden="1" customHeight="1">
      <c r="A7070" s="11" t="str">
        <f t="array" ref="A7070">IFERROR(
  INDEX('Starlink Launches'!$A:$A, MATCH($E7070, 'Starlink Launches'!$B:$B, 0)),
  ""
)
</f>
        <v/>
      </c>
      <c r="B7070" s="26"/>
      <c r="C7070" s="12"/>
      <c r="D7070" s="13"/>
      <c r="E7070" s="4"/>
      <c r="F7070" s="4" t="str">
        <f>IF(D7070="","", IFNA(VLOOKUP(D7070, SATCAT_DECAY!A:B, 2, FALSE), ""))
</f>
        <v/>
      </c>
      <c r="G7070" s="3"/>
    </row>
    <row r="7071" ht="22.5" hidden="1" customHeight="1">
      <c r="A7071" s="11" t="str">
        <f t="array" ref="A7071">IFERROR(
  INDEX('Starlink Launches'!$A:$A, MATCH($E7071, 'Starlink Launches'!$B:$B, 0)),
  ""
)
</f>
        <v/>
      </c>
      <c r="B7071" s="26"/>
      <c r="C7071" s="12"/>
      <c r="D7071" s="13"/>
      <c r="E7071" s="4"/>
      <c r="F7071" s="4" t="str">
        <f>IF(D7071="","", IFNA(VLOOKUP(D7071, SATCAT_DECAY!A:B, 2, FALSE), ""))
</f>
        <v/>
      </c>
      <c r="G7071" s="3"/>
    </row>
    <row r="7072" ht="22.5" hidden="1" customHeight="1">
      <c r="A7072" s="11" t="str">
        <f t="array" ref="A7072">IFERROR(
  INDEX('Starlink Launches'!$A:$A, MATCH($E7072, 'Starlink Launches'!$B:$B, 0)),
  ""
)
</f>
        <v/>
      </c>
      <c r="B7072" s="26"/>
      <c r="C7072" s="12"/>
      <c r="D7072" s="13"/>
      <c r="E7072" s="4"/>
      <c r="F7072" s="4" t="str">
        <f>IF(D7072="","", IFNA(VLOOKUP(D7072, SATCAT_DECAY!A:B, 2, FALSE), ""))
</f>
        <v/>
      </c>
      <c r="G7072" s="3"/>
    </row>
    <row r="7073" ht="22.5" hidden="1" customHeight="1">
      <c r="A7073" s="11" t="str">
        <f t="array" ref="A7073">IFERROR(
  INDEX('Starlink Launches'!$A:$A, MATCH($E7073, 'Starlink Launches'!$B:$B, 0)),
  ""
)
</f>
        <v/>
      </c>
      <c r="B7073" s="26"/>
      <c r="C7073" s="12"/>
      <c r="D7073" s="13"/>
      <c r="E7073" s="4"/>
      <c r="F7073" s="4" t="str">
        <f>IF(D7073="","", IFNA(VLOOKUP(D7073, SATCAT_DECAY!A:B, 2, FALSE), ""))
</f>
        <v/>
      </c>
      <c r="G7073" s="3"/>
    </row>
    <row r="7074" ht="22.5" hidden="1" customHeight="1">
      <c r="A7074" s="11" t="str">
        <f t="array" ref="A7074">IFERROR(
  INDEX('Starlink Launches'!$A:$A, MATCH($E7074, 'Starlink Launches'!$B:$B, 0)),
  ""
)
</f>
        <v/>
      </c>
      <c r="B7074" s="26"/>
      <c r="C7074" s="12"/>
      <c r="D7074" s="13"/>
      <c r="E7074" s="4"/>
      <c r="F7074" s="4" t="str">
        <f>IF(D7074="","", IFNA(VLOOKUP(D7074, SATCAT_DECAY!A:B, 2, FALSE), ""))
</f>
        <v/>
      </c>
      <c r="G7074" s="3"/>
    </row>
    <row r="7075" ht="22.5" hidden="1" customHeight="1">
      <c r="A7075" s="11" t="str">
        <f t="array" ref="A7075">IFERROR(
  INDEX('Starlink Launches'!$A:$A, MATCH($E7075, 'Starlink Launches'!$B:$B, 0)),
  ""
)
</f>
        <v/>
      </c>
      <c r="B7075" s="26"/>
      <c r="C7075" s="12"/>
      <c r="D7075" s="13"/>
      <c r="E7075" s="4"/>
      <c r="F7075" s="4" t="str">
        <f>IF(D7075="","", IFNA(VLOOKUP(D7075, SATCAT_DECAY!A:B, 2, FALSE), ""))
</f>
        <v/>
      </c>
      <c r="G7075" s="3"/>
    </row>
    <row r="7076" ht="22.5" hidden="1" customHeight="1">
      <c r="A7076" s="11" t="str">
        <f t="array" ref="A7076">IFERROR(
  INDEX('Starlink Launches'!$A:$A, MATCH($E7076, 'Starlink Launches'!$B:$B, 0)),
  ""
)
</f>
        <v/>
      </c>
      <c r="B7076" s="26"/>
      <c r="C7076" s="12"/>
      <c r="D7076" s="13"/>
      <c r="E7076" s="4"/>
      <c r="F7076" s="4" t="str">
        <f>IF(D7076="","", IFNA(VLOOKUP(D7076, SATCAT_DECAY!A:B, 2, FALSE), ""))
</f>
        <v/>
      </c>
      <c r="G7076" s="3"/>
    </row>
    <row r="7077" ht="22.5" hidden="1" customHeight="1">
      <c r="A7077" s="11" t="str">
        <f t="array" ref="A7077">IFERROR(
  INDEX('Starlink Launches'!$A:$A, MATCH($E7077, 'Starlink Launches'!$B:$B, 0)),
  ""
)
</f>
        <v/>
      </c>
      <c r="B7077" s="26"/>
      <c r="C7077" s="12"/>
      <c r="D7077" s="13"/>
      <c r="E7077" s="4"/>
      <c r="F7077" s="4" t="str">
        <f>IF(D7077="","", IFNA(VLOOKUP(D7077, SATCAT_DECAY!A:B, 2, FALSE), ""))
</f>
        <v/>
      </c>
      <c r="G7077" s="3"/>
    </row>
    <row r="7078" ht="22.5" hidden="1" customHeight="1">
      <c r="A7078" s="11" t="str">
        <f t="array" ref="A7078">IFERROR(
  INDEX('Starlink Launches'!$A:$A, MATCH($E7078, 'Starlink Launches'!$B:$B, 0)),
  ""
)
</f>
        <v/>
      </c>
      <c r="B7078" s="26"/>
      <c r="C7078" s="12"/>
      <c r="D7078" s="13"/>
      <c r="E7078" s="4"/>
      <c r="F7078" s="4" t="str">
        <f>IF(D7078="","", IFNA(VLOOKUP(D7078, SATCAT_DECAY!A:B, 2, FALSE), ""))
</f>
        <v/>
      </c>
      <c r="G7078" s="3"/>
    </row>
    <row r="7079" ht="22.5" hidden="1" customHeight="1">
      <c r="A7079" s="11" t="str">
        <f t="array" ref="A7079">IFERROR(
  INDEX('Starlink Launches'!$A:$A, MATCH($E7079, 'Starlink Launches'!$B:$B, 0)),
  ""
)
</f>
        <v/>
      </c>
      <c r="B7079" s="26"/>
      <c r="C7079" s="12"/>
      <c r="D7079" s="13"/>
      <c r="E7079" s="4"/>
      <c r="F7079" s="4" t="str">
        <f>IF(D7079="","", IFNA(VLOOKUP(D7079, SATCAT_DECAY!A:B, 2, FALSE), ""))
</f>
        <v/>
      </c>
      <c r="G7079" s="3"/>
    </row>
    <row r="7080" ht="22.5" hidden="1" customHeight="1">
      <c r="A7080" s="11" t="str">
        <f t="array" ref="A7080">IFERROR(
  INDEX('Starlink Launches'!$A:$A, MATCH($E7080, 'Starlink Launches'!$B:$B, 0)),
  ""
)
</f>
        <v/>
      </c>
      <c r="B7080" s="26"/>
      <c r="C7080" s="12"/>
      <c r="D7080" s="13"/>
      <c r="E7080" s="4"/>
      <c r="F7080" s="4" t="str">
        <f>IF(D7080="","", IFNA(VLOOKUP(D7080, SATCAT_DECAY!A:B, 2, FALSE), ""))
</f>
        <v/>
      </c>
      <c r="G7080" s="3"/>
    </row>
    <row r="7081" ht="22.5" hidden="1" customHeight="1">
      <c r="A7081" s="11" t="str">
        <f t="array" ref="A7081">IFERROR(
  INDEX('Starlink Launches'!$A:$A, MATCH($E7081, 'Starlink Launches'!$B:$B, 0)),
  ""
)
</f>
        <v/>
      </c>
      <c r="B7081" s="26"/>
      <c r="C7081" s="12"/>
      <c r="D7081" s="13"/>
      <c r="E7081" s="4"/>
      <c r="F7081" s="4" t="str">
        <f>IF(D7081="","", IFNA(VLOOKUP(D7081, SATCAT_DECAY!A:B, 2, FALSE), ""))
</f>
        <v/>
      </c>
      <c r="G7081" s="3"/>
    </row>
    <row r="7082" ht="22.5" hidden="1" customHeight="1">
      <c r="A7082" s="11" t="str">
        <f t="array" ref="A7082">IFERROR(
  INDEX('Starlink Launches'!$A:$A, MATCH($E7082, 'Starlink Launches'!$B:$B, 0)),
  ""
)
</f>
        <v/>
      </c>
      <c r="B7082" s="26"/>
      <c r="C7082" s="12"/>
      <c r="D7082" s="13"/>
      <c r="E7082" s="4"/>
      <c r="F7082" s="4" t="str">
        <f>IF(D7082="","", IFNA(VLOOKUP(D7082, SATCAT_DECAY!A:B, 2, FALSE), ""))
</f>
        <v/>
      </c>
      <c r="G7082" s="3"/>
    </row>
    <row r="7083" ht="22.5" hidden="1" customHeight="1">
      <c r="A7083" s="11" t="str">
        <f t="array" ref="A7083">IFERROR(
  INDEX('Starlink Launches'!$A:$A, MATCH($E7083, 'Starlink Launches'!$B:$B, 0)),
  ""
)
</f>
        <v/>
      </c>
      <c r="B7083" s="26"/>
      <c r="C7083" s="12"/>
      <c r="D7083" s="13"/>
      <c r="E7083" s="4"/>
      <c r="F7083" s="4" t="str">
        <f>IF(D7083="","", IFNA(VLOOKUP(D7083, SATCAT_DECAY!A:B, 2, FALSE), ""))
</f>
        <v/>
      </c>
      <c r="G7083" s="3"/>
    </row>
    <row r="7084" ht="22.5" hidden="1" customHeight="1">
      <c r="A7084" s="11" t="str">
        <f t="array" ref="A7084">IFERROR(
  INDEX('Starlink Launches'!$A:$A, MATCH($E7084, 'Starlink Launches'!$B:$B, 0)),
  ""
)
</f>
        <v/>
      </c>
      <c r="B7084" s="26"/>
      <c r="C7084" s="12"/>
      <c r="D7084" s="13"/>
      <c r="E7084" s="4"/>
      <c r="F7084" s="4" t="str">
        <f>IF(D7084="","", IFNA(VLOOKUP(D7084, SATCAT_DECAY!A:B, 2, FALSE), ""))
</f>
        <v/>
      </c>
      <c r="G7084" s="3"/>
    </row>
    <row r="7085" ht="22.5" hidden="1" customHeight="1">
      <c r="A7085" s="11" t="str">
        <f t="array" ref="A7085">IFERROR(
  INDEX('Starlink Launches'!$A:$A, MATCH($E7085, 'Starlink Launches'!$B:$B, 0)),
  ""
)
</f>
        <v/>
      </c>
      <c r="B7085" s="26"/>
      <c r="C7085" s="12"/>
      <c r="D7085" s="13"/>
      <c r="E7085" s="4"/>
      <c r="F7085" s="4" t="str">
        <f>IF(D7085="","", IFNA(VLOOKUP(D7085, SATCAT_DECAY!A:B, 2, FALSE), ""))
</f>
        <v/>
      </c>
      <c r="G7085" s="3"/>
    </row>
    <row r="7086" ht="22.5" hidden="1" customHeight="1">
      <c r="A7086" s="11" t="str">
        <f t="array" ref="A7086">IFERROR(
  INDEX('Starlink Launches'!$A:$A, MATCH($E7086, 'Starlink Launches'!$B:$B, 0)),
  ""
)
</f>
        <v/>
      </c>
      <c r="B7086" s="26"/>
      <c r="C7086" s="12"/>
      <c r="D7086" s="13"/>
      <c r="E7086" s="4"/>
      <c r="F7086" s="4" t="str">
        <f>IF(D7086="","", IFNA(VLOOKUP(D7086, SATCAT_DECAY!A:B, 2, FALSE), ""))
</f>
        <v/>
      </c>
      <c r="G7086" s="3"/>
    </row>
    <row r="7087" ht="22.5" hidden="1" customHeight="1">
      <c r="A7087" s="11" t="str">
        <f t="array" ref="A7087">IFERROR(
  INDEX('Starlink Launches'!$A:$A, MATCH($E7087, 'Starlink Launches'!$B:$B, 0)),
  ""
)
</f>
        <v/>
      </c>
      <c r="B7087" s="26"/>
      <c r="C7087" s="12"/>
      <c r="D7087" s="13"/>
      <c r="E7087" s="4"/>
      <c r="F7087" s="4" t="str">
        <f>IF(D7087="","", IFNA(VLOOKUP(D7087, SATCAT_DECAY!A:B, 2, FALSE), ""))
</f>
        <v/>
      </c>
      <c r="G7087" s="3"/>
    </row>
    <row r="7088" ht="22.5" hidden="1" customHeight="1">
      <c r="A7088" s="11" t="str">
        <f t="array" ref="A7088">IFERROR(
  INDEX('Starlink Launches'!$A:$A, MATCH($E7088, 'Starlink Launches'!$B:$B, 0)),
  ""
)
</f>
        <v/>
      </c>
      <c r="B7088" s="26"/>
      <c r="C7088" s="12"/>
      <c r="D7088" s="13"/>
      <c r="E7088" s="4"/>
      <c r="F7088" s="4" t="str">
        <f>IF(D7088="","", IFNA(VLOOKUP(D7088, SATCAT_DECAY!A:B, 2, FALSE), ""))
</f>
        <v/>
      </c>
      <c r="G7088" s="3"/>
    </row>
    <row r="7089" ht="22.5" hidden="1" customHeight="1">
      <c r="A7089" s="11" t="str">
        <f t="array" ref="A7089">IFERROR(
  INDEX('Starlink Launches'!$A:$A, MATCH($E7089, 'Starlink Launches'!$B:$B, 0)),
  ""
)
</f>
        <v/>
      </c>
      <c r="B7089" s="26"/>
      <c r="C7089" s="12"/>
      <c r="D7089" s="13"/>
      <c r="E7089" s="4"/>
      <c r="F7089" s="4" t="str">
        <f>IF(D7089="","", IFNA(VLOOKUP(D7089, SATCAT_DECAY!A:B, 2, FALSE), ""))
</f>
        <v/>
      </c>
      <c r="G7089" s="3"/>
    </row>
    <row r="7090" ht="22.5" hidden="1" customHeight="1">
      <c r="A7090" s="11" t="str">
        <f t="array" ref="A7090">IFERROR(
  INDEX('Starlink Launches'!$A:$A, MATCH($E7090, 'Starlink Launches'!$B:$B, 0)),
  ""
)
</f>
        <v/>
      </c>
      <c r="B7090" s="26"/>
      <c r="C7090" s="12"/>
      <c r="D7090" s="13"/>
      <c r="E7090" s="4"/>
      <c r="F7090" s="4" t="str">
        <f>IF(D7090="","", IFNA(VLOOKUP(D7090, SATCAT_DECAY!A:B, 2, FALSE), ""))
</f>
        <v/>
      </c>
      <c r="G7090" s="3"/>
    </row>
    <row r="7091" ht="22.5" hidden="1" customHeight="1">
      <c r="A7091" s="11" t="str">
        <f t="array" ref="A7091">IFERROR(
  INDEX('Starlink Launches'!$A:$A, MATCH($E7091, 'Starlink Launches'!$B:$B, 0)),
  ""
)
</f>
        <v/>
      </c>
      <c r="B7091" s="26"/>
      <c r="C7091" s="12"/>
      <c r="D7091" s="13"/>
      <c r="E7091" s="4"/>
      <c r="F7091" s="4" t="str">
        <f>IF(D7091="","", IFNA(VLOOKUP(D7091, SATCAT_DECAY!A:B, 2, FALSE), ""))
</f>
        <v/>
      </c>
      <c r="G7091" s="3"/>
    </row>
    <row r="7092" ht="22.5" hidden="1" customHeight="1">
      <c r="A7092" s="11" t="str">
        <f t="array" ref="A7092">IFERROR(
  INDEX('Starlink Launches'!$A:$A, MATCH($E7092, 'Starlink Launches'!$B:$B, 0)),
  ""
)
</f>
        <v/>
      </c>
      <c r="B7092" s="26"/>
      <c r="C7092" s="12"/>
      <c r="D7092" s="13"/>
      <c r="E7092" s="4"/>
      <c r="F7092" s="4" t="str">
        <f>IF(D7092="","", IFNA(VLOOKUP(D7092, SATCAT_DECAY!A:B, 2, FALSE), ""))
</f>
        <v/>
      </c>
      <c r="G7092" s="3"/>
    </row>
    <row r="7093" ht="22.5" hidden="1" customHeight="1">
      <c r="A7093" s="11" t="str">
        <f t="array" ref="A7093">IFERROR(
  INDEX('Starlink Launches'!$A:$A, MATCH($E7093, 'Starlink Launches'!$B:$B, 0)),
  ""
)
</f>
        <v/>
      </c>
      <c r="B7093" s="26"/>
      <c r="C7093" s="12"/>
      <c r="D7093" s="13"/>
      <c r="E7093" s="4"/>
      <c r="F7093" s="4" t="str">
        <f>IF(D7093="","", IFNA(VLOOKUP(D7093, SATCAT_DECAY!A:B, 2, FALSE), ""))
</f>
        <v/>
      </c>
      <c r="G7093" s="3"/>
    </row>
    <row r="7094" ht="22.5" hidden="1" customHeight="1">
      <c r="A7094" s="11" t="str">
        <f t="array" ref="A7094">IFERROR(
  INDEX('Starlink Launches'!$A:$A, MATCH($E7094, 'Starlink Launches'!$B:$B, 0)),
  ""
)
</f>
        <v/>
      </c>
      <c r="B7094" s="26"/>
      <c r="C7094" s="12"/>
      <c r="D7094" s="13"/>
      <c r="E7094" s="4"/>
      <c r="F7094" s="4" t="str">
        <f>IF(D7094="","", IFNA(VLOOKUP(D7094, SATCAT_DECAY!A:B, 2, FALSE), ""))
</f>
        <v/>
      </c>
      <c r="G7094" s="3"/>
    </row>
    <row r="7095" ht="22.5" hidden="1" customHeight="1">
      <c r="A7095" s="11" t="str">
        <f t="array" ref="A7095">IFERROR(
  INDEX('Starlink Launches'!$A:$A, MATCH($E7095, 'Starlink Launches'!$B:$B, 0)),
  ""
)
</f>
        <v/>
      </c>
      <c r="B7095" s="26"/>
      <c r="C7095" s="12"/>
      <c r="D7095" s="13"/>
      <c r="E7095" s="4"/>
      <c r="F7095" s="4" t="str">
        <f>IF(D7095="","", IFNA(VLOOKUP(D7095, SATCAT_DECAY!A:B, 2, FALSE), ""))
</f>
        <v/>
      </c>
      <c r="G7095" s="3"/>
    </row>
    <row r="7096" ht="22.5" hidden="1" customHeight="1">
      <c r="A7096" s="11" t="str">
        <f t="array" ref="A7096">IFERROR(
  INDEX('Starlink Launches'!$A:$A, MATCH($E7096, 'Starlink Launches'!$B:$B, 0)),
  ""
)
</f>
        <v/>
      </c>
      <c r="B7096" s="26"/>
      <c r="C7096" s="12"/>
      <c r="D7096" s="13"/>
      <c r="E7096" s="4"/>
      <c r="F7096" s="4" t="str">
        <f>IF(D7096="","", IFNA(VLOOKUP(D7096, SATCAT_DECAY!A:B, 2, FALSE), ""))
</f>
        <v/>
      </c>
      <c r="G7096" s="3"/>
    </row>
    <row r="7097" ht="22.5" hidden="1" customHeight="1">
      <c r="A7097" s="11" t="str">
        <f t="array" ref="A7097">IFERROR(
  INDEX('Starlink Launches'!$A:$A, MATCH($E7097, 'Starlink Launches'!$B:$B, 0)),
  ""
)
</f>
        <v/>
      </c>
      <c r="B7097" s="26"/>
      <c r="C7097" s="12"/>
      <c r="D7097" s="13"/>
      <c r="E7097" s="4"/>
      <c r="F7097" s="4" t="str">
        <f>IF(D7097="","", IFNA(VLOOKUP(D7097, SATCAT_DECAY!A:B, 2, FALSE), ""))
</f>
        <v/>
      </c>
      <c r="G7097" s="3"/>
    </row>
    <row r="7098" ht="22.5" hidden="1" customHeight="1">
      <c r="A7098" s="11" t="str">
        <f t="array" ref="A7098">IFERROR(
  INDEX('Starlink Launches'!$A:$A, MATCH($E7098, 'Starlink Launches'!$B:$B, 0)),
  ""
)
</f>
        <v/>
      </c>
      <c r="B7098" s="26"/>
      <c r="C7098" s="12"/>
      <c r="D7098" s="13"/>
      <c r="E7098" s="4"/>
      <c r="F7098" s="4" t="str">
        <f>IF(D7098="","", IFNA(VLOOKUP(D7098, SATCAT_DECAY!A:B, 2, FALSE), ""))
</f>
        <v/>
      </c>
      <c r="G7098" s="3"/>
    </row>
    <row r="7099" ht="22.5" hidden="1" customHeight="1">
      <c r="A7099" s="11" t="str">
        <f t="array" ref="A7099">IFERROR(
  INDEX('Starlink Launches'!$A:$A, MATCH($E7099, 'Starlink Launches'!$B:$B, 0)),
  ""
)
</f>
        <v/>
      </c>
      <c r="B7099" s="26"/>
      <c r="C7099" s="12"/>
      <c r="D7099" s="13"/>
      <c r="E7099" s="4"/>
      <c r="F7099" s="4" t="str">
        <f>IF(D7099="","", IFNA(VLOOKUP(D7099, SATCAT_DECAY!A:B, 2, FALSE), ""))
</f>
        <v/>
      </c>
      <c r="G7099" s="3"/>
    </row>
    <row r="7100" ht="22.5" hidden="1" customHeight="1">
      <c r="A7100" s="11" t="str">
        <f t="array" ref="A7100">IFERROR(
  INDEX('Starlink Launches'!$A:$A, MATCH($E7100, 'Starlink Launches'!$B:$B, 0)),
  ""
)
</f>
        <v/>
      </c>
      <c r="B7100" s="26"/>
      <c r="C7100" s="12"/>
      <c r="D7100" s="13"/>
      <c r="E7100" s="4"/>
      <c r="F7100" s="4" t="str">
        <f>IF(D7100="","", IFNA(VLOOKUP(D7100, SATCAT_DECAY!A:B, 2, FALSE), ""))
</f>
        <v/>
      </c>
      <c r="G7100" s="3"/>
    </row>
    <row r="7101" ht="22.5" hidden="1" customHeight="1">
      <c r="A7101" s="11" t="str">
        <f t="array" ref="A7101">IFERROR(
  INDEX('Starlink Launches'!$A:$A, MATCH($E7101, 'Starlink Launches'!$B:$B, 0)),
  ""
)
</f>
        <v/>
      </c>
      <c r="B7101" s="26"/>
      <c r="C7101" s="12"/>
      <c r="D7101" s="13"/>
      <c r="E7101" s="4"/>
      <c r="F7101" s="4" t="str">
        <f>IF(D7101="","", IFNA(VLOOKUP(D7101, SATCAT_DECAY!A:B, 2, FALSE), ""))
</f>
        <v/>
      </c>
      <c r="G7101" s="3"/>
    </row>
    <row r="7102" ht="22.5" hidden="1" customHeight="1">
      <c r="A7102" s="11" t="str">
        <f t="array" ref="A7102">IFERROR(
  INDEX('Starlink Launches'!$A:$A, MATCH($E7102, 'Starlink Launches'!$B:$B, 0)),
  ""
)
</f>
        <v/>
      </c>
      <c r="B7102" s="26"/>
      <c r="C7102" s="12"/>
      <c r="D7102" s="13"/>
      <c r="E7102" s="4"/>
      <c r="F7102" s="4" t="str">
        <f>IF(D7102="","", IFNA(VLOOKUP(D7102, SATCAT_DECAY!A:B, 2, FALSE), ""))
</f>
        <v/>
      </c>
      <c r="G7102" s="3"/>
    </row>
    <row r="7103" ht="22.5" hidden="1" customHeight="1">
      <c r="A7103" s="11" t="str">
        <f t="array" ref="A7103">IFERROR(
  INDEX('Starlink Launches'!$A:$A, MATCH($E7103, 'Starlink Launches'!$B:$B, 0)),
  ""
)
</f>
        <v/>
      </c>
      <c r="B7103" s="26"/>
      <c r="C7103" s="12"/>
      <c r="D7103" s="13"/>
      <c r="E7103" s="4"/>
      <c r="F7103" s="4" t="str">
        <f>IF(D7103="","", IFNA(VLOOKUP(D7103, SATCAT_DECAY!A:B, 2, FALSE), ""))
</f>
        <v/>
      </c>
      <c r="G7103" s="3"/>
    </row>
    <row r="7104" ht="22.5" hidden="1" customHeight="1">
      <c r="A7104" s="11" t="str">
        <f t="array" ref="A7104">IFERROR(
  INDEX('Starlink Launches'!$A:$A, MATCH($E7104, 'Starlink Launches'!$B:$B, 0)),
  ""
)
</f>
        <v/>
      </c>
      <c r="B7104" s="26"/>
      <c r="C7104" s="12"/>
      <c r="D7104" s="13"/>
      <c r="E7104" s="4"/>
      <c r="F7104" s="4" t="str">
        <f>IF(D7104="","", IFNA(VLOOKUP(D7104, SATCAT_DECAY!A:B, 2, FALSE), ""))
</f>
        <v/>
      </c>
      <c r="G7104" s="3"/>
    </row>
    <row r="7105" ht="22.5" hidden="1" customHeight="1">
      <c r="A7105" s="11" t="str">
        <f t="array" ref="A7105">IFERROR(
  INDEX('Starlink Launches'!$A:$A, MATCH($E7105, 'Starlink Launches'!$B:$B, 0)),
  ""
)
</f>
        <v/>
      </c>
      <c r="B7105" s="26"/>
      <c r="C7105" s="12"/>
      <c r="D7105" s="13"/>
      <c r="E7105" s="4"/>
      <c r="F7105" s="4" t="str">
        <f>IF(D7105="","", IFNA(VLOOKUP(D7105, SATCAT_DECAY!A:B, 2, FALSE), ""))
</f>
        <v/>
      </c>
      <c r="G7105" s="3"/>
    </row>
    <row r="7106" ht="22.5" hidden="1" customHeight="1">
      <c r="A7106" s="11" t="str">
        <f t="array" ref="A7106">IFERROR(
  INDEX('Starlink Launches'!$A:$A, MATCH($E7106, 'Starlink Launches'!$B:$B, 0)),
  ""
)
</f>
        <v/>
      </c>
      <c r="B7106" s="26"/>
      <c r="C7106" s="12"/>
      <c r="D7106" s="13"/>
      <c r="E7106" s="4"/>
      <c r="F7106" s="4" t="str">
        <f>IF(D7106="","", IFNA(VLOOKUP(D7106, SATCAT_DECAY!A:B, 2, FALSE), ""))
</f>
        <v/>
      </c>
      <c r="G7106" s="3"/>
    </row>
    <row r="7107" ht="22.5" hidden="1" customHeight="1">
      <c r="A7107" s="11" t="str">
        <f t="array" ref="A7107">IFERROR(
  INDEX('Starlink Launches'!$A:$A, MATCH($E7107, 'Starlink Launches'!$B:$B, 0)),
  ""
)
</f>
        <v/>
      </c>
      <c r="B7107" s="26"/>
      <c r="C7107" s="12"/>
      <c r="D7107" s="13"/>
      <c r="E7107" s="4"/>
      <c r="F7107" s="4" t="str">
        <f>IF(D7107="","", IFNA(VLOOKUP(D7107, SATCAT_DECAY!A:B, 2, FALSE), ""))
</f>
        <v/>
      </c>
      <c r="G7107" s="3"/>
    </row>
    <row r="7108" ht="22.5" hidden="1" customHeight="1">
      <c r="A7108" s="11" t="str">
        <f t="array" ref="A7108">IFERROR(
  INDEX('Starlink Launches'!$A:$A, MATCH($E7108, 'Starlink Launches'!$B:$B, 0)),
  ""
)
</f>
        <v/>
      </c>
      <c r="B7108" s="26"/>
      <c r="C7108" s="12"/>
      <c r="D7108" s="13"/>
      <c r="E7108" s="4"/>
      <c r="F7108" s="4" t="str">
        <f>IF(D7108="","", IFNA(VLOOKUP(D7108, SATCAT_DECAY!A:B, 2, FALSE), ""))
</f>
        <v/>
      </c>
      <c r="G7108" s="3"/>
    </row>
    <row r="7109" ht="22.5" hidden="1" customHeight="1">
      <c r="A7109" s="11" t="str">
        <f t="array" ref="A7109">IFERROR(
  INDEX('Starlink Launches'!$A:$A, MATCH($E7109, 'Starlink Launches'!$B:$B, 0)),
  ""
)
</f>
        <v/>
      </c>
      <c r="B7109" s="26"/>
      <c r="C7109" s="12"/>
      <c r="D7109" s="13"/>
      <c r="E7109" s="4"/>
      <c r="F7109" s="4" t="str">
        <f>IF(D7109="","", IFNA(VLOOKUP(D7109, SATCAT_DECAY!A:B, 2, FALSE), ""))
</f>
        <v/>
      </c>
      <c r="G7109" s="3"/>
    </row>
    <row r="7110" ht="22.5" hidden="1" customHeight="1">
      <c r="A7110" s="11" t="str">
        <f t="array" ref="A7110">IFERROR(
  INDEX('Starlink Launches'!$A:$A, MATCH($E7110, 'Starlink Launches'!$B:$B, 0)),
  ""
)
</f>
        <v/>
      </c>
      <c r="B7110" s="26"/>
      <c r="C7110" s="12"/>
      <c r="D7110" s="13"/>
      <c r="E7110" s="4"/>
      <c r="F7110" s="4" t="str">
        <f>IF(D7110="","", IFNA(VLOOKUP(D7110, SATCAT_DECAY!A:B, 2, FALSE), ""))
</f>
        <v/>
      </c>
      <c r="G7110" s="3"/>
    </row>
    <row r="7111" ht="22.5" hidden="1" customHeight="1">
      <c r="A7111" s="11" t="str">
        <f t="array" ref="A7111">IFERROR(
  INDEX('Starlink Launches'!$A:$A, MATCH($E7111, 'Starlink Launches'!$B:$B, 0)),
  ""
)
</f>
        <v/>
      </c>
      <c r="B7111" s="26"/>
      <c r="C7111" s="12"/>
      <c r="D7111" s="13"/>
      <c r="E7111" s="4"/>
      <c r="F7111" s="4" t="str">
        <f>IF(D7111="","", IFNA(VLOOKUP(D7111, SATCAT_DECAY!A:B, 2, FALSE), ""))
</f>
        <v/>
      </c>
      <c r="G7111" s="3"/>
    </row>
    <row r="7112" ht="22.5" hidden="1" customHeight="1">
      <c r="A7112" s="11" t="str">
        <f t="array" ref="A7112">IFERROR(
  INDEX('Starlink Launches'!$A:$A, MATCH($E7112, 'Starlink Launches'!$B:$B, 0)),
  ""
)
</f>
        <v/>
      </c>
      <c r="B7112" s="26"/>
      <c r="C7112" s="12"/>
      <c r="D7112" s="13"/>
      <c r="E7112" s="4"/>
      <c r="F7112" s="4" t="str">
        <f>IF(D7112="","", IFNA(VLOOKUP(D7112, SATCAT_DECAY!A:B, 2, FALSE), ""))
</f>
        <v/>
      </c>
      <c r="G7112" s="3"/>
    </row>
    <row r="7113" ht="22.5" hidden="1" customHeight="1">
      <c r="A7113" s="11" t="str">
        <f t="array" ref="A7113">IFERROR(
  INDEX('Starlink Launches'!$A:$A, MATCH($E7113, 'Starlink Launches'!$B:$B, 0)),
  ""
)
</f>
        <v/>
      </c>
      <c r="B7113" s="26"/>
      <c r="C7113" s="12"/>
      <c r="D7113" s="13"/>
      <c r="E7113" s="4"/>
      <c r="F7113" s="4" t="str">
        <f>IF(D7113="","", IFNA(VLOOKUP(D7113, SATCAT_DECAY!A:B, 2, FALSE), ""))
</f>
        <v/>
      </c>
      <c r="G7113" s="3"/>
    </row>
    <row r="7114" ht="22.5" hidden="1" customHeight="1">
      <c r="A7114" s="11" t="str">
        <f t="array" ref="A7114">IFERROR(
  INDEX('Starlink Launches'!$A:$A, MATCH($E7114, 'Starlink Launches'!$B:$B, 0)),
  ""
)
</f>
        <v/>
      </c>
      <c r="B7114" s="26"/>
      <c r="C7114" s="12"/>
      <c r="D7114" s="13"/>
      <c r="E7114" s="4"/>
      <c r="F7114" s="4" t="str">
        <f>IF(D7114="","", IFNA(VLOOKUP(D7114, SATCAT_DECAY!A:B, 2, FALSE), ""))
</f>
        <v/>
      </c>
      <c r="G7114" s="3"/>
    </row>
    <row r="7115" ht="22.5" hidden="1" customHeight="1">
      <c r="A7115" s="11" t="str">
        <f t="array" ref="A7115">IFERROR(
  INDEX('Starlink Launches'!$A:$A, MATCH($E7115, 'Starlink Launches'!$B:$B, 0)),
  ""
)
</f>
        <v/>
      </c>
      <c r="B7115" s="26"/>
      <c r="C7115" s="12"/>
      <c r="D7115" s="13"/>
      <c r="E7115" s="4"/>
      <c r="F7115" s="4" t="str">
        <f>IF(D7115="","", IFNA(VLOOKUP(D7115, SATCAT_DECAY!A:B, 2, FALSE), ""))
</f>
        <v/>
      </c>
      <c r="G7115" s="3"/>
    </row>
    <row r="7116" ht="22.5" hidden="1" customHeight="1">
      <c r="A7116" s="11" t="str">
        <f t="array" ref="A7116">IFERROR(
  INDEX('Starlink Launches'!$A:$A, MATCH($E7116, 'Starlink Launches'!$B:$B, 0)),
  ""
)
</f>
        <v/>
      </c>
      <c r="B7116" s="26"/>
      <c r="C7116" s="12"/>
      <c r="D7116" s="13"/>
      <c r="E7116" s="4"/>
      <c r="F7116" s="4" t="str">
        <f>IF(D7116="","", IFNA(VLOOKUP(D7116, SATCAT_DECAY!A:B, 2, FALSE), ""))
</f>
        <v/>
      </c>
      <c r="G7116" s="3"/>
    </row>
    <row r="7117" ht="22.5" hidden="1" customHeight="1">
      <c r="A7117" s="11" t="str">
        <f t="array" ref="A7117">IFERROR(
  INDEX('Starlink Launches'!$A:$A, MATCH($E7117, 'Starlink Launches'!$B:$B, 0)),
  ""
)
</f>
        <v/>
      </c>
      <c r="B7117" s="26"/>
      <c r="C7117" s="12"/>
      <c r="D7117" s="13"/>
      <c r="E7117" s="4"/>
      <c r="F7117" s="4" t="str">
        <f>IF(D7117="","", IFNA(VLOOKUP(D7117, SATCAT_DECAY!A:B, 2, FALSE), ""))
</f>
        <v/>
      </c>
      <c r="G7117" s="3"/>
    </row>
    <row r="7118" ht="22.5" hidden="1" customHeight="1">
      <c r="A7118" s="11" t="str">
        <f t="array" ref="A7118">IFERROR(
  INDEX('Starlink Launches'!$A:$A, MATCH($E7118, 'Starlink Launches'!$B:$B, 0)),
  ""
)
</f>
        <v/>
      </c>
      <c r="B7118" s="26"/>
      <c r="C7118" s="12"/>
      <c r="D7118" s="13"/>
      <c r="E7118" s="4"/>
      <c r="F7118" s="4" t="str">
        <f>IF(D7118="","", IFNA(VLOOKUP(D7118, SATCAT_DECAY!A:B, 2, FALSE), ""))
</f>
        <v/>
      </c>
      <c r="G7118" s="3"/>
    </row>
    <row r="7119" ht="22.5" hidden="1" customHeight="1">
      <c r="A7119" s="11" t="str">
        <f t="array" ref="A7119">IFERROR(
  INDEX('Starlink Launches'!$A:$A, MATCH($E7119, 'Starlink Launches'!$B:$B, 0)),
  ""
)
</f>
        <v/>
      </c>
      <c r="B7119" s="26"/>
      <c r="C7119" s="12"/>
      <c r="D7119" s="13"/>
      <c r="E7119" s="4"/>
      <c r="F7119" s="4" t="str">
        <f>IF(D7119="","", IFNA(VLOOKUP(D7119, SATCAT_DECAY!A:B, 2, FALSE), ""))
</f>
        <v/>
      </c>
      <c r="G7119" s="3"/>
    </row>
    <row r="7120" ht="22.5" hidden="1" customHeight="1">
      <c r="A7120" s="11" t="str">
        <f t="array" ref="A7120">IFERROR(
  INDEX('Starlink Launches'!$A:$A, MATCH($E7120, 'Starlink Launches'!$B:$B, 0)),
  ""
)
</f>
        <v/>
      </c>
      <c r="B7120" s="26"/>
      <c r="C7120" s="12"/>
      <c r="D7120" s="13"/>
      <c r="E7120" s="4"/>
      <c r="F7120" s="4" t="str">
        <f>IF(D7120="","", IFNA(VLOOKUP(D7120, SATCAT_DECAY!A:B, 2, FALSE), ""))
</f>
        <v/>
      </c>
      <c r="G7120" s="3"/>
    </row>
    <row r="7121" ht="22.5" hidden="1" customHeight="1">
      <c r="A7121" s="11" t="str">
        <f t="array" ref="A7121">IFERROR(
  INDEX('Starlink Launches'!$A:$A, MATCH($E7121, 'Starlink Launches'!$B:$B, 0)),
  ""
)
</f>
        <v/>
      </c>
      <c r="B7121" s="26"/>
      <c r="C7121" s="12"/>
      <c r="D7121" s="13"/>
      <c r="E7121" s="4"/>
      <c r="F7121" s="4" t="str">
        <f>IF(D7121="","", IFNA(VLOOKUP(D7121, SATCAT_DECAY!A:B, 2, FALSE), ""))
</f>
        <v/>
      </c>
      <c r="G7121" s="3"/>
    </row>
    <row r="7122" ht="22.5" hidden="1" customHeight="1">
      <c r="A7122" s="11" t="str">
        <f t="array" ref="A7122">IFERROR(
  INDEX('Starlink Launches'!$A:$A, MATCH($E7122, 'Starlink Launches'!$B:$B, 0)),
  ""
)
</f>
        <v/>
      </c>
      <c r="B7122" s="26"/>
      <c r="C7122" s="12"/>
      <c r="D7122" s="13"/>
      <c r="E7122" s="4"/>
      <c r="F7122" s="4" t="str">
        <f>IF(D7122="","", IFNA(VLOOKUP(D7122, SATCAT_DECAY!A:B, 2, FALSE), ""))
</f>
        <v/>
      </c>
      <c r="G7122" s="3"/>
    </row>
    <row r="7123" ht="22.5" hidden="1" customHeight="1">
      <c r="A7123" s="11" t="str">
        <f t="array" ref="A7123">IFERROR(
  INDEX('Starlink Launches'!$A:$A, MATCH($E7123, 'Starlink Launches'!$B:$B, 0)),
  ""
)
</f>
        <v/>
      </c>
      <c r="B7123" s="26"/>
      <c r="C7123" s="12"/>
      <c r="D7123" s="13"/>
      <c r="E7123" s="4"/>
      <c r="F7123" s="4" t="str">
        <f>IF(D7123="","", IFNA(VLOOKUP(D7123, SATCAT_DECAY!A:B, 2, FALSE), ""))
</f>
        <v/>
      </c>
      <c r="G7123" s="3"/>
    </row>
    <row r="7124" ht="22.5" hidden="1" customHeight="1">
      <c r="A7124" s="11" t="str">
        <f t="array" ref="A7124">IFERROR(
  INDEX('Starlink Launches'!$A:$A, MATCH($E7124, 'Starlink Launches'!$B:$B, 0)),
  ""
)
</f>
        <v/>
      </c>
      <c r="B7124" s="26"/>
      <c r="C7124" s="12"/>
      <c r="D7124" s="13"/>
      <c r="E7124" s="4"/>
      <c r="F7124" s="4" t="str">
        <f>IF(D7124="","", IFNA(VLOOKUP(D7124, SATCAT_DECAY!A:B, 2, FALSE), ""))
</f>
        <v/>
      </c>
      <c r="G7124" s="3"/>
    </row>
    <row r="7125" ht="22.5" hidden="1" customHeight="1">
      <c r="A7125" s="11" t="str">
        <f t="array" ref="A7125">IFERROR(
  INDEX('Starlink Launches'!$A:$A, MATCH($E7125, 'Starlink Launches'!$B:$B, 0)),
  ""
)
</f>
        <v/>
      </c>
      <c r="B7125" s="26"/>
      <c r="C7125" s="12"/>
      <c r="D7125" s="13"/>
      <c r="E7125" s="4"/>
      <c r="F7125" s="4" t="str">
        <f>IF(D7125="","", IFNA(VLOOKUP(D7125, SATCAT_DECAY!A:B, 2, FALSE), ""))
</f>
        <v/>
      </c>
      <c r="G7125" s="3"/>
    </row>
    <row r="7126" ht="22.5" hidden="1" customHeight="1">
      <c r="A7126" s="11" t="str">
        <f t="array" ref="A7126">IFERROR(
  INDEX('Starlink Launches'!$A:$A, MATCH($E7126, 'Starlink Launches'!$B:$B, 0)),
  ""
)
</f>
        <v/>
      </c>
      <c r="B7126" s="26"/>
      <c r="C7126" s="12"/>
      <c r="D7126" s="13"/>
      <c r="E7126" s="4"/>
      <c r="F7126" s="4" t="str">
        <f>IF(D7126="","", IFNA(VLOOKUP(D7126, SATCAT_DECAY!A:B, 2, FALSE), ""))
</f>
        <v/>
      </c>
      <c r="G7126" s="3"/>
    </row>
    <row r="7127" ht="22.5" hidden="1" customHeight="1">
      <c r="A7127" s="11" t="str">
        <f t="array" ref="A7127">IFERROR(
  INDEX('Starlink Launches'!$A:$A, MATCH($E7127, 'Starlink Launches'!$B:$B, 0)),
  ""
)
</f>
        <v/>
      </c>
      <c r="B7127" s="26"/>
      <c r="C7127" s="12"/>
      <c r="D7127" s="13"/>
      <c r="E7127" s="4"/>
      <c r="F7127" s="4" t="str">
        <f>IF(D7127="","", IFNA(VLOOKUP(D7127, SATCAT_DECAY!A:B, 2, FALSE), ""))
</f>
        <v/>
      </c>
      <c r="G7127" s="3"/>
    </row>
    <row r="7128" ht="22.5" hidden="1" customHeight="1">
      <c r="A7128" s="11" t="str">
        <f t="array" ref="A7128">IFERROR(
  INDEX('Starlink Launches'!$A:$A, MATCH($E7128, 'Starlink Launches'!$B:$B, 0)),
  ""
)
</f>
        <v/>
      </c>
      <c r="B7128" s="26"/>
      <c r="C7128" s="12"/>
      <c r="D7128" s="13"/>
      <c r="E7128" s="4"/>
      <c r="F7128" s="4" t="str">
        <f>IF(D7128="","", IFNA(VLOOKUP(D7128, SATCAT_DECAY!A:B, 2, FALSE), ""))
</f>
        <v/>
      </c>
      <c r="G7128" s="3"/>
    </row>
    <row r="7129" ht="22.5" hidden="1" customHeight="1">
      <c r="A7129" s="11" t="str">
        <f t="array" ref="A7129">IFERROR(
  INDEX('Starlink Launches'!$A:$A, MATCH($E7129, 'Starlink Launches'!$B:$B, 0)),
  ""
)
</f>
        <v/>
      </c>
      <c r="B7129" s="26"/>
      <c r="C7129" s="12"/>
      <c r="D7129" s="13"/>
      <c r="E7129" s="4"/>
      <c r="F7129" s="4" t="str">
        <f>IF(D7129="","", IFNA(VLOOKUP(D7129, SATCAT_DECAY!A:B, 2, FALSE), ""))
</f>
        <v/>
      </c>
      <c r="G7129" s="3"/>
    </row>
    <row r="7130" ht="22.5" hidden="1" customHeight="1">
      <c r="A7130" s="11" t="str">
        <f t="array" ref="A7130">IFERROR(
  INDEX('Starlink Launches'!$A:$A, MATCH($E7130, 'Starlink Launches'!$B:$B, 0)),
  ""
)
</f>
        <v/>
      </c>
      <c r="B7130" s="26"/>
      <c r="C7130" s="12"/>
      <c r="D7130" s="13"/>
      <c r="E7130" s="4"/>
      <c r="F7130" s="4" t="str">
        <f>IF(D7130="","", IFNA(VLOOKUP(D7130, SATCAT_DECAY!A:B, 2, FALSE), ""))
</f>
        <v/>
      </c>
      <c r="G7130" s="3"/>
    </row>
    <row r="7131" ht="22.5" hidden="1" customHeight="1">
      <c r="A7131" s="11" t="str">
        <f t="array" ref="A7131">IFERROR(
  INDEX('Starlink Launches'!$A:$A, MATCH($E7131, 'Starlink Launches'!$B:$B, 0)),
  ""
)
</f>
        <v/>
      </c>
      <c r="B7131" s="26"/>
      <c r="C7131" s="12"/>
      <c r="D7131" s="13"/>
      <c r="E7131" s="4"/>
      <c r="F7131" s="4" t="str">
        <f>IF(D7131="","", IFNA(VLOOKUP(D7131, SATCAT_DECAY!A:B, 2, FALSE), ""))
</f>
        <v/>
      </c>
      <c r="G7131" s="3"/>
    </row>
    <row r="7132" ht="22.5" hidden="1" customHeight="1">
      <c r="A7132" s="11" t="str">
        <f t="array" ref="A7132">IFERROR(
  INDEX('Starlink Launches'!$A:$A, MATCH($E7132, 'Starlink Launches'!$B:$B, 0)),
  ""
)
</f>
        <v/>
      </c>
      <c r="B7132" s="26"/>
      <c r="C7132" s="12"/>
      <c r="D7132" s="13"/>
      <c r="E7132" s="4"/>
      <c r="F7132" s="4" t="str">
        <f>IF(D7132="","", IFNA(VLOOKUP(D7132, SATCAT_DECAY!A:B, 2, FALSE), ""))
</f>
        <v/>
      </c>
      <c r="G7132" s="3"/>
    </row>
    <row r="7133" ht="22.5" hidden="1" customHeight="1">
      <c r="A7133" s="11" t="str">
        <f t="array" ref="A7133">IFERROR(
  INDEX('Starlink Launches'!$A:$A, MATCH($E7133, 'Starlink Launches'!$B:$B, 0)),
  ""
)
</f>
        <v/>
      </c>
      <c r="B7133" s="26"/>
      <c r="C7133" s="12"/>
      <c r="D7133" s="13"/>
      <c r="E7133" s="4"/>
      <c r="F7133" s="4" t="str">
        <f>IF(D7133="","", IFNA(VLOOKUP(D7133, SATCAT_DECAY!A:B, 2, FALSE), ""))
</f>
        <v/>
      </c>
      <c r="G7133" s="3"/>
    </row>
    <row r="7134" ht="22.5" hidden="1" customHeight="1">
      <c r="A7134" s="11" t="str">
        <f t="array" ref="A7134">IFERROR(
  INDEX('Starlink Launches'!$A:$A, MATCH($E7134, 'Starlink Launches'!$B:$B, 0)),
  ""
)
</f>
        <v/>
      </c>
      <c r="B7134" s="26"/>
      <c r="C7134" s="12"/>
      <c r="D7134" s="13"/>
      <c r="E7134" s="4"/>
      <c r="F7134" s="4" t="str">
        <f>IF(D7134="","", IFNA(VLOOKUP(D7134, SATCAT_DECAY!A:B, 2, FALSE), ""))
</f>
        <v/>
      </c>
      <c r="G7134" s="3"/>
    </row>
    <row r="7135" ht="22.5" hidden="1" customHeight="1">
      <c r="A7135" s="11" t="str">
        <f t="array" ref="A7135">IFERROR(
  INDEX('Starlink Launches'!$A:$A, MATCH($E7135, 'Starlink Launches'!$B:$B, 0)),
  ""
)
</f>
        <v/>
      </c>
      <c r="B7135" s="26"/>
      <c r="C7135" s="12"/>
      <c r="D7135" s="13"/>
      <c r="E7135" s="4"/>
      <c r="F7135" s="4" t="str">
        <f>IF(D7135="","", IFNA(VLOOKUP(D7135, SATCAT_DECAY!A:B, 2, FALSE), ""))
</f>
        <v/>
      </c>
      <c r="G7135" s="3"/>
    </row>
    <row r="7136" ht="22.5" hidden="1" customHeight="1">
      <c r="A7136" s="11" t="str">
        <f t="array" ref="A7136">IFERROR(
  INDEX('Starlink Launches'!$A:$A, MATCH($E7136, 'Starlink Launches'!$B:$B, 0)),
  ""
)
</f>
        <v/>
      </c>
      <c r="B7136" s="26"/>
      <c r="C7136" s="12"/>
      <c r="D7136" s="13"/>
      <c r="E7136" s="4"/>
      <c r="F7136" s="4" t="str">
        <f>IF(D7136="","", IFNA(VLOOKUP(D7136, SATCAT_DECAY!A:B, 2, FALSE), ""))
</f>
        <v/>
      </c>
      <c r="G7136" s="3"/>
    </row>
    <row r="7137" ht="22.5" hidden="1" customHeight="1">
      <c r="A7137" s="11" t="str">
        <f t="array" ref="A7137">IFERROR(
  INDEX('Starlink Launches'!$A:$A, MATCH($E7137, 'Starlink Launches'!$B:$B, 0)),
  ""
)
</f>
        <v/>
      </c>
      <c r="B7137" s="26"/>
      <c r="C7137" s="12"/>
      <c r="D7137" s="13"/>
      <c r="E7137" s="4"/>
      <c r="F7137" s="4" t="str">
        <f>IF(D7137="","", IFNA(VLOOKUP(D7137, SATCAT_DECAY!A:B, 2, FALSE), ""))
</f>
        <v/>
      </c>
      <c r="G7137" s="3"/>
    </row>
    <row r="7138" ht="22.5" hidden="1" customHeight="1">
      <c r="A7138" s="11" t="str">
        <f t="array" ref="A7138">IFERROR(
  INDEX('Starlink Launches'!$A:$A, MATCH($E7138, 'Starlink Launches'!$B:$B, 0)),
  ""
)
</f>
        <v/>
      </c>
      <c r="B7138" s="26"/>
      <c r="C7138" s="12"/>
      <c r="D7138" s="13"/>
      <c r="E7138" s="4"/>
      <c r="F7138" s="4" t="str">
        <f>IF(D7138="","", IFNA(VLOOKUP(D7138, SATCAT_DECAY!A:B, 2, FALSE), ""))
</f>
        <v/>
      </c>
      <c r="G7138" s="3"/>
    </row>
    <row r="7139" ht="22.5" hidden="1" customHeight="1">
      <c r="A7139" s="11" t="str">
        <f t="array" ref="A7139">IFERROR(
  INDEX('Starlink Launches'!$A:$A, MATCH($E7139, 'Starlink Launches'!$B:$B, 0)),
  ""
)
</f>
        <v/>
      </c>
      <c r="B7139" s="26"/>
      <c r="C7139" s="12"/>
      <c r="D7139" s="13"/>
      <c r="E7139" s="4"/>
      <c r="F7139" s="4" t="str">
        <f>IF(D7139="","", IFNA(VLOOKUP(D7139, SATCAT_DECAY!A:B, 2, FALSE), ""))
</f>
        <v/>
      </c>
      <c r="G7139" s="3"/>
    </row>
    <row r="7140" ht="22.5" hidden="1" customHeight="1">
      <c r="A7140" s="11" t="str">
        <f t="array" ref="A7140">IFERROR(
  INDEX('Starlink Launches'!$A:$A, MATCH($E7140, 'Starlink Launches'!$B:$B, 0)),
  ""
)
</f>
        <v/>
      </c>
      <c r="B7140" s="26"/>
      <c r="C7140" s="12"/>
      <c r="D7140" s="13"/>
      <c r="E7140" s="4"/>
      <c r="F7140" s="4" t="str">
        <f>IF(D7140="","", IFNA(VLOOKUP(D7140, SATCAT_DECAY!A:B, 2, FALSE), ""))
</f>
        <v/>
      </c>
      <c r="G7140" s="3"/>
    </row>
    <row r="7141" ht="22.5" hidden="1" customHeight="1">
      <c r="A7141" s="11" t="str">
        <f t="array" ref="A7141">IFERROR(
  INDEX('Starlink Launches'!$A:$A, MATCH($E7141, 'Starlink Launches'!$B:$B, 0)),
  ""
)
</f>
        <v/>
      </c>
      <c r="B7141" s="26"/>
      <c r="C7141" s="12"/>
      <c r="D7141" s="13"/>
      <c r="E7141" s="4"/>
      <c r="F7141" s="4" t="str">
        <f>IF(D7141="","", IFNA(VLOOKUP(D7141, SATCAT_DECAY!A:B, 2, FALSE), ""))
</f>
        <v/>
      </c>
      <c r="G7141" s="3"/>
    </row>
    <row r="7142" ht="22.5" hidden="1" customHeight="1">
      <c r="A7142" s="11" t="str">
        <f t="array" ref="A7142">IFERROR(
  INDEX('Starlink Launches'!$A:$A, MATCH($E7142, 'Starlink Launches'!$B:$B, 0)),
  ""
)
</f>
        <v/>
      </c>
      <c r="B7142" s="26"/>
      <c r="C7142" s="12"/>
      <c r="D7142" s="13"/>
      <c r="E7142" s="4"/>
      <c r="F7142" s="4" t="str">
        <f>IF(D7142="","", IFNA(VLOOKUP(D7142, SATCAT_DECAY!A:B, 2, FALSE), ""))
</f>
        <v/>
      </c>
      <c r="G7142" s="3"/>
    </row>
    <row r="7143" ht="22.5" hidden="1" customHeight="1">
      <c r="A7143" s="11" t="str">
        <f t="array" ref="A7143">IFERROR(
  INDEX('Starlink Launches'!$A:$A, MATCH($E7143, 'Starlink Launches'!$B:$B, 0)),
  ""
)
</f>
        <v/>
      </c>
      <c r="B7143" s="26"/>
      <c r="C7143" s="12"/>
      <c r="D7143" s="13"/>
      <c r="E7143" s="4"/>
      <c r="F7143" s="4" t="str">
        <f>IF(D7143="","", IFNA(VLOOKUP(D7143, SATCAT_DECAY!A:B, 2, FALSE), ""))
</f>
        <v/>
      </c>
      <c r="G7143" s="3"/>
    </row>
    <row r="7144" ht="22.5" hidden="1" customHeight="1">
      <c r="A7144" s="11" t="str">
        <f t="array" ref="A7144">IFERROR(
  INDEX('Starlink Launches'!$A:$A, MATCH($E7144, 'Starlink Launches'!$B:$B, 0)),
  ""
)
</f>
        <v/>
      </c>
      <c r="B7144" s="26"/>
      <c r="C7144" s="12"/>
      <c r="D7144" s="13"/>
      <c r="E7144" s="4"/>
      <c r="F7144" s="4" t="str">
        <f>IF(D7144="","", IFNA(VLOOKUP(D7144, SATCAT_DECAY!A:B, 2, FALSE), ""))
</f>
        <v/>
      </c>
      <c r="G7144" s="3"/>
    </row>
    <row r="7145" ht="22.5" hidden="1" customHeight="1">
      <c r="A7145" s="11" t="str">
        <f t="array" ref="A7145">IFERROR(
  INDEX('Starlink Launches'!$A:$A, MATCH($E7145, 'Starlink Launches'!$B:$B, 0)),
  ""
)
</f>
        <v/>
      </c>
      <c r="B7145" s="26"/>
      <c r="C7145" s="12"/>
      <c r="D7145" s="13"/>
      <c r="E7145" s="4"/>
      <c r="F7145" s="4" t="str">
        <f>IF(D7145="","", IFNA(VLOOKUP(D7145, SATCAT_DECAY!A:B, 2, FALSE), ""))
</f>
        <v/>
      </c>
      <c r="G7145" s="3"/>
    </row>
    <row r="7146" ht="22.5" hidden="1" customHeight="1">
      <c r="A7146" s="11" t="str">
        <f t="array" ref="A7146">IFERROR(
  INDEX('Starlink Launches'!$A:$A, MATCH($E7146, 'Starlink Launches'!$B:$B, 0)),
  ""
)
</f>
        <v/>
      </c>
      <c r="B7146" s="26"/>
      <c r="C7146" s="12"/>
      <c r="D7146" s="13"/>
      <c r="E7146" s="4"/>
      <c r="F7146" s="4" t="str">
        <f>IF(D7146="","", IFNA(VLOOKUP(D7146, SATCAT_DECAY!A:B, 2, FALSE), ""))
</f>
        <v/>
      </c>
      <c r="G7146" s="3"/>
    </row>
    <row r="7147" ht="22.5" hidden="1" customHeight="1">
      <c r="A7147" s="11" t="str">
        <f t="array" ref="A7147">IFERROR(
  INDEX('Starlink Launches'!$A:$A, MATCH($E7147, 'Starlink Launches'!$B:$B, 0)),
  ""
)
</f>
        <v/>
      </c>
      <c r="B7147" s="26"/>
      <c r="C7147" s="12"/>
      <c r="D7147" s="13"/>
      <c r="E7147" s="4"/>
      <c r="F7147" s="4" t="str">
        <f>IF(D7147="","", IFNA(VLOOKUP(D7147, SATCAT_DECAY!A:B, 2, FALSE), ""))
</f>
        <v/>
      </c>
      <c r="G7147" s="3"/>
    </row>
    <row r="7148" ht="22.5" hidden="1" customHeight="1">
      <c r="A7148" s="11" t="str">
        <f t="array" ref="A7148">IFERROR(
  INDEX('Starlink Launches'!$A:$A, MATCH($E7148, 'Starlink Launches'!$B:$B, 0)),
  ""
)
</f>
        <v/>
      </c>
      <c r="B7148" s="26"/>
      <c r="C7148" s="12"/>
      <c r="D7148" s="13"/>
      <c r="E7148" s="4"/>
      <c r="F7148" s="4" t="str">
        <f>IF(D7148="","", IFNA(VLOOKUP(D7148, SATCAT_DECAY!A:B, 2, FALSE), ""))
</f>
        <v/>
      </c>
      <c r="G7148" s="3"/>
    </row>
    <row r="7149" ht="22.5" hidden="1" customHeight="1">
      <c r="A7149" s="11" t="str">
        <f t="array" ref="A7149">IFERROR(
  INDEX('Starlink Launches'!$A:$A, MATCH($E7149, 'Starlink Launches'!$B:$B, 0)),
  ""
)
</f>
        <v/>
      </c>
      <c r="B7149" s="26"/>
      <c r="C7149" s="12"/>
      <c r="D7149" s="13"/>
      <c r="E7149" s="4"/>
      <c r="F7149" s="4" t="str">
        <f>IF(D7149="","", IFNA(VLOOKUP(D7149, SATCAT_DECAY!A:B, 2, FALSE), ""))
</f>
        <v/>
      </c>
      <c r="G7149" s="3"/>
    </row>
    <row r="7150" ht="22.5" hidden="1" customHeight="1">
      <c r="A7150" s="11" t="str">
        <f t="array" ref="A7150">IFERROR(
  INDEX('Starlink Launches'!$A:$A, MATCH($E7150, 'Starlink Launches'!$B:$B, 0)),
  ""
)
</f>
        <v/>
      </c>
      <c r="B7150" s="26"/>
      <c r="C7150" s="12"/>
      <c r="D7150" s="13"/>
      <c r="E7150" s="4"/>
      <c r="F7150" s="4" t="str">
        <f>IF(D7150="","", IFNA(VLOOKUP(D7150, SATCAT_DECAY!A:B, 2, FALSE), ""))
</f>
        <v/>
      </c>
      <c r="G7150" s="3"/>
    </row>
    <row r="7151" ht="22.5" hidden="1" customHeight="1">
      <c r="A7151" s="11" t="str">
        <f t="array" ref="A7151">IFERROR(
  INDEX('Starlink Launches'!$A:$A, MATCH($E7151, 'Starlink Launches'!$B:$B, 0)),
  ""
)
</f>
        <v/>
      </c>
      <c r="B7151" s="26"/>
      <c r="C7151" s="12"/>
      <c r="D7151" s="13"/>
      <c r="E7151" s="4"/>
      <c r="F7151" s="4" t="str">
        <f>IF(D7151="","", IFNA(VLOOKUP(D7151, SATCAT_DECAY!A:B, 2, FALSE), ""))
</f>
        <v/>
      </c>
      <c r="G7151" s="3"/>
    </row>
    <row r="7152" ht="22.5" hidden="1" customHeight="1">
      <c r="A7152" s="11" t="str">
        <f t="array" ref="A7152">IFERROR(
  INDEX('Starlink Launches'!$A:$A, MATCH($E7152, 'Starlink Launches'!$B:$B, 0)),
  ""
)
</f>
        <v/>
      </c>
      <c r="B7152" s="26"/>
      <c r="C7152" s="12"/>
      <c r="D7152" s="13"/>
      <c r="E7152" s="4"/>
      <c r="F7152" s="4" t="str">
        <f>IF(D7152="","", IFNA(VLOOKUP(D7152, SATCAT_DECAY!A:B, 2, FALSE), ""))
</f>
        <v/>
      </c>
      <c r="G7152" s="3"/>
    </row>
    <row r="7153" ht="22.5" hidden="1" customHeight="1">
      <c r="A7153" s="11" t="str">
        <f t="array" ref="A7153">IFERROR(
  INDEX('Starlink Launches'!$A:$A, MATCH($E7153, 'Starlink Launches'!$B:$B, 0)),
  ""
)
</f>
        <v/>
      </c>
      <c r="B7153" s="26"/>
      <c r="C7153" s="12"/>
      <c r="D7153" s="13"/>
      <c r="E7153" s="4"/>
      <c r="F7153" s="4" t="str">
        <f>IF(D7153="","", IFNA(VLOOKUP(D7153, SATCAT_DECAY!A:B, 2, FALSE), ""))
</f>
        <v/>
      </c>
      <c r="G7153" s="3"/>
    </row>
    <row r="7154" ht="22.5" hidden="1" customHeight="1">
      <c r="A7154" s="11" t="str">
        <f t="array" ref="A7154">IFERROR(
  INDEX('Starlink Launches'!$A:$A, MATCH($E7154, 'Starlink Launches'!$B:$B, 0)),
  ""
)
</f>
        <v/>
      </c>
      <c r="B7154" s="26"/>
      <c r="C7154" s="12"/>
      <c r="D7154" s="13"/>
      <c r="E7154" s="4"/>
      <c r="F7154" s="4" t="str">
        <f>IF(D7154="","", IFNA(VLOOKUP(D7154, SATCAT_DECAY!A:B, 2, FALSE), ""))
</f>
        <v/>
      </c>
      <c r="G7154" s="3"/>
    </row>
    <row r="7155" ht="22.5" hidden="1" customHeight="1">
      <c r="A7155" s="11" t="str">
        <f t="array" ref="A7155">IFERROR(
  INDEX('Starlink Launches'!$A:$A, MATCH($E7155, 'Starlink Launches'!$B:$B, 0)),
  ""
)
</f>
        <v/>
      </c>
      <c r="B7155" s="26"/>
      <c r="C7155" s="12"/>
      <c r="D7155" s="13"/>
      <c r="E7155" s="4"/>
      <c r="F7155" s="4" t="str">
        <f>IF(D7155="","", IFNA(VLOOKUP(D7155, SATCAT_DECAY!A:B, 2, FALSE), ""))
</f>
        <v/>
      </c>
      <c r="G7155" s="3"/>
    </row>
    <row r="7156" ht="22.5" hidden="1" customHeight="1">
      <c r="A7156" s="11" t="str">
        <f t="array" ref="A7156">IFERROR(
  INDEX('Starlink Launches'!$A:$A, MATCH($E7156, 'Starlink Launches'!$B:$B, 0)),
  ""
)
</f>
        <v/>
      </c>
      <c r="B7156" s="26"/>
      <c r="C7156" s="12"/>
      <c r="D7156" s="13"/>
      <c r="E7156" s="4"/>
      <c r="F7156" s="4" t="str">
        <f>IF(D7156="","", IFNA(VLOOKUP(D7156, SATCAT_DECAY!A:B, 2, FALSE), ""))
</f>
        <v/>
      </c>
      <c r="G7156" s="3"/>
    </row>
    <row r="7157" ht="22.5" hidden="1" customHeight="1">
      <c r="A7157" s="11" t="str">
        <f t="array" ref="A7157">IFERROR(
  INDEX('Starlink Launches'!$A:$A, MATCH($E7157, 'Starlink Launches'!$B:$B, 0)),
  ""
)
</f>
        <v/>
      </c>
      <c r="B7157" s="26"/>
      <c r="C7157" s="12"/>
      <c r="D7157" s="13"/>
      <c r="E7157" s="4"/>
      <c r="F7157" s="4" t="str">
        <f>IF(D7157="","", IFNA(VLOOKUP(D7157, SATCAT_DECAY!A:B, 2, FALSE), ""))
</f>
        <v/>
      </c>
      <c r="G7157" s="3"/>
    </row>
    <row r="7158" ht="22.5" hidden="1" customHeight="1">
      <c r="A7158" s="11" t="str">
        <f t="array" ref="A7158">IFERROR(
  INDEX('Starlink Launches'!$A:$A, MATCH($E7158, 'Starlink Launches'!$B:$B, 0)),
  ""
)
</f>
        <v/>
      </c>
      <c r="B7158" s="26"/>
      <c r="C7158" s="12"/>
      <c r="D7158" s="13"/>
      <c r="E7158" s="4"/>
      <c r="F7158" s="4" t="str">
        <f>IF(D7158="","", IFNA(VLOOKUP(D7158, SATCAT_DECAY!A:B, 2, FALSE), ""))
</f>
        <v/>
      </c>
      <c r="G7158" s="3"/>
    </row>
    <row r="7159" ht="22.5" hidden="1" customHeight="1">
      <c r="A7159" s="11" t="str">
        <f t="array" ref="A7159">IFERROR(
  INDEX('Starlink Launches'!$A:$A, MATCH($E7159, 'Starlink Launches'!$B:$B, 0)),
  ""
)
</f>
        <v/>
      </c>
      <c r="B7159" s="26"/>
      <c r="C7159" s="12"/>
      <c r="D7159" s="13"/>
      <c r="E7159" s="4"/>
      <c r="F7159" s="4" t="str">
        <f>IF(D7159="","", IFNA(VLOOKUP(D7159, SATCAT_DECAY!A:B, 2, FALSE), ""))
</f>
        <v/>
      </c>
      <c r="G7159" s="3"/>
    </row>
    <row r="7160" ht="22.5" hidden="1" customHeight="1">
      <c r="A7160" s="11" t="str">
        <f t="array" ref="A7160">IFERROR(
  INDEX('Starlink Launches'!$A:$A, MATCH($E7160, 'Starlink Launches'!$B:$B, 0)),
  ""
)
</f>
        <v/>
      </c>
      <c r="B7160" s="26"/>
      <c r="C7160" s="12"/>
      <c r="D7160" s="13"/>
      <c r="E7160" s="4"/>
      <c r="F7160" s="4" t="str">
        <f>IF(D7160="","", IFNA(VLOOKUP(D7160, SATCAT_DECAY!A:B, 2, FALSE), ""))
</f>
        <v/>
      </c>
      <c r="G7160" s="3"/>
    </row>
    <row r="7161" ht="22.5" hidden="1" customHeight="1">
      <c r="A7161" s="11" t="str">
        <f t="array" ref="A7161">IFERROR(
  INDEX('Starlink Launches'!$A:$A, MATCH($E7161, 'Starlink Launches'!$B:$B, 0)),
  ""
)
</f>
        <v/>
      </c>
      <c r="B7161" s="26"/>
      <c r="C7161" s="12"/>
      <c r="D7161" s="13"/>
      <c r="E7161" s="4"/>
      <c r="F7161" s="4" t="str">
        <f>IF(D7161="","", IFNA(VLOOKUP(D7161, SATCAT_DECAY!A:B, 2, FALSE), ""))
</f>
        <v/>
      </c>
      <c r="G7161" s="3"/>
    </row>
    <row r="7162" ht="22.5" hidden="1" customHeight="1">
      <c r="A7162" s="11" t="str">
        <f t="array" ref="A7162">IFERROR(
  INDEX('Starlink Launches'!$A:$A, MATCH($E7162, 'Starlink Launches'!$B:$B, 0)),
  ""
)
</f>
        <v/>
      </c>
      <c r="B7162" s="26"/>
      <c r="C7162" s="12"/>
      <c r="D7162" s="13"/>
      <c r="E7162" s="4"/>
      <c r="F7162" s="4" t="str">
        <f>IF(D7162="","", IFNA(VLOOKUP(D7162, SATCAT_DECAY!A:B, 2, FALSE), ""))
</f>
        <v/>
      </c>
      <c r="G7162" s="3"/>
    </row>
    <row r="7163" ht="22.5" hidden="1" customHeight="1">
      <c r="A7163" s="11" t="str">
        <f t="array" ref="A7163">IFERROR(
  INDEX('Starlink Launches'!$A:$A, MATCH($E7163, 'Starlink Launches'!$B:$B, 0)),
  ""
)
</f>
        <v/>
      </c>
      <c r="B7163" s="26"/>
      <c r="C7163" s="12"/>
      <c r="D7163" s="13"/>
      <c r="E7163" s="4"/>
      <c r="F7163" s="4" t="str">
        <f>IF(D7163="","", IFNA(VLOOKUP(D7163, SATCAT_DECAY!A:B, 2, FALSE), ""))
</f>
        <v/>
      </c>
      <c r="G7163" s="3"/>
    </row>
    <row r="7164" ht="22.5" hidden="1" customHeight="1">
      <c r="A7164" s="11" t="str">
        <f t="array" ref="A7164">IFERROR(
  INDEX('Starlink Launches'!$A:$A, MATCH($E7164, 'Starlink Launches'!$B:$B, 0)),
  ""
)
</f>
        <v/>
      </c>
      <c r="B7164" s="26"/>
      <c r="C7164" s="12"/>
      <c r="D7164" s="13"/>
      <c r="E7164" s="4"/>
      <c r="F7164" s="4" t="str">
        <f>IF(D7164="","", IFNA(VLOOKUP(D7164, SATCAT_DECAY!A:B, 2, FALSE), ""))
</f>
        <v/>
      </c>
      <c r="G7164" s="3"/>
    </row>
    <row r="7165" ht="22.5" hidden="1" customHeight="1">
      <c r="A7165" s="11" t="str">
        <f t="array" ref="A7165">IFERROR(
  INDEX('Starlink Launches'!$A:$A, MATCH($E7165, 'Starlink Launches'!$B:$B, 0)),
  ""
)
</f>
        <v/>
      </c>
      <c r="B7165" s="26"/>
      <c r="C7165" s="12"/>
      <c r="D7165" s="13"/>
      <c r="E7165" s="4"/>
      <c r="F7165" s="4" t="str">
        <f>IF(D7165="","", IFNA(VLOOKUP(D7165, SATCAT_DECAY!A:B, 2, FALSE), ""))
</f>
        <v/>
      </c>
      <c r="G7165" s="3"/>
    </row>
    <row r="7166" ht="22.5" hidden="1" customHeight="1">
      <c r="A7166" s="11" t="str">
        <f t="array" ref="A7166">IFERROR(
  INDEX('Starlink Launches'!$A:$A, MATCH($E7166, 'Starlink Launches'!$B:$B, 0)),
  ""
)
</f>
        <v/>
      </c>
      <c r="B7166" s="26"/>
      <c r="C7166" s="12"/>
      <c r="D7166" s="13"/>
      <c r="E7166" s="4"/>
      <c r="F7166" s="4" t="str">
        <f>IF(D7166="","", IFNA(VLOOKUP(D7166, SATCAT_DECAY!A:B, 2, FALSE), ""))
</f>
        <v/>
      </c>
      <c r="G7166" s="3"/>
    </row>
    <row r="7167" ht="22.5" hidden="1" customHeight="1">
      <c r="A7167" s="11" t="str">
        <f t="array" ref="A7167">IFERROR(
  INDEX('Starlink Launches'!$A:$A, MATCH($E7167, 'Starlink Launches'!$B:$B, 0)),
  ""
)
</f>
        <v/>
      </c>
      <c r="B7167" s="26"/>
      <c r="C7167" s="12"/>
      <c r="D7167" s="13"/>
      <c r="E7167" s="4"/>
      <c r="F7167" s="4" t="str">
        <f>IF(D7167="","", IFNA(VLOOKUP(D7167, SATCAT_DECAY!A:B, 2, FALSE), ""))
</f>
        <v/>
      </c>
      <c r="G7167" s="3"/>
    </row>
    <row r="7168" ht="22.5" hidden="1" customHeight="1">
      <c r="A7168" s="11" t="str">
        <f t="array" ref="A7168">IFERROR(
  INDEX('Starlink Launches'!$A:$A, MATCH($E7168, 'Starlink Launches'!$B:$B, 0)),
  ""
)
</f>
        <v/>
      </c>
      <c r="B7168" s="26"/>
      <c r="C7168" s="12"/>
      <c r="D7168" s="13"/>
      <c r="E7168" s="4"/>
      <c r="F7168" s="4" t="str">
        <f>IF(D7168="","", IFNA(VLOOKUP(D7168, SATCAT_DECAY!A:B, 2, FALSE), ""))
</f>
        <v/>
      </c>
      <c r="G7168" s="3"/>
    </row>
    <row r="7169" ht="22.5" hidden="1" customHeight="1">
      <c r="A7169" s="11" t="str">
        <f t="array" ref="A7169">IFERROR(
  INDEX('Starlink Launches'!$A:$A, MATCH($E7169, 'Starlink Launches'!$B:$B, 0)),
  ""
)
</f>
        <v/>
      </c>
      <c r="B7169" s="26"/>
      <c r="C7169" s="12"/>
      <c r="D7169" s="13"/>
      <c r="E7169" s="4"/>
      <c r="F7169" s="4" t="str">
        <f>IF(D7169="","", IFNA(VLOOKUP(D7169, SATCAT_DECAY!A:B, 2, FALSE), ""))
</f>
        <v/>
      </c>
      <c r="G7169" s="3"/>
    </row>
    <row r="7170" ht="22.5" hidden="1" customHeight="1">
      <c r="A7170" s="11" t="str">
        <f t="array" ref="A7170">IFERROR(
  INDEX('Starlink Launches'!$A:$A, MATCH($E7170, 'Starlink Launches'!$B:$B, 0)),
  ""
)
</f>
        <v/>
      </c>
      <c r="B7170" s="26"/>
      <c r="C7170" s="12"/>
      <c r="D7170" s="13"/>
      <c r="E7170" s="4"/>
      <c r="F7170" s="4" t="str">
        <f>IF(D7170="","", IFNA(VLOOKUP(D7170, SATCAT_DECAY!A:B, 2, FALSE), ""))
</f>
        <v/>
      </c>
      <c r="G7170" s="3"/>
    </row>
    <row r="7171" ht="22.5" hidden="1" customHeight="1">
      <c r="A7171" s="11" t="str">
        <f t="array" ref="A7171">IFERROR(
  INDEX('Starlink Launches'!$A:$A, MATCH($E7171, 'Starlink Launches'!$B:$B, 0)),
  ""
)
</f>
        <v/>
      </c>
      <c r="B7171" s="26"/>
      <c r="C7171" s="12"/>
      <c r="D7171" s="13"/>
      <c r="E7171" s="4"/>
      <c r="F7171" s="4" t="str">
        <f>IF(D7171="","", IFNA(VLOOKUP(D7171, SATCAT_DECAY!A:B, 2, FALSE), ""))
</f>
        <v/>
      </c>
      <c r="G7171" s="3"/>
    </row>
    <row r="7172" ht="22.5" hidden="1" customHeight="1">
      <c r="A7172" s="11" t="str">
        <f t="array" ref="A7172">IFERROR(
  INDEX('Starlink Launches'!$A:$A, MATCH($E7172, 'Starlink Launches'!$B:$B, 0)),
  ""
)
</f>
        <v/>
      </c>
      <c r="B7172" s="26"/>
      <c r="C7172" s="12"/>
      <c r="D7172" s="13"/>
      <c r="E7172" s="4"/>
      <c r="F7172" s="4" t="str">
        <f>IF(D7172="","", IFNA(VLOOKUP(D7172, SATCAT_DECAY!A:B, 2, FALSE), ""))
</f>
        <v/>
      </c>
      <c r="G7172" s="3"/>
    </row>
    <row r="7173" ht="22.5" hidden="1" customHeight="1">
      <c r="A7173" s="11" t="str">
        <f t="array" ref="A7173">IFERROR(
  INDEX('Starlink Launches'!$A:$A, MATCH($E7173, 'Starlink Launches'!$B:$B, 0)),
  ""
)
</f>
        <v/>
      </c>
      <c r="B7173" s="26"/>
      <c r="C7173" s="12"/>
      <c r="D7173" s="13"/>
      <c r="E7173" s="4"/>
      <c r="F7173" s="4" t="str">
        <f>IF(D7173="","", IFNA(VLOOKUP(D7173, SATCAT_DECAY!A:B, 2, FALSE), ""))
</f>
        <v/>
      </c>
      <c r="G7173" s="3"/>
    </row>
    <row r="7174" ht="22.5" hidden="1" customHeight="1">
      <c r="A7174" s="11" t="str">
        <f t="array" ref="A7174">IFERROR(
  INDEX('Starlink Launches'!$A:$A, MATCH($E7174, 'Starlink Launches'!$B:$B, 0)),
  ""
)
</f>
        <v/>
      </c>
      <c r="B7174" s="26"/>
      <c r="C7174" s="12"/>
      <c r="D7174" s="13"/>
      <c r="E7174" s="4"/>
      <c r="F7174" s="4" t="str">
        <f>IF(D7174="","", IFNA(VLOOKUP(D7174, SATCAT_DECAY!A:B, 2, FALSE), ""))
</f>
        <v/>
      </c>
      <c r="G7174" s="3"/>
    </row>
    <row r="7175" ht="22.5" hidden="1" customHeight="1">
      <c r="A7175" s="11" t="str">
        <f t="array" ref="A7175">IFERROR(
  INDEX('Starlink Launches'!$A:$A, MATCH($E7175, 'Starlink Launches'!$B:$B, 0)),
  ""
)
</f>
        <v/>
      </c>
      <c r="B7175" s="26"/>
      <c r="C7175" s="12"/>
      <c r="D7175" s="13"/>
      <c r="E7175" s="4"/>
      <c r="F7175" s="4" t="str">
        <f>IF(D7175="","", IFNA(VLOOKUP(D7175, SATCAT_DECAY!A:B, 2, FALSE), ""))
</f>
        <v/>
      </c>
      <c r="G7175" s="3"/>
    </row>
    <row r="7176" ht="22.5" hidden="1" customHeight="1">
      <c r="A7176" s="11" t="str">
        <f t="array" ref="A7176">IFERROR(
  INDEX('Starlink Launches'!$A:$A, MATCH($E7176, 'Starlink Launches'!$B:$B, 0)),
  ""
)
</f>
        <v/>
      </c>
      <c r="B7176" s="26"/>
      <c r="C7176" s="12"/>
      <c r="D7176" s="13"/>
      <c r="E7176" s="4"/>
      <c r="F7176" s="4" t="str">
        <f>IF(D7176="","", IFNA(VLOOKUP(D7176, SATCAT_DECAY!A:B, 2, FALSE), ""))
</f>
        <v/>
      </c>
      <c r="G7176" s="3"/>
    </row>
    <row r="7177" ht="22.5" hidden="1" customHeight="1">
      <c r="A7177" s="11" t="str">
        <f t="array" ref="A7177">IFERROR(
  INDEX('Starlink Launches'!$A:$A, MATCH($E7177, 'Starlink Launches'!$B:$B, 0)),
  ""
)
</f>
        <v/>
      </c>
      <c r="B7177" s="26"/>
      <c r="C7177" s="12"/>
      <c r="D7177" s="13"/>
      <c r="E7177" s="4"/>
      <c r="F7177" s="4" t="str">
        <f>IF(D7177="","", IFNA(VLOOKUP(D7177, SATCAT_DECAY!A:B, 2, FALSE), ""))
</f>
        <v/>
      </c>
      <c r="G7177" s="3"/>
    </row>
    <row r="7178" ht="22.5" hidden="1" customHeight="1">
      <c r="A7178" s="11" t="str">
        <f t="array" ref="A7178">IFERROR(
  INDEX('Starlink Launches'!$A:$A, MATCH($E7178, 'Starlink Launches'!$B:$B, 0)),
  ""
)
</f>
        <v/>
      </c>
      <c r="B7178" s="26"/>
      <c r="C7178" s="12"/>
      <c r="D7178" s="13"/>
      <c r="E7178" s="4"/>
      <c r="F7178" s="4" t="str">
        <f>IF(D7178="","", IFNA(VLOOKUP(D7178, SATCAT_DECAY!A:B, 2, FALSE), ""))
</f>
        <v/>
      </c>
      <c r="G7178" s="3"/>
    </row>
    <row r="7179" ht="22.5" hidden="1" customHeight="1">
      <c r="A7179" s="11" t="str">
        <f t="array" ref="A7179">IFERROR(
  INDEX('Starlink Launches'!$A:$A, MATCH($E7179, 'Starlink Launches'!$B:$B, 0)),
  ""
)
</f>
        <v/>
      </c>
      <c r="B7179" s="26"/>
      <c r="C7179" s="12"/>
      <c r="D7179" s="13"/>
      <c r="E7179" s="4"/>
      <c r="F7179" s="4" t="str">
        <f>IF(D7179="","", IFNA(VLOOKUP(D7179, SATCAT_DECAY!A:B, 2, FALSE), ""))
</f>
        <v/>
      </c>
      <c r="G7179" s="3"/>
    </row>
    <row r="7180" ht="22.5" hidden="1" customHeight="1">
      <c r="A7180" s="11" t="str">
        <f t="array" ref="A7180">IFERROR(
  INDEX('Starlink Launches'!$A:$A, MATCH($E7180, 'Starlink Launches'!$B:$B, 0)),
  ""
)
</f>
        <v/>
      </c>
      <c r="B7180" s="26"/>
      <c r="C7180" s="12"/>
      <c r="D7180" s="13"/>
      <c r="E7180" s="4"/>
      <c r="F7180" s="4" t="str">
        <f>IF(D7180="","", IFNA(VLOOKUP(D7180, SATCAT_DECAY!A:B, 2, FALSE), ""))
</f>
        <v/>
      </c>
      <c r="G7180" s="3"/>
    </row>
    <row r="7181" ht="22.5" hidden="1" customHeight="1">
      <c r="A7181" s="11" t="str">
        <f t="array" ref="A7181">IFERROR(
  INDEX('Starlink Launches'!$A:$A, MATCH($E7181, 'Starlink Launches'!$B:$B, 0)),
  ""
)
</f>
        <v/>
      </c>
      <c r="B7181" s="26"/>
      <c r="C7181" s="12"/>
      <c r="D7181" s="13"/>
      <c r="E7181" s="4"/>
      <c r="F7181" s="4" t="str">
        <f>IF(D7181="","", IFNA(VLOOKUP(D7181, SATCAT_DECAY!A:B, 2, FALSE), ""))
</f>
        <v/>
      </c>
      <c r="G7181" s="3"/>
    </row>
    <row r="7182" ht="22.5" hidden="1" customHeight="1">
      <c r="A7182" s="11" t="str">
        <f t="array" ref="A7182">IFERROR(
  INDEX('Starlink Launches'!$A:$A, MATCH($E7182, 'Starlink Launches'!$B:$B, 0)),
  ""
)
</f>
        <v/>
      </c>
      <c r="B7182" s="26"/>
      <c r="C7182" s="12"/>
      <c r="D7182" s="13"/>
      <c r="E7182" s="4"/>
      <c r="F7182" s="4" t="str">
        <f>IF(D7182="","", IFNA(VLOOKUP(D7182, SATCAT_DECAY!A:B, 2, FALSE), ""))
</f>
        <v/>
      </c>
      <c r="G7182" s="3"/>
    </row>
    <row r="7183" ht="22.5" hidden="1" customHeight="1">
      <c r="A7183" s="11" t="str">
        <f t="array" ref="A7183">IFERROR(
  INDEX('Starlink Launches'!$A:$A, MATCH($E7183, 'Starlink Launches'!$B:$B, 0)),
  ""
)
</f>
        <v/>
      </c>
      <c r="B7183" s="26"/>
      <c r="C7183" s="12"/>
      <c r="D7183" s="13"/>
      <c r="E7183" s="4"/>
      <c r="F7183" s="4" t="str">
        <f>IF(D7183="","", IFNA(VLOOKUP(D7183, SATCAT_DECAY!A:B, 2, FALSE), ""))
</f>
        <v/>
      </c>
      <c r="G7183" s="3"/>
    </row>
    <row r="7184" ht="22.5" hidden="1" customHeight="1">
      <c r="A7184" s="11" t="str">
        <f t="array" ref="A7184">IFERROR(
  INDEX('Starlink Launches'!$A:$A, MATCH($E7184, 'Starlink Launches'!$B:$B, 0)),
  ""
)
</f>
        <v/>
      </c>
      <c r="B7184" s="26"/>
      <c r="C7184" s="12"/>
      <c r="D7184" s="13"/>
      <c r="E7184" s="4"/>
      <c r="F7184" s="4" t="str">
        <f>IF(D7184="","", IFNA(VLOOKUP(D7184, SATCAT_DECAY!A:B, 2, FALSE), ""))
</f>
        <v/>
      </c>
      <c r="G7184" s="3"/>
    </row>
    <row r="7185" ht="22.5" hidden="1" customHeight="1">
      <c r="A7185" s="11" t="str">
        <f t="array" ref="A7185">IFERROR(
  INDEX('Starlink Launches'!$A:$A, MATCH($E7185, 'Starlink Launches'!$B:$B, 0)),
  ""
)
</f>
        <v/>
      </c>
      <c r="B7185" s="26"/>
      <c r="C7185" s="12"/>
      <c r="D7185" s="13"/>
      <c r="E7185" s="4"/>
      <c r="F7185" s="4" t="str">
        <f>IF(D7185="","", IFNA(VLOOKUP(D7185, SATCAT_DECAY!A:B, 2, FALSE), ""))
</f>
        <v/>
      </c>
      <c r="G7185" s="3"/>
    </row>
    <row r="7186" ht="22.5" hidden="1" customHeight="1">
      <c r="A7186" s="11" t="str">
        <f t="array" ref="A7186">IFERROR(
  INDEX('Starlink Launches'!$A:$A, MATCH($E7186, 'Starlink Launches'!$B:$B, 0)),
  ""
)
</f>
        <v/>
      </c>
      <c r="B7186" s="26"/>
      <c r="C7186" s="12"/>
      <c r="D7186" s="13"/>
      <c r="E7186" s="4"/>
      <c r="F7186" s="4" t="str">
        <f>IF(D7186="","", IFNA(VLOOKUP(D7186, SATCAT_DECAY!A:B, 2, FALSE), ""))
</f>
        <v/>
      </c>
      <c r="G7186" s="3"/>
    </row>
    <row r="7187" ht="22.5" hidden="1" customHeight="1">
      <c r="A7187" s="11" t="str">
        <f t="array" ref="A7187">IFERROR(
  INDEX('Starlink Launches'!$A:$A, MATCH($E7187, 'Starlink Launches'!$B:$B, 0)),
  ""
)
</f>
        <v/>
      </c>
      <c r="B7187" s="26"/>
      <c r="C7187" s="12"/>
      <c r="D7187" s="13"/>
      <c r="E7187" s="4"/>
      <c r="F7187" s="4" t="str">
        <f>IF(D7187="","", IFNA(VLOOKUP(D7187, SATCAT_DECAY!A:B, 2, FALSE), ""))
</f>
        <v/>
      </c>
      <c r="G7187" s="3"/>
    </row>
    <row r="7188" ht="22.5" hidden="1" customHeight="1">
      <c r="A7188" s="11" t="str">
        <f t="array" ref="A7188">IFERROR(
  INDEX('Starlink Launches'!$A:$A, MATCH($E7188, 'Starlink Launches'!$B:$B, 0)),
  ""
)
</f>
        <v/>
      </c>
      <c r="B7188" s="26"/>
      <c r="C7188" s="12"/>
      <c r="D7188" s="13"/>
      <c r="E7188" s="4"/>
      <c r="F7188" s="4" t="str">
        <f>IF(D7188="","", IFNA(VLOOKUP(D7188, SATCAT_DECAY!A:B, 2, FALSE), ""))
</f>
        <v/>
      </c>
      <c r="G7188" s="3"/>
    </row>
    <row r="7189" ht="22.5" hidden="1" customHeight="1">
      <c r="A7189" s="11" t="str">
        <f t="array" ref="A7189">IFERROR(
  INDEX('Starlink Launches'!$A:$A, MATCH($E7189, 'Starlink Launches'!$B:$B, 0)),
  ""
)
</f>
        <v/>
      </c>
      <c r="B7189" s="26"/>
      <c r="C7189" s="12"/>
      <c r="D7189" s="13"/>
      <c r="E7189" s="4"/>
      <c r="F7189" s="4" t="str">
        <f>IF(D7189="","", IFNA(VLOOKUP(D7189, SATCAT_DECAY!A:B, 2, FALSE), ""))
</f>
        <v/>
      </c>
      <c r="G7189" s="3"/>
    </row>
    <row r="7190" ht="22.5" hidden="1" customHeight="1">
      <c r="A7190" s="11" t="str">
        <f t="array" ref="A7190">IFERROR(
  INDEX('Starlink Launches'!$A:$A, MATCH($E7190, 'Starlink Launches'!$B:$B, 0)),
  ""
)
</f>
        <v/>
      </c>
      <c r="B7190" s="26"/>
      <c r="C7190" s="12"/>
      <c r="D7190" s="13"/>
      <c r="E7190" s="4"/>
      <c r="F7190" s="4" t="str">
        <f>IF(D7190="","", IFNA(VLOOKUP(D7190, SATCAT_DECAY!A:B, 2, FALSE), ""))
</f>
        <v/>
      </c>
      <c r="G7190" s="3"/>
    </row>
    <row r="7191" ht="22.5" hidden="1" customHeight="1">
      <c r="A7191" s="11" t="str">
        <f t="array" ref="A7191">IFERROR(
  INDEX('Starlink Launches'!$A:$A, MATCH($E7191, 'Starlink Launches'!$B:$B, 0)),
  ""
)
</f>
        <v/>
      </c>
      <c r="B7191" s="26"/>
      <c r="C7191" s="12"/>
      <c r="D7191" s="13"/>
      <c r="E7191" s="4"/>
      <c r="F7191" s="4" t="str">
        <f>IF(D7191="","", IFNA(VLOOKUP(D7191, SATCAT_DECAY!A:B, 2, FALSE), ""))
</f>
        <v/>
      </c>
      <c r="G7191" s="3"/>
    </row>
    <row r="7192" ht="22.5" hidden="1" customHeight="1">
      <c r="A7192" s="11" t="str">
        <f t="array" ref="A7192">IFERROR(
  INDEX('Starlink Launches'!$A:$A, MATCH($E7192, 'Starlink Launches'!$B:$B, 0)),
  ""
)
</f>
        <v/>
      </c>
      <c r="B7192" s="26"/>
      <c r="C7192" s="12"/>
      <c r="D7192" s="13"/>
      <c r="E7192" s="4"/>
      <c r="F7192" s="4" t="str">
        <f>IF(D7192="","", IFNA(VLOOKUP(D7192, SATCAT_DECAY!A:B, 2, FALSE), ""))
</f>
        <v/>
      </c>
      <c r="G7192" s="3"/>
    </row>
    <row r="7193" ht="22.5" hidden="1" customHeight="1">
      <c r="A7193" s="11" t="str">
        <f t="array" ref="A7193">IFERROR(
  INDEX('Starlink Launches'!$A:$A, MATCH($E7193, 'Starlink Launches'!$B:$B, 0)),
  ""
)
</f>
        <v/>
      </c>
      <c r="B7193" s="26"/>
      <c r="C7193" s="12"/>
      <c r="D7193" s="13"/>
      <c r="E7193" s="4"/>
      <c r="F7193" s="4" t="str">
        <f>IF(D7193="","", IFNA(VLOOKUP(D7193, SATCAT_DECAY!A:B, 2, FALSE), ""))
</f>
        <v/>
      </c>
      <c r="G7193" s="3"/>
    </row>
    <row r="7194" ht="22.5" hidden="1" customHeight="1">
      <c r="A7194" s="11" t="str">
        <f t="array" ref="A7194">IFERROR(
  INDEX('Starlink Launches'!$A:$A, MATCH($E7194, 'Starlink Launches'!$B:$B, 0)),
  ""
)
</f>
        <v/>
      </c>
      <c r="B7194" s="26"/>
      <c r="C7194" s="12"/>
      <c r="D7194" s="13"/>
      <c r="E7194" s="4"/>
      <c r="F7194" s="4" t="str">
        <f>IF(D7194="","", IFNA(VLOOKUP(D7194, SATCAT_DECAY!A:B, 2, FALSE), ""))
</f>
        <v/>
      </c>
      <c r="G7194" s="3"/>
    </row>
    <row r="7195" ht="22.5" hidden="1" customHeight="1">
      <c r="A7195" s="11" t="str">
        <f t="array" ref="A7195">IFERROR(
  INDEX('Starlink Launches'!$A:$A, MATCH($E7195, 'Starlink Launches'!$B:$B, 0)),
  ""
)
</f>
        <v/>
      </c>
      <c r="B7195" s="26"/>
      <c r="C7195" s="12"/>
      <c r="D7195" s="13"/>
      <c r="E7195" s="4"/>
      <c r="F7195" s="4" t="str">
        <f>IF(D7195="","", IFNA(VLOOKUP(D7195, SATCAT_DECAY!A:B, 2, FALSE), ""))
</f>
        <v/>
      </c>
      <c r="G7195" s="3"/>
    </row>
    <row r="7196" ht="22.5" hidden="1" customHeight="1">
      <c r="A7196" s="11" t="str">
        <f t="array" ref="A7196">IFERROR(
  INDEX('Starlink Launches'!$A:$A, MATCH($E7196, 'Starlink Launches'!$B:$B, 0)),
  ""
)
</f>
        <v/>
      </c>
      <c r="B7196" s="26"/>
      <c r="C7196" s="12"/>
      <c r="D7196" s="13"/>
      <c r="E7196" s="4"/>
      <c r="F7196" s="4" t="str">
        <f>IF(D7196="","", IFNA(VLOOKUP(D7196, SATCAT_DECAY!A:B, 2, FALSE), ""))
</f>
        <v/>
      </c>
      <c r="G7196" s="3"/>
    </row>
    <row r="7197" ht="22.5" hidden="1" customHeight="1">
      <c r="A7197" s="11" t="str">
        <f t="array" ref="A7197">IFERROR(
  INDEX('Starlink Launches'!$A:$A, MATCH($E7197, 'Starlink Launches'!$B:$B, 0)),
  ""
)
</f>
        <v/>
      </c>
      <c r="B7197" s="26"/>
      <c r="C7197" s="12"/>
      <c r="D7197" s="13"/>
      <c r="E7197" s="4"/>
      <c r="F7197" s="4" t="str">
        <f>IF(D7197="","", IFNA(VLOOKUP(D7197, SATCAT_DECAY!A:B, 2, FALSE), ""))
</f>
        <v/>
      </c>
      <c r="G7197" s="3"/>
    </row>
    <row r="7198" ht="22.5" hidden="1" customHeight="1">
      <c r="A7198" s="11" t="str">
        <f t="array" ref="A7198">IFERROR(
  INDEX('Starlink Launches'!$A:$A, MATCH($E7198, 'Starlink Launches'!$B:$B, 0)),
  ""
)
</f>
        <v/>
      </c>
      <c r="B7198" s="26"/>
      <c r="C7198" s="12"/>
      <c r="D7198" s="13"/>
      <c r="E7198" s="4"/>
      <c r="F7198" s="4" t="str">
        <f>IF(D7198="","", IFNA(VLOOKUP(D7198, SATCAT_DECAY!A:B, 2, FALSE), ""))
</f>
        <v/>
      </c>
      <c r="G7198" s="3"/>
    </row>
    <row r="7199" ht="22.5" hidden="1" customHeight="1">
      <c r="A7199" s="11" t="str">
        <f t="array" ref="A7199">IFERROR(
  INDEX('Starlink Launches'!$A:$A, MATCH($E7199, 'Starlink Launches'!$B:$B, 0)),
  ""
)
</f>
        <v/>
      </c>
      <c r="B7199" s="26"/>
      <c r="C7199" s="12"/>
      <c r="D7199" s="13"/>
      <c r="E7199" s="4"/>
      <c r="F7199" s="4" t="str">
        <f>IF(D7199="","", IFNA(VLOOKUP(D7199, SATCAT_DECAY!A:B, 2, FALSE), ""))
</f>
        <v/>
      </c>
      <c r="G7199" s="3"/>
    </row>
    <row r="7200" ht="22.5" hidden="1" customHeight="1">
      <c r="A7200" s="11" t="str">
        <f t="array" ref="A7200">IFERROR(
  INDEX('Starlink Launches'!$A:$A, MATCH($E7200, 'Starlink Launches'!$B:$B, 0)),
  ""
)
</f>
        <v/>
      </c>
      <c r="B7200" s="26"/>
      <c r="C7200" s="12"/>
      <c r="D7200" s="13"/>
      <c r="E7200" s="4"/>
      <c r="F7200" s="4" t="str">
        <f>IF(D7200="","", IFNA(VLOOKUP(D7200, SATCAT_DECAY!A:B, 2, FALSE), ""))
</f>
        <v/>
      </c>
      <c r="G7200" s="3"/>
    </row>
    <row r="7201" ht="22.5" hidden="1" customHeight="1">
      <c r="A7201" s="11" t="str">
        <f t="array" ref="A7201">IFERROR(
  INDEX('Starlink Launches'!$A:$A, MATCH($E7201, 'Starlink Launches'!$B:$B, 0)),
  ""
)
</f>
        <v/>
      </c>
      <c r="B7201" s="26"/>
      <c r="C7201" s="12"/>
      <c r="D7201" s="13"/>
      <c r="E7201" s="4"/>
      <c r="F7201" s="4" t="str">
        <f>IF(D7201="","", IFNA(VLOOKUP(D7201, SATCAT_DECAY!A:B, 2, FALSE), ""))
</f>
        <v/>
      </c>
      <c r="G7201" s="3"/>
    </row>
    <row r="7202" ht="22.5" hidden="1" customHeight="1">
      <c r="A7202" s="11" t="str">
        <f t="array" ref="A7202">IFERROR(
  INDEX('Starlink Launches'!$A:$A, MATCH($E7202, 'Starlink Launches'!$B:$B, 0)),
  ""
)
</f>
        <v/>
      </c>
      <c r="B7202" s="26"/>
      <c r="C7202" s="12"/>
      <c r="D7202" s="13"/>
      <c r="E7202" s="4"/>
      <c r="F7202" s="4" t="str">
        <f>IF(D7202="","", IFNA(VLOOKUP(D7202, SATCAT_DECAY!A:B, 2, FALSE), ""))
</f>
        <v/>
      </c>
      <c r="G7202" s="3"/>
    </row>
    <row r="7203" ht="22.5" hidden="1" customHeight="1">
      <c r="A7203" s="11" t="str">
        <f t="array" ref="A7203">IFERROR(
  INDEX('Starlink Launches'!$A:$A, MATCH($E7203, 'Starlink Launches'!$B:$B, 0)),
  ""
)
</f>
        <v/>
      </c>
      <c r="B7203" s="26"/>
      <c r="C7203" s="12"/>
      <c r="D7203" s="13"/>
      <c r="E7203" s="4"/>
      <c r="F7203" s="4" t="str">
        <f>IF(D7203="","", IFNA(VLOOKUP(D7203, SATCAT_DECAY!A:B, 2, FALSE), ""))
</f>
        <v/>
      </c>
      <c r="G7203" s="3"/>
    </row>
    <row r="7204" ht="22.5" hidden="1" customHeight="1">
      <c r="A7204" s="11" t="str">
        <f t="array" ref="A7204">IFERROR(
  INDEX('Starlink Launches'!$A:$A, MATCH($E7204, 'Starlink Launches'!$B:$B, 0)),
  ""
)
</f>
        <v/>
      </c>
      <c r="B7204" s="26"/>
      <c r="C7204" s="12"/>
      <c r="D7204" s="13"/>
      <c r="E7204" s="4"/>
      <c r="F7204" s="4" t="str">
        <f>IF(D7204="","", IFNA(VLOOKUP(D7204, SATCAT_DECAY!A:B, 2, FALSE), ""))
</f>
        <v/>
      </c>
      <c r="G7204" s="3"/>
    </row>
    <row r="7205" ht="22.5" hidden="1" customHeight="1">
      <c r="A7205" s="11" t="str">
        <f t="array" ref="A7205">IFERROR(
  INDEX('Starlink Launches'!$A:$A, MATCH($E7205, 'Starlink Launches'!$B:$B, 0)),
  ""
)
</f>
        <v/>
      </c>
      <c r="B7205" s="26"/>
      <c r="C7205" s="12"/>
      <c r="D7205" s="13"/>
      <c r="E7205" s="4"/>
      <c r="F7205" s="4" t="str">
        <f>IF(D7205="","", IFNA(VLOOKUP(D7205, SATCAT_DECAY!A:B, 2, FALSE), ""))
</f>
        <v/>
      </c>
      <c r="G7205" s="3"/>
    </row>
    <row r="7206" ht="22.5" hidden="1" customHeight="1">
      <c r="A7206" s="11" t="str">
        <f t="array" ref="A7206">IFERROR(
  INDEX('Starlink Launches'!$A:$A, MATCH($E7206, 'Starlink Launches'!$B:$B, 0)),
  ""
)
</f>
        <v/>
      </c>
      <c r="B7206" s="26"/>
      <c r="C7206" s="12"/>
      <c r="D7206" s="13"/>
      <c r="E7206" s="4"/>
      <c r="F7206" s="4" t="str">
        <f>IF(D7206="","", IFNA(VLOOKUP(D7206, SATCAT_DECAY!A:B, 2, FALSE), ""))
</f>
        <v/>
      </c>
      <c r="G7206" s="3"/>
    </row>
    <row r="7207" ht="22.5" hidden="1" customHeight="1">
      <c r="A7207" s="11" t="str">
        <f t="array" ref="A7207">IFERROR(
  INDEX('Starlink Launches'!$A:$A, MATCH($E7207, 'Starlink Launches'!$B:$B, 0)),
  ""
)
</f>
        <v/>
      </c>
      <c r="B7207" s="26"/>
      <c r="C7207" s="12"/>
      <c r="D7207" s="13"/>
      <c r="E7207" s="4"/>
      <c r="F7207" s="4" t="str">
        <f>IF(D7207="","", IFNA(VLOOKUP(D7207, SATCAT_DECAY!A:B, 2, FALSE), ""))
</f>
        <v/>
      </c>
      <c r="G7207" s="3"/>
    </row>
    <row r="7208" ht="22.5" hidden="1" customHeight="1">
      <c r="A7208" s="11" t="str">
        <f t="array" ref="A7208">IFERROR(
  INDEX('Starlink Launches'!$A:$A, MATCH($E7208, 'Starlink Launches'!$B:$B, 0)),
  ""
)
</f>
        <v/>
      </c>
      <c r="B7208" s="26"/>
      <c r="C7208" s="12"/>
      <c r="D7208" s="13"/>
      <c r="E7208" s="4"/>
      <c r="F7208" s="4" t="str">
        <f>IF(D7208="","", IFNA(VLOOKUP(D7208, SATCAT_DECAY!A:B, 2, FALSE), ""))
</f>
        <v/>
      </c>
      <c r="G7208" s="3"/>
    </row>
    <row r="7209" ht="22.5" hidden="1" customHeight="1">
      <c r="A7209" s="11" t="str">
        <f t="array" ref="A7209">IFERROR(
  INDEX('Starlink Launches'!$A:$A, MATCH($E7209, 'Starlink Launches'!$B:$B, 0)),
  ""
)
</f>
        <v/>
      </c>
      <c r="B7209" s="26"/>
      <c r="C7209" s="12"/>
      <c r="D7209" s="13"/>
      <c r="E7209" s="4"/>
      <c r="F7209" s="4" t="str">
        <f>IF(D7209="","", IFNA(VLOOKUP(D7209, SATCAT_DECAY!A:B, 2, FALSE), ""))
</f>
        <v/>
      </c>
      <c r="G7209" s="3"/>
    </row>
    <row r="7210" ht="22.5" hidden="1" customHeight="1">
      <c r="A7210" s="11" t="str">
        <f t="array" ref="A7210">IFERROR(
  INDEX('Starlink Launches'!$A:$A, MATCH($E7210, 'Starlink Launches'!$B:$B, 0)),
  ""
)
</f>
        <v/>
      </c>
      <c r="B7210" s="26"/>
      <c r="C7210" s="12"/>
      <c r="D7210" s="13"/>
      <c r="E7210" s="4"/>
      <c r="F7210" s="4" t="str">
        <f>IF(D7210="","", IFNA(VLOOKUP(D7210, SATCAT_DECAY!A:B, 2, FALSE), ""))
</f>
        <v/>
      </c>
      <c r="G7210" s="3"/>
    </row>
    <row r="7211" ht="22.5" hidden="1" customHeight="1">
      <c r="A7211" s="11" t="str">
        <f t="array" ref="A7211">IFERROR(
  INDEX('Starlink Launches'!$A:$A, MATCH($E7211, 'Starlink Launches'!$B:$B, 0)),
  ""
)
</f>
        <v/>
      </c>
      <c r="B7211" s="26"/>
      <c r="C7211" s="12"/>
      <c r="D7211" s="13"/>
      <c r="E7211" s="4"/>
      <c r="F7211" s="4" t="str">
        <f>IF(D7211="","", IFNA(VLOOKUP(D7211, SATCAT_DECAY!A:B, 2, FALSE), ""))
</f>
        <v/>
      </c>
      <c r="G7211" s="3"/>
    </row>
    <row r="7212" ht="22.5" hidden="1" customHeight="1">
      <c r="A7212" s="11" t="str">
        <f t="array" ref="A7212">IFERROR(
  INDEX('Starlink Launches'!$A:$A, MATCH($E7212, 'Starlink Launches'!$B:$B, 0)),
  ""
)
</f>
        <v/>
      </c>
      <c r="B7212" s="26"/>
      <c r="C7212" s="12"/>
      <c r="D7212" s="13"/>
      <c r="E7212" s="4"/>
      <c r="F7212" s="4" t="str">
        <f>IF(D7212="","", IFNA(VLOOKUP(D7212, SATCAT_DECAY!A:B, 2, FALSE), ""))
</f>
        <v/>
      </c>
      <c r="G7212" s="3"/>
    </row>
    <row r="7213" ht="22.5" hidden="1" customHeight="1">
      <c r="A7213" s="11" t="str">
        <f t="array" ref="A7213">IFERROR(
  INDEX('Starlink Launches'!$A:$A, MATCH($E7213, 'Starlink Launches'!$B:$B, 0)),
  ""
)
</f>
        <v/>
      </c>
      <c r="B7213" s="26"/>
      <c r="C7213" s="12"/>
      <c r="D7213" s="13"/>
      <c r="E7213" s="4"/>
      <c r="F7213" s="4" t="str">
        <f>IF(D7213="","", IFNA(VLOOKUP(D7213, SATCAT_DECAY!A:B, 2, FALSE), ""))
</f>
        <v/>
      </c>
      <c r="G7213" s="3"/>
    </row>
    <row r="7214" ht="22.5" hidden="1" customHeight="1">
      <c r="A7214" s="11" t="str">
        <f t="array" ref="A7214">IFERROR(
  INDEX('Starlink Launches'!$A:$A, MATCH($E7214, 'Starlink Launches'!$B:$B, 0)),
  ""
)
</f>
        <v/>
      </c>
      <c r="B7214" s="26"/>
      <c r="C7214" s="12"/>
      <c r="D7214" s="13"/>
      <c r="E7214" s="4"/>
      <c r="F7214" s="4" t="str">
        <f>IF(D7214="","", IFNA(VLOOKUP(D7214, SATCAT_DECAY!A:B, 2, FALSE), ""))
</f>
        <v/>
      </c>
      <c r="G7214" s="3"/>
    </row>
    <row r="7215" ht="22.5" hidden="1" customHeight="1">
      <c r="A7215" s="11" t="str">
        <f t="array" ref="A7215">IFERROR(
  INDEX('Starlink Launches'!$A:$A, MATCH($E7215, 'Starlink Launches'!$B:$B, 0)),
  ""
)
</f>
        <v/>
      </c>
      <c r="B7215" s="26"/>
      <c r="C7215" s="12"/>
      <c r="D7215" s="13"/>
      <c r="E7215" s="4"/>
      <c r="F7215" s="4" t="str">
        <f>IF(D7215="","", IFNA(VLOOKUP(D7215, SATCAT_DECAY!A:B, 2, FALSE), ""))
</f>
        <v/>
      </c>
      <c r="G7215" s="3"/>
    </row>
    <row r="7216" ht="22.5" hidden="1" customHeight="1">
      <c r="A7216" s="11" t="str">
        <f t="array" ref="A7216">IFERROR(
  INDEX('Starlink Launches'!$A:$A, MATCH($E7216, 'Starlink Launches'!$B:$B, 0)),
  ""
)
</f>
        <v/>
      </c>
      <c r="B7216" s="26"/>
      <c r="C7216" s="12"/>
      <c r="D7216" s="13"/>
      <c r="E7216" s="4"/>
      <c r="F7216" s="4" t="str">
        <f>IF(D7216="","", IFNA(VLOOKUP(D7216, SATCAT_DECAY!A:B, 2, FALSE), ""))
</f>
        <v/>
      </c>
      <c r="G7216" s="3"/>
    </row>
    <row r="7217" ht="22.5" hidden="1" customHeight="1">
      <c r="A7217" s="11" t="str">
        <f t="array" ref="A7217">IFERROR(
  INDEX('Starlink Launches'!$A:$A, MATCH($E7217, 'Starlink Launches'!$B:$B, 0)),
  ""
)
</f>
        <v/>
      </c>
      <c r="B7217" s="26"/>
      <c r="C7217" s="12"/>
      <c r="D7217" s="13"/>
      <c r="E7217" s="4"/>
      <c r="F7217" s="4" t="str">
        <f>IF(D7217="","", IFNA(VLOOKUP(D7217, SATCAT_DECAY!A:B, 2, FALSE), ""))
</f>
        <v/>
      </c>
      <c r="G7217" s="3"/>
    </row>
    <row r="7218" ht="22.5" hidden="1" customHeight="1">
      <c r="A7218" s="11" t="str">
        <f t="array" ref="A7218">IFERROR(
  INDEX('Starlink Launches'!$A:$A, MATCH($E7218, 'Starlink Launches'!$B:$B, 0)),
  ""
)
</f>
        <v/>
      </c>
      <c r="B7218" s="26"/>
      <c r="C7218" s="12"/>
      <c r="D7218" s="13"/>
      <c r="E7218" s="4"/>
      <c r="F7218" s="4" t="str">
        <f>IF(D7218="","", IFNA(VLOOKUP(D7218, SATCAT_DECAY!A:B, 2, FALSE), ""))
</f>
        <v/>
      </c>
      <c r="G7218" s="3"/>
    </row>
    <row r="7219" ht="22.5" hidden="1" customHeight="1">
      <c r="A7219" s="11" t="str">
        <f t="array" ref="A7219">IFERROR(
  INDEX('Starlink Launches'!$A:$A, MATCH($E7219, 'Starlink Launches'!$B:$B, 0)),
  ""
)
</f>
        <v/>
      </c>
      <c r="B7219" s="26"/>
      <c r="C7219" s="12"/>
      <c r="D7219" s="13"/>
      <c r="E7219" s="4"/>
      <c r="F7219" s="4" t="str">
        <f>IF(D7219="","", IFNA(VLOOKUP(D7219, SATCAT_DECAY!A:B, 2, FALSE), ""))
</f>
        <v/>
      </c>
      <c r="G7219" s="3"/>
    </row>
    <row r="7220" ht="22.5" hidden="1" customHeight="1">
      <c r="A7220" s="11" t="str">
        <f t="array" ref="A7220">IFERROR(
  INDEX('Starlink Launches'!$A:$A, MATCH($E7220, 'Starlink Launches'!$B:$B, 0)),
  ""
)
</f>
        <v/>
      </c>
      <c r="B7220" s="26"/>
      <c r="C7220" s="12"/>
      <c r="D7220" s="13"/>
      <c r="E7220" s="4"/>
      <c r="F7220" s="4" t="str">
        <f>IF(D7220="","", IFNA(VLOOKUP(D7220, SATCAT_DECAY!A:B, 2, FALSE), ""))
</f>
        <v/>
      </c>
      <c r="G7220" s="3"/>
    </row>
    <row r="7221" ht="22.5" hidden="1" customHeight="1">
      <c r="A7221" s="11" t="str">
        <f t="array" ref="A7221">IFERROR(
  INDEX('Starlink Launches'!$A:$A, MATCH($E7221, 'Starlink Launches'!$B:$B, 0)),
  ""
)
</f>
        <v/>
      </c>
      <c r="B7221" s="26"/>
      <c r="C7221" s="12"/>
      <c r="D7221" s="13"/>
      <c r="E7221" s="4"/>
      <c r="F7221" s="4" t="str">
        <f>IF(D7221="","", IFNA(VLOOKUP(D7221, SATCAT_DECAY!A:B, 2, FALSE), ""))
</f>
        <v/>
      </c>
      <c r="G7221" s="3"/>
    </row>
    <row r="7222" ht="22.5" hidden="1" customHeight="1">
      <c r="A7222" s="11" t="str">
        <f t="array" ref="A7222">IFERROR(
  INDEX('Starlink Launches'!$A:$A, MATCH($E7222, 'Starlink Launches'!$B:$B, 0)),
  ""
)
</f>
        <v/>
      </c>
      <c r="B7222" s="26"/>
      <c r="C7222" s="12"/>
      <c r="D7222" s="13"/>
      <c r="E7222" s="4"/>
      <c r="F7222" s="4" t="str">
        <f>IF(D7222="","", IFNA(VLOOKUP(D7222, SATCAT_DECAY!A:B, 2, FALSE), ""))
</f>
        <v/>
      </c>
      <c r="G7222" s="3"/>
    </row>
    <row r="7223" ht="22.5" hidden="1" customHeight="1">
      <c r="A7223" s="11" t="str">
        <f t="array" ref="A7223">IFERROR(
  INDEX('Starlink Launches'!$A:$A, MATCH($E7223, 'Starlink Launches'!$B:$B, 0)),
  ""
)
</f>
        <v/>
      </c>
      <c r="B7223" s="26"/>
      <c r="C7223" s="12"/>
      <c r="D7223" s="13"/>
      <c r="E7223" s="4"/>
      <c r="F7223" s="4" t="str">
        <f>IF(D7223="","", IFNA(VLOOKUP(D7223, SATCAT_DECAY!A:B, 2, FALSE), ""))
</f>
        <v/>
      </c>
      <c r="G7223" s="3"/>
    </row>
    <row r="7224" ht="22.5" hidden="1" customHeight="1">
      <c r="A7224" s="11" t="str">
        <f t="array" ref="A7224">IFERROR(
  INDEX('Starlink Launches'!$A:$A, MATCH($E7224, 'Starlink Launches'!$B:$B, 0)),
  ""
)
</f>
        <v/>
      </c>
      <c r="B7224" s="26"/>
      <c r="C7224" s="12"/>
      <c r="D7224" s="13"/>
      <c r="E7224" s="4"/>
      <c r="F7224" s="4" t="str">
        <f>IF(D7224="","", IFNA(VLOOKUP(D7224, SATCAT_DECAY!A:B, 2, FALSE), ""))
</f>
        <v/>
      </c>
      <c r="G7224" s="3"/>
    </row>
    <row r="7225" ht="22.5" hidden="1" customHeight="1">
      <c r="A7225" s="11" t="str">
        <f t="array" ref="A7225">IFERROR(
  INDEX('Starlink Launches'!$A:$A, MATCH($E7225, 'Starlink Launches'!$B:$B, 0)),
  ""
)
</f>
        <v/>
      </c>
      <c r="B7225" s="26"/>
      <c r="C7225" s="12"/>
      <c r="D7225" s="13"/>
      <c r="E7225" s="4"/>
      <c r="F7225" s="4" t="str">
        <f>IF(D7225="","", IFNA(VLOOKUP(D7225, SATCAT_DECAY!A:B, 2, FALSE), ""))
</f>
        <v/>
      </c>
      <c r="G7225" s="3"/>
    </row>
    <row r="7226" ht="22.5" hidden="1" customHeight="1">
      <c r="A7226" s="11" t="str">
        <f t="array" ref="A7226">IFERROR(
  INDEX('Starlink Launches'!$A:$A, MATCH($E7226, 'Starlink Launches'!$B:$B, 0)),
  ""
)
</f>
        <v/>
      </c>
      <c r="B7226" s="26"/>
      <c r="C7226" s="12"/>
      <c r="D7226" s="13"/>
      <c r="E7226" s="4"/>
      <c r="F7226" s="4" t="str">
        <f>IF(D7226="","", IFNA(VLOOKUP(D7226, SATCAT_DECAY!A:B, 2, FALSE), ""))
</f>
        <v/>
      </c>
      <c r="G7226" s="3"/>
    </row>
    <row r="7227" ht="22.5" hidden="1" customHeight="1">
      <c r="A7227" s="11" t="str">
        <f t="array" ref="A7227">IFERROR(
  INDEX('Starlink Launches'!$A:$A, MATCH($E7227, 'Starlink Launches'!$B:$B, 0)),
  ""
)
</f>
        <v/>
      </c>
      <c r="B7227" s="26"/>
      <c r="C7227" s="12"/>
      <c r="D7227" s="13"/>
      <c r="E7227" s="4"/>
      <c r="F7227" s="4" t="str">
        <f>IF(D7227="","", IFNA(VLOOKUP(D7227, SATCAT_DECAY!A:B, 2, FALSE), ""))
</f>
        <v/>
      </c>
      <c r="G7227" s="3"/>
    </row>
    <row r="7228" ht="22.5" hidden="1" customHeight="1">
      <c r="A7228" s="11" t="str">
        <f t="array" ref="A7228">IFERROR(
  INDEX('Starlink Launches'!$A:$A, MATCH($E7228, 'Starlink Launches'!$B:$B, 0)),
  ""
)
</f>
        <v/>
      </c>
      <c r="B7228" s="26"/>
      <c r="C7228" s="12"/>
      <c r="D7228" s="13"/>
      <c r="E7228" s="4"/>
      <c r="F7228" s="4" t="str">
        <f>IF(D7228="","", IFNA(VLOOKUP(D7228, SATCAT_DECAY!A:B, 2, FALSE), ""))
</f>
        <v/>
      </c>
      <c r="G7228" s="3"/>
    </row>
    <row r="7229" ht="22.5" hidden="1" customHeight="1">
      <c r="A7229" s="11" t="str">
        <f t="array" ref="A7229">IFERROR(
  INDEX('Starlink Launches'!$A:$A, MATCH($E7229, 'Starlink Launches'!$B:$B, 0)),
  ""
)
</f>
        <v/>
      </c>
      <c r="B7229" s="26"/>
      <c r="C7229" s="12"/>
      <c r="D7229" s="13"/>
      <c r="E7229" s="4"/>
      <c r="F7229" s="4" t="str">
        <f>IF(D7229="","", IFNA(VLOOKUP(D7229, SATCAT_DECAY!A:B, 2, FALSE), ""))
</f>
        <v/>
      </c>
      <c r="G7229" s="3"/>
    </row>
    <row r="7230" ht="22.5" hidden="1" customHeight="1">
      <c r="A7230" s="11" t="str">
        <f t="array" ref="A7230">IFERROR(
  INDEX('Starlink Launches'!$A:$A, MATCH($E7230, 'Starlink Launches'!$B:$B, 0)),
  ""
)
</f>
        <v/>
      </c>
      <c r="B7230" s="26"/>
      <c r="C7230" s="12"/>
      <c r="D7230" s="13"/>
      <c r="E7230" s="4"/>
      <c r="F7230" s="4" t="str">
        <f>IF(D7230="","", IFNA(VLOOKUP(D7230, SATCAT_DECAY!A:B, 2, FALSE), ""))
</f>
        <v/>
      </c>
      <c r="G7230" s="3"/>
    </row>
    <row r="7231" ht="22.5" hidden="1" customHeight="1">
      <c r="A7231" s="11" t="str">
        <f t="array" ref="A7231">IFERROR(
  INDEX('Starlink Launches'!$A:$A, MATCH($E7231, 'Starlink Launches'!$B:$B, 0)),
  ""
)
</f>
        <v/>
      </c>
      <c r="B7231" s="26"/>
      <c r="C7231" s="12"/>
      <c r="D7231" s="13"/>
      <c r="E7231" s="4"/>
      <c r="F7231" s="4" t="str">
        <f>IF(D7231="","", IFNA(VLOOKUP(D7231, SATCAT_DECAY!A:B, 2, FALSE), ""))
</f>
        <v/>
      </c>
      <c r="G7231" s="3"/>
    </row>
    <row r="7232" ht="22.5" hidden="1" customHeight="1">
      <c r="A7232" s="11" t="str">
        <f t="array" ref="A7232">IFERROR(
  INDEX('Starlink Launches'!$A:$A, MATCH($E7232, 'Starlink Launches'!$B:$B, 0)),
  ""
)
</f>
        <v/>
      </c>
      <c r="B7232" s="26"/>
      <c r="C7232" s="12"/>
      <c r="D7232" s="13"/>
      <c r="E7232" s="4"/>
      <c r="F7232" s="4" t="str">
        <f>IF(D7232="","", IFNA(VLOOKUP(D7232, SATCAT_DECAY!A:B, 2, FALSE), ""))
</f>
        <v/>
      </c>
      <c r="G7232" s="3"/>
    </row>
    <row r="7233" ht="22.5" hidden="1" customHeight="1">
      <c r="A7233" s="11" t="str">
        <f t="array" ref="A7233">IFERROR(
  INDEX('Starlink Launches'!$A:$A, MATCH($E7233, 'Starlink Launches'!$B:$B, 0)),
  ""
)
</f>
        <v/>
      </c>
      <c r="B7233" s="26"/>
      <c r="C7233" s="12"/>
      <c r="D7233" s="13"/>
      <c r="E7233" s="4"/>
      <c r="F7233" s="4" t="str">
        <f>IF(D7233="","", IFNA(VLOOKUP(D7233, SATCAT_DECAY!A:B, 2, FALSE), ""))
</f>
        <v/>
      </c>
      <c r="G7233" s="3"/>
    </row>
    <row r="7234" ht="22.5" hidden="1" customHeight="1">
      <c r="A7234" s="11" t="str">
        <f t="array" ref="A7234">IFERROR(
  INDEX('Starlink Launches'!$A:$A, MATCH($E7234, 'Starlink Launches'!$B:$B, 0)),
  ""
)
</f>
        <v/>
      </c>
      <c r="B7234" s="26"/>
      <c r="C7234" s="12"/>
      <c r="D7234" s="13"/>
      <c r="E7234" s="4"/>
      <c r="F7234" s="4" t="str">
        <f>IF(D7234="","", IFNA(VLOOKUP(D7234, SATCAT_DECAY!A:B, 2, FALSE), ""))
</f>
        <v/>
      </c>
      <c r="G7234" s="3"/>
    </row>
    <row r="7235" ht="22.5" hidden="1" customHeight="1">
      <c r="A7235" s="11" t="str">
        <f t="array" ref="A7235">IFERROR(
  INDEX('Starlink Launches'!$A:$A, MATCH($E7235, 'Starlink Launches'!$B:$B, 0)),
  ""
)
</f>
        <v/>
      </c>
      <c r="B7235" s="26"/>
      <c r="C7235" s="12"/>
      <c r="D7235" s="13"/>
      <c r="E7235" s="4"/>
      <c r="F7235" s="4" t="str">
        <f>IF(D7235="","", IFNA(VLOOKUP(D7235, SATCAT_DECAY!A:B, 2, FALSE), ""))
</f>
        <v/>
      </c>
      <c r="G7235" s="3"/>
    </row>
    <row r="7236" ht="22.5" hidden="1" customHeight="1">
      <c r="A7236" s="11" t="str">
        <f t="array" ref="A7236">IFERROR(
  INDEX('Starlink Launches'!$A:$A, MATCH($E7236, 'Starlink Launches'!$B:$B, 0)),
  ""
)
</f>
        <v/>
      </c>
      <c r="B7236" s="26"/>
      <c r="C7236" s="12"/>
      <c r="D7236" s="13"/>
      <c r="E7236" s="4"/>
      <c r="F7236" s="4" t="str">
        <f>IF(D7236="","", IFNA(VLOOKUP(D7236, SATCAT_DECAY!A:B, 2, FALSE), ""))
</f>
        <v/>
      </c>
      <c r="G7236" s="3"/>
    </row>
    <row r="7237" ht="22.5" hidden="1" customHeight="1">
      <c r="A7237" s="11" t="str">
        <f t="array" ref="A7237">IFERROR(
  INDEX('Starlink Launches'!$A:$A, MATCH($E7237, 'Starlink Launches'!$B:$B, 0)),
  ""
)
</f>
        <v/>
      </c>
      <c r="B7237" s="26"/>
      <c r="C7237" s="12"/>
      <c r="D7237" s="13"/>
      <c r="E7237" s="4"/>
      <c r="F7237" s="4" t="str">
        <f>IF(D7237="","", IFNA(VLOOKUP(D7237, SATCAT_DECAY!A:B, 2, FALSE), ""))
</f>
        <v/>
      </c>
      <c r="G7237" s="3"/>
    </row>
    <row r="7238" ht="22.5" hidden="1" customHeight="1">
      <c r="A7238" s="11" t="str">
        <f t="array" ref="A7238">IFERROR(
  INDEX('Starlink Launches'!$A:$A, MATCH($E7238, 'Starlink Launches'!$B:$B, 0)),
  ""
)
</f>
        <v/>
      </c>
      <c r="B7238" s="26"/>
      <c r="C7238" s="12"/>
      <c r="D7238" s="13"/>
      <c r="E7238" s="4"/>
      <c r="F7238" s="4" t="str">
        <f>IF(D7238="","", IFNA(VLOOKUP(D7238, SATCAT_DECAY!A:B, 2, FALSE), ""))
</f>
        <v/>
      </c>
      <c r="G7238" s="3"/>
    </row>
    <row r="7239" ht="22.5" hidden="1" customHeight="1">
      <c r="A7239" s="11" t="str">
        <f t="array" ref="A7239">IFERROR(
  INDEX('Starlink Launches'!$A:$A, MATCH($E7239, 'Starlink Launches'!$B:$B, 0)),
  ""
)
</f>
        <v/>
      </c>
      <c r="B7239" s="26"/>
      <c r="C7239" s="12"/>
      <c r="D7239" s="13"/>
      <c r="E7239" s="4"/>
      <c r="F7239" s="4" t="str">
        <f>IF(D7239="","", IFNA(VLOOKUP(D7239, SATCAT_DECAY!A:B, 2, FALSE), ""))
</f>
        <v/>
      </c>
      <c r="G7239" s="3"/>
    </row>
    <row r="7240" ht="22.5" hidden="1" customHeight="1">
      <c r="A7240" s="11" t="str">
        <f t="array" ref="A7240">IFERROR(
  INDEX('Starlink Launches'!$A:$A, MATCH($E7240, 'Starlink Launches'!$B:$B, 0)),
  ""
)
</f>
        <v/>
      </c>
      <c r="B7240" s="26"/>
      <c r="C7240" s="12"/>
      <c r="D7240" s="13"/>
      <c r="E7240" s="4"/>
      <c r="F7240" s="4" t="str">
        <f>IF(D7240="","", IFNA(VLOOKUP(D7240, SATCAT_DECAY!A:B, 2, FALSE), ""))
</f>
        <v/>
      </c>
      <c r="G7240" s="3"/>
    </row>
    <row r="7241" ht="22.5" hidden="1" customHeight="1">
      <c r="A7241" s="11" t="str">
        <f t="array" ref="A7241">IFERROR(
  INDEX('Starlink Launches'!$A:$A, MATCH($E7241, 'Starlink Launches'!$B:$B, 0)),
  ""
)
</f>
        <v/>
      </c>
      <c r="B7241" s="26"/>
      <c r="C7241" s="12"/>
      <c r="D7241" s="13"/>
      <c r="E7241" s="4"/>
      <c r="F7241" s="4" t="str">
        <f>IF(D7241="","", IFNA(VLOOKUP(D7241, SATCAT_DECAY!A:B, 2, FALSE), ""))
</f>
        <v/>
      </c>
      <c r="G7241" s="3"/>
    </row>
    <row r="7242" ht="22.5" hidden="1" customHeight="1">
      <c r="A7242" s="11" t="str">
        <f t="array" ref="A7242">IFERROR(
  INDEX('Starlink Launches'!$A:$A, MATCH($E7242, 'Starlink Launches'!$B:$B, 0)),
  ""
)
</f>
        <v/>
      </c>
      <c r="B7242" s="26"/>
      <c r="C7242" s="12"/>
      <c r="D7242" s="13"/>
      <c r="E7242" s="4"/>
      <c r="F7242" s="4" t="str">
        <f>IF(D7242="","", IFNA(VLOOKUP(D7242, SATCAT_DECAY!A:B, 2, FALSE), ""))
</f>
        <v/>
      </c>
      <c r="G7242" s="3"/>
    </row>
    <row r="7243" ht="22.5" hidden="1" customHeight="1">
      <c r="A7243" s="11" t="str">
        <f t="array" ref="A7243">IFERROR(
  INDEX('Starlink Launches'!$A:$A, MATCH($E7243, 'Starlink Launches'!$B:$B, 0)),
  ""
)
</f>
        <v/>
      </c>
      <c r="B7243" s="26"/>
      <c r="C7243" s="12"/>
      <c r="D7243" s="13"/>
      <c r="E7243" s="4"/>
      <c r="F7243" s="4" t="str">
        <f>IF(D7243="","", IFNA(VLOOKUP(D7243, SATCAT_DECAY!A:B, 2, FALSE), ""))
</f>
        <v/>
      </c>
      <c r="G7243" s="3"/>
    </row>
    <row r="7244" ht="22.5" hidden="1" customHeight="1">
      <c r="A7244" s="11" t="str">
        <f t="array" ref="A7244">IFERROR(
  INDEX('Starlink Launches'!$A:$A, MATCH($E7244, 'Starlink Launches'!$B:$B, 0)),
  ""
)
</f>
        <v/>
      </c>
      <c r="B7244" s="26"/>
      <c r="C7244" s="12"/>
      <c r="D7244" s="13"/>
      <c r="E7244" s="4"/>
      <c r="F7244" s="4" t="str">
        <f>IF(D7244="","", IFNA(VLOOKUP(D7244, SATCAT_DECAY!A:B, 2, FALSE), ""))
</f>
        <v/>
      </c>
      <c r="G7244" s="3"/>
    </row>
    <row r="7245" ht="22.5" hidden="1" customHeight="1">
      <c r="A7245" s="11" t="str">
        <f t="array" ref="A7245">IFERROR(
  INDEX('Starlink Launches'!$A:$A, MATCH($E7245, 'Starlink Launches'!$B:$B, 0)),
  ""
)
</f>
        <v/>
      </c>
      <c r="B7245" s="26"/>
      <c r="C7245" s="12"/>
      <c r="D7245" s="13"/>
      <c r="E7245" s="4"/>
      <c r="F7245" s="4" t="str">
        <f>IF(D7245="","", IFNA(VLOOKUP(D7245, SATCAT_DECAY!A:B, 2, FALSE), ""))
</f>
        <v/>
      </c>
      <c r="G7245" s="3"/>
    </row>
    <row r="7246" ht="22.5" hidden="1" customHeight="1">
      <c r="A7246" s="11" t="str">
        <f t="array" ref="A7246">IFERROR(
  INDEX('Starlink Launches'!$A:$A, MATCH($E7246, 'Starlink Launches'!$B:$B, 0)),
  ""
)
</f>
        <v/>
      </c>
      <c r="B7246" s="26"/>
      <c r="C7246" s="12"/>
      <c r="D7246" s="13"/>
      <c r="E7246" s="4"/>
      <c r="F7246" s="4" t="str">
        <f>IF(D7246="","", IFNA(VLOOKUP(D7246, SATCAT_DECAY!A:B, 2, FALSE), ""))
</f>
        <v/>
      </c>
      <c r="G7246" s="3"/>
    </row>
    <row r="7247" ht="22.5" hidden="1" customHeight="1">
      <c r="A7247" s="11" t="str">
        <f t="array" ref="A7247">IFERROR(
  INDEX('Starlink Launches'!$A:$A, MATCH($E7247, 'Starlink Launches'!$B:$B, 0)),
  ""
)
</f>
        <v/>
      </c>
      <c r="B7247" s="26"/>
      <c r="C7247" s="12"/>
      <c r="D7247" s="13"/>
      <c r="E7247" s="4"/>
      <c r="F7247" s="4" t="str">
        <f>IF(D7247="","", IFNA(VLOOKUP(D7247, SATCAT_DECAY!A:B, 2, FALSE), ""))
</f>
        <v/>
      </c>
      <c r="G7247" s="3"/>
    </row>
    <row r="7248" ht="22.5" hidden="1" customHeight="1">
      <c r="A7248" s="11" t="str">
        <f t="array" ref="A7248">IFERROR(
  INDEX('Starlink Launches'!$A:$A, MATCH($E7248, 'Starlink Launches'!$B:$B, 0)),
  ""
)
</f>
        <v/>
      </c>
      <c r="B7248" s="26"/>
      <c r="C7248" s="12"/>
      <c r="D7248" s="13"/>
      <c r="E7248" s="4"/>
      <c r="F7248" s="4" t="str">
        <f>IF(D7248="","", IFNA(VLOOKUP(D7248, SATCAT_DECAY!A:B, 2, FALSE), ""))
</f>
        <v/>
      </c>
      <c r="G7248" s="3"/>
    </row>
    <row r="7249" ht="22.5" hidden="1" customHeight="1">
      <c r="A7249" s="11" t="str">
        <f t="array" ref="A7249">IFERROR(
  INDEX('Starlink Launches'!$A:$A, MATCH($E7249, 'Starlink Launches'!$B:$B, 0)),
  ""
)
</f>
        <v/>
      </c>
      <c r="B7249" s="26"/>
      <c r="C7249" s="12"/>
      <c r="D7249" s="13"/>
      <c r="E7249" s="4"/>
      <c r="F7249" s="4" t="str">
        <f>IF(D7249="","", IFNA(VLOOKUP(D7249, SATCAT_DECAY!A:B, 2, FALSE), ""))
</f>
        <v/>
      </c>
      <c r="G7249" s="3"/>
    </row>
    <row r="7250" ht="22.5" hidden="1" customHeight="1">
      <c r="A7250" s="11" t="str">
        <f t="array" ref="A7250">IFERROR(
  INDEX('Starlink Launches'!$A:$A, MATCH($E7250, 'Starlink Launches'!$B:$B, 0)),
  ""
)
</f>
        <v/>
      </c>
      <c r="B7250" s="26"/>
      <c r="C7250" s="12"/>
      <c r="D7250" s="13"/>
      <c r="E7250" s="4"/>
      <c r="F7250" s="4" t="str">
        <f>IF(D7250="","", IFNA(VLOOKUP(D7250, SATCAT_DECAY!A:B, 2, FALSE), ""))
</f>
        <v/>
      </c>
      <c r="G7250" s="3"/>
    </row>
    <row r="7251" ht="22.5" hidden="1" customHeight="1">
      <c r="A7251" s="11" t="str">
        <f t="array" ref="A7251">IFERROR(
  INDEX('Starlink Launches'!$A:$A, MATCH($E7251, 'Starlink Launches'!$B:$B, 0)),
  ""
)
</f>
        <v/>
      </c>
      <c r="B7251" s="26"/>
      <c r="C7251" s="12"/>
      <c r="D7251" s="13"/>
      <c r="E7251" s="4"/>
      <c r="F7251" s="4" t="str">
        <f>IF(D7251="","", IFNA(VLOOKUP(D7251, SATCAT_DECAY!A:B, 2, FALSE), ""))
</f>
        <v/>
      </c>
      <c r="G7251" s="3"/>
    </row>
    <row r="7252" ht="22.5" hidden="1" customHeight="1">
      <c r="A7252" s="11" t="str">
        <f t="array" ref="A7252">IFERROR(
  INDEX('Starlink Launches'!$A:$A, MATCH($E7252, 'Starlink Launches'!$B:$B, 0)),
  ""
)
</f>
        <v/>
      </c>
      <c r="B7252" s="26"/>
      <c r="C7252" s="12"/>
      <c r="D7252" s="13"/>
      <c r="E7252" s="4"/>
      <c r="F7252" s="4" t="str">
        <f>IF(D7252="","", IFNA(VLOOKUP(D7252, SATCAT_DECAY!A:B, 2, FALSE), ""))
</f>
        <v/>
      </c>
      <c r="G7252" s="3"/>
    </row>
    <row r="7253" ht="22.5" hidden="1" customHeight="1">
      <c r="A7253" s="11" t="str">
        <f t="array" ref="A7253">IFERROR(
  INDEX('Starlink Launches'!$A:$A, MATCH($E7253, 'Starlink Launches'!$B:$B, 0)),
  ""
)
</f>
        <v/>
      </c>
      <c r="B7253" s="26"/>
      <c r="C7253" s="12"/>
      <c r="D7253" s="13"/>
      <c r="E7253" s="4"/>
      <c r="F7253" s="4" t="str">
        <f>IF(D7253="","", IFNA(VLOOKUP(D7253, SATCAT_DECAY!A:B, 2, FALSE), ""))
</f>
        <v/>
      </c>
      <c r="G7253" s="3"/>
    </row>
    <row r="7254" ht="22.5" hidden="1" customHeight="1">
      <c r="A7254" s="11" t="str">
        <f t="array" ref="A7254">IFERROR(
  INDEX('Starlink Launches'!$A:$A, MATCH($E7254, 'Starlink Launches'!$B:$B, 0)),
  ""
)
</f>
        <v/>
      </c>
      <c r="B7254" s="26"/>
      <c r="C7254" s="12"/>
      <c r="D7254" s="13"/>
      <c r="E7254" s="4"/>
      <c r="F7254" s="4" t="str">
        <f>IF(D7254="","", IFNA(VLOOKUP(D7254, SATCAT_DECAY!A:B, 2, FALSE), ""))
</f>
        <v/>
      </c>
      <c r="G7254" s="3"/>
    </row>
    <row r="7255" ht="22.5" hidden="1" customHeight="1">
      <c r="A7255" s="11" t="str">
        <f t="array" ref="A7255">IFERROR(
  INDEX('Starlink Launches'!$A:$A, MATCH($E7255, 'Starlink Launches'!$B:$B, 0)),
  ""
)
</f>
        <v/>
      </c>
      <c r="B7255" s="26"/>
      <c r="C7255" s="12"/>
      <c r="D7255" s="13"/>
      <c r="E7255" s="4"/>
      <c r="F7255" s="4" t="str">
        <f>IF(D7255="","", IFNA(VLOOKUP(D7255, SATCAT_DECAY!A:B, 2, FALSE), ""))
</f>
        <v/>
      </c>
      <c r="G7255" s="3"/>
    </row>
    <row r="7256" ht="22.5" hidden="1" customHeight="1">
      <c r="A7256" s="11" t="str">
        <f t="array" ref="A7256">IFERROR(
  INDEX('Starlink Launches'!$A:$A, MATCH($E7256, 'Starlink Launches'!$B:$B, 0)),
  ""
)
</f>
        <v/>
      </c>
      <c r="B7256" s="26"/>
      <c r="C7256" s="12"/>
      <c r="D7256" s="13"/>
      <c r="E7256" s="4"/>
      <c r="F7256" s="4" t="str">
        <f>IF(D7256="","", IFNA(VLOOKUP(D7256, SATCAT_DECAY!A:B, 2, FALSE), ""))
</f>
        <v/>
      </c>
      <c r="G7256" s="3"/>
    </row>
    <row r="7257" ht="22.5" hidden="1" customHeight="1">
      <c r="A7257" s="11" t="str">
        <f t="array" ref="A7257">IFERROR(
  INDEX('Starlink Launches'!$A:$A, MATCH($E7257, 'Starlink Launches'!$B:$B, 0)),
  ""
)
</f>
        <v/>
      </c>
      <c r="B7257" s="26"/>
      <c r="C7257" s="12"/>
      <c r="D7257" s="13"/>
      <c r="E7257" s="4"/>
      <c r="F7257" s="4" t="str">
        <f>IF(D7257="","", IFNA(VLOOKUP(D7257, SATCAT_DECAY!A:B, 2, FALSE), ""))
</f>
        <v/>
      </c>
      <c r="G7257" s="3"/>
    </row>
    <row r="7258" ht="22.5" hidden="1" customHeight="1">
      <c r="A7258" s="11" t="str">
        <f t="array" ref="A7258">IFERROR(
  INDEX('Starlink Launches'!$A:$A, MATCH($E7258, 'Starlink Launches'!$B:$B, 0)),
  ""
)
</f>
        <v/>
      </c>
      <c r="B7258" s="26"/>
      <c r="C7258" s="12"/>
      <c r="D7258" s="13"/>
      <c r="E7258" s="4"/>
      <c r="F7258" s="4" t="str">
        <f>IF(D7258="","", IFNA(VLOOKUP(D7258, SATCAT_DECAY!A:B, 2, FALSE), ""))
</f>
        <v/>
      </c>
      <c r="G7258" s="3"/>
    </row>
    <row r="7259" ht="22.5" hidden="1" customHeight="1">
      <c r="A7259" s="11" t="str">
        <f t="array" ref="A7259">IFERROR(
  INDEX('Starlink Launches'!$A:$A, MATCH($E7259, 'Starlink Launches'!$B:$B, 0)),
  ""
)
</f>
        <v/>
      </c>
      <c r="B7259" s="26"/>
      <c r="C7259" s="12"/>
      <c r="D7259" s="13"/>
      <c r="E7259" s="4"/>
      <c r="F7259" s="4" t="str">
        <f>IF(D7259="","", IFNA(VLOOKUP(D7259, SATCAT_DECAY!A:B, 2, FALSE), ""))
</f>
        <v/>
      </c>
      <c r="G7259" s="3"/>
    </row>
    <row r="7260" ht="22.5" hidden="1" customHeight="1">
      <c r="A7260" s="11" t="str">
        <f t="array" ref="A7260">IFERROR(
  INDEX('Starlink Launches'!$A:$A, MATCH($E7260, 'Starlink Launches'!$B:$B, 0)),
  ""
)
</f>
        <v/>
      </c>
      <c r="B7260" s="26"/>
      <c r="C7260" s="12"/>
      <c r="D7260" s="13"/>
      <c r="E7260" s="4"/>
      <c r="F7260" s="4" t="str">
        <f>IF(D7260="","", IFNA(VLOOKUP(D7260, SATCAT_DECAY!A:B, 2, FALSE), ""))
</f>
        <v/>
      </c>
      <c r="G7260" s="3"/>
    </row>
    <row r="7261" ht="22.5" hidden="1" customHeight="1">
      <c r="A7261" s="11" t="str">
        <f t="array" ref="A7261">IFERROR(
  INDEX('Starlink Launches'!$A:$A, MATCH($E7261, 'Starlink Launches'!$B:$B, 0)),
  ""
)
</f>
        <v/>
      </c>
      <c r="B7261" s="26"/>
      <c r="C7261" s="12"/>
      <c r="D7261" s="13"/>
      <c r="E7261" s="4"/>
      <c r="F7261" s="4" t="str">
        <f>IF(D7261="","", IFNA(VLOOKUP(D7261, SATCAT_DECAY!A:B, 2, FALSE), ""))
</f>
        <v/>
      </c>
      <c r="G7261" s="3"/>
    </row>
    <row r="7262" ht="22.5" hidden="1" customHeight="1">
      <c r="A7262" s="11" t="str">
        <f t="array" ref="A7262">IFERROR(
  INDEX('Starlink Launches'!$A:$A, MATCH($E7262, 'Starlink Launches'!$B:$B, 0)),
  ""
)
</f>
        <v/>
      </c>
      <c r="B7262" s="26"/>
      <c r="C7262" s="12"/>
      <c r="D7262" s="13"/>
      <c r="E7262" s="4"/>
      <c r="F7262" s="4" t="str">
        <f>IF(D7262="","", IFNA(VLOOKUP(D7262, SATCAT_DECAY!A:B, 2, FALSE), ""))
</f>
        <v/>
      </c>
      <c r="G7262" s="3"/>
    </row>
    <row r="7263" ht="22.5" hidden="1" customHeight="1">
      <c r="A7263" s="11" t="str">
        <f t="array" ref="A7263">IFERROR(
  INDEX('Starlink Launches'!$A:$A, MATCH($E7263, 'Starlink Launches'!$B:$B, 0)),
  ""
)
</f>
        <v/>
      </c>
      <c r="B7263" s="26"/>
      <c r="C7263" s="12"/>
      <c r="D7263" s="13"/>
      <c r="E7263" s="4"/>
      <c r="F7263" s="4" t="str">
        <f>IF(D7263="","", IFNA(VLOOKUP(D7263, SATCAT_DECAY!A:B, 2, FALSE), ""))
</f>
        <v/>
      </c>
      <c r="G7263" s="3"/>
    </row>
    <row r="7264" ht="22.5" hidden="1" customHeight="1">
      <c r="A7264" s="11" t="str">
        <f t="array" ref="A7264">IFERROR(
  INDEX('Starlink Launches'!$A:$A, MATCH($E7264, 'Starlink Launches'!$B:$B, 0)),
  ""
)
</f>
        <v/>
      </c>
      <c r="B7264" s="26"/>
      <c r="C7264" s="12"/>
      <c r="D7264" s="13"/>
      <c r="E7264" s="4"/>
      <c r="F7264" s="4" t="str">
        <f>IF(D7264="","", IFNA(VLOOKUP(D7264, SATCAT_DECAY!A:B, 2, FALSE), ""))
</f>
        <v/>
      </c>
      <c r="G7264" s="3"/>
    </row>
    <row r="7265" ht="22.5" hidden="1" customHeight="1">
      <c r="A7265" s="11" t="str">
        <f t="array" ref="A7265">IFERROR(
  INDEX('Starlink Launches'!$A:$A, MATCH($E7265, 'Starlink Launches'!$B:$B, 0)),
  ""
)
</f>
        <v/>
      </c>
      <c r="B7265" s="26"/>
      <c r="C7265" s="12"/>
      <c r="D7265" s="13"/>
      <c r="E7265" s="4"/>
      <c r="F7265" s="4" t="str">
        <f>IF(D7265="","", IFNA(VLOOKUP(D7265, SATCAT_DECAY!A:B, 2, FALSE), ""))
</f>
        <v/>
      </c>
      <c r="G7265" s="3"/>
    </row>
    <row r="7266" ht="22.5" hidden="1" customHeight="1">
      <c r="A7266" s="11" t="str">
        <f t="array" ref="A7266">IFERROR(
  INDEX('Starlink Launches'!$A:$A, MATCH($E7266, 'Starlink Launches'!$B:$B, 0)),
  ""
)
</f>
        <v/>
      </c>
      <c r="B7266" s="26"/>
      <c r="C7266" s="12"/>
      <c r="D7266" s="13"/>
      <c r="E7266" s="4"/>
      <c r="F7266" s="4" t="str">
        <f>IF(D7266="","", IFNA(VLOOKUP(D7266, SATCAT_DECAY!A:B, 2, FALSE), ""))
</f>
        <v/>
      </c>
      <c r="G7266" s="3"/>
    </row>
    <row r="7267" ht="22.5" hidden="1" customHeight="1">
      <c r="A7267" s="11" t="str">
        <f t="array" ref="A7267">IFERROR(
  INDEX('Starlink Launches'!$A:$A, MATCH($E7267, 'Starlink Launches'!$B:$B, 0)),
  ""
)
</f>
        <v/>
      </c>
      <c r="B7267" s="26"/>
      <c r="C7267" s="12"/>
      <c r="D7267" s="13"/>
      <c r="E7267" s="4"/>
      <c r="F7267" s="4" t="str">
        <f>IF(D7267="","", IFNA(VLOOKUP(D7267, SATCAT_DECAY!A:B, 2, FALSE), ""))
</f>
        <v/>
      </c>
      <c r="G7267" s="3"/>
    </row>
    <row r="7268" ht="22.5" hidden="1" customHeight="1">
      <c r="A7268" s="11" t="str">
        <f t="array" ref="A7268">IFERROR(
  INDEX('Starlink Launches'!$A:$A, MATCH($E7268, 'Starlink Launches'!$B:$B, 0)),
  ""
)
</f>
        <v/>
      </c>
      <c r="B7268" s="26"/>
      <c r="C7268" s="12"/>
      <c r="D7268" s="13"/>
      <c r="E7268" s="4"/>
      <c r="F7268" s="4" t="str">
        <f>IF(D7268="","", IFNA(VLOOKUP(D7268, SATCAT_DECAY!A:B, 2, FALSE), ""))
</f>
        <v/>
      </c>
      <c r="G7268" s="3"/>
    </row>
    <row r="7269" ht="22.5" hidden="1" customHeight="1">
      <c r="A7269" s="11" t="str">
        <f t="array" ref="A7269">IFERROR(
  INDEX('Starlink Launches'!$A:$A, MATCH($E7269, 'Starlink Launches'!$B:$B, 0)),
  ""
)
</f>
        <v/>
      </c>
      <c r="B7269" s="26"/>
      <c r="C7269" s="12"/>
      <c r="D7269" s="13"/>
      <c r="E7269" s="4"/>
      <c r="F7269" s="4" t="str">
        <f>IF(D7269="","", IFNA(VLOOKUP(D7269, SATCAT_DECAY!A:B, 2, FALSE), ""))
</f>
        <v/>
      </c>
      <c r="G7269" s="3"/>
    </row>
    <row r="7270" ht="22.5" hidden="1" customHeight="1">
      <c r="A7270" s="11" t="str">
        <f t="array" ref="A7270">IFERROR(
  INDEX('Starlink Launches'!$A:$A, MATCH($E7270, 'Starlink Launches'!$B:$B, 0)),
  ""
)
</f>
        <v/>
      </c>
      <c r="B7270" s="26"/>
      <c r="C7270" s="12"/>
      <c r="D7270" s="13"/>
      <c r="E7270" s="4"/>
      <c r="F7270" s="4" t="str">
        <f>IF(D7270="","", IFNA(VLOOKUP(D7270, SATCAT_DECAY!A:B, 2, FALSE), ""))
</f>
        <v/>
      </c>
      <c r="G7270" s="3"/>
    </row>
    <row r="7271" ht="22.5" hidden="1" customHeight="1">
      <c r="A7271" s="11" t="str">
        <f t="array" ref="A7271">IFERROR(
  INDEX('Starlink Launches'!$A:$A, MATCH($E7271, 'Starlink Launches'!$B:$B, 0)),
  ""
)
</f>
        <v/>
      </c>
      <c r="B7271" s="26"/>
      <c r="C7271" s="12"/>
      <c r="D7271" s="13"/>
      <c r="E7271" s="4"/>
      <c r="F7271" s="4" t="str">
        <f>IF(D7271="","", IFNA(VLOOKUP(D7271, SATCAT_DECAY!A:B, 2, FALSE), ""))
</f>
        <v/>
      </c>
      <c r="G7271" s="3"/>
    </row>
    <row r="7272" ht="22.5" hidden="1" customHeight="1">
      <c r="A7272" s="11" t="str">
        <f t="array" ref="A7272">IFERROR(
  INDEX('Starlink Launches'!$A:$A, MATCH($E7272, 'Starlink Launches'!$B:$B, 0)),
  ""
)
</f>
        <v/>
      </c>
      <c r="B7272" s="26"/>
      <c r="C7272" s="12"/>
      <c r="D7272" s="13"/>
      <c r="E7272" s="4"/>
      <c r="F7272" s="4" t="str">
        <f>IF(D7272="","", IFNA(VLOOKUP(D7272, SATCAT_DECAY!A:B, 2, FALSE), ""))
</f>
        <v/>
      </c>
      <c r="G7272" s="3"/>
    </row>
    <row r="7273" ht="22.5" hidden="1" customHeight="1">
      <c r="A7273" s="11" t="str">
        <f t="array" ref="A7273">IFERROR(
  INDEX('Starlink Launches'!$A:$A, MATCH($E7273, 'Starlink Launches'!$B:$B, 0)),
  ""
)
</f>
        <v/>
      </c>
      <c r="B7273" s="26"/>
      <c r="C7273" s="12"/>
      <c r="D7273" s="13"/>
      <c r="E7273" s="4"/>
      <c r="F7273" s="4" t="str">
        <f>IF(D7273="","", IFNA(VLOOKUP(D7273, SATCAT_DECAY!A:B, 2, FALSE), ""))
</f>
        <v/>
      </c>
      <c r="G7273" s="3"/>
    </row>
    <row r="7274" ht="22.5" hidden="1" customHeight="1">
      <c r="A7274" s="11" t="str">
        <f t="array" ref="A7274">IFERROR(
  INDEX('Starlink Launches'!$A:$A, MATCH($E7274, 'Starlink Launches'!$B:$B, 0)),
  ""
)
</f>
        <v/>
      </c>
      <c r="B7274" s="26"/>
      <c r="C7274" s="12"/>
      <c r="D7274" s="13"/>
      <c r="E7274" s="4"/>
      <c r="F7274" s="4" t="str">
        <f>IF(D7274="","", IFNA(VLOOKUP(D7274, SATCAT_DECAY!A:B, 2, FALSE), ""))
</f>
        <v/>
      </c>
      <c r="G7274" s="3"/>
    </row>
    <row r="7275" ht="22.5" hidden="1" customHeight="1">
      <c r="A7275" s="11" t="str">
        <f t="array" ref="A7275">IFERROR(
  INDEX('Starlink Launches'!$A:$A, MATCH($E7275, 'Starlink Launches'!$B:$B, 0)),
  ""
)
</f>
        <v/>
      </c>
      <c r="B7275" s="26"/>
      <c r="C7275" s="12"/>
      <c r="D7275" s="13"/>
      <c r="E7275" s="4"/>
      <c r="F7275" s="4" t="str">
        <f>IF(D7275="","", IFNA(VLOOKUP(D7275, SATCAT_DECAY!A:B, 2, FALSE), ""))
</f>
        <v/>
      </c>
      <c r="G7275" s="3"/>
    </row>
    <row r="7276" ht="22.5" hidden="1" customHeight="1">
      <c r="A7276" s="11" t="str">
        <f t="array" ref="A7276">IFERROR(
  INDEX('Starlink Launches'!$A:$A, MATCH($E7276, 'Starlink Launches'!$B:$B, 0)),
  ""
)
</f>
        <v/>
      </c>
      <c r="B7276" s="26"/>
      <c r="C7276" s="12"/>
      <c r="D7276" s="13"/>
      <c r="E7276" s="4"/>
      <c r="F7276" s="4" t="str">
        <f>IF(D7276="","", IFNA(VLOOKUP(D7276, SATCAT_DECAY!A:B, 2, FALSE), ""))
</f>
        <v/>
      </c>
      <c r="G7276" s="3"/>
    </row>
    <row r="7277" ht="22.5" hidden="1" customHeight="1">
      <c r="A7277" s="11" t="str">
        <f t="array" ref="A7277">IFERROR(
  INDEX('Starlink Launches'!$A:$A, MATCH($E7277, 'Starlink Launches'!$B:$B, 0)),
  ""
)
</f>
        <v/>
      </c>
      <c r="B7277" s="26"/>
      <c r="C7277" s="12"/>
      <c r="D7277" s="13"/>
      <c r="E7277" s="4"/>
      <c r="F7277" s="4" t="str">
        <f>IF(D7277="","", IFNA(VLOOKUP(D7277, SATCAT_DECAY!A:B, 2, FALSE), ""))
</f>
        <v/>
      </c>
      <c r="G7277" s="3"/>
    </row>
    <row r="7278" ht="22.5" hidden="1" customHeight="1">
      <c r="A7278" s="11" t="str">
        <f t="array" ref="A7278">IFERROR(
  INDEX('Starlink Launches'!$A:$A, MATCH($E7278, 'Starlink Launches'!$B:$B, 0)),
  ""
)
</f>
        <v/>
      </c>
      <c r="B7278" s="26"/>
      <c r="C7278" s="12"/>
      <c r="D7278" s="13"/>
      <c r="E7278" s="4"/>
      <c r="F7278" s="4" t="str">
        <f>IF(D7278="","", IFNA(VLOOKUP(D7278, SATCAT_DECAY!A:B, 2, FALSE), ""))
</f>
        <v/>
      </c>
      <c r="G7278" s="3"/>
    </row>
    <row r="7279" ht="22.5" hidden="1" customHeight="1">
      <c r="A7279" s="11" t="str">
        <f t="array" ref="A7279">IFERROR(
  INDEX('Starlink Launches'!$A:$A, MATCH($E7279, 'Starlink Launches'!$B:$B, 0)),
  ""
)
</f>
        <v/>
      </c>
      <c r="B7279" s="26"/>
      <c r="C7279" s="12"/>
      <c r="D7279" s="13"/>
      <c r="E7279" s="4"/>
      <c r="F7279" s="4" t="str">
        <f>IF(D7279="","", IFNA(VLOOKUP(D7279, SATCAT_DECAY!A:B, 2, FALSE), ""))
</f>
        <v/>
      </c>
      <c r="G7279" s="3"/>
    </row>
    <row r="7280" ht="22.5" hidden="1" customHeight="1">
      <c r="A7280" s="11" t="str">
        <f t="array" ref="A7280">IFERROR(
  INDEX('Starlink Launches'!$A:$A, MATCH($E7280, 'Starlink Launches'!$B:$B, 0)),
  ""
)
</f>
        <v/>
      </c>
      <c r="B7280" s="26"/>
      <c r="C7280" s="12"/>
      <c r="D7280" s="13"/>
      <c r="E7280" s="4"/>
      <c r="F7280" s="4" t="str">
        <f>IF(D7280="","", IFNA(VLOOKUP(D7280, SATCAT_DECAY!A:B, 2, FALSE), ""))
</f>
        <v/>
      </c>
      <c r="G7280" s="3"/>
    </row>
    <row r="7281" ht="22.5" hidden="1" customHeight="1">
      <c r="A7281" s="11" t="str">
        <f t="array" ref="A7281">IFERROR(
  INDEX('Starlink Launches'!$A:$A, MATCH($E7281, 'Starlink Launches'!$B:$B, 0)),
  ""
)
</f>
        <v/>
      </c>
      <c r="B7281" s="26"/>
      <c r="C7281" s="12"/>
      <c r="D7281" s="13"/>
      <c r="E7281" s="4"/>
      <c r="F7281" s="4" t="str">
        <f>IF(D7281="","", IFNA(VLOOKUP(D7281, SATCAT_DECAY!A:B, 2, FALSE), ""))
</f>
        <v/>
      </c>
      <c r="G7281" s="3"/>
    </row>
    <row r="7282" ht="22.5" hidden="1" customHeight="1">
      <c r="A7282" s="11" t="str">
        <f t="array" ref="A7282">IFERROR(
  INDEX('Starlink Launches'!$A:$A, MATCH($E7282, 'Starlink Launches'!$B:$B, 0)),
  ""
)
</f>
        <v/>
      </c>
      <c r="B7282" s="26"/>
      <c r="C7282" s="12"/>
      <c r="D7282" s="13"/>
      <c r="E7282" s="4"/>
      <c r="F7282" s="4" t="str">
        <f>IF(D7282="","", IFNA(VLOOKUP(D7282, SATCAT_DECAY!A:B, 2, FALSE), ""))
</f>
        <v/>
      </c>
      <c r="G7282" s="3"/>
    </row>
    <row r="7283" ht="22.5" hidden="1" customHeight="1">
      <c r="A7283" s="11" t="str">
        <f t="array" ref="A7283">IFERROR(
  INDEX('Starlink Launches'!$A:$A, MATCH($E7283, 'Starlink Launches'!$B:$B, 0)),
  ""
)
</f>
        <v/>
      </c>
      <c r="B7283" s="26"/>
      <c r="C7283" s="12"/>
      <c r="D7283" s="13"/>
      <c r="E7283" s="4"/>
      <c r="F7283" s="4" t="str">
        <f>IF(D7283="","", IFNA(VLOOKUP(D7283, SATCAT_DECAY!A:B, 2, FALSE), ""))
</f>
        <v/>
      </c>
      <c r="G7283" s="3"/>
    </row>
    <row r="7284" ht="22.5" hidden="1" customHeight="1">
      <c r="A7284" s="11" t="str">
        <f t="array" ref="A7284">IFERROR(
  INDEX('Starlink Launches'!$A:$A, MATCH($E7284, 'Starlink Launches'!$B:$B, 0)),
  ""
)
</f>
        <v/>
      </c>
      <c r="B7284" s="26"/>
      <c r="C7284" s="12"/>
      <c r="D7284" s="13"/>
      <c r="E7284" s="4"/>
      <c r="F7284" s="4" t="str">
        <f>IF(D7284="","", IFNA(VLOOKUP(D7284, SATCAT_DECAY!A:B, 2, FALSE), ""))
</f>
        <v/>
      </c>
      <c r="G7284" s="3"/>
    </row>
    <row r="7285" ht="22.5" hidden="1" customHeight="1">
      <c r="A7285" s="11" t="str">
        <f t="array" ref="A7285">IFERROR(
  INDEX('Starlink Launches'!$A:$A, MATCH($E7285, 'Starlink Launches'!$B:$B, 0)),
  ""
)
</f>
        <v/>
      </c>
      <c r="B7285" s="26"/>
      <c r="C7285" s="12"/>
      <c r="D7285" s="13"/>
      <c r="E7285" s="4"/>
      <c r="F7285" s="4" t="str">
        <f>IF(D7285="","", IFNA(VLOOKUP(D7285, SATCAT_DECAY!A:B, 2, FALSE), ""))
</f>
        <v/>
      </c>
      <c r="G7285" s="3"/>
    </row>
    <row r="7286" ht="22.5" hidden="1" customHeight="1">
      <c r="A7286" s="11" t="str">
        <f t="array" ref="A7286">IFERROR(
  INDEX('Starlink Launches'!$A:$A, MATCH($E7286, 'Starlink Launches'!$B:$B, 0)),
  ""
)
</f>
        <v/>
      </c>
      <c r="B7286" s="26"/>
      <c r="C7286" s="12"/>
      <c r="D7286" s="13"/>
      <c r="E7286" s="4"/>
      <c r="F7286" s="4" t="str">
        <f>IF(D7286="","", IFNA(VLOOKUP(D7286, SATCAT_DECAY!A:B, 2, FALSE), ""))
</f>
        <v/>
      </c>
      <c r="G7286" s="3"/>
    </row>
    <row r="7287" ht="22.5" hidden="1" customHeight="1">
      <c r="A7287" s="11" t="str">
        <f t="array" ref="A7287">IFERROR(
  INDEX('Starlink Launches'!$A:$A, MATCH($E7287, 'Starlink Launches'!$B:$B, 0)),
  ""
)
</f>
        <v/>
      </c>
      <c r="B7287" s="26"/>
      <c r="C7287" s="12"/>
      <c r="D7287" s="13"/>
      <c r="E7287" s="4"/>
      <c r="F7287" s="4" t="str">
        <f>IF(D7287="","", IFNA(VLOOKUP(D7287, SATCAT_DECAY!A:B, 2, FALSE), ""))
</f>
        <v/>
      </c>
      <c r="G7287" s="3"/>
    </row>
    <row r="7288" ht="22.5" hidden="1" customHeight="1">
      <c r="A7288" s="11" t="str">
        <f t="array" ref="A7288">IFERROR(
  INDEX('Starlink Launches'!$A:$A, MATCH($E7288, 'Starlink Launches'!$B:$B, 0)),
  ""
)
</f>
        <v/>
      </c>
      <c r="B7288" s="26"/>
      <c r="C7288" s="12"/>
      <c r="D7288" s="13"/>
      <c r="E7288" s="4"/>
      <c r="F7288" s="4" t="str">
        <f>IF(D7288="","", IFNA(VLOOKUP(D7288, SATCAT_DECAY!A:B, 2, FALSE), ""))
</f>
        <v/>
      </c>
      <c r="G7288" s="3"/>
    </row>
    <row r="7289" ht="22.5" hidden="1" customHeight="1">
      <c r="A7289" s="11" t="str">
        <f t="array" ref="A7289">IFERROR(
  INDEX('Starlink Launches'!$A:$A, MATCH($E7289, 'Starlink Launches'!$B:$B, 0)),
  ""
)
</f>
        <v/>
      </c>
      <c r="B7289" s="26"/>
      <c r="C7289" s="12"/>
      <c r="D7289" s="13"/>
      <c r="E7289" s="4"/>
      <c r="F7289" s="4" t="str">
        <f>IF(D7289="","", IFNA(VLOOKUP(D7289, SATCAT_DECAY!A:B, 2, FALSE), ""))
</f>
        <v/>
      </c>
      <c r="G7289" s="3"/>
    </row>
    <row r="7290" ht="22.5" hidden="1" customHeight="1">
      <c r="A7290" s="11" t="str">
        <f t="array" ref="A7290">IFERROR(
  INDEX('Starlink Launches'!$A:$A, MATCH($E7290, 'Starlink Launches'!$B:$B, 0)),
  ""
)
</f>
        <v/>
      </c>
      <c r="B7290" s="26"/>
      <c r="C7290" s="12"/>
      <c r="D7290" s="13"/>
      <c r="E7290" s="4"/>
      <c r="F7290" s="4" t="str">
        <f>IF(D7290="","", IFNA(VLOOKUP(D7290, SATCAT_DECAY!A:B, 2, FALSE), ""))
</f>
        <v/>
      </c>
      <c r="G7290" s="3"/>
    </row>
    <row r="7291" ht="22.5" hidden="1" customHeight="1">
      <c r="A7291" s="11" t="str">
        <f t="array" ref="A7291">IFERROR(
  INDEX('Starlink Launches'!$A:$A, MATCH($E7291, 'Starlink Launches'!$B:$B, 0)),
  ""
)
</f>
        <v/>
      </c>
      <c r="B7291" s="26"/>
      <c r="C7291" s="12"/>
      <c r="D7291" s="13"/>
      <c r="E7291" s="4"/>
      <c r="F7291" s="4" t="str">
        <f>IF(D7291="","", IFNA(VLOOKUP(D7291, SATCAT_DECAY!A:B, 2, FALSE), ""))
</f>
        <v/>
      </c>
      <c r="G7291" s="3"/>
    </row>
    <row r="7292" ht="22.5" hidden="1" customHeight="1">
      <c r="A7292" s="11" t="str">
        <f t="array" ref="A7292">IFERROR(
  INDEX('Starlink Launches'!$A:$A, MATCH($E7292, 'Starlink Launches'!$B:$B, 0)),
  ""
)
</f>
        <v/>
      </c>
      <c r="B7292" s="26"/>
      <c r="C7292" s="12"/>
      <c r="D7292" s="13"/>
      <c r="E7292" s="4"/>
      <c r="F7292" s="4" t="str">
        <f>IF(D7292="","", IFNA(VLOOKUP(D7292, SATCAT_DECAY!A:B, 2, FALSE), ""))
</f>
        <v/>
      </c>
      <c r="G7292" s="3"/>
    </row>
    <row r="7293" ht="22.5" hidden="1" customHeight="1">
      <c r="A7293" s="11" t="str">
        <f t="array" ref="A7293">IFERROR(
  INDEX('Starlink Launches'!$A:$A, MATCH($E7293, 'Starlink Launches'!$B:$B, 0)),
  ""
)
</f>
        <v/>
      </c>
      <c r="B7293" s="26"/>
      <c r="C7293" s="12"/>
      <c r="D7293" s="13"/>
      <c r="E7293" s="4"/>
      <c r="F7293" s="4" t="str">
        <f>IF(D7293="","", IFNA(VLOOKUP(D7293, SATCAT_DECAY!A:B, 2, FALSE), ""))
</f>
        <v/>
      </c>
      <c r="G7293" s="3"/>
    </row>
    <row r="7294" ht="22.5" hidden="1" customHeight="1">
      <c r="A7294" s="11" t="str">
        <f t="array" ref="A7294">IFERROR(
  INDEX('Starlink Launches'!$A:$A, MATCH($E7294, 'Starlink Launches'!$B:$B, 0)),
  ""
)
</f>
        <v/>
      </c>
      <c r="B7294" s="26"/>
      <c r="C7294" s="12"/>
      <c r="D7294" s="13"/>
      <c r="E7294" s="4"/>
      <c r="F7294" s="4" t="str">
        <f>IF(D7294="","", IFNA(VLOOKUP(D7294, SATCAT_DECAY!A:B, 2, FALSE), ""))
</f>
        <v/>
      </c>
      <c r="G7294" s="3"/>
    </row>
    <row r="7295" ht="22.5" hidden="1" customHeight="1">
      <c r="A7295" s="11" t="str">
        <f t="array" ref="A7295">IFERROR(
  INDEX('Starlink Launches'!$A:$A, MATCH($E7295, 'Starlink Launches'!$B:$B, 0)),
  ""
)
</f>
        <v/>
      </c>
      <c r="B7295" s="26"/>
      <c r="C7295" s="12"/>
      <c r="D7295" s="13"/>
      <c r="E7295" s="4"/>
      <c r="F7295" s="4" t="str">
        <f>IF(D7295="","", IFNA(VLOOKUP(D7295, SATCAT_DECAY!A:B, 2, FALSE), ""))
</f>
        <v/>
      </c>
      <c r="G7295" s="3"/>
    </row>
    <row r="7296" ht="22.5" hidden="1" customHeight="1">
      <c r="A7296" s="11" t="str">
        <f t="array" ref="A7296">IFERROR(
  INDEX('Starlink Launches'!$A:$A, MATCH($E7296, 'Starlink Launches'!$B:$B, 0)),
  ""
)
</f>
        <v/>
      </c>
      <c r="B7296" s="26"/>
      <c r="C7296" s="12"/>
      <c r="D7296" s="13"/>
      <c r="E7296" s="4"/>
      <c r="F7296" s="4" t="str">
        <f>IF(D7296="","", IFNA(VLOOKUP(D7296, SATCAT_DECAY!A:B, 2, FALSE), ""))
</f>
        <v/>
      </c>
      <c r="G7296" s="3"/>
    </row>
    <row r="7297" ht="22.5" hidden="1" customHeight="1">
      <c r="A7297" s="11" t="str">
        <f t="array" ref="A7297">IFERROR(
  INDEX('Starlink Launches'!$A:$A, MATCH($E7297, 'Starlink Launches'!$B:$B, 0)),
  ""
)
</f>
        <v/>
      </c>
      <c r="B7297" s="26"/>
      <c r="C7297" s="12"/>
      <c r="D7297" s="13"/>
      <c r="E7297" s="4"/>
      <c r="F7297" s="4" t="str">
        <f>IF(D7297="","", IFNA(VLOOKUP(D7297, SATCAT_DECAY!A:B, 2, FALSE), ""))
</f>
        <v/>
      </c>
      <c r="G7297" s="3"/>
    </row>
    <row r="7298" ht="22.5" hidden="1" customHeight="1">
      <c r="A7298" s="11" t="str">
        <f t="array" ref="A7298">IFERROR(
  INDEX('Starlink Launches'!$A:$A, MATCH($E7298, 'Starlink Launches'!$B:$B, 0)),
  ""
)
</f>
        <v/>
      </c>
      <c r="B7298" s="26"/>
      <c r="C7298" s="12"/>
      <c r="D7298" s="13"/>
      <c r="E7298" s="4"/>
      <c r="F7298" s="4" t="str">
        <f>IF(D7298="","", IFNA(VLOOKUP(D7298, SATCAT_DECAY!A:B, 2, FALSE), ""))
</f>
        <v/>
      </c>
      <c r="G7298" s="3"/>
    </row>
    <row r="7299" ht="22.5" hidden="1" customHeight="1">
      <c r="A7299" s="11" t="str">
        <f t="array" ref="A7299">IFERROR(
  INDEX('Starlink Launches'!$A:$A, MATCH($E7299, 'Starlink Launches'!$B:$B, 0)),
  ""
)
</f>
        <v/>
      </c>
      <c r="B7299" s="26"/>
      <c r="C7299" s="12"/>
      <c r="D7299" s="13"/>
      <c r="E7299" s="4"/>
      <c r="F7299" s="4" t="str">
        <f>IF(D7299="","", IFNA(VLOOKUP(D7299, SATCAT_DECAY!A:B, 2, FALSE), ""))
</f>
        <v/>
      </c>
      <c r="G7299" s="3"/>
    </row>
    <row r="7300" ht="22.5" hidden="1" customHeight="1">
      <c r="A7300" s="11" t="str">
        <f t="array" ref="A7300">IFERROR(
  INDEX('Starlink Launches'!$A:$A, MATCH($E7300, 'Starlink Launches'!$B:$B, 0)),
  ""
)
</f>
        <v/>
      </c>
      <c r="B7300" s="26"/>
      <c r="C7300" s="12"/>
      <c r="D7300" s="13"/>
      <c r="E7300" s="4"/>
      <c r="F7300" s="4" t="str">
        <f>IF(D7300="","", IFNA(VLOOKUP(D7300, SATCAT_DECAY!A:B, 2, FALSE), ""))
</f>
        <v/>
      </c>
      <c r="G7300" s="3"/>
    </row>
    <row r="7301" ht="22.5" hidden="1" customHeight="1">
      <c r="A7301" s="11" t="str">
        <f t="array" ref="A7301">IFERROR(
  INDEX('Starlink Launches'!$A:$A, MATCH($E7301, 'Starlink Launches'!$B:$B, 0)),
  ""
)
</f>
        <v/>
      </c>
      <c r="B7301" s="26"/>
      <c r="C7301" s="12"/>
      <c r="D7301" s="13"/>
      <c r="E7301" s="4"/>
      <c r="F7301" s="4" t="str">
        <f>IF(D7301="","", IFNA(VLOOKUP(D7301, SATCAT_DECAY!A:B, 2, FALSE), ""))
</f>
        <v/>
      </c>
      <c r="G7301" s="3"/>
    </row>
    <row r="7302" ht="22.5" hidden="1" customHeight="1">
      <c r="A7302" s="11" t="str">
        <f t="array" ref="A7302">IFERROR(
  INDEX('Starlink Launches'!$A:$A, MATCH($E7302, 'Starlink Launches'!$B:$B, 0)),
  ""
)
</f>
        <v/>
      </c>
      <c r="B7302" s="26"/>
      <c r="C7302" s="12"/>
      <c r="D7302" s="13"/>
      <c r="E7302" s="4"/>
      <c r="F7302" s="4" t="str">
        <f>IF(D7302="","", IFNA(VLOOKUP(D7302, SATCAT_DECAY!A:B, 2, FALSE), ""))
</f>
        <v/>
      </c>
      <c r="G7302" s="3"/>
    </row>
    <row r="7303" ht="22.5" hidden="1" customHeight="1">
      <c r="A7303" s="11" t="str">
        <f t="array" ref="A7303">IFERROR(
  INDEX('Starlink Launches'!$A:$A, MATCH($E7303, 'Starlink Launches'!$B:$B, 0)),
  ""
)
</f>
        <v/>
      </c>
      <c r="B7303" s="26"/>
      <c r="C7303" s="12"/>
      <c r="D7303" s="13"/>
      <c r="E7303" s="4"/>
      <c r="F7303" s="4" t="str">
        <f>IF(D7303="","", IFNA(VLOOKUP(D7303, SATCAT_DECAY!A:B, 2, FALSE), ""))
</f>
        <v/>
      </c>
      <c r="G7303" s="3"/>
    </row>
    <row r="7304" ht="22.5" hidden="1" customHeight="1">
      <c r="A7304" s="11" t="str">
        <f t="array" ref="A7304">IFERROR(
  INDEX('Starlink Launches'!$A:$A, MATCH($E7304, 'Starlink Launches'!$B:$B, 0)),
  ""
)
</f>
        <v/>
      </c>
      <c r="B7304" s="26"/>
      <c r="C7304" s="12"/>
      <c r="D7304" s="13"/>
      <c r="E7304" s="4"/>
      <c r="F7304" s="4" t="str">
        <f>IF(D7304="","", IFNA(VLOOKUP(D7304, SATCAT_DECAY!A:B, 2, FALSE), ""))
</f>
        <v/>
      </c>
      <c r="G7304" s="3"/>
    </row>
    <row r="7305" ht="22.5" hidden="1" customHeight="1">
      <c r="A7305" s="11" t="str">
        <f t="array" ref="A7305">IFERROR(
  INDEX('Starlink Launches'!$A:$A, MATCH($E7305, 'Starlink Launches'!$B:$B, 0)),
  ""
)
</f>
        <v/>
      </c>
      <c r="B7305" s="26"/>
      <c r="C7305" s="12"/>
      <c r="D7305" s="13"/>
      <c r="E7305" s="4"/>
      <c r="F7305" s="4" t="str">
        <f>IF(D7305="","", IFNA(VLOOKUP(D7305, SATCAT_DECAY!A:B, 2, FALSE), ""))
</f>
        <v/>
      </c>
      <c r="G7305" s="3"/>
    </row>
    <row r="7306" ht="22.5" hidden="1" customHeight="1">
      <c r="A7306" s="11" t="str">
        <f t="array" ref="A7306">IFERROR(
  INDEX('Starlink Launches'!$A:$A, MATCH($E7306, 'Starlink Launches'!$B:$B, 0)),
  ""
)
</f>
        <v/>
      </c>
      <c r="B7306" s="26"/>
      <c r="C7306" s="12"/>
      <c r="D7306" s="13"/>
      <c r="E7306" s="4"/>
      <c r="F7306" s="4" t="str">
        <f>IF(D7306="","", IFNA(VLOOKUP(D7306, SATCAT_DECAY!A:B, 2, FALSE), ""))
</f>
        <v/>
      </c>
      <c r="G7306" s="3"/>
    </row>
    <row r="7307" ht="22.5" hidden="1" customHeight="1">
      <c r="A7307" s="11" t="str">
        <f t="array" ref="A7307">IFERROR(
  INDEX('Starlink Launches'!$A:$A, MATCH($E7307, 'Starlink Launches'!$B:$B, 0)),
  ""
)
</f>
        <v/>
      </c>
      <c r="B7307" s="26"/>
      <c r="C7307" s="12"/>
      <c r="D7307" s="13"/>
      <c r="E7307" s="4"/>
      <c r="F7307" s="4" t="str">
        <f>IF(D7307="","", IFNA(VLOOKUP(D7307, SATCAT_DECAY!A:B, 2, FALSE), ""))
</f>
        <v/>
      </c>
      <c r="G7307" s="3"/>
    </row>
    <row r="7308" ht="22.5" hidden="1" customHeight="1">
      <c r="A7308" s="11" t="str">
        <f t="array" ref="A7308">IFERROR(
  INDEX('Starlink Launches'!$A:$A, MATCH($E7308, 'Starlink Launches'!$B:$B, 0)),
  ""
)
</f>
        <v/>
      </c>
      <c r="B7308" s="26"/>
      <c r="C7308" s="12"/>
      <c r="D7308" s="13"/>
      <c r="E7308" s="4"/>
      <c r="F7308" s="4" t="str">
        <f>IF(D7308="","", IFNA(VLOOKUP(D7308, SATCAT_DECAY!A:B, 2, FALSE), ""))
</f>
        <v/>
      </c>
      <c r="G7308" s="3"/>
    </row>
    <row r="7309" ht="22.5" hidden="1" customHeight="1">
      <c r="A7309" s="11" t="str">
        <f t="array" ref="A7309">IFERROR(
  INDEX('Starlink Launches'!$A:$A, MATCH($E7309, 'Starlink Launches'!$B:$B, 0)),
  ""
)
</f>
        <v/>
      </c>
      <c r="B7309" s="26"/>
      <c r="C7309" s="12"/>
      <c r="D7309" s="13"/>
      <c r="E7309" s="4"/>
      <c r="F7309" s="4" t="str">
        <f>IF(D7309="","", IFNA(VLOOKUP(D7309, SATCAT_DECAY!A:B, 2, FALSE), ""))
</f>
        <v/>
      </c>
      <c r="G7309" s="3"/>
    </row>
    <row r="7310" ht="22.5" hidden="1" customHeight="1">
      <c r="A7310" s="11" t="str">
        <f t="array" ref="A7310">IFERROR(
  INDEX('Starlink Launches'!$A:$A, MATCH($E7310, 'Starlink Launches'!$B:$B, 0)),
  ""
)
</f>
        <v/>
      </c>
      <c r="B7310" s="26"/>
      <c r="C7310" s="12"/>
      <c r="D7310" s="13"/>
      <c r="E7310" s="4"/>
      <c r="F7310" s="4" t="str">
        <f>IF(D7310="","", IFNA(VLOOKUP(D7310, SATCAT_DECAY!A:B, 2, FALSE), ""))
</f>
        <v/>
      </c>
      <c r="G7310" s="3"/>
    </row>
    <row r="7311" ht="22.5" hidden="1" customHeight="1">
      <c r="A7311" s="11" t="str">
        <f t="array" ref="A7311">IFERROR(
  INDEX('Starlink Launches'!$A:$A, MATCH($E7311, 'Starlink Launches'!$B:$B, 0)),
  ""
)
</f>
        <v/>
      </c>
      <c r="B7311" s="26"/>
      <c r="C7311" s="12"/>
      <c r="D7311" s="13"/>
      <c r="E7311" s="4"/>
      <c r="F7311" s="4" t="str">
        <f>IF(D7311="","", IFNA(VLOOKUP(D7311, SATCAT_DECAY!A:B, 2, FALSE), ""))
</f>
        <v/>
      </c>
      <c r="G7311" s="3"/>
    </row>
    <row r="7312" ht="22.5" hidden="1" customHeight="1">
      <c r="A7312" s="11" t="str">
        <f t="array" ref="A7312">IFERROR(
  INDEX('Starlink Launches'!$A:$A, MATCH($E7312, 'Starlink Launches'!$B:$B, 0)),
  ""
)
</f>
        <v/>
      </c>
      <c r="B7312" s="26"/>
      <c r="C7312" s="12"/>
      <c r="D7312" s="13"/>
      <c r="E7312" s="4"/>
      <c r="F7312" s="4" t="str">
        <f>IF(D7312="","", IFNA(VLOOKUP(D7312, SATCAT_DECAY!A:B, 2, FALSE), ""))
</f>
        <v/>
      </c>
      <c r="G7312" s="3"/>
    </row>
    <row r="7313" ht="22.5" hidden="1" customHeight="1">
      <c r="A7313" s="11" t="str">
        <f t="array" ref="A7313">IFERROR(
  INDEX('Starlink Launches'!$A:$A, MATCH($E7313, 'Starlink Launches'!$B:$B, 0)),
  ""
)
</f>
        <v/>
      </c>
      <c r="B7313" s="26"/>
      <c r="C7313" s="12"/>
      <c r="D7313" s="13"/>
      <c r="E7313" s="4"/>
      <c r="F7313" s="4" t="str">
        <f>IF(D7313="","", IFNA(VLOOKUP(D7313, SATCAT_DECAY!A:B, 2, FALSE), ""))
</f>
        <v/>
      </c>
      <c r="G7313" s="3"/>
    </row>
    <row r="7314" ht="22.5" hidden="1" customHeight="1">
      <c r="A7314" s="11" t="str">
        <f t="array" ref="A7314">IFERROR(
  INDEX('Starlink Launches'!$A:$A, MATCH($E7314, 'Starlink Launches'!$B:$B, 0)),
  ""
)
</f>
        <v/>
      </c>
      <c r="B7314" s="26"/>
      <c r="C7314" s="12"/>
      <c r="D7314" s="13"/>
      <c r="E7314" s="4"/>
      <c r="F7314" s="4" t="str">
        <f>IF(D7314="","", IFNA(VLOOKUP(D7314, SATCAT_DECAY!A:B, 2, FALSE), ""))
</f>
        <v/>
      </c>
      <c r="G7314" s="3"/>
    </row>
    <row r="7315" ht="22.5" hidden="1" customHeight="1">
      <c r="A7315" s="11" t="str">
        <f t="array" ref="A7315">IFERROR(
  INDEX('Starlink Launches'!$A:$A, MATCH($E7315, 'Starlink Launches'!$B:$B, 0)),
  ""
)
</f>
        <v/>
      </c>
      <c r="B7315" s="26"/>
      <c r="C7315" s="12"/>
      <c r="D7315" s="13"/>
      <c r="E7315" s="4"/>
      <c r="F7315" s="4" t="str">
        <f>IF(D7315="","", IFNA(VLOOKUP(D7315, SATCAT_DECAY!A:B, 2, FALSE), ""))
</f>
        <v/>
      </c>
      <c r="G7315" s="3"/>
    </row>
    <row r="7316" ht="22.5" hidden="1" customHeight="1">
      <c r="A7316" s="11" t="str">
        <f t="array" ref="A7316">IFERROR(
  INDEX('Starlink Launches'!$A:$A, MATCH($E7316, 'Starlink Launches'!$B:$B, 0)),
  ""
)
</f>
        <v/>
      </c>
      <c r="B7316" s="26"/>
      <c r="C7316" s="12"/>
      <c r="D7316" s="13"/>
      <c r="E7316" s="4"/>
      <c r="F7316" s="4" t="str">
        <f>IF(D7316="","", IFNA(VLOOKUP(D7316, SATCAT_DECAY!A:B, 2, FALSE), ""))
</f>
        <v/>
      </c>
      <c r="G7316" s="3"/>
    </row>
    <row r="7317" ht="22.5" hidden="1" customHeight="1">
      <c r="A7317" s="11" t="str">
        <f t="array" ref="A7317">IFERROR(
  INDEX('Starlink Launches'!$A:$A, MATCH($E7317, 'Starlink Launches'!$B:$B, 0)),
  ""
)
</f>
        <v/>
      </c>
      <c r="B7317" s="26"/>
      <c r="C7317" s="12"/>
      <c r="D7317" s="13"/>
      <c r="E7317" s="4"/>
      <c r="F7317" s="4" t="str">
        <f>IF(D7317="","", IFNA(VLOOKUP(D7317, SATCAT_DECAY!A:B, 2, FALSE), ""))
</f>
        <v/>
      </c>
      <c r="G7317" s="3"/>
    </row>
    <row r="7318" ht="22.5" hidden="1" customHeight="1">
      <c r="A7318" s="11" t="str">
        <f t="array" ref="A7318">IFERROR(
  INDEX('Starlink Launches'!$A:$A, MATCH($E7318, 'Starlink Launches'!$B:$B, 0)),
  ""
)
</f>
        <v/>
      </c>
      <c r="B7318" s="26"/>
      <c r="C7318" s="12"/>
      <c r="D7318" s="13"/>
      <c r="E7318" s="4"/>
      <c r="F7318" s="4" t="str">
        <f>IF(D7318="","", IFNA(VLOOKUP(D7318, SATCAT_DECAY!A:B, 2, FALSE), ""))
</f>
        <v/>
      </c>
      <c r="G7318" s="3"/>
    </row>
    <row r="7319" ht="22.5" hidden="1" customHeight="1">
      <c r="A7319" s="11" t="str">
        <f t="array" ref="A7319">IFERROR(
  INDEX('Starlink Launches'!$A:$A, MATCH($E7319, 'Starlink Launches'!$B:$B, 0)),
  ""
)
</f>
        <v/>
      </c>
      <c r="B7319" s="26"/>
      <c r="C7319" s="12"/>
      <c r="D7319" s="13"/>
      <c r="E7319" s="4"/>
      <c r="F7319" s="4" t="str">
        <f>IF(D7319="","", IFNA(VLOOKUP(D7319, SATCAT_DECAY!A:B, 2, FALSE), ""))
</f>
        <v/>
      </c>
      <c r="G7319" s="3"/>
    </row>
    <row r="7320" ht="22.5" hidden="1" customHeight="1">
      <c r="A7320" s="11" t="str">
        <f t="array" ref="A7320">IFERROR(
  INDEX('Starlink Launches'!$A:$A, MATCH($E7320, 'Starlink Launches'!$B:$B, 0)),
  ""
)
</f>
        <v/>
      </c>
      <c r="B7320" s="26"/>
      <c r="C7320" s="12"/>
      <c r="D7320" s="13"/>
      <c r="E7320" s="4"/>
      <c r="F7320" s="4" t="str">
        <f>IF(D7320="","", IFNA(VLOOKUP(D7320, SATCAT_DECAY!A:B, 2, FALSE), ""))
</f>
        <v/>
      </c>
      <c r="G7320" s="3"/>
    </row>
    <row r="7321" ht="22.5" hidden="1" customHeight="1">
      <c r="A7321" s="11" t="str">
        <f t="array" ref="A7321">IFERROR(
  INDEX('Starlink Launches'!$A:$A, MATCH($E7321, 'Starlink Launches'!$B:$B, 0)),
  ""
)
</f>
        <v/>
      </c>
      <c r="B7321" s="26"/>
      <c r="C7321" s="12"/>
      <c r="D7321" s="13"/>
      <c r="E7321" s="4"/>
      <c r="F7321" s="4" t="str">
        <f>IF(D7321="","", IFNA(VLOOKUP(D7321, SATCAT_DECAY!A:B, 2, FALSE), ""))
</f>
        <v/>
      </c>
      <c r="G7321" s="3"/>
    </row>
    <row r="7322" ht="22.5" hidden="1" customHeight="1">
      <c r="A7322" s="11" t="str">
        <f t="array" ref="A7322">IFERROR(
  INDEX('Starlink Launches'!$A:$A, MATCH($E7322, 'Starlink Launches'!$B:$B, 0)),
  ""
)
</f>
        <v/>
      </c>
      <c r="B7322" s="26"/>
      <c r="C7322" s="12"/>
      <c r="D7322" s="13"/>
      <c r="E7322" s="4"/>
      <c r="F7322" s="4" t="str">
        <f>IF(D7322="","", IFNA(VLOOKUP(D7322, SATCAT_DECAY!A:B, 2, FALSE), ""))
</f>
        <v/>
      </c>
      <c r="G7322" s="3"/>
    </row>
    <row r="7323" ht="22.5" hidden="1" customHeight="1">
      <c r="A7323" s="11" t="str">
        <f t="array" ref="A7323">IFERROR(
  INDEX('Starlink Launches'!$A:$A, MATCH($E7323, 'Starlink Launches'!$B:$B, 0)),
  ""
)
</f>
        <v/>
      </c>
      <c r="B7323" s="26"/>
      <c r="C7323" s="12"/>
      <c r="D7323" s="13"/>
      <c r="E7323" s="4"/>
      <c r="F7323" s="4" t="str">
        <f>IF(D7323="","", IFNA(VLOOKUP(D7323, SATCAT_DECAY!A:B, 2, FALSE), ""))
</f>
        <v/>
      </c>
      <c r="G7323" s="3"/>
    </row>
    <row r="7324" ht="22.5" hidden="1" customHeight="1">
      <c r="A7324" s="11" t="str">
        <f t="array" ref="A7324">IFERROR(
  INDEX('Starlink Launches'!$A:$A, MATCH($E7324, 'Starlink Launches'!$B:$B, 0)),
  ""
)
</f>
        <v/>
      </c>
      <c r="B7324" s="26"/>
      <c r="C7324" s="12"/>
      <c r="D7324" s="13"/>
      <c r="E7324" s="4"/>
      <c r="F7324" s="4" t="str">
        <f>IF(D7324="","", IFNA(VLOOKUP(D7324, SATCAT_DECAY!A:B, 2, FALSE), ""))
</f>
        <v/>
      </c>
      <c r="G7324" s="3"/>
    </row>
    <row r="7325" ht="22.5" hidden="1" customHeight="1">
      <c r="A7325" s="11" t="str">
        <f t="array" ref="A7325">IFERROR(
  INDEX('Starlink Launches'!$A:$A, MATCH($E7325, 'Starlink Launches'!$B:$B, 0)),
  ""
)
</f>
        <v/>
      </c>
      <c r="B7325" s="26"/>
      <c r="C7325" s="12"/>
      <c r="D7325" s="13"/>
      <c r="E7325" s="4"/>
      <c r="F7325" s="4" t="str">
        <f>IF(D7325="","", IFNA(VLOOKUP(D7325, SATCAT_DECAY!A:B, 2, FALSE), ""))
</f>
        <v/>
      </c>
      <c r="G7325" s="3"/>
    </row>
    <row r="7326" ht="22.5" hidden="1" customHeight="1">
      <c r="A7326" s="11" t="str">
        <f t="array" ref="A7326">IFERROR(
  INDEX('Starlink Launches'!$A:$A, MATCH($E7326, 'Starlink Launches'!$B:$B, 0)),
  ""
)
</f>
        <v/>
      </c>
      <c r="B7326" s="26"/>
      <c r="C7326" s="12"/>
      <c r="D7326" s="13"/>
      <c r="E7326" s="4"/>
      <c r="F7326" s="4" t="str">
        <f>IF(D7326="","", IFNA(VLOOKUP(D7326, SATCAT_DECAY!A:B, 2, FALSE), ""))
</f>
        <v/>
      </c>
      <c r="G7326" s="3"/>
    </row>
    <row r="7327" ht="22.5" hidden="1" customHeight="1">
      <c r="A7327" s="11" t="str">
        <f t="array" ref="A7327">IFERROR(
  INDEX('Starlink Launches'!$A:$A, MATCH($E7327, 'Starlink Launches'!$B:$B, 0)),
  ""
)
</f>
        <v/>
      </c>
      <c r="B7327" s="26"/>
      <c r="C7327" s="12"/>
      <c r="D7327" s="13"/>
      <c r="E7327" s="4"/>
      <c r="F7327" s="4" t="str">
        <f>IF(D7327="","", IFNA(VLOOKUP(D7327, SATCAT_DECAY!A:B, 2, FALSE), ""))
</f>
        <v/>
      </c>
      <c r="G7327" s="3"/>
    </row>
    <row r="7328" ht="22.5" hidden="1" customHeight="1">
      <c r="A7328" s="11" t="str">
        <f t="array" ref="A7328">IFERROR(
  INDEX('Starlink Launches'!$A:$A, MATCH($E7328, 'Starlink Launches'!$B:$B, 0)),
  ""
)
</f>
        <v/>
      </c>
      <c r="B7328" s="26"/>
      <c r="C7328" s="12"/>
      <c r="D7328" s="13"/>
      <c r="E7328" s="4"/>
      <c r="F7328" s="4" t="str">
        <f>IF(D7328="","", IFNA(VLOOKUP(D7328, SATCAT_DECAY!A:B, 2, FALSE), ""))
</f>
        <v/>
      </c>
      <c r="G7328" s="3"/>
    </row>
    <row r="7329" ht="22.5" hidden="1" customHeight="1">
      <c r="A7329" s="11" t="str">
        <f t="array" ref="A7329">IFERROR(
  INDEX('Starlink Launches'!$A:$A, MATCH($E7329, 'Starlink Launches'!$B:$B, 0)),
  ""
)
</f>
        <v/>
      </c>
      <c r="B7329" s="26"/>
      <c r="C7329" s="12"/>
      <c r="D7329" s="13"/>
      <c r="E7329" s="4"/>
      <c r="F7329" s="4" t="str">
        <f>IF(D7329="","", IFNA(VLOOKUP(D7329, SATCAT_DECAY!A:B, 2, FALSE), ""))
</f>
        <v/>
      </c>
      <c r="G7329" s="3"/>
    </row>
    <row r="7330" ht="22.5" hidden="1" customHeight="1">
      <c r="A7330" s="11" t="str">
        <f t="array" ref="A7330">IFERROR(
  INDEX('Starlink Launches'!$A:$A, MATCH($E7330, 'Starlink Launches'!$B:$B, 0)),
  ""
)
</f>
        <v/>
      </c>
      <c r="B7330" s="26"/>
      <c r="C7330" s="12"/>
      <c r="D7330" s="13"/>
      <c r="E7330" s="4"/>
      <c r="F7330" s="4" t="str">
        <f>IF(D7330="","", IFNA(VLOOKUP(D7330, SATCAT_DECAY!A:B, 2, FALSE), ""))
</f>
        <v/>
      </c>
      <c r="G7330" s="3"/>
    </row>
    <row r="7331" ht="22.5" hidden="1" customHeight="1">
      <c r="A7331" s="11" t="str">
        <f t="array" ref="A7331">IFERROR(
  INDEX('Starlink Launches'!$A:$A, MATCH($E7331, 'Starlink Launches'!$B:$B, 0)),
  ""
)
</f>
        <v/>
      </c>
      <c r="B7331" s="26"/>
      <c r="C7331" s="12"/>
      <c r="D7331" s="13"/>
      <c r="E7331" s="4"/>
      <c r="F7331" s="4" t="str">
        <f>IF(D7331="","", IFNA(VLOOKUP(D7331, SATCAT_DECAY!A:B, 2, FALSE), ""))
</f>
        <v/>
      </c>
      <c r="G7331" s="3"/>
    </row>
    <row r="7332" ht="22.5" hidden="1" customHeight="1">
      <c r="A7332" s="11" t="str">
        <f t="array" ref="A7332">IFERROR(
  INDEX('Starlink Launches'!$A:$A, MATCH($E7332, 'Starlink Launches'!$B:$B, 0)),
  ""
)
</f>
        <v/>
      </c>
      <c r="B7332" s="26"/>
      <c r="C7332" s="12"/>
      <c r="D7332" s="13"/>
      <c r="E7332" s="4"/>
      <c r="F7332" s="4" t="str">
        <f>IF(D7332="","", IFNA(VLOOKUP(D7332, SATCAT_DECAY!A:B, 2, FALSE), ""))
</f>
        <v/>
      </c>
      <c r="G7332" s="3"/>
    </row>
    <row r="7333" ht="22.5" hidden="1" customHeight="1">
      <c r="A7333" s="11" t="str">
        <f t="array" ref="A7333">IFERROR(
  INDEX('Starlink Launches'!$A:$A, MATCH($E7333, 'Starlink Launches'!$B:$B, 0)),
  ""
)
</f>
        <v/>
      </c>
      <c r="B7333" s="26"/>
      <c r="C7333" s="12"/>
      <c r="D7333" s="13"/>
      <c r="E7333" s="4"/>
      <c r="F7333" s="4" t="str">
        <f>IF(D7333="","", IFNA(VLOOKUP(D7333, SATCAT_DECAY!A:B, 2, FALSE), ""))
</f>
        <v/>
      </c>
      <c r="G7333" s="3"/>
    </row>
    <row r="7334" ht="22.5" hidden="1" customHeight="1">
      <c r="A7334" s="11" t="str">
        <f t="array" ref="A7334">IFERROR(
  INDEX('Starlink Launches'!$A:$A, MATCH($E7334, 'Starlink Launches'!$B:$B, 0)),
  ""
)
</f>
        <v/>
      </c>
      <c r="B7334" s="26"/>
      <c r="C7334" s="12"/>
      <c r="D7334" s="13"/>
      <c r="E7334" s="4"/>
      <c r="F7334" s="4" t="str">
        <f>IF(D7334="","", IFNA(VLOOKUP(D7334, SATCAT_DECAY!A:B, 2, FALSE), ""))
</f>
        <v/>
      </c>
      <c r="G7334" s="3"/>
    </row>
    <row r="7335" ht="22.5" hidden="1" customHeight="1">
      <c r="A7335" s="11" t="str">
        <f t="array" ref="A7335">IFERROR(
  INDEX('Starlink Launches'!$A:$A, MATCH($E7335, 'Starlink Launches'!$B:$B, 0)),
  ""
)
</f>
        <v/>
      </c>
      <c r="B7335" s="26"/>
      <c r="C7335" s="12"/>
      <c r="D7335" s="13"/>
      <c r="E7335" s="4"/>
      <c r="F7335" s="4" t="str">
        <f>IF(D7335="","", IFNA(VLOOKUP(D7335, SATCAT_DECAY!A:B, 2, FALSE), ""))
</f>
        <v/>
      </c>
      <c r="G7335" s="3"/>
    </row>
    <row r="7336" ht="22.5" hidden="1" customHeight="1">
      <c r="A7336" s="11" t="str">
        <f t="array" ref="A7336">IFERROR(
  INDEX('Starlink Launches'!$A:$A, MATCH($E7336, 'Starlink Launches'!$B:$B, 0)),
  ""
)
</f>
        <v/>
      </c>
      <c r="B7336" s="26"/>
      <c r="C7336" s="12"/>
      <c r="D7336" s="13"/>
      <c r="E7336" s="4"/>
      <c r="F7336" s="4" t="str">
        <f>IF(D7336="","", IFNA(VLOOKUP(D7336, SATCAT_DECAY!A:B, 2, FALSE), ""))
</f>
        <v/>
      </c>
      <c r="G7336" s="3"/>
    </row>
    <row r="7337" ht="22.5" hidden="1" customHeight="1">
      <c r="A7337" s="11" t="str">
        <f t="array" ref="A7337">IFERROR(
  INDEX('Starlink Launches'!$A:$A, MATCH($E7337, 'Starlink Launches'!$B:$B, 0)),
  ""
)
</f>
        <v/>
      </c>
      <c r="B7337" s="26"/>
      <c r="C7337" s="12"/>
      <c r="D7337" s="13"/>
      <c r="E7337" s="4"/>
      <c r="F7337" s="4" t="str">
        <f>IF(D7337="","", IFNA(VLOOKUP(D7337, SATCAT_DECAY!A:B, 2, FALSE), ""))
</f>
        <v/>
      </c>
      <c r="G7337" s="3"/>
    </row>
    <row r="7338" ht="22.5" hidden="1" customHeight="1">
      <c r="A7338" s="11" t="str">
        <f t="array" ref="A7338">IFERROR(
  INDEX('Starlink Launches'!$A:$A, MATCH($E7338, 'Starlink Launches'!$B:$B, 0)),
  ""
)
</f>
        <v/>
      </c>
      <c r="B7338" s="26"/>
      <c r="C7338" s="12"/>
      <c r="D7338" s="13"/>
      <c r="E7338" s="4"/>
      <c r="F7338" s="4" t="str">
        <f>IF(D7338="","", IFNA(VLOOKUP(D7338, SATCAT_DECAY!A:B, 2, FALSE), ""))
</f>
        <v/>
      </c>
      <c r="G7338" s="3"/>
    </row>
    <row r="7339" ht="22.5" hidden="1" customHeight="1">
      <c r="A7339" s="11" t="str">
        <f t="array" ref="A7339">IFERROR(
  INDEX('Starlink Launches'!$A:$A, MATCH($E7339, 'Starlink Launches'!$B:$B, 0)),
  ""
)
</f>
        <v/>
      </c>
      <c r="B7339" s="26"/>
      <c r="C7339" s="12"/>
      <c r="D7339" s="13"/>
      <c r="E7339" s="4"/>
      <c r="F7339" s="4" t="str">
        <f>IF(D7339="","", IFNA(VLOOKUP(D7339, SATCAT_DECAY!A:B, 2, FALSE), ""))
</f>
        <v/>
      </c>
      <c r="G7339" s="3"/>
    </row>
    <row r="7340" ht="22.5" hidden="1" customHeight="1">
      <c r="A7340" s="11" t="str">
        <f t="array" ref="A7340">IFERROR(
  INDEX('Starlink Launches'!$A:$A, MATCH($E7340, 'Starlink Launches'!$B:$B, 0)),
  ""
)
</f>
        <v/>
      </c>
      <c r="B7340" s="26"/>
      <c r="C7340" s="12"/>
      <c r="D7340" s="13"/>
      <c r="E7340" s="4"/>
      <c r="F7340" s="4" t="str">
        <f>IF(D7340="","", IFNA(VLOOKUP(D7340, SATCAT_DECAY!A:B, 2, FALSE), ""))
</f>
        <v/>
      </c>
      <c r="G7340" s="3"/>
    </row>
    <row r="7341" ht="22.5" hidden="1" customHeight="1">
      <c r="A7341" s="11" t="str">
        <f t="array" ref="A7341">IFERROR(
  INDEX('Starlink Launches'!$A:$A, MATCH($E7341, 'Starlink Launches'!$B:$B, 0)),
  ""
)
</f>
        <v/>
      </c>
      <c r="B7341" s="26"/>
      <c r="C7341" s="12"/>
      <c r="D7341" s="13"/>
      <c r="E7341" s="4"/>
      <c r="F7341" s="4" t="str">
        <f>IF(D7341="","", IFNA(VLOOKUP(D7341, SATCAT_DECAY!A:B, 2, FALSE), ""))
</f>
        <v/>
      </c>
      <c r="G7341" s="3"/>
    </row>
    <row r="7342" ht="22.5" hidden="1" customHeight="1">
      <c r="A7342" s="11" t="str">
        <f t="array" ref="A7342">IFERROR(
  INDEX('Starlink Launches'!$A:$A, MATCH($E7342, 'Starlink Launches'!$B:$B, 0)),
  ""
)
</f>
        <v/>
      </c>
      <c r="B7342" s="26"/>
      <c r="C7342" s="12"/>
      <c r="D7342" s="13"/>
      <c r="E7342" s="4"/>
      <c r="F7342" s="4" t="str">
        <f>IF(D7342="","", IFNA(VLOOKUP(D7342, SATCAT_DECAY!A:B, 2, FALSE), ""))
</f>
        <v/>
      </c>
      <c r="G7342" s="3"/>
    </row>
    <row r="7343" ht="22.5" hidden="1" customHeight="1">
      <c r="A7343" s="11" t="str">
        <f t="array" ref="A7343">IFERROR(
  INDEX('Starlink Launches'!$A:$A, MATCH($E7343, 'Starlink Launches'!$B:$B, 0)),
  ""
)
</f>
        <v/>
      </c>
      <c r="B7343" s="26"/>
      <c r="C7343" s="12"/>
      <c r="D7343" s="13"/>
      <c r="E7343" s="4"/>
      <c r="F7343" s="4" t="str">
        <f>IF(D7343="","", IFNA(VLOOKUP(D7343, SATCAT_DECAY!A:B, 2, FALSE), ""))
</f>
        <v/>
      </c>
      <c r="G7343" s="3"/>
    </row>
    <row r="7344" ht="22.5" hidden="1" customHeight="1">
      <c r="A7344" s="11" t="str">
        <f t="array" ref="A7344">IFERROR(
  INDEX('Starlink Launches'!$A:$A, MATCH($E7344, 'Starlink Launches'!$B:$B, 0)),
  ""
)
</f>
        <v/>
      </c>
      <c r="B7344" s="26"/>
      <c r="C7344" s="12"/>
      <c r="D7344" s="13"/>
      <c r="E7344" s="4"/>
      <c r="F7344" s="4" t="str">
        <f>IF(D7344="","", IFNA(VLOOKUP(D7344, SATCAT_DECAY!A:B, 2, FALSE), ""))
</f>
        <v/>
      </c>
      <c r="G7344" s="3"/>
    </row>
    <row r="7345" ht="22.5" hidden="1" customHeight="1">
      <c r="A7345" s="11" t="str">
        <f t="array" ref="A7345">IFERROR(
  INDEX('Starlink Launches'!$A:$A, MATCH($E7345, 'Starlink Launches'!$B:$B, 0)),
  ""
)
</f>
        <v/>
      </c>
      <c r="B7345" s="26"/>
      <c r="C7345" s="12"/>
      <c r="D7345" s="13"/>
      <c r="E7345" s="4"/>
      <c r="F7345" s="4" t="str">
        <f>IF(D7345="","", IFNA(VLOOKUP(D7345, SATCAT_DECAY!A:B, 2, FALSE), ""))
</f>
        <v/>
      </c>
      <c r="G7345" s="3"/>
    </row>
    <row r="7346" ht="22.5" hidden="1" customHeight="1">
      <c r="A7346" s="11" t="str">
        <f t="array" ref="A7346">IFERROR(
  INDEX('Starlink Launches'!$A:$A, MATCH($E7346, 'Starlink Launches'!$B:$B, 0)),
  ""
)
</f>
        <v/>
      </c>
      <c r="B7346" s="26"/>
      <c r="C7346" s="12"/>
      <c r="D7346" s="13"/>
      <c r="E7346" s="4"/>
      <c r="F7346" s="4" t="str">
        <f>IF(D7346="","", IFNA(VLOOKUP(D7346, SATCAT_DECAY!A:B, 2, FALSE), ""))
</f>
        <v/>
      </c>
      <c r="G7346" s="3"/>
    </row>
    <row r="7347" ht="22.5" hidden="1" customHeight="1">
      <c r="A7347" s="11" t="str">
        <f t="array" ref="A7347">IFERROR(
  INDEX('Starlink Launches'!$A:$A, MATCH($E7347, 'Starlink Launches'!$B:$B, 0)),
  ""
)
</f>
        <v/>
      </c>
      <c r="B7347" s="26"/>
      <c r="C7347" s="12"/>
      <c r="D7347" s="13"/>
      <c r="E7347" s="4"/>
      <c r="F7347" s="4" t="str">
        <f>IF(D7347="","", IFNA(VLOOKUP(D7347, SATCAT_DECAY!A:B, 2, FALSE), ""))
</f>
        <v/>
      </c>
      <c r="G7347" s="3"/>
    </row>
    <row r="7348" ht="22.5" hidden="1" customHeight="1">
      <c r="A7348" s="11" t="str">
        <f t="array" ref="A7348">IFERROR(
  INDEX('Starlink Launches'!$A:$A, MATCH($E7348, 'Starlink Launches'!$B:$B, 0)),
  ""
)
</f>
        <v/>
      </c>
      <c r="B7348" s="26"/>
      <c r="C7348" s="12"/>
      <c r="D7348" s="13"/>
      <c r="E7348" s="4"/>
      <c r="F7348" s="4" t="str">
        <f>IF(D7348="","", IFNA(VLOOKUP(D7348, SATCAT_DECAY!A:B, 2, FALSE), ""))
</f>
        <v/>
      </c>
      <c r="G7348" s="3"/>
    </row>
    <row r="7349" ht="22.5" hidden="1" customHeight="1">
      <c r="A7349" s="11" t="str">
        <f t="array" ref="A7349">IFERROR(
  INDEX('Starlink Launches'!$A:$A, MATCH($E7349, 'Starlink Launches'!$B:$B, 0)),
  ""
)
</f>
        <v/>
      </c>
      <c r="B7349" s="26"/>
      <c r="C7349" s="12"/>
      <c r="D7349" s="13"/>
      <c r="E7349" s="4"/>
      <c r="F7349" s="4" t="str">
        <f>IF(D7349="","", IFNA(VLOOKUP(D7349, SATCAT_DECAY!A:B, 2, FALSE), ""))
</f>
        <v/>
      </c>
      <c r="G7349" s="3"/>
    </row>
    <row r="7350" ht="22.5" hidden="1" customHeight="1">
      <c r="A7350" s="11" t="str">
        <f t="array" ref="A7350">IFERROR(
  INDEX('Starlink Launches'!$A:$A, MATCH($E7350, 'Starlink Launches'!$B:$B, 0)),
  ""
)
</f>
        <v/>
      </c>
      <c r="B7350" s="26"/>
      <c r="C7350" s="12"/>
      <c r="D7350" s="13"/>
      <c r="E7350" s="4"/>
      <c r="F7350" s="4" t="str">
        <f>IF(D7350="","", IFNA(VLOOKUP(D7350, SATCAT_DECAY!A:B, 2, FALSE), ""))
</f>
        <v/>
      </c>
      <c r="G7350" s="3"/>
    </row>
    <row r="7351" ht="22.5" hidden="1" customHeight="1">
      <c r="A7351" s="11" t="str">
        <f t="array" ref="A7351">IFERROR(
  INDEX('Starlink Launches'!$A:$A, MATCH($E7351, 'Starlink Launches'!$B:$B, 0)),
  ""
)
</f>
        <v/>
      </c>
      <c r="B7351" s="26"/>
      <c r="C7351" s="12"/>
      <c r="D7351" s="13"/>
      <c r="E7351" s="4"/>
      <c r="F7351" s="4" t="str">
        <f>IF(D7351="","", IFNA(VLOOKUP(D7351, SATCAT_DECAY!A:B, 2, FALSE), ""))
</f>
        <v/>
      </c>
      <c r="G7351" s="3"/>
    </row>
    <row r="7352" ht="22.5" hidden="1" customHeight="1">
      <c r="A7352" s="11" t="str">
        <f t="array" ref="A7352">IFERROR(
  INDEX('Starlink Launches'!$A:$A, MATCH($E7352, 'Starlink Launches'!$B:$B, 0)),
  ""
)
</f>
        <v/>
      </c>
      <c r="B7352" s="26"/>
      <c r="C7352" s="12"/>
      <c r="D7352" s="13"/>
      <c r="E7352" s="4"/>
      <c r="F7352" s="4" t="str">
        <f>IF(D7352="","", IFNA(VLOOKUP(D7352, SATCAT_DECAY!A:B, 2, FALSE), ""))
</f>
        <v/>
      </c>
      <c r="G7352" s="3"/>
    </row>
    <row r="7353" ht="22.5" hidden="1" customHeight="1">
      <c r="A7353" s="11" t="str">
        <f t="array" ref="A7353">IFERROR(
  INDEX('Starlink Launches'!$A:$A, MATCH($E7353, 'Starlink Launches'!$B:$B, 0)),
  ""
)
</f>
        <v/>
      </c>
      <c r="B7353" s="26"/>
      <c r="C7353" s="12"/>
      <c r="D7353" s="13"/>
      <c r="E7353" s="4"/>
      <c r="F7353" s="4" t="str">
        <f>IF(D7353="","", IFNA(VLOOKUP(D7353, SATCAT_DECAY!A:B, 2, FALSE), ""))
</f>
        <v/>
      </c>
      <c r="G7353" s="3"/>
    </row>
    <row r="7354" ht="22.5" hidden="1" customHeight="1">
      <c r="A7354" s="11" t="str">
        <f t="array" ref="A7354">IFERROR(
  INDEX('Starlink Launches'!$A:$A, MATCH($E7354, 'Starlink Launches'!$B:$B, 0)),
  ""
)
</f>
        <v/>
      </c>
      <c r="B7354" s="26"/>
      <c r="C7354" s="12"/>
      <c r="D7354" s="13"/>
      <c r="E7354" s="4"/>
      <c r="F7354" s="4" t="str">
        <f>IF(D7354="","", IFNA(VLOOKUP(D7354, SATCAT_DECAY!A:B, 2, FALSE), ""))
</f>
        <v/>
      </c>
      <c r="G7354" s="3"/>
    </row>
    <row r="7355" ht="22.5" hidden="1" customHeight="1">
      <c r="A7355" s="11" t="str">
        <f t="array" ref="A7355">IFERROR(
  INDEX('Starlink Launches'!$A:$A, MATCH($E7355, 'Starlink Launches'!$B:$B, 0)),
  ""
)
</f>
        <v/>
      </c>
      <c r="B7355" s="26"/>
      <c r="C7355" s="12"/>
      <c r="D7355" s="13"/>
      <c r="E7355" s="4"/>
      <c r="F7355" s="4" t="str">
        <f>IF(D7355="","", IFNA(VLOOKUP(D7355, SATCAT_DECAY!A:B, 2, FALSE), ""))
</f>
        <v/>
      </c>
      <c r="G7355" s="3"/>
    </row>
    <row r="7356" ht="22.5" hidden="1" customHeight="1">
      <c r="A7356" s="11" t="str">
        <f t="array" ref="A7356">IFERROR(
  INDEX('Starlink Launches'!$A:$A, MATCH($E7356, 'Starlink Launches'!$B:$B, 0)),
  ""
)
</f>
        <v/>
      </c>
      <c r="B7356" s="26"/>
      <c r="C7356" s="12"/>
      <c r="D7356" s="13"/>
      <c r="E7356" s="4"/>
      <c r="F7356" s="4" t="str">
        <f>IF(D7356="","", IFNA(VLOOKUP(D7356, SATCAT_DECAY!A:B, 2, FALSE), ""))
</f>
        <v/>
      </c>
      <c r="G7356" s="3"/>
    </row>
    <row r="7357" ht="22.5" hidden="1" customHeight="1">
      <c r="A7357" s="11" t="str">
        <f t="array" ref="A7357">IFERROR(
  INDEX('Starlink Launches'!$A:$A, MATCH($E7357, 'Starlink Launches'!$B:$B, 0)),
  ""
)
</f>
        <v/>
      </c>
      <c r="B7357" s="26"/>
      <c r="C7357" s="12"/>
      <c r="D7357" s="13"/>
      <c r="E7357" s="4"/>
      <c r="F7357" s="4" t="str">
        <f>IF(D7357="","", IFNA(VLOOKUP(D7357, SATCAT_DECAY!A:B, 2, FALSE), ""))
</f>
        <v/>
      </c>
      <c r="G7357" s="3"/>
    </row>
    <row r="7358" ht="22.5" hidden="1" customHeight="1">
      <c r="A7358" s="11" t="str">
        <f t="array" ref="A7358">IFERROR(
  INDEX('Starlink Launches'!$A:$A, MATCH($E7358, 'Starlink Launches'!$B:$B, 0)),
  ""
)
</f>
        <v/>
      </c>
      <c r="B7358" s="26"/>
      <c r="C7358" s="12"/>
      <c r="D7358" s="13"/>
      <c r="E7358" s="4"/>
      <c r="F7358" s="4" t="str">
        <f>IF(D7358="","", IFNA(VLOOKUP(D7358, SATCAT_DECAY!A:B, 2, FALSE), ""))
</f>
        <v/>
      </c>
      <c r="G7358" s="3"/>
    </row>
    <row r="7359" ht="22.5" hidden="1" customHeight="1">
      <c r="A7359" s="11" t="str">
        <f t="array" ref="A7359">IFERROR(
  INDEX('Starlink Launches'!$A:$A, MATCH($E7359, 'Starlink Launches'!$B:$B, 0)),
  ""
)
</f>
        <v/>
      </c>
      <c r="B7359" s="26"/>
      <c r="C7359" s="12"/>
      <c r="D7359" s="13"/>
      <c r="E7359" s="4"/>
      <c r="F7359" s="4" t="str">
        <f>IF(D7359="","", IFNA(VLOOKUP(D7359, SATCAT_DECAY!A:B, 2, FALSE), ""))
</f>
        <v/>
      </c>
      <c r="G7359" s="3"/>
    </row>
    <row r="7360" ht="22.5" hidden="1" customHeight="1">
      <c r="A7360" s="11" t="str">
        <f t="array" ref="A7360">IFERROR(
  INDEX('Starlink Launches'!$A:$A, MATCH($E7360, 'Starlink Launches'!$B:$B, 0)),
  ""
)
</f>
        <v/>
      </c>
      <c r="B7360" s="26"/>
      <c r="C7360" s="12"/>
      <c r="D7360" s="13"/>
      <c r="E7360" s="4"/>
      <c r="F7360" s="4" t="str">
        <f>IF(D7360="","", IFNA(VLOOKUP(D7360, SATCAT_DECAY!A:B, 2, FALSE), ""))
</f>
        <v/>
      </c>
      <c r="G7360" s="3"/>
    </row>
    <row r="7361" ht="22.5" hidden="1" customHeight="1">
      <c r="A7361" s="11" t="str">
        <f t="array" ref="A7361">IFERROR(
  INDEX('Starlink Launches'!$A:$A, MATCH($E7361, 'Starlink Launches'!$B:$B, 0)),
  ""
)
</f>
        <v/>
      </c>
      <c r="B7361" s="26"/>
      <c r="C7361" s="12"/>
      <c r="D7361" s="13"/>
      <c r="E7361" s="4"/>
      <c r="F7361" s="4" t="str">
        <f>IF(D7361="","", IFNA(VLOOKUP(D7361, SATCAT_DECAY!A:B, 2, FALSE), ""))
</f>
        <v/>
      </c>
      <c r="G7361" s="3"/>
    </row>
    <row r="7362" ht="22.5" hidden="1" customHeight="1">
      <c r="A7362" s="11" t="str">
        <f t="array" ref="A7362">IFERROR(
  INDEX('Starlink Launches'!$A:$A, MATCH($E7362, 'Starlink Launches'!$B:$B, 0)),
  ""
)
</f>
        <v/>
      </c>
      <c r="B7362" s="26"/>
      <c r="C7362" s="12"/>
      <c r="D7362" s="13"/>
      <c r="E7362" s="4"/>
      <c r="F7362" s="4" t="str">
        <f>IF(D7362="","", IFNA(VLOOKUP(D7362, SATCAT_DECAY!A:B, 2, FALSE), ""))
</f>
        <v/>
      </c>
      <c r="G7362" s="3"/>
    </row>
    <row r="7363" ht="22.5" hidden="1" customHeight="1">
      <c r="A7363" s="11" t="str">
        <f t="array" ref="A7363">IFERROR(
  INDEX('Starlink Launches'!$A:$A, MATCH($E7363, 'Starlink Launches'!$B:$B, 0)),
  ""
)
</f>
        <v/>
      </c>
      <c r="B7363" s="26"/>
      <c r="C7363" s="12"/>
      <c r="D7363" s="13"/>
      <c r="E7363" s="4"/>
      <c r="F7363" s="4" t="str">
        <f>IF(D7363="","", IFNA(VLOOKUP(D7363, SATCAT_DECAY!A:B, 2, FALSE), ""))
</f>
        <v/>
      </c>
      <c r="G7363" s="3"/>
    </row>
    <row r="7364" ht="22.5" hidden="1" customHeight="1">
      <c r="A7364" s="11" t="str">
        <f t="array" ref="A7364">IFERROR(
  INDEX('Starlink Launches'!$A:$A, MATCH($E7364, 'Starlink Launches'!$B:$B, 0)),
  ""
)
</f>
        <v/>
      </c>
      <c r="B7364" s="26"/>
      <c r="C7364" s="12"/>
      <c r="D7364" s="13"/>
      <c r="E7364" s="4"/>
      <c r="F7364" s="4" t="str">
        <f>IF(D7364="","", IFNA(VLOOKUP(D7364, SATCAT_DECAY!A:B, 2, FALSE), ""))
</f>
        <v/>
      </c>
      <c r="G7364" s="3"/>
    </row>
    <row r="7365" ht="22.5" hidden="1" customHeight="1">
      <c r="A7365" s="11" t="str">
        <f t="array" ref="A7365">IFERROR(
  INDEX('Starlink Launches'!$A:$A, MATCH($E7365, 'Starlink Launches'!$B:$B, 0)),
  ""
)
</f>
        <v/>
      </c>
      <c r="B7365" s="26"/>
      <c r="C7365" s="12"/>
      <c r="D7365" s="13"/>
      <c r="E7365" s="4"/>
      <c r="F7365" s="4" t="str">
        <f>IF(D7365="","", IFNA(VLOOKUP(D7365, SATCAT_DECAY!A:B, 2, FALSE), ""))
</f>
        <v/>
      </c>
      <c r="G7365" s="3"/>
    </row>
    <row r="7366" ht="22.5" hidden="1" customHeight="1">
      <c r="A7366" s="11" t="str">
        <f t="array" ref="A7366">IFERROR(
  INDEX('Starlink Launches'!$A:$A, MATCH($E7366, 'Starlink Launches'!$B:$B, 0)),
  ""
)
</f>
        <v/>
      </c>
      <c r="B7366" s="26"/>
      <c r="C7366" s="12"/>
      <c r="D7366" s="13"/>
      <c r="E7366" s="4"/>
      <c r="F7366" s="4" t="str">
        <f>IF(D7366="","", IFNA(VLOOKUP(D7366, SATCAT_DECAY!A:B, 2, FALSE), ""))
</f>
        <v/>
      </c>
      <c r="G7366" s="3"/>
    </row>
    <row r="7367" ht="22.5" hidden="1" customHeight="1">
      <c r="A7367" s="11" t="str">
        <f t="array" ref="A7367">IFERROR(
  INDEX('Starlink Launches'!$A:$A, MATCH($E7367, 'Starlink Launches'!$B:$B, 0)),
  ""
)
</f>
        <v/>
      </c>
      <c r="B7367" s="26"/>
      <c r="C7367" s="12"/>
      <c r="D7367" s="13"/>
      <c r="E7367" s="4"/>
      <c r="F7367" s="4" t="str">
        <f>IF(D7367="","", IFNA(VLOOKUP(D7367, SATCAT_DECAY!A:B, 2, FALSE), ""))
</f>
        <v/>
      </c>
      <c r="G7367" s="3"/>
    </row>
    <row r="7368" ht="22.5" hidden="1" customHeight="1">
      <c r="A7368" s="11" t="str">
        <f t="array" ref="A7368">IFERROR(
  INDEX('Starlink Launches'!$A:$A, MATCH($E7368, 'Starlink Launches'!$B:$B, 0)),
  ""
)
</f>
        <v/>
      </c>
      <c r="B7368" s="26"/>
      <c r="C7368" s="12"/>
      <c r="D7368" s="13"/>
      <c r="E7368" s="4"/>
      <c r="F7368" s="4" t="str">
        <f>IF(D7368="","", IFNA(VLOOKUP(D7368, SATCAT_DECAY!A:B, 2, FALSE), ""))
</f>
        <v/>
      </c>
      <c r="G7368" s="3"/>
    </row>
    <row r="7369" ht="22.5" hidden="1" customHeight="1">
      <c r="A7369" s="11" t="str">
        <f t="array" ref="A7369">IFERROR(
  INDEX('Starlink Launches'!$A:$A, MATCH($E7369, 'Starlink Launches'!$B:$B, 0)),
  ""
)
</f>
        <v/>
      </c>
      <c r="B7369" s="26"/>
      <c r="C7369" s="12"/>
      <c r="D7369" s="13"/>
      <c r="E7369" s="4"/>
      <c r="F7369" s="4" t="str">
        <f>IF(D7369="","", IFNA(VLOOKUP(D7369, SATCAT_DECAY!A:B, 2, FALSE), ""))
</f>
        <v/>
      </c>
      <c r="G7369" s="3"/>
    </row>
    <row r="7370" ht="22.5" hidden="1" customHeight="1">
      <c r="A7370" s="11" t="str">
        <f t="array" ref="A7370">IFERROR(
  INDEX('Starlink Launches'!$A:$A, MATCH($E7370, 'Starlink Launches'!$B:$B, 0)),
  ""
)
</f>
        <v/>
      </c>
      <c r="B7370" s="26"/>
      <c r="C7370" s="12"/>
      <c r="D7370" s="13"/>
      <c r="E7370" s="4"/>
      <c r="F7370" s="4" t="str">
        <f>IF(D7370="","", IFNA(VLOOKUP(D7370, SATCAT_DECAY!A:B, 2, FALSE), ""))
</f>
        <v/>
      </c>
      <c r="G7370" s="3"/>
    </row>
    <row r="7371" ht="22.5" hidden="1" customHeight="1">
      <c r="A7371" s="11" t="str">
        <f t="array" ref="A7371">IFERROR(
  INDEX('Starlink Launches'!$A:$A, MATCH($E7371, 'Starlink Launches'!$B:$B, 0)),
  ""
)
</f>
        <v/>
      </c>
      <c r="B7371" s="26"/>
      <c r="C7371" s="12"/>
      <c r="D7371" s="13"/>
      <c r="E7371" s="4"/>
      <c r="F7371" s="4" t="str">
        <f>IF(D7371="","", IFNA(VLOOKUP(D7371, SATCAT_DECAY!A:B, 2, FALSE), ""))
</f>
        <v/>
      </c>
      <c r="G7371" s="3"/>
    </row>
    <row r="7372" ht="22.5" hidden="1" customHeight="1">
      <c r="A7372" s="11" t="str">
        <f t="array" ref="A7372">IFERROR(
  INDEX('Starlink Launches'!$A:$A, MATCH($E7372, 'Starlink Launches'!$B:$B, 0)),
  ""
)
</f>
        <v/>
      </c>
      <c r="B7372" s="26"/>
      <c r="C7372" s="12"/>
      <c r="D7372" s="13"/>
      <c r="E7372" s="4"/>
      <c r="F7372" s="4" t="str">
        <f>IF(D7372="","", IFNA(VLOOKUP(D7372, SATCAT_DECAY!A:B, 2, FALSE), ""))
</f>
        <v/>
      </c>
      <c r="G7372" s="3"/>
    </row>
    <row r="7373" ht="22.5" hidden="1" customHeight="1">
      <c r="A7373" s="11" t="str">
        <f t="array" ref="A7373">IFERROR(
  INDEX('Starlink Launches'!$A:$A, MATCH($E7373, 'Starlink Launches'!$B:$B, 0)),
  ""
)
</f>
        <v/>
      </c>
      <c r="B7373" s="26"/>
      <c r="C7373" s="12"/>
      <c r="D7373" s="13"/>
      <c r="E7373" s="4"/>
      <c r="F7373" s="4" t="str">
        <f>IF(D7373="","", IFNA(VLOOKUP(D7373, SATCAT_DECAY!A:B, 2, FALSE), ""))
</f>
        <v/>
      </c>
      <c r="G7373" s="3"/>
    </row>
    <row r="7374" ht="22.5" hidden="1" customHeight="1">
      <c r="A7374" s="11" t="str">
        <f t="array" ref="A7374">IFERROR(
  INDEX('Starlink Launches'!$A:$A, MATCH($E7374, 'Starlink Launches'!$B:$B, 0)),
  ""
)
</f>
        <v/>
      </c>
      <c r="B7374" s="26"/>
      <c r="C7374" s="12"/>
      <c r="D7374" s="13"/>
      <c r="E7374" s="4"/>
      <c r="F7374" s="4" t="str">
        <f>IF(D7374="","", IFNA(VLOOKUP(D7374, SATCAT_DECAY!A:B, 2, FALSE), ""))
</f>
        <v/>
      </c>
      <c r="G7374" s="3"/>
    </row>
    <row r="7375" ht="22.5" hidden="1" customHeight="1">
      <c r="A7375" s="11" t="str">
        <f t="array" ref="A7375">IFERROR(
  INDEX('Starlink Launches'!$A:$A, MATCH($E7375, 'Starlink Launches'!$B:$B, 0)),
  ""
)
</f>
        <v/>
      </c>
      <c r="B7375" s="26"/>
      <c r="C7375" s="12"/>
      <c r="D7375" s="13"/>
      <c r="E7375" s="4"/>
      <c r="F7375" s="4" t="str">
        <f>IF(D7375="","", IFNA(VLOOKUP(D7375, SATCAT_DECAY!A:B, 2, FALSE), ""))
</f>
        <v/>
      </c>
      <c r="G7375" s="3"/>
    </row>
    <row r="7376" ht="22.5" hidden="1" customHeight="1">
      <c r="A7376" s="11" t="str">
        <f t="array" ref="A7376">IFERROR(
  INDEX('Starlink Launches'!$A:$A, MATCH($E7376, 'Starlink Launches'!$B:$B, 0)),
  ""
)
</f>
        <v/>
      </c>
      <c r="B7376" s="26"/>
      <c r="C7376" s="12"/>
      <c r="D7376" s="13"/>
      <c r="E7376" s="4"/>
      <c r="F7376" s="4" t="str">
        <f>IF(D7376="","", IFNA(VLOOKUP(D7376, SATCAT_DECAY!A:B, 2, FALSE), ""))
</f>
        <v/>
      </c>
      <c r="G7376" s="3"/>
    </row>
    <row r="7377" ht="22.5" hidden="1" customHeight="1">
      <c r="A7377" s="11" t="str">
        <f t="array" ref="A7377">IFERROR(
  INDEX('Starlink Launches'!$A:$A, MATCH($E7377, 'Starlink Launches'!$B:$B, 0)),
  ""
)
</f>
        <v/>
      </c>
      <c r="B7377" s="26"/>
      <c r="C7377" s="12"/>
      <c r="D7377" s="13"/>
      <c r="E7377" s="4"/>
      <c r="F7377" s="4" t="str">
        <f>IF(D7377="","", IFNA(VLOOKUP(D7377, SATCAT_DECAY!A:B, 2, FALSE), ""))
</f>
        <v/>
      </c>
      <c r="G7377" s="3"/>
    </row>
    <row r="7378" ht="22.5" hidden="1" customHeight="1">
      <c r="A7378" s="11" t="str">
        <f t="array" ref="A7378">IFERROR(
  INDEX('Starlink Launches'!$A:$A, MATCH($E7378, 'Starlink Launches'!$B:$B, 0)),
  ""
)
</f>
        <v/>
      </c>
      <c r="B7378" s="26"/>
      <c r="C7378" s="12"/>
      <c r="D7378" s="13"/>
      <c r="E7378" s="4"/>
      <c r="F7378" s="4" t="str">
        <f>IF(D7378="","", IFNA(VLOOKUP(D7378, SATCAT_DECAY!A:B, 2, FALSE), ""))
</f>
        <v/>
      </c>
      <c r="G7378" s="3"/>
    </row>
    <row r="7379" ht="22.5" hidden="1" customHeight="1">
      <c r="A7379" s="11" t="str">
        <f t="array" ref="A7379">IFERROR(
  INDEX('Starlink Launches'!$A:$A, MATCH($E7379, 'Starlink Launches'!$B:$B, 0)),
  ""
)
</f>
        <v/>
      </c>
      <c r="B7379" s="26"/>
      <c r="C7379" s="12"/>
      <c r="D7379" s="13"/>
      <c r="E7379" s="4"/>
      <c r="F7379" s="4" t="str">
        <f>IF(D7379="","", IFNA(VLOOKUP(D7379, SATCAT_DECAY!A:B, 2, FALSE), ""))
</f>
        <v/>
      </c>
      <c r="G7379" s="3"/>
    </row>
    <row r="7380" ht="22.5" hidden="1" customHeight="1">
      <c r="A7380" s="11" t="str">
        <f t="array" ref="A7380">IFERROR(
  INDEX('Starlink Launches'!$A:$A, MATCH($E7380, 'Starlink Launches'!$B:$B, 0)),
  ""
)
</f>
        <v/>
      </c>
      <c r="B7380" s="26"/>
      <c r="C7380" s="12"/>
      <c r="D7380" s="13"/>
      <c r="E7380" s="4"/>
      <c r="F7380" s="4" t="str">
        <f>IF(D7380="","", IFNA(VLOOKUP(D7380, SATCAT_DECAY!A:B, 2, FALSE), ""))
</f>
        <v/>
      </c>
      <c r="G7380" s="3"/>
    </row>
    <row r="7381" ht="22.5" hidden="1" customHeight="1">
      <c r="A7381" s="11" t="str">
        <f t="array" ref="A7381">IFERROR(
  INDEX('Starlink Launches'!$A:$A, MATCH($E7381, 'Starlink Launches'!$B:$B, 0)),
  ""
)
</f>
        <v/>
      </c>
      <c r="B7381" s="26"/>
      <c r="C7381" s="12"/>
      <c r="D7381" s="13"/>
      <c r="E7381" s="4"/>
      <c r="F7381" s="4" t="str">
        <f>IF(D7381="","", IFNA(VLOOKUP(D7381, SATCAT_DECAY!A:B, 2, FALSE), ""))
</f>
        <v/>
      </c>
      <c r="G7381" s="3"/>
    </row>
    <row r="7382" ht="22.5" hidden="1" customHeight="1">
      <c r="A7382" s="11" t="str">
        <f t="array" ref="A7382">IFERROR(
  INDEX('Starlink Launches'!$A:$A, MATCH($E7382, 'Starlink Launches'!$B:$B, 0)),
  ""
)
</f>
        <v/>
      </c>
      <c r="B7382" s="26"/>
      <c r="C7382" s="12"/>
      <c r="D7382" s="13"/>
      <c r="E7382" s="4"/>
      <c r="F7382" s="4" t="str">
        <f>IF(D7382="","", IFNA(VLOOKUP(D7382, SATCAT_DECAY!A:B, 2, FALSE), ""))
</f>
        <v/>
      </c>
      <c r="G7382" s="3"/>
    </row>
    <row r="7383" ht="22.5" hidden="1" customHeight="1">
      <c r="A7383" s="11" t="str">
        <f t="array" ref="A7383">IFERROR(
  INDEX('Starlink Launches'!$A:$A, MATCH($E7383, 'Starlink Launches'!$B:$B, 0)),
  ""
)
</f>
        <v/>
      </c>
      <c r="B7383" s="26"/>
      <c r="C7383" s="12"/>
      <c r="D7383" s="13"/>
      <c r="E7383" s="4"/>
      <c r="F7383" s="4" t="str">
        <f>IF(D7383="","", IFNA(VLOOKUP(D7383, SATCAT_DECAY!A:B, 2, FALSE), ""))
</f>
        <v/>
      </c>
      <c r="G7383" s="3"/>
    </row>
    <row r="7384" ht="22.5" hidden="1" customHeight="1">
      <c r="A7384" s="11" t="str">
        <f t="array" ref="A7384">IFERROR(
  INDEX('Starlink Launches'!$A:$A, MATCH($E7384, 'Starlink Launches'!$B:$B, 0)),
  ""
)
</f>
        <v/>
      </c>
      <c r="B7384" s="26"/>
      <c r="C7384" s="12"/>
      <c r="D7384" s="13"/>
      <c r="E7384" s="4"/>
      <c r="F7384" s="4" t="str">
        <f>IF(D7384="","", IFNA(VLOOKUP(D7384, SATCAT_DECAY!A:B, 2, FALSE), ""))
</f>
        <v/>
      </c>
      <c r="G7384" s="3"/>
    </row>
    <row r="7385" ht="22.5" hidden="1" customHeight="1">
      <c r="A7385" s="11" t="str">
        <f t="array" ref="A7385">IFERROR(
  INDEX('Starlink Launches'!$A:$A, MATCH($E7385, 'Starlink Launches'!$B:$B, 0)),
  ""
)
</f>
        <v/>
      </c>
      <c r="B7385" s="26"/>
      <c r="C7385" s="12"/>
      <c r="D7385" s="13"/>
      <c r="E7385" s="4"/>
      <c r="F7385" s="4" t="str">
        <f>IF(D7385="","", IFNA(VLOOKUP(D7385, SATCAT_DECAY!A:B, 2, FALSE), ""))
</f>
        <v/>
      </c>
      <c r="G7385" s="3"/>
    </row>
    <row r="7386" ht="22.5" hidden="1" customHeight="1">
      <c r="A7386" s="11" t="str">
        <f t="array" ref="A7386">IFERROR(
  INDEX('Starlink Launches'!$A:$A, MATCH($E7386, 'Starlink Launches'!$B:$B, 0)),
  ""
)
</f>
        <v/>
      </c>
      <c r="B7386" s="26"/>
      <c r="C7386" s="12"/>
      <c r="D7386" s="13"/>
      <c r="E7386" s="4"/>
      <c r="F7386" s="4" t="str">
        <f>IF(D7386="","", IFNA(VLOOKUP(D7386, SATCAT_DECAY!A:B, 2, FALSE), ""))
</f>
        <v/>
      </c>
      <c r="G7386" s="3"/>
    </row>
    <row r="7387" ht="22.5" hidden="1" customHeight="1">
      <c r="A7387" s="11" t="str">
        <f t="array" ref="A7387">IFERROR(
  INDEX('Starlink Launches'!$A:$A, MATCH($E7387, 'Starlink Launches'!$B:$B, 0)),
  ""
)
</f>
        <v/>
      </c>
      <c r="B7387" s="26"/>
      <c r="C7387" s="12"/>
      <c r="D7387" s="13"/>
      <c r="E7387" s="4"/>
      <c r="F7387" s="4" t="str">
        <f>IF(D7387="","", IFNA(VLOOKUP(D7387, SATCAT_DECAY!A:B, 2, FALSE), ""))
</f>
        <v/>
      </c>
      <c r="G7387" s="3"/>
    </row>
    <row r="7388" ht="22.5" hidden="1" customHeight="1">
      <c r="A7388" s="11" t="str">
        <f t="array" ref="A7388">IFERROR(
  INDEX('Starlink Launches'!$A:$A, MATCH($E7388, 'Starlink Launches'!$B:$B, 0)),
  ""
)
</f>
        <v/>
      </c>
      <c r="B7388" s="26"/>
      <c r="C7388" s="12"/>
      <c r="D7388" s="13"/>
      <c r="E7388" s="4"/>
      <c r="F7388" s="4" t="str">
        <f>IF(D7388="","", IFNA(VLOOKUP(D7388, SATCAT_DECAY!A:B, 2, FALSE), ""))
</f>
        <v/>
      </c>
      <c r="G7388" s="3"/>
    </row>
    <row r="7389" ht="22.5" hidden="1" customHeight="1">
      <c r="A7389" s="11" t="str">
        <f t="array" ref="A7389">IFERROR(
  INDEX('Starlink Launches'!$A:$A, MATCH($E7389, 'Starlink Launches'!$B:$B, 0)),
  ""
)
</f>
        <v/>
      </c>
      <c r="B7389" s="26"/>
      <c r="C7389" s="12"/>
      <c r="D7389" s="13"/>
      <c r="E7389" s="4"/>
      <c r="F7389" s="4" t="str">
        <f>IF(D7389="","", IFNA(VLOOKUP(D7389, SATCAT_DECAY!A:B, 2, FALSE), ""))
</f>
        <v/>
      </c>
      <c r="G7389" s="3"/>
    </row>
    <row r="7390" ht="22.5" hidden="1" customHeight="1">
      <c r="A7390" s="11" t="str">
        <f t="array" ref="A7390">IFERROR(
  INDEX('Starlink Launches'!$A:$A, MATCH($E7390, 'Starlink Launches'!$B:$B, 0)),
  ""
)
</f>
        <v/>
      </c>
      <c r="B7390" s="26"/>
      <c r="C7390" s="12"/>
      <c r="D7390" s="13"/>
      <c r="E7390" s="4"/>
      <c r="F7390" s="4" t="str">
        <f>IF(D7390="","", IFNA(VLOOKUP(D7390, SATCAT_DECAY!A:B, 2, FALSE), ""))
</f>
        <v/>
      </c>
      <c r="G7390" s="3"/>
    </row>
    <row r="7391" ht="22.5" hidden="1" customHeight="1">
      <c r="A7391" s="11" t="str">
        <f t="array" ref="A7391">IFERROR(
  INDEX('Starlink Launches'!$A:$A, MATCH($E7391, 'Starlink Launches'!$B:$B, 0)),
  ""
)
</f>
        <v/>
      </c>
      <c r="B7391" s="26"/>
      <c r="C7391" s="12"/>
      <c r="D7391" s="13"/>
      <c r="E7391" s="4"/>
      <c r="F7391" s="4" t="str">
        <f>IF(D7391="","", IFNA(VLOOKUP(D7391, SATCAT_DECAY!A:B, 2, FALSE), ""))
</f>
        <v/>
      </c>
      <c r="G7391" s="3"/>
    </row>
    <row r="7392" ht="22.5" hidden="1" customHeight="1">
      <c r="A7392" s="11" t="str">
        <f t="array" ref="A7392">IFERROR(
  INDEX('Starlink Launches'!$A:$A, MATCH($E7392, 'Starlink Launches'!$B:$B, 0)),
  ""
)
</f>
        <v/>
      </c>
      <c r="B7392" s="26"/>
      <c r="C7392" s="12"/>
      <c r="D7392" s="13"/>
      <c r="E7392" s="4"/>
      <c r="F7392" s="4" t="str">
        <f>IF(D7392="","", IFNA(VLOOKUP(D7392, SATCAT_DECAY!A:B, 2, FALSE), ""))
</f>
        <v/>
      </c>
      <c r="G7392" s="3"/>
    </row>
    <row r="7393" ht="22.5" hidden="1" customHeight="1">
      <c r="A7393" s="11" t="str">
        <f t="array" ref="A7393">IFERROR(
  INDEX('Starlink Launches'!$A:$A, MATCH($E7393, 'Starlink Launches'!$B:$B, 0)),
  ""
)
</f>
        <v/>
      </c>
      <c r="B7393" s="26"/>
      <c r="C7393" s="12"/>
      <c r="D7393" s="13"/>
      <c r="E7393" s="4"/>
      <c r="F7393" s="4" t="str">
        <f>IF(D7393="","", IFNA(VLOOKUP(D7393, SATCAT_DECAY!A:B, 2, FALSE), ""))
</f>
        <v/>
      </c>
      <c r="G7393" s="3"/>
    </row>
    <row r="7394" ht="22.5" hidden="1" customHeight="1">
      <c r="A7394" s="11" t="str">
        <f t="array" ref="A7394">IFERROR(
  INDEX('Starlink Launches'!$A:$A, MATCH($E7394, 'Starlink Launches'!$B:$B, 0)),
  ""
)
</f>
        <v/>
      </c>
      <c r="B7394" s="26"/>
      <c r="C7394" s="12"/>
      <c r="D7394" s="13"/>
      <c r="E7394" s="4"/>
      <c r="F7394" s="4" t="str">
        <f>IF(D7394="","", IFNA(VLOOKUP(D7394, SATCAT_DECAY!A:B, 2, FALSE), ""))
</f>
        <v/>
      </c>
      <c r="G7394" s="3"/>
    </row>
    <row r="7395" ht="22.5" hidden="1" customHeight="1">
      <c r="A7395" s="11" t="str">
        <f t="array" ref="A7395">IFERROR(
  INDEX('Starlink Launches'!$A:$A, MATCH($E7395, 'Starlink Launches'!$B:$B, 0)),
  ""
)
</f>
        <v/>
      </c>
      <c r="B7395" s="26"/>
      <c r="C7395" s="12"/>
      <c r="D7395" s="13"/>
      <c r="E7395" s="4"/>
      <c r="F7395" s="4" t="str">
        <f>IF(D7395="","", IFNA(VLOOKUP(D7395, SATCAT_DECAY!A:B, 2, FALSE), ""))
</f>
        <v/>
      </c>
      <c r="G7395" s="3"/>
    </row>
    <row r="7396" ht="22.5" hidden="1" customHeight="1">
      <c r="A7396" s="11" t="str">
        <f t="array" ref="A7396">IFERROR(
  INDEX('Starlink Launches'!$A:$A, MATCH($E7396, 'Starlink Launches'!$B:$B, 0)),
  ""
)
</f>
        <v/>
      </c>
      <c r="B7396" s="26"/>
      <c r="C7396" s="12"/>
      <c r="D7396" s="13"/>
      <c r="E7396" s="4"/>
      <c r="F7396" s="4" t="str">
        <f>IF(D7396="","", IFNA(VLOOKUP(D7396, SATCAT_DECAY!A:B, 2, FALSE), ""))
</f>
        <v/>
      </c>
      <c r="G7396" s="3"/>
    </row>
    <row r="7397" ht="22.5" hidden="1" customHeight="1">
      <c r="A7397" s="11" t="str">
        <f t="array" ref="A7397">IFERROR(
  INDEX('Starlink Launches'!$A:$A, MATCH($E7397, 'Starlink Launches'!$B:$B, 0)),
  ""
)
</f>
        <v/>
      </c>
      <c r="B7397" s="26"/>
      <c r="C7397" s="12"/>
      <c r="D7397" s="13"/>
      <c r="E7397" s="4"/>
      <c r="F7397" s="4" t="str">
        <f>IF(D7397="","", IFNA(VLOOKUP(D7397, SATCAT_DECAY!A:B, 2, FALSE), ""))
</f>
        <v/>
      </c>
      <c r="G7397" s="3"/>
    </row>
    <row r="7398" ht="22.5" hidden="1" customHeight="1">
      <c r="A7398" s="11" t="str">
        <f t="array" ref="A7398">IFERROR(
  INDEX('Starlink Launches'!$A:$A, MATCH($E7398, 'Starlink Launches'!$B:$B, 0)),
  ""
)
</f>
        <v/>
      </c>
      <c r="B7398" s="26"/>
      <c r="C7398" s="12"/>
      <c r="D7398" s="13"/>
      <c r="E7398" s="4"/>
      <c r="F7398" s="4" t="str">
        <f>IF(D7398="","", IFNA(VLOOKUP(D7398, SATCAT_DECAY!A:B, 2, FALSE), ""))
</f>
        <v/>
      </c>
      <c r="G7398" s="3"/>
    </row>
    <row r="7399" ht="22.5" hidden="1" customHeight="1">
      <c r="A7399" s="11" t="str">
        <f t="array" ref="A7399">IFERROR(
  INDEX('Starlink Launches'!$A:$A, MATCH($E7399, 'Starlink Launches'!$B:$B, 0)),
  ""
)
</f>
        <v/>
      </c>
      <c r="B7399" s="26"/>
      <c r="C7399" s="12"/>
      <c r="D7399" s="13"/>
      <c r="E7399" s="4"/>
      <c r="F7399" s="4" t="str">
        <f>IF(D7399="","", IFNA(VLOOKUP(D7399, SATCAT_DECAY!A:B, 2, FALSE), ""))
</f>
        <v/>
      </c>
      <c r="G7399" s="3"/>
    </row>
    <row r="7400" ht="22.5" hidden="1" customHeight="1">
      <c r="A7400" s="11" t="str">
        <f t="array" ref="A7400">IFERROR(
  INDEX('Starlink Launches'!$A:$A, MATCH($E7400, 'Starlink Launches'!$B:$B, 0)),
  ""
)
</f>
        <v/>
      </c>
      <c r="B7400" s="26"/>
      <c r="C7400" s="12"/>
      <c r="D7400" s="13"/>
      <c r="E7400" s="4"/>
      <c r="F7400" s="4" t="str">
        <f>IF(D7400="","", IFNA(VLOOKUP(D7400, SATCAT_DECAY!A:B, 2, FALSE), ""))
</f>
        <v/>
      </c>
      <c r="G7400" s="3"/>
    </row>
    <row r="7401" ht="22.5" hidden="1" customHeight="1">
      <c r="A7401" s="11" t="str">
        <f t="array" ref="A7401">IFERROR(
  INDEX('Starlink Launches'!$A:$A, MATCH($E7401, 'Starlink Launches'!$B:$B, 0)),
  ""
)
</f>
        <v/>
      </c>
      <c r="B7401" s="26"/>
      <c r="C7401" s="12"/>
      <c r="D7401" s="13"/>
      <c r="E7401" s="4"/>
      <c r="F7401" s="4" t="str">
        <f>IF(D7401="","", IFNA(VLOOKUP(D7401, SATCAT_DECAY!A:B, 2, FALSE), ""))
</f>
        <v/>
      </c>
      <c r="G7401" s="3"/>
    </row>
    <row r="7402" ht="22.5" hidden="1" customHeight="1">
      <c r="A7402" s="11" t="str">
        <f t="array" ref="A7402">IFERROR(
  INDEX('Starlink Launches'!$A:$A, MATCH($E7402, 'Starlink Launches'!$B:$B, 0)),
  ""
)
</f>
        <v/>
      </c>
      <c r="B7402" s="26"/>
      <c r="C7402" s="12"/>
      <c r="D7402" s="13"/>
      <c r="E7402" s="4"/>
      <c r="F7402" s="4" t="str">
        <f>IF(D7402="","", IFNA(VLOOKUP(D7402, SATCAT_DECAY!A:B, 2, FALSE), ""))
</f>
        <v/>
      </c>
      <c r="G7402" s="3"/>
    </row>
    <row r="7403" ht="22.5" hidden="1" customHeight="1">
      <c r="A7403" s="11" t="str">
        <f t="array" ref="A7403">IFERROR(
  INDEX('Starlink Launches'!$A:$A, MATCH($E7403, 'Starlink Launches'!$B:$B, 0)),
  ""
)
</f>
        <v/>
      </c>
      <c r="B7403" s="26"/>
      <c r="C7403" s="12"/>
      <c r="D7403" s="13"/>
      <c r="E7403" s="4"/>
      <c r="F7403" s="4" t="str">
        <f>IF(D7403="","", IFNA(VLOOKUP(D7403, SATCAT_DECAY!A:B, 2, FALSE), ""))
</f>
        <v/>
      </c>
      <c r="G7403" s="3"/>
    </row>
    <row r="7404" ht="22.5" hidden="1" customHeight="1">
      <c r="A7404" s="11" t="str">
        <f t="array" ref="A7404">IFERROR(
  INDEX('Starlink Launches'!$A:$A, MATCH($E7404, 'Starlink Launches'!$B:$B, 0)),
  ""
)
</f>
        <v/>
      </c>
      <c r="B7404" s="26"/>
      <c r="C7404" s="12"/>
      <c r="D7404" s="13"/>
      <c r="E7404" s="4"/>
      <c r="F7404" s="4" t="str">
        <f>IF(D7404="","", IFNA(VLOOKUP(D7404, SATCAT_DECAY!A:B, 2, FALSE), ""))
</f>
        <v/>
      </c>
      <c r="G7404" s="3"/>
    </row>
    <row r="7405" ht="22.5" hidden="1" customHeight="1">
      <c r="A7405" s="11" t="str">
        <f t="array" ref="A7405">IFERROR(
  INDEX('Starlink Launches'!$A:$A, MATCH($E7405, 'Starlink Launches'!$B:$B, 0)),
  ""
)
</f>
        <v/>
      </c>
      <c r="B7405" s="26"/>
      <c r="C7405" s="12"/>
      <c r="D7405" s="13"/>
      <c r="E7405" s="4"/>
      <c r="F7405" s="4" t="str">
        <f>IF(D7405="","", IFNA(VLOOKUP(D7405, SATCAT_DECAY!A:B, 2, FALSE), ""))
</f>
        <v/>
      </c>
      <c r="G7405" s="3"/>
    </row>
    <row r="7406" ht="22.5" hidden="1" customHeight="1">
      <c r="A7406" s="11" t="str">
        <f t="array" ref="A7406">IFERROR(
  INDEX('Starlink Launches'!$A:$A, MATCH($E7406, 'Starlink Launches'!$B:$B, 0)),
  ""
)
</f>
        <v/>
      </c>
      <c r="B7406" s="26"/>
      <c r="C7406" s="12"/>
      <c r="D7406" s="13"/>
      <c r="E7406" s="4"/>
      <c r="F7406" s="4" t="str">
        <f>IF(D7406="","", IFNA(VLOOKUP(D7406, SATCAT_DECAY!A:B, 2, FALSE), ""))
</f>
        <v/>
      </c>
      <c r="G7406" s="3"/>
    </row>
    <row r="7407" ht="22.5" hidden="1" customHeight="1">
      <c r="A7407" s="11" t="str">
        <f t="array" ref="A7407">IFERROR(
  INDEX('Starlink Launches'!$A:$A, MATCH($E7407, 'Starlink Launches'!$B:$B, 0)),
  ""
)
</f>
        <v/>
      </c>
      <c r="B7407" s="26"/>
      <c r="C7407" s="12"/>
      <c r="D7407" s="13"/>
      <c r="E7407" s="4"/>
      <c r="F7407" s="4" t="str">
        <f>IF(D7407="","", IFNA(VLOOKUP(D7407, SATCAT_DECAY!A:B, 2, FALSE), ""))
</f>
        <v/>
      </c>
      <c r="G7407" s="3"/>
    </row>
    <row r="7408" ht="22.5" hidden="1" customHeight="1">
      <c r="A7408" s="11" t="str">
        <f t="array" ref="A7408">IFERROR(
  INDEX('Starlink Launches'!$A:$A, MATCH($E7408, 'Starlink Launches'!$B:$B, 0)),
  ""
)
</f>
        <v/>
      </c>
      <c r="B7408" s="26"/>
      <c r="C7408" s="12"/>
      <c r="D7408" s="13"/>
      <c r="E7408" s="4"/>
      <c r="F7408" s="4" t="str">
        <f>IF(D7408="","", IFNA(VLOOKUP(D7408, SATCAT_DECAY!A:B, 2, FALSE), ""))
</f>
        <v/>
      </c>
      <c r="G7408" s="3"/>
    </row>
    <row r="7409" ht="22.5" hidden="1" customHeight="1">
      <c r="A7409" s="11" t="str">
        <f t="array" ref="A7409">IFERROR(
  INDEX('Starlink Launches'!$A:$A, MATCH($E7409, 'Starlink Launches'!$B:$B, 0)),
  ""
)
</f>
        <v/>
      </c>
      <c r="B7409" s="26"/>
      <c r="C7409" s="12"/>
      <c r="D7409" s="13"/>
      <c r="E7409" s="4"/>
      <c r="F7409" s="4" t="str">
        <f>IF(D7409="","", IFNA(VLOOKUP(D7409, SATCAT_DECAY!A:B, 2, FALSE), ""))
</f>
        <v/>
      </c>
      <c r="G7409" s="3"/>
    </row>
    <row r="7410" ht="22.5" hidden="1" customHeight="1">
      <c r="A7410" s="11" t="str">
        <f t="array" ref="A7410">IFERROR(
  INDEX('Starlink Launches'!$A:$A, MATCH($E7410, 'Starlink Launches'!$B:$B, 0)),
  ""
)
</f>
        <v/>
      </c>
      <c r="B7410" s="26"/>
      <c r="C7410" s="12"/>
      <c r="D7410" s="13"/>
      <c r="E7410" s="4"/>
      <c r="F7410" s="4" t="str">
        <f>IF(D7410="","", IFNA(VLOOKUP(D7410, SATCAT_DECAY!A:B, 2, FALSE), ""))
</f>
        <v/>
      </c>
      <c r="G7410" s="3"/>
    </row>
    <row r="7411" ht="22.5" hidden="1" customHeight="1">
      <c r="A7411" s="11" t="str">
        <f t="array" ref="A7411">IFERROR(
  INDEX('Starlink Launches'!$A:$A, MATCH($E7411, 'Starlink Launches'!$B:$B, 0)),
  ""
)
</f>
        <v/>
      </c>
      <c r="B7411" s="26"/>
      <c r="C7411" s="12"/>
      <c r="D7411" s="13"/>
      <c r="E7411" s="4"/>
      <c r="F7411" s="4" t="str">
        <f>IF(D7411="","", IFNA(VLOOKUP(D7411, SATCAT_DECAY!A:B, 2, FALSE), ""))
</f>
        <v/>
      </c>
      <c r="G7411" s="3"/>
    </row>
    <row r="7412" ht="22.5" hidden="1" customHeight="1">
      <c r="A7412" s="11" t="str">
        <f t="array" ref="A7412">IFERROR(
  INDEX('Starlink Launches'!$A:$A, MATCH($E7412, 'Starlink Launches'!$B:$B, 0)),
  ""
)
</f>
        <v/>
      </c>
      <c r="B7412" s="26"/>
      <c r="C7412" s="12"/>
      <c r="D7412" s="13"/>
      <c r="E7412" s="4"/>
      <c r="F7412" s="4" t="str">
        <f>IF(D7412="","", IFNA(VLOOKUP(D7412, SATCAT_DECAY!A:B, 2, FALSE), ""))
</f>
        <v/>
      </c>
      <c r="G7412" s="3"/>
    </row>
    <row r="7413" ht="22.5" hidden="1" customHeight="1">
      <c r="A7413" s="11" t="str">
        <f t="array" ref="A7413">IFERROR(
  INDEX('Starlink Launches'!$A:$A, MATCH($E7413, 'Starlink Launches'!$B:$B, 0)),
  ""
)
</f>
        <v/>
      </c>
      <c r="B7413" s="26"/>
      <c r="C7413" s="12"/>
      <c r="D7413" s="13"/>
      <c r="E7413" s="4"/>
      <c r="F7413" s="4" t="str">
        <f>IF(D7413="","", IFNA(VLOOKUP(D7413, SATCAT_DECAY!A:B, 2, FALSE), ""))
</f>
        <v/>
      </c>
      <c r="G7413" s="3"/>
    </row>
    <row r="7414" ht="22.5" hidden="1" customHeight="1">
      <c r="A7414" s="11" t="str">
        <f t="array" ref="A7414">IFERROR(
  INDEX('Starlink Launches'!$A:$A, MATCH($E7414, 'Starlink Launches'!$B:$B, 0)),
  ""
)
</f>
        <v/>
      </c>
      <c r="B7414" s="26"/>
      <c r="C7414" s="12"/>
      <c r="D7414" s="13"/>
      <c r="E7414" s="4"/>
      <c r="F7414" s="4" t="str">
        <f>IF(D7414="","", IFNA(VLOOKUP(D7414, SATCAT_DECAY!A:B, 2, FALSE), ""))
</f>
        <v/>
      </c>
      <c r="G7414" s="3"/>
    </row>
    <row r="7415" ht="22.5" hidden="1" customHeight="1">
      <c r="A7415" s="11" t="str">
        <f t="array" ref="A7415">IFERROR(
  INDEX('Starlink Launches'!$A:$A, MATCH($E7415, 'Starlink Launches'!$B:$B, 0)),
  ""
)
</f>
        <v/>
      </c>
      <c r="B7415" s="26"/>
      <c r="C7415" s="12"/>
      <c r="D7415" s="13"/>
      <c r="E7415" s="4"/>
      <c r="F7415" s="4" t="str">
        <f>IF(D7415="","", IFNA(VLOOKUP(D7415, SATCAT_DECAY!A:B, 2, FALSE), ""))
</f>
        <v/>
      </c>
      <c r="G7415" s="3"/>
    </row>
    <row r="7416" ht="22.5" hidden="1" customHeight="1">
      <c r="A7416" s="11" t="str">
        <f t="array" ref="A7416">IFERROR(
  INDEX('Starlink Launches'!$A:$A, MATCH($E7416, 'Starlink Launches'!$B:$B, 0)),
  ""
)
</f>
        <v/>
      </c>
      <c r="B7416" s="26"/>
      <c r="C7416" s="12"/>
      <c r="D7416" s="13"/>
      <c r="E7416" s="4"/>
      <c r="F7416" s="4" t="str">
        <f>IF(D7416="","", IFNA(VLOOKUP(D7416, SATCAT_DECAY!A:B, 2, FALSE), ""))
</f>
        <v/>
      </c>
      <c r="G7416" s="3"/>
    </row>
    <row r="7417" ht="22.5" hidden="1" customHeight="1">
      <c r="A7417" s="11" t="str">
        <f t="array" ref="A7417">IFERROR(
  INDEX('Starlink Launches'!$A:$A, MATCH($E7417, 'Starlink Launches'!$B:$B, 0)),
  ""
)
</f>
        <v/>
      </c>
      <c r="B7417" s="26"/>
      <c r="C7417" s="12"/>
      <c r="D7417" s="13"/>
      <c r="E7417" s="4"/>
      <c r="F7417" s="4" t="str">
        <f>IF(D7417="","", IFNA(VLOOKUP(D7417, SATCAT_DECAY!A:B, 2, FALSE), ""))
</f>
        <v/>
      </c>
      <c r="G7417" s="3"/>
    </row>
    <row r="7418" ht="22.5" hidden="1" customHeight="1">
      <c r="A7418" s="11" t="str">
        <f t="array" ref="A7418">IFERROR(
  INDEX('Starlink Launches'!$A:$A, MATCH($E7418, 'Starlink Launches'!$B:$B, 0)),
  ""
)
</f>
        <v/>
      </c>
      <c r="B7418" s="26"/>
      <c r="C7418" s="12"/>
      <c r="D7418" s="13"/>
      <c r="E7418" s="4"/>
      <c r="F7418" s="4" t="str">
        <f>IF(D7418="","", IFNA(VLOOKUP(D7418, SATCAT_DECAY!A:B, 2, FALSE), ""))
</f>
        <v/>
      </c>
      <c r="G7418" s="3"/>
    </row>
    <row r="7419" ht="22.5" hidden="1" customHeight="1">
      <c r="A7419" s="11" t="str">
        <f t="array" ref="A7419">IFERROR(
  INDEX('Starlink Launches'!$A:$A, MATCH($E7419, 'Starlink Launches'!$B:$B, 0)),
  ""
)
</f>
        <v/>
      </c>
      <c r="B7419" s="26"/>
      <c r="C7419" s="12"/>
      <c r="D7419" s="13"/>
      <c r="E7419" s="4"/>
      <c r="F7419" s="4" t="str">
        <f>IF(D7419="","", IFNA(VLOOKUP(D7419, SATCAT_DECAY!A:B, 2, FALSE), ""))
</f>
        <v/>
      </c>
      <c r="G7419" s="3"/>
    </row>
    <row r="7420" ht="22.5" hidden="1" customHeight="1">
      <c r="A7420" s="11" t="str">
        <f t="array" ref="A7420">IFERROR(
  INDEX('Starlink Launches'!$A:$A, MATCH($E7420, 'Starlink Launches'!$B:$B, 0)),
  ""
)
</f>
        <v/>
      </c>
      <c r="B7420" s="26"/>
      <c r="C7420" s="12"/>
      <c r="D7420" s="13"/>
      <c r="E7420" s="4"/>
      <c r="F7420" s="4" t="str">
        <f>IF(D7420="","", IFNA(VLOOKUP(D7420, SATCAT_DECAY!A:B, 2, FALSE), ""))
</f>
        <v/>
      </c>
      <c r="G7420" s="3"/>
    </row>
    <row r="7421" ht="22.5" hidden="1" customHeight="1">
      <c r="A7421" s="11" t="str">
        <f t="array" ref="A7421">IFERROR(
  INDEX('Starlink Launches'!$A:$A, MATCH($E7421, 'Starlink Launches'!$B:$B, 0)),
  ""
)
</f>
        <v/>
      </c>
      <c r="B7421" s="26"/>
      <c r="C7421" s="12"/>
      <c r="D7421" s="13"/>
      <c r="E7421" s="4"/>
      <c r="F7421" s="4" t="str">
        <f>IF(D7421="","", IFNA(VLOOKUP(D7421, SATCAT_DECAY!A:B, 2, FALSE), ""))
</f>
        <v/>
      </c>
      <c r="G7421" s="3"/>
    </row>
    <row r="7422" ht="22.5" hidden="1" customHeight="1">
      <c r="A7422" s="11" t="str">
        <f t="array" ref="A7422">IFERROR(
  INDEX('Starlink Launches'!$A:$A, MATCH($E7422, 'Starlink Launches'!$B:$B, 0)),
  ""
)
</f>
        <v/>
      </c>
      <c r="B7422" s="26"/>
      <c r="C7422" s="12"/>
      <c r="D7422" s="13"/>
      <c r="E7422" s="4"/>
      <c r="F7422" s="4" t="str">
        <f>IF(D7422="","", IFNA(VLOOKUP(D7422, SATCAT_DECAY!A:B, 2, FALSE), ""))
</f>
        <v/>
      </c>
      <c r="G7422" s="3"/>
    </row>
    <row r="7423" ht="22.5" hidden="1" customHeight="1">
      <c r="A7423" s="11" t="str">
        <f t="array" ref="A7423">IFERROR(
  INDEX('Starlink Launches'!$A:$A, MATCH($E7423, 'Starlink Launches'!$B:$B, 0)),
  ""
)
</f>
        <v/>
      </c>
      <c r="B7423" s="26"/>
      <c r="C7423" s="12"/>
      <c r="D7423" s="13"/>
      <c r="E7423" s="4"/>
      <c r="F7423" s="4" t="str">
        <f>IF(D7423="","", IFNA(VLOOKUP(D7423, SATCAT_DECAY!A:B, 2, FALSE), ""))
</f>
        <v/>
      </c>
      <c r="G7423" s="3"/>
    </row>
    <row r="7424" ht="22.5" hidden="1" customHeight="1">
      <c r="A7424" s="11" t="str">
        <f t="array" ref="A7424">IFERROR(
  INDEX('Starlink Launches'!$A:$A, MATCH($E7424, 'Starlink Launches'!$B:$B, 0)),
  ""
)
</f>
        <v/>
      </c>
      <c r="B7424" s="26"/>
      <c r="C7424" s="12"/>
      <c r="D7424" s="13"/>
      <c r="E7424" s="4"/>
      <c r="F7424" s="4" t="str">
        <f>IF(D7424="","", IFNA(VLOOKUP(D7424, SATCAT_DECAY!A:B, 2, FALSE), ""))
</f>
        <v/>
      </c>
      <c r="G7424" s="3"/>
    </row>
    <row r="7425" ht="22.5" hidden="1" customHeight="1">
      <c r="A7425" s="11" t="str">
        <f t="array" ref="A7425">IFERROR(
  INDEX('Starlink Launches'!$A:$A, MATCH($E7425, 'Starlink Launches'!$B:$B, 0)),
  ""
)
</f>
        <v/>
      </c>
      <c r="B7425" s="26"/>
      <c r="C7425" s="12"/>
      <c r="D7425" s="13"/>
      <c r="E7425" s="4"/>
      <c r="F7425" s="4" t="str">
        <f>IF(D7425="","", IFNA(VLOOKUP(D7425, SATCAT_DECAY!A:B, 2, FALSE), ""))
</f>
        <v/>
      </c>
      <c r="G7425" s="3"/>
    </row>
    <row r="7426" ht="22.5" hidden="1" customHeight="1">
      <c r="A7426" s="11" t="str">
        <f t="array" ref="A7426">IFERROR(
  INDEX('Starlink Launches'!$A:$A, MATCH($E7426, 'Starlink Launches'!$B:$B, 0)),
  ""
)
</f>
        <v/>
      </c>
      <c r="B7426" s="26"/>
      <c r="C7426" s="12"/>
      <c r="D7426" s="13"/>
      <c r="E7426" s="4"/>
      <c r="F7426" s="4" t="str">
        <f>IF(D7426="","", IFNA(VLOOKUP(D7426, SATCAT_DECAY!A:B, 2, FALSE), ""))
</f>
        <v/>
      </c>
      <c r="G7426" s="3"/>
    </row>
    <row r="7427" ht="22.5" hidden="1" customHeight="1">
      <c r="A7427" s="11" t="str">
        <f t="array" ref="A7427">IFERROR(
  INDEX('Starlink Launches'!$A:$A, MATCH($E7427, 'Starlink Launches'!$B:$B, 0)),
  ""
)
</f>
        <v/>
      </c>
      <c r="B7427" s="26"/>
      <c r="C7427" s="12"/>
      <c r="D7427" s="13"/>
      <c r="E7427" s="4"/>
      <c r="F7427" s="4" t="str">
        <f>IF(D7427="","", IFNA(VLOOKUP(D7427, SATCAT_DECAY!A:B, 2, FALSE), ""))
</f>
        <v/>
      </c>
      <c r="G7427" s="3"/>
    </row>
    <row r="7428" ht="22.5" hidden="1" customHeight="1">
      <c r="A7428" s="11" t="str">
        <f t="array" ref="A7428">IFERROR(
  INDEX('Starlink Launches'!$A:$A, MATCH($E7428, 'Starlink Launches'!$B:$B, 0)),
  ""
)
</f>
        <v/>
      </c>
      <c r="B7428" s="26"/>
      <c r="C7428" s="12"/>
      <c r="D7428" s="13"/>
      <c r="E7428" s="4"/>
      <c r="F7428" s="4" t="str">
        <f>IF(D7428="","", IFNA(VLOOKUP(D7428, SATCAT_DECAY!A:B, 2, FALSE), ""))
</f>
        <v/>
      </c>
      <c r="G7428" s="3"/>
    </row>
    <row r="7429" ht="22.5" hidden="1" customHeight="1">
      <c r="A7429" s="11" t="str">
        <f t="array" ref="A7429">IFERROR(
  INDEX('Starlink Launches'!$A:$A, MATCH($E7429, 'Starlink Launches'!$B:$B, 0)),
  ""
)
</f>
        <v/>
      </c>
      <c r="B7429" s="26"/>
      <c r="C7429" s="12"/>
      <c r="D7429" s="13"/>
      <c r="E7429" s="4"/>
      <c r="F7429" s="4" t="str">
        <f>IF(D7429="","", IFNA(VLOOKUP(D7429, SATCAT_DECAY!A:B, 2, FALSE), ""))
</f>
        <v/>
      </c>
      <c r="G7429" s="3"/>
    </row>
    <row r="7430" ht="22.5" hidden="1" customHeight="1">
      <c r="A7430" s="11" t="str">
        <f t="array" ref="A7430">IFERROR(
  INDEX('Starlink Launches'!$A:$A, MATCH($E7430, 'Starlink Launches'!$B:$B, 0)),
  ""
)
</f>
        <v/>
      </c>
      <c r="B7430" s="26"/>
      <c r="C7430" s="12"/>
      <c r="D7430" s="13"/>
      <c r="E7430" s="4"/>
      <c r="F7430" s="4" t="str">
        <f>IF(D7430="","", IFNA(VLOOKUP(D7430, SATCAT_DECAY!A:B, 2, FALSE), ""))
</f>
        <v/>
      </c>
      <c r="G7430" s="3"/>
    </row>
    <row r="7431" ht="22.5" hidden="1" customHeight="1">
      <c r="A7431" s="11" t="str">
        <f t="array" ref="A7431">IFERROR(
  INDEX('Starlink Launches'!$A:$A, MATCH($E7431, 'Starlink Launches'!$B:$B, 0)),
  ""
)
</f>
        <v/>
      </c>
      <c r="B7431" s="26"/>
      <c r="C7431" s="12"/>
      <c r="D7431" s="13"/>
      <c r="E7431" s="4"/>
      <c r="F7431" s="4" t="str">
        <f>IF(D7431="","", IFNA(VLOOKUP(D7431, SATCAT_DECAY!A:B, 2, FALSE), ""))
</f>
        <v/>
      </c>
      <c r="G7431" s="3"/>
    </row>
    <row r="7432" ht="22.5" hidden="1" customHeight="1">
      <c r="A7432" s="11" t="str">
        <f t="array" ref="A7432">IFERROR(
  INDEX('Starlink Launches'!$A:$A, MATCH($E7432, 'Starlink Launches'!$B:$B, 0)),
  ""
)
</f>
        <v/>
      </c>
      <c r="B7432" s="26"/>
      <c r="C7432" s="12"/>
      <c r="D7432" s="13"/>
      <c r="E7432" s="4"/>
      <c r="F7432" s="4" t="str">
        <f>IF(D7432="","", IFNA(VLOOKUP(D7432, SATCAT_DECAY!A:B, 2, FALSE), ""))
</f>
        <v/>
      </c>
      <c r="G7432" s="3"/>
    </row>
    <row r="7433" ht="22.5" hidden="1" customHeight="1">
      <c r="A7433" s="11" t="str">
        <f t="array" ref="A7433">IFERROR(
  INDEX('Starlink Launches'!$A:$A, MATCH($E7433, 'Starlink Launches'!$B:$B, 0)),
  ""
)
</f>
        <v/>
      </c>
      <c r="B7433" s="26"/>
      <c r="C7433" s="12"/>
      <c r="D7433" s="13"/>
      <c r="E7433" s="4"/>
      <c r="F7433" s="4" t="str">
        <f>IF(D7433="","", IFNA(VLOOKUP(D7433, SATCAT_DECAY!A:B, 2, FALSE), ""))
</f>
        <v/>
      </c>
      <c r="G7433" s="3"/>
    </row>
    <row r="7434" ht="22.5" hidden="1" customHeight="1">
      <c r="A7434" s="11" t="str">
        <f t="array" ref="A7434">IFERROR(
  INDEX('Starlink Launches'!$A:$A, MATCH($E7434, 'Starlink Launches'!$B:$B, 0)),
  ""
)
</f>
        <v/>
      </c>
      <c r="B7434" s="26"/>
      <c r="C7434" s="12"/>
      <c r="D7434" s="13"/>
      <c r="E7434" s="4"/>
      <c r="F7434" s="4" t="str">
        <f>IF(D7434="","", IFNA(VLOOKUP(D7434, SATCAT_DECAY!A:B, 2, FALSE), ""))
</f>
        <v/>
      </c>
      <c r="G7434" s="3"/>
    </row>
    <row r="7435" ht="22.5" hidden="1" customHeight="1">
      <c r="A7435" s="11" t="str">
        <f t="array" ref="A7435">IFERROR(
  INDEX('Starlink Launches'!$A:$A, MATCH($E7435, 'Starlink Launches'!$B:$B, 0)),
  ""
)
</f>
        <v/>
      </c>
      <c r="B7435" s="26"/>
      <c r="C7435" s="12"/>
      <c r="D7435" s="13"/>
      <c r="E7435" s="4"/>
      <c r="F7435" s="4" t="str">
        <f>IF(D7435="","", IFNA(VLOOKUP(D7435, SATCAT_DECAY!A:B, 2, FALSE), ""))
</f>
        <v/>
      </c>
      <c r="G7435" s="3"/>
    </row>
    <row r="7436" ht="22.5" hidden="1" customHeight="1">
      <c r="A7436" s="11" t="str">
        <f t="array" ref="A7436">IFERROR(
  INDEX('Starlink Launches'!$A:$A, MATCH($E7436, 'Starlink Launches'!$B:$B, 0)),
  ""
)
</f>
        <v/>
      </c>
      <c r="B7436" s="26"/>
      <c r="C7436" s="12"/>
      <c r="D7436" s="13"/>
      <c r="E7436" s="4"/>
      <c r="F7436" s="4" t="str">
        <f>IF(D7436="","", IFNA(VLOOKUP(D7436, SATCAT_DECAY!A:B, 2, FALSE), ""))
</f>
        <v/>
      </c>
      <c r="G7436" s="3"/>
    </row>
    <row r="7437" ht="22.5" hidden="1" customHeight="1">
      <c r="A7437" s="11" t="str">
        <f t="array" ref="A7437">IFERROR(
  INDEX('Starlink Launches'!$A:$A, MATCH($E7437, 'Starlink Launches'!$B:$B, 0)),
  ""
)
</f>
        <v/>
      </c>
      <c r="B7437" s="26"/>
      <c r="C7437" s="12"/>
      <c r="D7437" s="13"/>
      <c r="E7437" s="4"/>
      <c r="F7437" s="4" t="str">
        <f>IF(D7437="","", IFNA(VLOOKUP(D7437, SATCAT_DECAY!A:B, 2, FALSE), ""))
</f>
        <v/>
      </c>
      <c r="G7437" s="3"/>
    </row>
    <row r="7438" ht="22.5" hidden="1" customHeight="1">
      <c r="A7438" s="11" t="str">
        <f t="array" ref="A7438">IFERROR(
  INDEX('Starlink Launches'!$A:$A, MATCH($E7438, 'Starlink Launches'!$B:$B, 0)),
  ""
)
</f>
        <v/>
      </c>
      <c r="B7438" s="26"/>
      <c r="C7438" s="12"/>
      <c r="D7438" s="13"/>
      <c r="E7438" s="4"/>
      <c r="F7438" s="4" t="str">
        <f>IF(D7438="","", IFNA(VLOOKUP(D7438, SATCAT_DECAY!A:B, 2, FALSE), ""))
</f>
        <v/>
      </c>
      <c r="G7438" s="3"/>
    </row>
    <row r="7439" ht="22.5" hidden="1" customHeight="1">
      <c r="A7439" s="11" t="str">
        <f t="array" ref="A7439">IFERROR(
  INDEX('Starlink Launches'!$A:$A, MATCH($E7439, 'Starlink Launches'!$B:$B, 0)),
  ""
)
</f>
        <v/>
      </c>
      <c r="B7439" s="26"/>
      <c r="C7439" s="12"/>
      <c r="D7439" s="13"/>
      <c r="E7439" s="4"/>
      <c r="F7439" s="4" t="str">
        <f>IF(D7439="","", IFNA(VLOOKUP(D7439, SATCAT_DECAY!A:B, 2, FALSE), ""))
</f>
        <v/>
      </c>
      <c r="G7439" s="3"/>
    </row>
    <row r="7440" ht="22.5" hidden="1" customHeight="1">
      <c r="A7440" s="11" t="str">
        <f t="array" ref="A7440">IFERROR(
  INDEX('Starlink Launches'!$A:$A, MATCH($E7440, 'Starlink Launches'!$B:$B, 0)),
  ""
)
</f>
        <v/>
      </c>
      <c r="B7440" s="26"/>
      <c r="C7440" s="12"/>
      <c r="D7440" s="13"/>
      <c r="E7440" s="4"/>
      <c r="F7440" s="4" t="str">
        <f>IF(D7440="","", IFNA(VLOOKUP(D7440, SATCAT_DECAY!A:B, 2, FALSE), ""))
</f>
        <v/>
      </c>
      <c r="G7440" s="3"/>
    </row>
    <row r="7441" ht="22.5" hidden="1" customHeight="1">
      <c r="A7441" s="11" t="str">
        <f t="array" ref="A7441">IFERROR(
  INDEX('Starlink Launches'!$A:$A, MATCH($E7441, 'Starlink Launches'!$B:$B, 0)),
  ""
)
</f>
        <v/>
      </c>
      <c r="B7441" s="26"/>
      <c r="C7441" s="12"/>
      <c r="D7441" s="13"/>
      <c r="E7441" s="4"/>
      <c r="F7441" s="4" t="str">
        <f>IF(D7441="","", IFNA(VLOOKUP(D7441, SATCAT_DECAY!A:B, 2, FALSE), ""))
</f>
        <v/>
      </c>
      <c r="G7441" s="3"/>
    </row>
    <row r="7442" ht="22.5" hidden="1" customHeight="1">
      <c r="A7442" s="11" t="str">
        <f t="array" ref="A7442">IFERROR(
  INDEX('Starlink Launches'!$A:$A, MATCH($E7442, 'Starlink Launches'!$B:$B, 0)),
  ""
)
</f>
        <v/>
      </c>
      <c r="B7442" s="26"/>
      <c r="C7442" s="12"/>
      <c r="D7442" s="13"/>
      <c r="E7442" s="4"/>
      <c r="F7442" s="4" t="str">
        <f>IF(D7442="","", IFNA(VLOOKUP(D7442, SATCAT_DECAY!A:B, 2, FALSE), ""))
</f>
        <v/>
      </c>
      <c r="G7442" s="3"/>
    </row>
    <row r="7443" ht="22.5" hidden="1" customHeight="1">
      <c r="A7443" s="11" t="str">
        <f t="array" ref="A7443">IFERROR(
  INDEX('Starlink Launches'!$A:$A, MATCH($E7443, 'Starlink Launches'!$B:$B, 0)),
  ""
)
</f>
        <v/>
      </c>
      <c r="B7443" s="26"/>
      <c r="C7443" s="12"/>
      <c r="D7443" s="13"/>
      <c r="E7443" s="4"/>
      <c r="F7443" s="4" t="str">
        <f>IF(D7443="","", IFNA(VLOOKUP(D7443, SATCAT_DECAY!A:B, 2, FALSE), ""))
</f>
        <v/>
      </c>
      <c r="G7443" s="3"/>
    </row>
    <row r="7444" ht="22.5" hidden="1" customHeight="1">
      <c r="A7444" s="11" t="str">
        <f t="array" ref="A7444">IFERROR(
  INDEX('Starlink Launches'!$A:$A, MATCH($E7444, 'Starlink Launches'!$B:$B, 0)),
  ""
)
</f>
        <v/>
      </c>
      <c r="B7444" s="26"/>
      <c r="C7444" s="12"/>
      <c r="D7444" s="13"/>
      <c r="E7444" s="4"/>
      <c r="F7444" s="4" t="str">
        <f>IF(D7444="","", IFNA(VLOOKUP(D7444, SATCAT_DECAY!A:B, 2, FALSE), ""))
</f>
        <v/>
      </c>
      <c r="G7444" s="3"/>
    </row>
    <row r="7445" ht="22.5" hidden="1" customHeight="1">
      <c r="A7445" s="11" t="str">
        <f t="array" ref="A7445">IFERROR(
  INDEX('Starlink Launches'!$A:$A, MATCH($E7445, 'Starlink Launches'!$B:$B, 0)),
  ""
)
</f>
        <v/>
      </c>
      <c r="B7445" s="26"/>
      <c r="C7445" s="12"/>
      <c r="D7445" s="13"/>
      <c r="E7445" s="4"/>
      <c r="F7445" s="4" t="str">
        <f>IF(D7445="","", IFNA(VLOOKUP(D7445, SATCAT_DECAY!A:B, 2, FALSE), ""))
</f>
        <v/>
      </c>
      <c r="G7445" s="3"/>
    </row>
    <row r="7446" ht="22.5" hidden="1" customHeight="1">
      <c r="A7446" s="11" t="str">
        <f t="array" ref="A7446">IFERROR(
  INDEX('Starlink Launches'!$A:$A, MATCH($E7446, 'Starlink Launches'!$B:$B, 0)),
  ""
)
</f>
        <v/>
      </c>
      <c r="B7446" s="26"/>
      <c r="C7446" s="12"/>
      <c r="D7446" s="13"/>
      <c r="E7446" s="4"/>
      <c r="F7446" s="4" t="str">
        <f>IF(D7446="","", IFNA(VLOOKUP(D7446, SATCAT_DECAY!A:B, 2, FALSE), ""))
</f>
        <v/>
      </c>
      <c r="G7446" s="3"/>
    </row>
    <row r="7447" ht="22.5" hidden="1" customHeight="1">
      <c r="A7447" s="11" t="str">
        <f t="array" ref="A7447">IFERROR(
  INDEX('Starlink Launches'!$A:$A, MATCH($E7447, 'Starlink Launches'!$B:$B, 0)),
  ""
)
</f>
        <v/>
      </c>
      <c r="B7447" s="26"/>
      <c r="C7447" s="12"/>
      <c r="D7447" s="13"/>
      <c r="E7447" s="4"/>
      <c r="F7447" s="4" t="str">
        <f>IF(D7447="","", IFNA(VLOOKUP(D7447, SATCAT_DECAY!A:B, 2, FALSE), ""))
</f>
        <v/>
      </c>
      <c r="G7447" s="3"/>
    </row>
    <row r="7448" ht="22.5" hidden="1" customHeight="1">
      <c r="A7448" s="11" t="str">
        <f t="array" ref="A7448">IFERROR(
  INDEX('Starlink Launches'!$A:$A, MATCH($E7448, 'Starlink Launches'!$B:$B, 0)),
  ""
)
</f>
        <v/>
      </c>
      <c r="B7448" s="26"/>
      <c r="C7448" s="12"/>
      <c r="D7448" s="13"/>
      <c r="E7448" s="4"/>
      <c r="F7448" s="4" t="str">
        <f>IF(D7448="","", IFNA(VLOOKUP(D7448, SATCAT_DECAY!A:B, 2, FALSE), ""))
</f>
        <v/>
      </c>
      <c r="G7448" s="3"/>
    </row>
    <row r="7449" ht="22.5" hidden="1" customHeight="1">
      <c r="A7449" s="11" t="str">
        <f t="array" ref="A7449">IFERROR(
  INDEX('Starlink Launches'!$A:$A, MATCH($E7449, 'Starlink Launches'!$B:$B, 0)),
  ""
)
</f>
        <v/>
      </c>
      <c r="B7449" s="26"/>
      <c r="C7449" s="12"/>
      <c r="D7449" s="13"/>
      <c r="E7449" s="4"/>
      <c r="F7449" s="4" t="str">
        <f>IF(D7449="","", IFNA(VLOOKUP(D7449, SATCAT_DECAY!A:B, 2, FALSE), ""))
</f>
        <v/>
      </c>
      <c r="G7449" s="3"/>
    </row>
    <row r="7450" ht="22.5" hidden="1" customHeight="1">
      <c r="A7450" s="11" t="str">
        <f t="array" ref="A7450">IFERROR(
  INDEX('Starlink Launches'!$A:$A, MATCH($E7450, 'Starlink Launches'!$B:$B, 0)),
  ""
)
</f>
        <v/>
      </c>
      <c r="B7450" s="26"/>
      <c r="C7450" s="12"/>
      <c r="D7450" s="13"/>
      <c r="E7450" s="4"/>
      <c r="F7450" s="4" t="str">
        <f>IF(D7450="","", IFNA(VLOOKUP(D7450, SATCAT_DECAY!A:B, 2, FALSE), ""))
</f>
        <v/>
      </c>
      <c r="G7450" s="3"/>
    </row>
    <row r="7451" ht="22.5" hidden="1" customHeight="1">
      <c r="A7451" s="11" t="str">
        <f t="array" ref="A7451">IFERROR(
  INDEX('Starlink Launches'!$A:$A, MATCH($E7451, 'Starlink Launches'!$B:$B, 0)),
  ""
)
</f>
        <v/>
      </c>
      <c r="B7451" s="26"/>
      <c r="C7451" s="12"/>
      <c r="D7451" s="13"/>
      <c r="E7451" s="4"/>
      <c r="F7451" s="4" t="str">
        <f>IF(D7451="","", IFNA(VLOOKUP(D7451, SATCAT_DECAY!A:B, 2, FALSE), ""))
</f>
        <v/>
      </c>
      <c r="G7451" s="3"/>
    </row>
    <row r="7452" ht="22.5" hidden="1" customHeight="1">
      <c r="A7452" s="11" t="str">
        <f t="array" ref="A7452">IFERROR(
  INDEX('Starlink Launches'!$A:$A, MATCH($E7452, 'Starlink Launches'!$B:$B, 0)),
  ""
)
</f>
        <v/>
      </c>
      <c r="B7452" s="26"/>
      <c r="C7452" s="12"/>
      <c r="D7452" s="13"/>
      <c r="E7452" s="4"/>
      <c r="F7452" s="4" t="str">
        <f>IF(D7452="","", IFNA(VLOOKUP(D7452, SATCAT_DECAY!A:B, 2, FALSE), ""))
</f>
        <v/>
      </c>
      <c r="G7452" s="3"/>
    </row>
    <row r="7453" ht="22.5" hidden="1" customHeight="1">
      <c r="A7453" s="11" t="str">
        <f t="array" ref="A7453">IFERROR(
  INDEX('Starlink Launches'!$A:$A, MATCH($E7453, 'Starlink Launches'!$B:$B, 0)),
  ""
)
</f>
        <v/>
      </c>
      <c r="B7453" s="26"/>
      <c r="C7453" s="12"/>
      <c r="D7453" s="13"/>
      <c r="E7453" s="4"/>
      <c r="F7453" s="4" t="str">
        <f>IF(D7453="","", IFNA(VLOOKUP(D7453, SATCAT_DECAY!A:B, 2, FALSE), ""))
</f>
        <v/>
      </c>
      <c r="G7453" s="3"/>
    </row>
    <row r="7454" ht="22.5" hidden="1" customHeight="1">
      <c r="A7454" s="11" t="str">
        <f t="array" ref="A7454">IFERROR(
  INDEX('Starlink Launches'!$A:$A, MATCH($E7454, 'Starlink Launches'!$B:$B, 0)),
  ""
)
</f>
        <v/>
      </c>
      <c r="B7454" s="26"/>
      <c r="C7454" s="12"/>
      <c r="D7454" s="13"/>
      <c r="E7454" s="4"/>
      <c r="F7454" s="4" t="str">
        <f>IF(D7454="","", IFNA(VLOOKUP(D7454, SATCAT_DECAY!A:B, 2, FALSE), ""))
</f>
        <v/>
      </c>
      <c r="G7454" s="3"/>
    </row>
    <row r="7455" ht="22.5" hidden="1" customHeight="1">
      <c r="A7455" s="11" t="str">
        <f t="array" ref="A7455">IFERROR(
  INDEX('Starlink Launches'!$A:$A, MATCH($E7455, 'Starlink Launches'!$B:$B, 0)),
  ""
)
</f>
        <v/>
      </c>
      <c r="B7455" s="26"/>
      <c r="C7455" s="12"/>
      <c r="D7455" s="13"/>
      <c r="E7455" s="4"/>
      <c r="F7455" s="4" t="str">
        <f>IF(D7455="","", IFNA(VLOOKUP(D7455, SATCAT_DECAY!A:B, 2, FALSE), ""))
</f>
        <v/>
      </c>
      <c r="G7455" s="3"/>
    </row>
    <row r="7456" ht="22.5" hidden="1" customHeight="1">
      <c r="A7456" s="11" t="str">
        <f t="array" ref="A7456">IFERROR(
  INDEX('Starlink Launches'!$A:$A, MATCH($E7456, 'Starlink Launches'!$B:$B, 0)),
  ""
)
</f>
        <v/>
      </c>
      <c r="B7456" s="26"/>
      <c r="C7456" s="12"/>
      <c r="D7456" s="13"/>
      <c r="E7456" s="4"/>
      <c r="F7456" s="4" t="str">
        <f>IF(D7456="","", IFNA(VLOOKUP(D7456, SATCAT_DECAY!A:B, 2, FALSE), ""))
</f>
        <v/>
      </c>
      <c r="G7456" s="3"/>
    </row>
    <row r="7457" ht="22.5" hidden="1" customHeight="1">
      <c r="A7457" s="11" t="str">
        <f t="array" ref="A7457">IFERROR(
  INDEX('Starlink Launches'!$A:$A, MATCH($E7457, 'Starlink Launches'!$B:$B, 0)),
  ""
)
</f>
        <v/>
      </c>
      <c r="B7457" s="26"/>
      <c r="C7457" s="12"/>
      <c r="D7457" s="13"/>
      <c r="E7457" s="4"/>
      <c r="F7457" s="4" t="str">
        <f>IF(D7457="","", IFNA(VLOOKUP(D7457, SATCAT_DECAY!A:B, 2, FALSE), ""))
</f>
        <v/>
      </c>
      <c r="G7457" s="3"/>
    </row>
    <row r="7458" ht="22.5" hidden="1" customHeight="1">
      <c r="A7458" s="11" t="str">
        <f t="array" ref="A7458">IFERROR(
  INDEX('Starlink Launches'!$A:$A, MATCH($E7458, 'Starlink Launches'!$B:$B, 0)),
  ""
)
</f>
        <v/>
      </c>
      <c r="B7458" s="26"/>
      <c r="C7458" s="12"/>
      <c r="D7458" s="13"/>
      <c r="E7458" s="4"/>
      <c r="F7458" s="4" t="str">
        <f>IF(D7458="","", IFNA(VLOOKUP(D7458, SATCAT_DECAY!A:B, 2, FALSE), ""))
</f>
        <v/>
      </c>
      <c r="G7458" s="3"/>
    </row>
    <row r="7459" ht="22.5" hidden="1" customHeight="1">
      <c r="A7459" s="11" t="str">
        <f t="array" ref="A7459">IFERROR(
  INDEX('Starlink Launches'!$A:$A, MATCH($E7459, 'Starlink Launches'!$B:$B, 0)),
  ""
)
</f>
        <v/>
      </c>
      <c r="B7459" s="26"/>
      <c r="C7459" s="12"/>
      <c r="D7459" s="13"/>
      <c r="E7459" s="4"/>
      <c r="F7459" s="4" t="str">
        <f>IF(D7459="","", IFNA(VLOOKUP(D7459, SATCAT_DECAY!A:B, 2, FALSE), ""))
</f>
        <v/>
      </c>
      <c r="G7459" s="3"/>
    </row>
    <row r="7460" ht="22.5" hidden="1" customHeight="1">
      <c r="A7460" s="11" t="str">
        <f t="array" ref="A7460">IFERROR(
  INDEX('Starlink Launches'!$A:$A, MATCH($E7460, 'Starlink Launches'!$B:$B, 0)),
  ""
)
</f>
        <v/>
      </c>
      <c r="B7460" s="26"/>
      <c r="C7460" s="12"/>
      <c r="D7460" s="13"/>
      <c r="E7460" s="4"/>
      <c r="F7460" s="4" t="str">
        <f>IF(D7460="","", IFNA(VLOOKUP(D7460, SATCAT_DECAY!A:B, 2, FALSE), ""))
</f>
        <v/>
      </c>
      <c r="G7460" s="3"/>
    </row>
    <row r="7461" ht="22.5" hidden="1" customHeight="1">
      <c r="A7461" s="11" t="str">
        <f t="array" ref="A7461">IFERROR(
  INDEX('Starlink Launches'!$A:$A, MATCH($E7461, 'Starlink Launches'!$B:$B, 0)),
  ""
)
</f>
        <v/>
      </c>
      <c r="B7461" s="26"/>
      <c r="C7461" s="12"/>
      <c r="D7461" s="13"/>
      <c r="E7461" s="4"/>
      <c r="F7461" s="4" t="str">
        <f>IF(D7461="","", IFNA(VLOOKUP(D7461, SATCAT_DECAY!A:B, 2, FALSE), ""))
</f>
        <v/>
      </c>
      <c r="G7461" s="3"/>
    </row>
    <row r="7462" ht="22.5" hidden="1" customHeight="1">
      <c r="A7462" s="11" t="str">
        <f t="array" ref="A7462">IFERROR(
  INDEX('Starlink Launches'!$A:$A, MATCH($E7462, 'Starlink Launches'!$B:$B, 0)),
  ""
)
</f>
        <v/>
      </c>
      <c r="B7462" s="26"/>
      <c r="C7462" s="12"/>
      <c r="D7462" s="13"/>
      <c r="E7462" s="4"/>
      <c r="F7462" s="4" t="str">
        <f>IF(D7462="","", IFNA(VLOOKUP(D7462, SATCAT_DECAY!A:B, 2, FALSE), ""))
</f>
        <v/>
      </c>
      <c r="G7462" s="3"/>
    </row>
    <row r="7463" ht="22.5" hidden="1" customHeight="1">
      <c r="A7463" s="11" t="str">
        <f t="array" ref="A7463">IFERROR(
  INDEX('Starlink Launches'!$A:$A, MATCH($E7463, 'Starlink Launches'!$B:$B, 0)),
  ""
)
</f>
        <v/>
      </c>
      <c r="B7463" s="26"/>
      <c r="C7463" s="12"/>
      <c r="D7463" s="13"/>
      <c r="E7463" s="4"/>
      <c r="F7463" s="4" t="str">
        <f>IF(D7463="","", IFNA(VLOOKUP(D7463, SATCAT_DECAY!A:B, 2, FALSE), ""))
</f>
        <v/>
      </c>
      <c r="G7463" s="3"/>
    </row>
    <row r="7464" ht="22.5" hidden="1" customHeight="1">
      <c r="A7464" s="11" t="str">
        <f t="array" ref="A7464">IFERROR(
  INDEX('Starlink Launches'!$A:$A, MATCH($E7464, 'Starlink Launches'!$B:$B, 0)),
  ""
)
</f>
        <v/>
      </c>
      <c r="B7464" s="26"/>
      <c r="C7464" s="12"/>
      <c r="D7464" s="13"/>
      <c r="E7464" s="4"/>
      <c r="F7464" s="4" t="str">
        <f>IF(D7464="","", IFNA(VLOOKUP(D7464, SATCAT_DECAY!A:B, 2, FALSE), ""))
</f>
        <v/>
      </c>
      <c r="G7464" s="3"/>
    </row>
    <row r="7465" ht="22.5" hidden="1" customHeight="1">
      <c r="A7465" s="11" t="str">
        <f t="array" ref="A7465">IFERROR(
  INDEX('Starlink Launches'!$A:$A, MATCH($E7465, 'Starlink Launches'!$B:$B, 0)),
  ""
)
</f>
        <v/>
      </c>
      <c r="B7465" s="26"/>
      <c r="C7465" s="12"/>
      <c r="D7465" s="13"/>
      <c r="E7465" s="4"/>
      <c r="F7465" s="4" t="str">
        <f>IF(D7465="","", IFNA(VLOOKUP(D7465, SATCAT_DECAY!A:B, 2, FALSE), ""))
</f>
        <v/>
      </c>
      <c r="G7465" s="3"/>
    </row>
    <row r="7466" ht="22.5" hidden="1" customHeight="1">
      <c r="A7466" s="11" t="str">
        <f t="array" ref="A7466">IFERROR(
  INDEX('Starlink Launches'!$A:$A, MATCH($E7466, 'Starlink Launches'!$B:$B, 0)),
  ""
)
</f>
        <v/>
      </c>
      <c r="B7466" s="26"/>
      <c r="C7466" s="12"/>
      <c r="D7466" s="13"/>
      <c r="E7466" s="4"/>
      <c r="F7466" s="4" t="str">
        <f>IF(D7466="","", IFNA(VLOOKUP(D7466, SATCAT_DECAY!A:B, 2, FALSE), ""))
</f>
        <v/>
      </c>
      <c r="G7466" s="3"/>
    </row>
    <row r="7467" ht="22.5" hidden="1" customHeight="1">
      <c r="A7467" s="11" t="str">
        <f t="array" ref="A7467">IFERROR(
  INDEX('Starlink Launches'!$A:$A, MATCH($E7467, 'Starlink Launches'!$B:$B, 0)),
  ""
)
</f>
        <v/>
      </c>
      <c r="B7467" s="26"/>
      <c r="C7467" s="12"/>
      <c r="D7467" s="13"/>
      <c r="E7467" s="4"/>
      <c r="F7467" s="4" t="str">
        <f>IF(D7467="","", IFNA(VLOOKUP(D7467, SATCAT_DECAY!A:B, 2, FALSE), ""))
</f>
        <v/>
      </c>
      <c r="G7467" s="3"/>
    </row>
    <row r="7468" ht="22.5" hidden="1" customHeight="1">
      <c r="A7468" s="11" t="str">
        <f t="array" ref="A7468">IFERROR(
  INDEX('Starlink Launches'!$A:$A, MATCH($E7468, 'Starlink Launches'!$B:$B, 0)),
  ""
)
</f>
        <v/>
      </c>
      <c r="B7468" s="26"/>
      <c r="C7468" s="12"/>
      <c r="D7468" s="13"/>
      <c r="E7468" s="4"/>
      <c r="F7468" s="4" t="str">
        <f>IF(D7468="","", IFNA(VLOOKUP(D7468, SATCAT_DECAY!A:B, 2, FALSE), ""))
</f>
        <v/>
      </c>
      <c r="G7468" s="3"/>
    </row>
    <row r="7469" ht="22.5" hidden="1" customHeight="1">
      <c r="A7469" s="11" t="str">
        <f t="array" ref="A7469">IFERROR(
  INDEX('Starlink Launches'!$A:$A, MATCH($E7469, 'Starlink Launches'!$B:$B, 0)),
  ""
)
</f>
        <v/>
      </c>
      <c r="B7469" s="26"/>
      <c r="C7469" s="12"/>
      <c r="D7469" s="13"/>
      <c r="E7469" s="4"/>
      <c r="F7469" s="4" t="str">
        <f>IF(D7469="","", IFNA(VLOOKUP(D7469, SATCAT_DECAY!A:B, 2, FALSE), ""))
</f>
        <v/>
      </c>
      <c r="G7469" s="3"/>
    </row>
    <row r="7470" ht="22.5" hidden="1" customHeight="1">
      <c r="A7470" s="11" t="str">
        <f t="array" ref="A7470">IFERROR(
  INDEX('Starlink Launches'!$A:$A, MATCH($E7470, 'Starlink Launches'!$B:$B, 0)),
  ""
)
</f>
        <v/>
      </c>
      <c r="B7470" s="26"/>
      <c r="C7470" s="12"/>
      <c r="D7470" s="13"/>
      <c r="E7470" s="4"/>
      <c r="F7470" s="4" t="str">
        <f>IF(D7470="","", IFNA(VLOOKUP(D7470, SATCAT_DECAY!A:B, 2, FALSE), ""))
</f>
        <v/>
      </c>
      <c r="G7470" s="3"/>
    </row>
    <row r="7471" ht="22.5" hidden="1" customHeight="1">
      <c r="A7471" s="11" t="str">
        <f t="array" ref="A7471">IFERROR(
  INDEX('Starlink Launches'!$A:$A, MATCH($E7471, 'Starlink Launches'!$B:$B, 0)),
  ""
)
</f>
        <v/>
      </c>
      <c r="B7471" s="26"/>
      <c r="C7471" s="12"/>
      <c r="D7471" s="13"/>
      <c r="E7471" s="4"/>
      <c r="F7471" s="4" t="str">
        <f>IF(D7471="","", IFNA(VLOOKUP(D7471, SATCAT_DECAY!A:B, 2, FALSE), ""))
</f>
        <v/>
      </c>
      <c r="G7471" s="3"/>
    </row>
    <row r="7472" ht="22.5" hidden="1" customHeight="1">
      <c r="A7472" s="11" t="str">
        <f t="array" ref="A7472">IFERROR(
  INDEX('Starlink Launches'!$A:$A, MATCH($E7472, 'Starlink Launches'!$B:$B, 0)),
  ""
)
</f>
        <v/>
      </c>
      <c r="B7472" s="26"/>
      <c r="C7472" s="12"/>
      <c r="D7472" s="13"/>
      <c r="E7472" s="4"/>
      <c r="F7472" s="4" t="str">
        <f>IF(D7472="","", IFNA(VLOOKUP(D7472, SATCAT_DECAY!A:B, 2, FALSE), ""))
</f>
        <v/>
      </c>
      <c r="G7472" s="3"/>
    </row>
    <row r="7473" ht="22.5" hidden="1" customHeight="1">
      <c r="A7473" s="11" t="str">
        <f t="array" ref="A7473">IFERROR(
  INDEX('Starlink Launches'!$A:$A, MATCH($E7473, 'Starlink Launches'!$B:$B, 0)),
  ""
)
</f>
        <v/>
      </c>
      <c r="B7473" s="26"/>
      <c r="C7473" s="12"/>
      <c r="D7473" s="13"/>
      <c r="E7473" s="4"/>
      <c r="F7473" s="4" t="str">
        <f>IF(D7473="","", IFNA(VLOOKUP(D7473, SATCAT_DECAY!A:B, 2, FALSE), ""))
</f>
        <v/>
      </c>
      <c r="G7473" s="3"/>
    </row>
    <row r="7474" ht="22.5" hidden="1" customHeight="1">
      <c r="A7474" s="11" t="str">
        <f t="array" ref="A7474">IFERROR(
  INDEX('Starlink Launches'!$A:$A, MATCH($E7474, 'Starlink Launches'!$B:$B, 0)),
  ""
)
</f>
        <v/>
      </c>
      <c r="B7474" s="26"/>
      <c r="C7474" s="12"/>
      <c r="D7474" s="13"/>
      <c r="E7474" s="4"/>
      <c r="F7474" s="4" t="str">
        <f>IF(D7474="","", IFNA(VLOOKUP(D7474, SATCAT_DECAY!A:B, 2, FALSE), ""))
</f>
        <v/>
      </c>
      <c r="G7474" s="3"/>
    </row>
    <row r="7475" ht="22.5" hidden="1" customHeight="1">
      <c r="A7475" s="11" t="str">
        <f t="array" ref="A7475">IFERROR(
  INDEX('Starlink Launches'!$A:$A, MATCH($E7475, 'Starlink Launches'!$B:$B, 0)),
  ""
)
</f>
        <v/>
      </c>
      <c r="B7475" s="26"/>
      <c r="C7475" s="12"/>
      <c r="D7475" s="13"/>
      <c r="E7475" s="4"/>
      <c r="F7475" s="4" t="str">
        <f>IF(D7475="","", IFNA(VLOOKUP(D7475, SATCAT_DECAY!A:B, 2, FALSE), ""))
</f>
        <v/>
      </c>
      <c r="G7475" s="3"/>
    </row>
    <row r="7476" ht="22.5" hidden="1" customHeight="1">
      <c r="A7476" s="11" t="str">
        <f t="array" ref="A7476">IFERROR(
  INDEX('Starlink Launches'!$A:$A, MATCH($E7476, 'Starlink Launches'!$B:$B, 0)),
  ""
)
</f>
        <v/>
      </c>
      <c r="B7476" s="26"/>
      <c r="C7476" s="12"/>
      <c r="D7476" s="13"/>
      <c r="E7476" s="4"/>
      <c r="F7476" s="4" t="str">
        <f>IF(D7476="","", IFNA(VLOOKUP(D7476, SATCAT_DECAY!A:B, 2, FALSE), ""))
</f>
        <v/>
      </c>
      <c r="G7476" s="3"/>
    </row>
    <row r="7477" ht="22.5" hidden="1" customHeight="1">
      <c r="A7477" s="11" t="str">
        <f t="array" ref="A7477">IFERROR(
  INDEX('Starlink Launches'!$A:$A, MATCH($E7477, 'Starlink Launches'!$B:$B, 0)),
  ""
)
</f>
        <v/>
      </c>
      <c r="B7477" s="26"/>
      <c r="C7477" s="12"/>
      <c r="D7477" s="13"/>
      <c r="E7477" s="4"/>
      <c r="F7477" s="4" t="str">
        <f>IF(D7477="","", IFNA(VLOOKUP(D7477, SATCAT_DECAY!A:B, 2, FALSE), ""))
</f>
        <v/>
      </c>
      <c r="G7477" s="3"/>
    </row>
    <row r="7478" ht="22.5" hidden="1" customHeight="1">
      <c r="A7478" s="11" t="str">
        <f t="array" ref="A7478">IFERROR(
  INDEX('Starlink Launches'!$A:$A, MATCH($E7478, 'Starlink Launches'!$B:$B, 0)),
  ""
)
</f>
        <v/>
      </c>
      <c r="B7478" s="26"/>
      <c r="C7478" s="12"/>
      <c r="D7478" s="13"/>
      <c r="E7478" s="4"/>
      <c r="F7478" s="4" t="str">
        <f>IF(D7478="","", IFNA(VLOOKUP(D7478, SATCAT_DECAY!A:B, 2, FALSE), ""))
</f>
        <v/>
      </c>
      <c r="G7478" s="3"/>
    </row>
    <row r="7479" ht="22.5" hidden="1" customHeight="1">
      <c r="A7479" s="11" t="str">
        <f t="array" ref="A7479">IFERROR(
  INDEX('Starlink Launches'!$A:$A, MATCH($E7479, 'Starlink Launches'!$B:$B, 0)),
  ""
)
</f>
        <v/>
      </c>
      <c r="B7479" s="26"/>
      <c r="C7479" s="12"/>
      <c r="D7479" s="13"/>
      <c r="E7479" s="4"/>
      <c r="F7479" s="4" t="str">
        <f>IF(D7479="","", IFNA(VLOOKUP(D7479, SATCAT_DECAY!A:B, 2, FALSE), ""))
</f>
        <v/>
      </c>
      <c r="G7479" s="3"/>
    </row>
    <row r="7480" ht="22.5" hidden="1" customHeight="1">
      <c r="A7480" s="11" t="str">
        <f t="array" ref="A7480">IFERROR(
  INDEX('Starlink Launches'!$A:$A, MATCH($E7480, 'Starlink Launches'!$B:$B, 0)),
  ""
)
</f>
        <v/>
      </c>
      <c r="B7480" s="26"/>
      <c r="C7480" s="12"/>
      <c r="D7480" s="13"/>
      <c r="E7480" s="4"/>
      <c r="F7480" s="4" t="str">
        <f>IF(D7480="","", IFNA(VLOOKUP(D7480, SATCAT_DECAY!A:B, 2, FALSE), ""))
</f>
        <v/>
      </c>
      <c r="G7480" s="3"/>
    </row>
    <row r="7481" ht="22.5" hidden="1" customHeight="1">
      <c r="A7481" s="11" t="str">
        <f t="array" ref="A7481">IFERROR(
  INDEX('Starlink Launches'!$A:$A, MATCH($E7481, 'Starlink Launches'!$B:$B, 0)),
  ""
)
</f>
        <v/>
      </c>
      <c r="B7481" s="26"/>
      <c r="C7481" s="12"/>
      <c r="D7481" s="13"/>
      <c r="E7481" s="4"/>
      <c r="F7481" s="4" t="str">
        <f>IF(D7481="","", IFNA(VLOOKUP(D7481, SATCAT_DECAY!A:B, 2, FALSE), ""))
</f>
        <v/>
      </c>
      <c r="G7481" s="3"/>
    </row>
    <row r="7482" ht="22.5" hidden="1" customHeight="1">
      <c r="A7482" s="11" t="str">
        <f t="array" ref="A7482">IFERROR(
  INDEX('Starlink Launches'!$A:$A, MATCH($E7482, 'Starlink Launches'!$B:$B, 0)),
  ""
)
</f>
        <v/>
      </c>
      <c r="B7482" s="26"/>
      <c r="C7482" s="12"/>
      <c r="D7482" s="13"/>
      <c r="E7482" s="4"/>
      <c r="F7482" s="4" t="str">
        <f>IF(D7482="","", IFNA(VLOOKUP(D7482, SATCAT_DECAY!A:B, 2, FALSE), ""))
</f>
        <v/>
      </c>
      <c r="G7482" s="3"/>
    </row>
    <row r="7483" ht="22.5" hidden="1" customHeight="1">
      <c r="A7483" s="11" t="str">
        <f t="array" ref="A7483">IFERROR(
  INDEX('Starlink Launches'!$A:$A, MATCH($E7483, 'Starlink Launches'!$B:$B, 0)),
  ""
)
</f>
        <v/>
      </c>
      <c r="B7483" s="26"/>
      <c r="C7483" s="12"/>
      <c r="D7483" s="13"/>
      <c r="E7483" s="4"/>
      <c r="F7483" s="4" t="str">
        <f>IF(D7483="","", IFNA(VLOOKUP(D7483, SATCAT_DECAY!A:B, 2, FALSE), ""))
</f>
        <v/>
      </c>
      <c r="G7483" s="3"/>
    </row>
    <row r="7484" ht="22.5" hidden="1" customHeight="1">
      <c r="A7484" s="11" t="str">
        <f t="array" ref="A7484">IFERROR(
  INDEX('Starlink Launches'!$A:$A, MATCH($E7484, 'Starlink Launches'!$B:$B, 0)),
  ""
)
</f>
        <v/>
      </c>
      <c r="B7484" s="26"/>
      <c r="C7484" s="12"/>
      <c r="D7484" s="13"/>
      <c r="E7484" s="4"/>
      <c r="F7484" s="4" t="str">
        <f>IF(D7484="","", IFNA(VLOOKUP(D7484, SATCAT_DECAY!A:B, 2, FALSE), ""))
</f>
        <v/>
      </c>
      <c r="G7484" s="3"/>
    </row>
    <row r="7485" ht="22.5" hidden="1" customHeight="1">
      <c r="A7485" s="11" t="str">
        <f t="array" ref="A7485">IFERROR(
  INDEX('Starlink Launches'!$A:$A, MATCH($E7485, 'Starlink Launches'!$B:$B, 0)),
  ""
)
</f>
        <v/>
      </c>
      <c r="B7485" s="26"/>
      <c r="C7485" s="12"/>
      <c r="D7485" s="13"/>
      <c r="E7485" s="4"/>
      <c r="F7485" s="4" t="str">
        <f>IF(D7485="","", IFNA(VLOOKUP(D7485, SATCAT_DECAY!A:B, 2, FALSE), ""))
</f>
        <v/>
      </c>
      <c r="G7485" s="3"/>
    </row>
    <row r="7486" ht="22.5" hidden="1" customHeight="1">
      <c r="A7486" s="11" t="str">
        <f t="array" ref="A7486">IFERROR(
  INDEX('Starlink Launches'!$A:$A, MATCH($E7486, 'Starlink Launches'!$B:$B, 0)),
  ""
)
</f>
        <v/>
      </c>
      <c r="B7486" s="26"/>
      <c r="C7486" s="12"/>
      <c r="D7486" s="13"/>
      <c r="E7486" s="4"/>
      <c r="F7486" s="4" t="str">
        <f>IF(D7486="","", IFNA(VLOOKUP(D7486, SATCAT_DECAY!A:B, 2, FALSE), ""))
</f>
        <v/>
      </c>
      <c r="G7486" s="3"/>
    </row>
    <row r="7487" ht="22.5" hidden="1" customHeight="1">
      <c r="A7487" s="11" t="str">
        <f t="array" ref="A7487">IFERROR(
  INDEX('Starlink Launches'!$A:$A, MATCH($E7487, 'Starlink Launches'!$B:$B, 0)),
  ""
)
</f>
        <v/>
      </c>
      <c r="B7487" s="26"/>
      <c r="C7487" s="12"/>
      <c r="D7487" s="13"/>
      <c r="E7487" s="4"/>
      <c r="F7487" s="4" t="str">
        <f>IF(D7487="","", IFNA(VLOOKUP(D7487, SATCAT_DECAY!A:B, 2, FALSE), ""))
</f>
        <v/>
      </c>
      <c r="G7487" s="3"/>
    </row>
    <row r="7488" ht="22.5" hidden="1" customHeight="1">
      <c r="A7488" s="11" t="str">
        <f t="array" ref="A7488">IFERROR(
  INDEX('Starlink Launches'!$A:$A, MATCH($E7488, 'Starlink Launches'!$B:$B, 0)),
  ""
)
</f>
        <v/>
      </c>
      <c r="B7488" s="26"/>
      <c r="C7488" s="12"/>
      <c r="D7488" s="13"/>
      <c r="E7488" s="4"/>
      <c r="F7488" s="4" t="str">
        <f>IF(D7488="","", IFNA(VLOOKUP(D7488, SATCAT_DECAY!A:B, 2, FALSE), ""))
</f>
        <v/>
      </c>
      <c r="G7488" s="3"/>
    </row>
    <row r="7489" ht="22.5" hidden="1" customHeight="1">
      <c r="A7489" s="11" t="str">
        <f t="array" ref="A7489">IFERROR(
  INDEX('Starlink Launches'!$A:$A, MATCH($E7489, 'Starlink Launches'!$B:$B, 0)),
  ""
)
</f>
        <v/>
      </c>
      <c r="B7489" s="26"/>
      <c r="C7489" s="12"/>
      <c r="D7489" s="13"/>
      <c r="E7489" s="4"/>
      <c r="F7489" s="4" t="str">
        <f>IF(D7489="","", IFNA(VLOOKUP(D7489, SATCAT_DECAY!A:B, 2, FALSE), ""))
</f>
        <v/>
      </c>
      <c r="G7489" s="3"/>
    </row>
    <row r="7490" ht="22.5" hidden="1" customHeight="1">
      <c r="A7490" s="11" t="str">
        <f t="array" ref="A7490">IFERROR(
  INDEX('Starlink Launches'!$A:$A, MATCH($E7490, 'Starlink Launches'!$B:$B, 0)),
  ""
)
</f>
        <v/>
      </c>
      <c r="B7490" s="26"/>
      <c r="C7490" s="12"/>
      <c r="D7490" s="13"/>
      <c r="E7490" s="4"/>
      <c r="F7490" s="4" t="str">
        <f>IF(D7490="","", IFNA(VLOOKUP(D7490, SATCAT_DECAY!A:B, 2, FALSE), ""))
</f>
        <v/>
      </c>
      <c r="G7490" s="3"/>
    </row>
    <row r="7491" ht="22.5" hidden="1" customHeight="1">
      <c r="A7491" s="11" t="str">
        <f t="array" ref="A7491">IFERROR(
  INDEX('Starlink Launches'!$A:$A, MATCH($E7491, 'Starlink Launches'!$B:$B, 0)),
  ""
)
</f>
        <v/>
      </c>
      <c r="B7491" s="26"/>
      <c r="C7491" s="12"/>
      <c r="D7491" s="13"/>
      <c r="E7491" s="4"/>
      <c r="F7491" s="4" t="str">
        <f>IF(D7491="","", IFNA(VLOOKUP(D7491, SATCAT_DECAY!A:B, 2, FALSE), ""))
</f>
        <v/>
      </c>
      <c r="G7491" s="3"/>
    </row>
    <row r="7492" ht="22.5" hidden="1" customHeight="1">
      <c r="A7492" s="11" t="str">
        <f t="array" ref="A7492">IFERROR(
  INDEX('Starlink Launches'!$A:$A, MATCH($E7492, 'Starlink Launches'!$B:$B, 0)),
  ""
)
</f>
        <v/>
      </c>
      <c r="B7492" s="26"/>
      <c r="C7492" s="12"/>
      <c r="D7492" s="13"/>
      <c r="E7492" s="4"/>
      <c r="F7492" s="4" t="str">
        <f>IF(D7492="","", IFNA(VLOOKUP(D7492, SATCAT_DECAY!A:B, 2, FALSE), ""))
</f>
        <v/>
      </c>
      <c r="G7492" s="3"/>
    </row>
    <row r="7493" ht="22.5" hidden="1" customHeight="1">
      <c r="A7493" s="11" t="str">
        <f t="array" ref="A7493">IFERROR(
  INDEX('Starlink Launches'!$A:$A, MATCH($E7493, 'Starlink Launches'!$B:$B, 0)),
  ""
)
</f>
        <v/>
      </c>
      <c r="B7493" s="26"/>
      <c r="C7493" s="12"/>
      <c r="D7493" s="13"/>
      <c r="E7493" s="4"/>
      <c r="F7493" s="4" t="str">
        <f>IF(D7493="","", IFNA(VLOOKUP(D7493, SATCAT_DECAY!A:B, 2, FALSE), ""))
</f>
        <v/>
      </c>
      <c r="G7493" s="3"/>
    </row>
    <row r="7494" ht="22.5" hidden="1" customHeight="1">
      <c r="A7494" s="11" t="str">
        <f t="array" ref="A7494">IFERROR(
  INDEX('Starlink Launches'!$A:$A, MATCH($E7494, 'Starlink Launches'!$B:$B, 0)),
  ""
)
</f>
        <v/>
      </c>
      <c r="B7494" s="26"/>
      <c r="C7494" s="12"/>
      <c r="D7494" s="13"/>
      <c r="E7494" s="4"/>
      <c r="F7494" s="4" t="str">
        <f>IF(D7494="","", IFNA(VLOOKUP(D7494, SATCAT_DECAY!A:B, 2, FALSE), ""))
</f>
        <v/>
      </c>
      <c r="G7494" s="3"/>
    </row>
    <row r="7495" ht="22.5" hidden="1" customHeight="1">
      <c r="A7495" s="11" t="str">
        <f t="array" ref="A7495">IFERROR(
  INDEX('Starlink Launches'!$A:$A, MATCH($E7495, 'Starlink Launches'!$B:$B, 0)),
  ""
)
</f>
        <v/>
      </c>
      <c r="B7495" s="26"/>
      <c r="C7495" s="12"/>
      <c r="D7495" s="13"/>
      <c r="E7495" s="4"/>
      <c r="F7495" s="4" t="str">
        <f>IF(D7495="","", IFNA(VLOOKUP(D7495, SATCAT_DECAY!A:B, 2, FALSE), ""))
</f>
        <v/>
      </c>
      <c r="G7495" s="3"/>
    </row>
    <row r="7496" ht="22.5" hidden="1" customHeight="1">
      <c r="A7496" s="11" t="str">
        <f t="array" ref="A7496">IFERROR(
  INDEX('Starlink Launches'!$A:$A, MATCH($E7496, 'Starlink Launches'!$B:$B, 0)),
  ""
)
</f>
        <v/>
      </c>
      <c r="B7496" s="26"/>
      <c r="C7496" s="12"/>
      <c r="D7496" s="13"/>
      <c r="E7496" s="4"/>
      <c r="F7496" s="4" t="str">
        <f>IF(D7496="","", IFNA(VLOOKUP(D7496, SATCAT_DECAY!A:B, 2, FALSE), ""))
</f>
        <v/>
      </c>
      <c r="G7496" s="3"/>
    </row>
    <row r="7497" ht="22.5" hidden="1" customHeight="1">
      <c r="A7497" s="11" t="str">
        <f t="array" ref="A7497">IFERROR(
  INDEX('Starlink Launches'!$A:$A, MATCH($E7497, 'Starlink Launches'!$B:$B, 0)),
  ""
)
</f>
        <v/>
      </c>
      <c r="B7497" s="26"/>
      <c r="C7497" s="12"/>
      <c r="D7497" s="13"/>
      <c r="E7497" s="4"/>
      <c r="F7497" s="4" t="str">
        <f>IF(D7497="","", IFNA(VLOOKUP(D7497, SATCAT_DECAY!A:B, 2, FALSE), ""))
</f>
        <v/>
      </c>
      <c r="G7497" s="3"/>
    </row>
    <row r="7498" ht="22.5" hidden="1" customHeight="1">
      <c r="A7498" s="11" t="str">
        <f t="array" ref="A7498">IFERROR(
  INDEX('Starlink Launches'!$A:$A, MATCH($E7498, 'Starlink Launches'!$B:$B, 0)),
  ""
)
</f>
        <v/>
      </c>
      <c r="B7498" s="26"/>
      <c r="C7498" s="12"/>
      <c r="D7498" s="13"/>
      <c r="E7498" s="4"/>
      <c r="F7498" s="4" t="str">
        <f>IF(D7498="","", IFNA(VLOOKUP(D7498, SATCAT_DECAY!A:B, 2, FALSE), ""))
</f>
        <v/>
      </c>
      <c r="G7498" s="3"/>
    </row>
    <row r="7499" ht="22.5" hidden="1" customHeight="1">
      <c r="A7499" s="11" t="str">
        <f t="array" ref="A7499">IFERROR(
  INDEX('Starlink Launches'!$A:$A, MATCH($E7499, 'Starlink Launches'!$B:$B, 0)),
  ""
)
</f>
        <v/>
      </c>
      <c r="B7499" s="26"/>
      <c r="C7499" s="12"/>
      <c r="D7499" s="13"/>
      <c r="E7499" s="4"/>
      <c r="F7499" s="4" t="str">
        <f>IF(D7499="","", IFNA(VLOOKUP(D7499, SATCAT_DECAY!A:B, 2, FALSE), ""))
</f>
        <v/>
      </c>
      <c r="G7499" s="3"/>
    </row>
    <row r="7500" ht="22.5" hidden="1" customHeight="1">
      <c r="A7500" s="11" t="str">
        <f t="array" ref="A7500">IFERROR(
  INDEX('Starlink Launches'!$A:$A, MATCH($E7500, 'Starlink Launches'!$B:$B, 0)),
  ""
)
</f>
        <v/>
      </c>
      <c r="B7500" s="26"/>
      <c r="C7500" s="12"/>
      <c r="D7500" s="13"/>
      <c r="E7500" s="4"/>
      <c r="F7500" s="4" t="str">
        <f>IF(D7500="","", IFNA(VLOOKUP(D7500, SATCAT_DECAY!A:B, 2, FALSE), ""))
</f>
        <v/>
      </c>
      <c r="G7500" s="3"/>
    </row>
    <row r="7501" ht="22.5" hidden="1" customHeight="1">
      <c r="A7501" s="11" t="str">
        <f t="array" ref="A7501">IFERROR(
  INDEX('Starlink Launches'!$A:$A, MATCH($E7501, 'Starlink Launches'!$B:$B, 0)),
  ""
)
</f>
        <v/>
      </c>
      <c r="B7501" s="26"/>
      <c r="C7501" s="12"/>
      <c r="D7501" s="13"/>
      <c r="E7501" s="4"/>
      <c r="F7501" s="4" t="str">
        <f>IF(D7501="","", IFNA(VLOOKUP(D7501, SATCAT_DECAY!A:B, 2, FALSE), ""))
</f>
        <v/>
      </c>
      <c r="G7501" s="3"/>
    </row>
    <row r="7502" ht="22.5" hidden="1" customHeight="1">
      <c r="A7502" s="11" t="str">
        <f t="array" ref="A7502">IFERROR(
  INDEX('Starlink Launches'!$A:$A, MATCH($E7502, 'Starlink Launches'!$B:$B, 0)),
  ""
)
</f>
        <v/>
      </c>
      <c r="B7502" s="26"/>
      <c r="C7502" s="12"/>
      <c r="D7502" s="13"/>
      <c r="E7502" s="4"/>
      <c r="F7502" s="4" t="str">
        <f>IF(D7502="","", IFNA(VLOOKUP(D7502, SATCAT_DECAY!A:B, 2, FALSE), ""))
</f>
        <v/>
      </c>
      <c r="G7502" s="3"/>
    </row>
    <row r="7503" ht="22.5" hidden="1" customHeight="1">
      <c r="A7503" s="11" t="str">
        <f t="array" ref="A7503">IFERROR(
  INDEX('Starlink Launches'!$A:$A, MATCH($E7503, 'Starlink Launches'!$B:$B, 0)),
  ""
)
</f>
        <v/>
      </c>
      <c r="B7503" s="26"/>
      <c r="C7503" s="12"/>
      <c r="D7503" s="13"/>
      <c r="E7503" s="4"/>
      <c r="F7503" s="4" t="str">
        <f>IF(D7503="","", IFNA(VLOOKUP(D7503, SATCAT_DECAY!A:B, 2, FALSE), ""))
</f>
        <v/>
      </c>
      <c r="G7503" s="3"/>
    </row>
    <row r="7504" ht="22.5" hidden="1" customHeight="1">
      <c r="A7504" s="11" t="str">
        <f t="array" ref="A7504">IFERROR(
  INDEX('Starlink Launches'!$A:$A, MATCH($E7504, 'Starlink Launches'!$B:$B, 0)),
  ""
)
</f>
        <v/>
      </c>
      <c r="B7504" s="26"/>
      <c r="C7504" s="12"/>
      <c r="D7504" s="13"/>
      <c r="E7504" s="4"/>
      <c r="F7504" s="4" t="str">
        <f>IF(D7504="","", IFNA(VLOOKUP(D7504, SATCAT_DECAY!A:B, 2, FALSE), ""))
</f>
        <v/>
      </c>
      <c r="G7504" s="3"/>
    </row>
    <row r="7505" ht="22.5" hidden="1" customHeight="1">
      <c r="A7505" s="11" t="str">
        <f t="array" ref="A7505">IFERROR(
  INDEX('Starlink Launches'!$A:$A, MATCH($E7505, 'Starlink Launches'!$B:$B, 0)),
  ""
)
</f>
        <v/>
      </c>
      <c r="B7505" s="26"/>
      <c r="C7505" s="12"/>
      <c r="D7505" s="13"/>
      <c r="E7505" s="4"/>
      <c r="F7505" s="4" t="str">
        <f>IF(D7505="","", IFNA(VLOOKUP(D7505, SATCAT_DECAY!A:B, 2, FALSE), ""))
</f>
        <v/>
      </c>
      <c r="G7505" s="3"/>
    </row>
    <row r="7506" ht="22.5" hidden="1" customHeight="1">
      <c r="A7506" s="11" t="str">
        <f t="array" ref="A7506">IFERROR(
  INDEX('Starlink Launches'!$A:$A, MATCH($E7506, 'Starlink Launches'!$B:$B, 0)),
  ""
)
</f>
        <v/>
      </c>
      <c r="B7506" s="26"/>
      <c r="C7506" s="12"/>
      <c r="D7506" s="13"/>
      <c r="E7506" s="4"/>
      <c r="F7506" s="4" t="str">
        <f>IF(D7506="","", IFNA(VLOOKUP(D7506, SATCAT_DECAY!A:B, 2, FALSE), ""))
</f>
        <v/>
      </c>
      <c r="G7506" s="3"/>
    </row>
    <row r="7507" ht="22.5" hidden="1" customHeight="1">
      <c r="A7507" s="11" t="str">
        <f t="array" ref="A7507">IFERROR(
  INDEX('Starlink Launches'!$A:$A, MATCH($E7507, 'Starlink Launches'!$B:$B, 0)),
  ""
)
</f>
        <v/>
      </c>
      <c r="B7507" s="26"/>
      <c r="C7507" s="12"/>
      <c r="D7507" s="13"/>
      <c r="E7507" s="4"/>
      <c r="F7507" s="4" t="str">
        <f>IF(D7507="","", IFNA(VLOOKUP(D7507, SATCAT_DECAY!A:B, 2, FALSE), ""))
</f>
        <v/>
      </c>
      <c r="G7507" s="3"/>
    </row>
    <row r="7508" ht="22.5" hidden="1" customHeight="1">
      <c r="A7508" s="11" t="str">
        <f t="array" ref="A7508">IFERROR(
  INDEX('Starlink Launches'!$A:$A, MATCH($E7508, 'Starlink Launches'!$B:$B, 0)),
  ""
)
</f>
        <v/>
      </c>
      <c r="B7508" s="26"/>
      <c r="C7508" s="12"/>
      <c r="D7508" s="13"/>
      <c r="E7508" s="4"/>
      <c r="F7508" s="4" t="str">
        <f>IF(D7508="","", IFNA(VLOOKUP(D7508, SATCAT_DECAY!A:B, 2, FALSE), ""))
</f>
        <v/>
      </c>
      <c r="G7508" s="3"/>
    </row>
    <row r="7509" ht="22.5" hidden="1" customHeight="1">
      <c r="A7509" s="11" t="str">
        <f t="array" ref="A7509">IFERROR(
  INDEX('Starlink Launches'!$A:$A, MATCH($E7509, 'Starlink Launches'!$B:$B, 0)),
  ""
)
</f>
        <v/>
      </c>
      <c r="B7509" s="26"/>
      <c r="C7509" s="12"/>
      <c r="D7509" s="13"/>
      <c r="E7509" s="4"/>
      <c r="F7509" s="4" t="str">
        <f>IF(D7509="","", IFNA(VLOOKUP(D7509, SATCAT_DECAY!A:B, 2, FALSE), ""))
</f>
        <v/>
      </c>
      <c r="G7509" s="3"/>
    </row>
    <row r="7510" ht="22.5" hidden="1" customHeight="1">
      <c r="A7510" s="11" t="str">
        <f t="array" ref="A7510">IFERROR(
  INDEX('Starlink Launches'!$A:$A, MATCH($E7510, 'Starlink Launches'!$B:$B, 0)),
  ""
)
</f>
        <v/>
      </c>
      <c r="B7510" s="26"/>
      <c r="C7510" s="12"/>
      <c r="D7510" s="13"/>
      <c r="E7510" s="4"/>
      <c r="F7510" s="4" t="str">
        <f>IF(D7510="","", IFNA(VLOOKUP(D7510, SATCAT_DECAY!A:B, 2, FALSE), ""))
</f>
        <v/>
      </c>
      <c r="G7510" s="3"/>
    </row>
    <row r="7511" ht="22.5" hidden="1" customHeight="1">
      <c r="A7511" s="11" t="str">
        <f t="array" ref="A7511">IFERROR(
  INDEX('Starlink Launches'!$A:$A, MATCH($E7511, 'Starlink Launches'!$B:$B, 0)),
  ""
)
</f>
        <v/>
      </c>
      <c r="B7511" s="26"/>
      <c r="C7511" s="12"/>
      <c r="D7511" s="13"/>
      <c r="E7511" s="4"/>
      <c r="F7511" s="4" t="str">
        <f>IF(D7511="","", IFNA(VLOOKUP(D7511, SATCAT_DECAY!A:B, 2, FALSE), ""))
</f>
        <v/>
      </c>
      <c r="G7511" s="3"/>
    </row>
    <row r="7512" ht="22.5" hidden="1" customHeight="1">
      <c r="A7512" s="11" t="str">
        <f t="array" ref="A7512">IFERROR(
  INDEX('Starlink Launches'!$A:$A, MATCH($E7512, 'Starlink Launches'!$B:$B, 0)),
  ""
)
</f>
        <v/>
      </c>
      <c r="B7512" s="26"/>
      <c r="C7512" s="12"/>
      <c r="D7512" s="13"/>
      <c r="E7512" s="4"/>
      <c r="F7512" s="4" t="str">
        <f>IF(D7512="","", IFNA(VLOOKUP(D7512, SATCAT_DECAY!A:B, 2, FALSE), ""))
</f>
        <v/>
      </c>
      <c r="G7512" s="3"/>
    </row>
    <row r="7513" ht="22.5" hidden="1" customHeight="1">
      <c r="A7513" s="11" t="str">
        <f t="array" ref="A7513">IFERROR(
  INDEX('Starlink Launches'!$A:$A, MATCH($E7513, 'Starlink Launches'!$B:$B, 0)),
  ""
)
</f>
        <v/>
      </c>
      <c r="B7513" s="26"/>
      <c r="C7513" s="12"/>
      <c r="D7513" s="13"/>
      <c r="E7513" s="4"/>
      <c r="F7513" s="4" t="str">
        <f>IF(D7513="","", IFNA(VLOOKUP(D7513, SATCAT_DECAY!A:B, 2, FALSE), ""))
</f>
        <v/>
      </c>
      <c r="G7513" s="3"/>
    </row>
    <row r="7514" ht="22.5" hidden="1" customHeight="1">
      <c r="A7514" s="11" t="str">
        <f t="array" ref="A7514">IFERROR(
  INDEX('Starlink Launches'!$A:$A, MATCH($E7514, 'Starlink Launches'!$B:$B, 0)),
  ""
)
</f>
        <v/>
      </c>
      <c r="B7514" s="26"/>
      <c r="C7514" s="12"/>
      <c r="D7514" s="13"/>
      <c r="E7514" s="4"/>
      <c r="F7514" s="4" t="str">
        <f>IF(D7514="","", IFNA(VLOOKUP(D7514, SATCAT_DECAY!A:B, 2, FALSE), ""))
</f>
        <v/>
      </c>
      <c r="G7514" s="3"/>
    </row>
    <row r="7515" ht="22.5" hidden="1" customHeight="1">
      <c r="A7515" s="11" t="str">
        <f t="array" ref="A7515">IFERROR(
  INDEX('Starlink Launches'!$A:$A, MATCH($E7515, 'Starlink Launches'!$B:$B, 0)),
  ""
)
</f>
        <v/>
      </c>
      <c r="B7515" s="26"/>
      <c r="C7515" s="12"/>
      <c r="D7515" s="13"/>
      <c r="E7515" s="4"/>
      <c r="F7515" s="4" t="str">
        <f>IF(D7515="","", IFNA(VLOOKUP(D7515, SATCAT_DECAY!A:B, 2, FALSE), ""))
</f>
        <v/>
      </c>
      <c r="G7515" s="3"/>
    </row>
    <row r="7516" ht="22.5" hidden="1" customHeight="1">
      <c r="A7516" s="11" t="str">
        <f t="array" ref="A7516">IFERROR(
  INDEX('Starlink Launches'!$A:$A, MATCH($E7516, 'Starlink Launches'!$B:$B, 0)),
  ""
)
</f>
        <v/>
      </c>
      <c r="B7516" s="26"/>
      <c r="C7516" s="12"/>
      <c r="D7516" s="13"/>
      <c r="E7516" s="4"/>
      <c r="F7516" s="4" t="str">
        <f>IF(D7516="","", IFNA(VLOOKUP(D7516, SATCAT_DECAY!A:B, 2, FALSE), ""))
</f>
        <v/>
      </c>
      <c r="G7516" s="3"/>
    </row>
    <row r="7517" ht="22.5" hidden="1" customHeight="1">
      <c r="A7517" s="11" t="str">
        <f t="array" ref="A7517">IFERROR(
  INDEX('Starlink Launches'!$A:$A, MATCH($E7517, 'Starlink Launches'!$B:$B, 0)),
  ""
)
</f>
        <v/>
      </c>
      <c r="B7517" s="26"/>
      <c r="C7517" s="12"/>
      <c r="D7517" s="13"/>
      <c r="E7517" s="4"/>
      <c r="F7517" s="4" t="str">
        <f>IF(D7517="","", IFNA(VLOOKUP(D7517, SATCAT_DECAY!A:B, 2, FALSE), ""))
</f>
        <v/>
      </c>
      <c r="G7517" s="3"/>
    </row>
    <row r="7518" ht="22.5" hidden="1" customHeight="1">
      <c r="A7518" s="11" t="str">
        <f t="array" ref="A7518">IFERROR(
  INDEX('Starlink Launches'!$A:$A, MATCH($E7518, 'Starlink Launches'!$B:$B, 0)),
  ""
)
</f>
        <v/>
      </c>
      <c r="B7518" s="26"/>
      <c r="C7518" s="12"/>
      <c r="D7518" s="13"/>
      <c r="E7518" s="4"/>
      <c r="F7518" s="4" t="str">
        <f>IF(D7518="","", IFNA(VLOOKUP(D7518, SATCAT_DECAY!A:B, 2, FALSE), ""))
</f>
        <v/>
      </c>
      <c r="G7518" s="3"/>
    </row>
    <row r="7519" ht="22.5" hidden="1" customHeight="1">
      <c r="A7519" s="11" t="str">
        <f t="array" ref="A7519">IFERROR(
  INDEX('Starlink Launches'!$A:$A, MATCH($E7519, 'Starlink Launches'!$B:$B, 0)),
  ""
)
</f>
        <v/>
      </c>
      <c r="B7519" s="26"/>
      <c r="C7519" s="12"/>
      <c r="D7519" s="13"/>
      <c r="E7519" s="4"/>
      <c r="F7519" s="4" t="str">
        <f>IF(D7519="","", IFNA(VLOOKUP(D7519, SATCAT_DECAY!A:B, 2, FALSE), ""))
</f>
        <v/>
      </c>
      <c r="G7519" s="3"/>
    </row>
    <row r="7520" ht="22.5" hidden="1" customHeight="1">
      <c r="A7520" s="11" t="str">
        <f t="array" ref="A7520">IFERROR(
  INDEX('Starlink Launches'!$A:$A, MATCH($E7520, 'Starlink Launches'!$B:$B, 0)),
  ""
)
</f>
        <v/>
      </c>
      <c r="B7520" s="26"/>
      <c r="C7520" s="12"/>
      <c r="D7520" s="13"/>
      <c r="E7520" s="4"/>
      <c r="F7520" s="4" t="str">
        <f>IF(D7520="","", IFNA(VLOOKUP(D7520, SATCAT_DECAY!A:B, 2, FALSE), ""))
</f>
        <v/>
      </c>
      <c r="G7520" s="3"/>
    </row>
    <row r="7521" ht="22.5" hidden="1" customHeight="1">
      <c r="A7521" s="11" t="str">
        <f t="array" ref="A7521">IFERROR(
  INDEX('Starlink Launches'!$A:$A, MATCH($E7521, 'Starlink Launches'!$B:$B, 0)),
  ""
)
</f>
        <v/>
      </c>
      <c r="B7521" s="26"/>
      <c r="C7521" s="12"/>
      <c r="D7521" s="13"/>
      <c r="E7521" s="4"/>
      <c r="F7521" s="4" t="str">
        <f>IF(D7521="","", IFNA(VLOOKUP(D7521, SATCAT_DECAY!A:B, 2, FALSE), ""))
</f>
        <v/>
      </c>
      <c r="G7521" s="3"/>
    </row>
    <row r="7522" ht="22.5" hidden="1" customHeight="1">
      <c r="A7522" s="11" t="str">
        <f t="array" ref="A7522">IFERROR(
  INDEX('Starlink Launches'!$A:$A, MATCH($E7522, 'Starlink Launches'!$B:$B, 0)),
  ""
)
</f>
        <v/>
      </c>
      <c r="B7522" s="26"/>
      <c r="C7522" s="12"/>
      <c r="D7522" s="13"/>
      <c r="E7522" s="4"/>
      <c r="F7522" s="4" t="str">
        <f>IF(D7522="","", IFNA(VLOOKUP(D7522, SATCAT_DECAY!A:B, 2, FALSE), ""))
</f>
        <v/>
      </c>
      <c r="G7522" s="3"/>
    </row>
    <row r="7523" ht="22.5" hidden="1" customHeight="1">
      <c r="A7523" s="11" t="str">
        <f t="array" ref="A7523">IFERROR(
  INDEX('Starlink Launches'!$A:$A, MATCH($E7523, 'Starlink Launches'!$B:$B, 0)),
  ""
)
</f>
        <v/>
      </c>
      <c r="B7523" s="26"/>
      <c r="C7523" s="12"/>
      <c r="D7523" s="13"/>
      <c r="E7523" s="4"/>
      <c r="F7523" s="4" t="str">
        <f>IF(D7523="","", IFNA(VLOOKUP(D7523, SATCAT_DECAY!A:B, 2, FALSE), ""))
</f>
        <v/>
      </c>
      <c r="G7523" s="3"/>
    </row>
    <row r="7524" ht="22.5" hidden="1" customHeight="1">
      <c r="A7524" s="11" t="str">
        <f t="array" ref="A7524">IFERROR(
  INDEX('Starlink Launches'!$A:$A, MATCH($E7524, 'Starlink Launches'!$B:$B, 0)),
  ""
)
</f>
        <v/>
      </c>
      <c r="B7524" s="26"/>
      <c r="C7524" s="12"/>
      <c r="D7524" s="13"/>
      <c r="E7524" s="4"/>
      <c r="F7524" s="4" t="str">
        <f>IF(D7524="","", IFNA(VLOOKUP(D7524, SATCAT_DECAY!A:B, 2, FALSE), ""))
</f>
        <v/>
      </c>
      <c r="G7524" s="3"/>
    </row>
    <row r="7525" ht="22.5" hidden="1" customHeight="1">
      <c r="A7525" s="11" t="str">
        <f t="array" ref="A7525">IFERROR(
  INDEX('Starlink Launches'!$A:$A, MATCH($E7525, 'Starlink Launches'!$B:$B, 0)),
  ""
)
</f>
        <v/>
      </c>
      <c r="B7525" s="26"/>
      <c r="C7525" s="12"/>
      <c r="D7525" s="13"/>
      <c r="E7525" s="4"/>
      <c r="F7525" s="4" t="str">
        <f>IF(D7525="","", IFNA(VLOOKUP(D7525, SATCAT_DECAY!A:B, 2, FALSE), ""))
</f>
        <v/>
      </c>
      <c r="G7525" s="3"/>
    </row>
    <row r="7526" ht="22.5" hidden="1" customHeight="1">
      <c r="A7526" s="11" t="str">
        <f t="array" ref="A7526">IFERROR(
  INDEX('Starlink Launches'!$A:$A, MATCH($E7526, 'Starlink Launches'!$B:$B, 0)),
  ""
)
</f>
        <v/>
      </c>
      <c r="B7526" s="26"/>
      <c r="C7526" s="12"/>
      <c r="D7526" s="13"/>
      <c r="E7526" s="4"/>
      <c r="F7526" s="4" t="str">
        <f>IF(D7526="","", IFNA(VLOOKUP(D7526, SATCAT_DECAY!A:B, 2, FALSE), ""))
</f>
        <v/>
      </c>
      <c r="G7526" s="3"/>
    </row>
    <row r="7527" ht="22.5" hidden="1" customHeight="1">
      <c r="A7527" s="11" t="str">
        <f t="array" ref="A7527">IFERROR(
  INDEX('Starlink Launches'!$A:$A, MATCH($E7527, 'Starlink Launches'!$B:$B, 0)),
  ""
)
</f>
        <v/>
      </c>
      <c r="B7527" s="26"/>
      <c r="C7527" s="12"/>
      <c r="D7527" s="13"/>
      <c r="E7527" s="4"/>
      <c r="F7527" s="4" t="str">
        <f>IF(D7527="","", IFNA(VLOOKUP(D7527, SATCAT_DECAY!A:B, 2, FALSE), ""))
</f>
        <v/>
      </c>
      <c r="G7527" s="3"/>
    </row>
    <row r="7528" ht="22.5" hidden="1" customHeight="1">
      <c r="A7528" s="11" t="str">
        <f t="array" ref="A7528">IFERROR(
  INDEX('Starlink Launches'!$A:$A, MATCH($E7528, 'Starlink Launches'!$B:$B, 0)),
  ""
)
</f>
        <v/>
      </c>
      <c r="B7528" s="26"/>
      <c r="C7528" s="12"/>
      <c r="D7528" s="13"/>
      <c r="E7528" s="4"/>
      <c r="F7528" s="4" t="str">
        <f>IF(D7528="","", IFNA(VLOOKUP(D7528, SATCAT_DECAY!A:B, 2, FALSE), ""))
</f>
        <v/>
      </c>
      <c r="G7528" s="3"/>
    </row>
    <row r="7529" ht="22.5" hidden="1" customHeight="1">
      <c r="A7529" s="11" t="str">
        <f t="array" ref="A7529">IFERROR(
  INDEX('Starlink Launches'!$A:$A, MATCH($E7529, 'Starlink Launches'!$B:$B, 0)),
  ""
)
</f>
        <v/>
      </c>
      <c r="B7529" s="26"/>
      <c r="C7529" s="12"/>
      <c r="D7529" s="13"/>
      <c r="E7529" s="4"/>
      <c r="F7529" s="4" t="str">
        <f>IF(D7529="","", IFNA(VLOOKUP(D7529, SATCAT_DECAY!A:B, 2, FALSE), ""))
</f>
        <v/>
      </c>
      <c r="G7529" s="3"/>
    </row>
    <row r="7530" ht="22.5" hidden="1" customHeight="1">
      <c r="A7530" s="11" t="str">
        <f t="array" ref="A7530">IFERROR(
  INDEX('Starlink Launches'!$A:$A, MATCH($E7530, 'Starlink Launches'!$B:$B, 0)),
  ""
)
</f>
        <v/>
      </c>
      <c r="B7530" s="26"/>
      <c r="C7530" s="12"/>
      <c r="D7530" s="13"/>
      <c r="E7530" s="4"/>
      <c r="F7530" s="4" t="str">
        <f>IF(D7530="","", IFNA(VLOOKUP(D7530, SATCAT_DECAY!A:B, 2, FALSE), ""))
</f>
        <v/>
      </c>
      <c r="G7530" s="3"/>
    </row>
    <row r="7531" ht="22.5" hidden="1" customHeight="1">
      <c r="A7531" s="11" t="str">
        <f t="array" ref="A7531">IFERROR(
  INDEX('Starlink Launches'!$A:$A, MATCH($E7531, 'Starlink Launches'!$B:$B, 0)),
  ""
)
</f>
        <v/>
      </c>
      <c r="B7531" s="26"/>
      <c r="C7531" s="12"/>
      <c r="D7531" s="13"/>
      <c r="E7531" s="4"/>
      <c r="F7531" s="4" t="str">
        <f>IF(D7531="","", IFNA(VLOOKUP(D7531, SATCAT_DECAY!A:B, 2, FALSE), ""))
</f>
        <v/>
      </c>
      <c r="G7531" s="3"/>
    </row>
    <row r="7532" ht="22.5" hidden="1" customHeight="1">
      <c r="A7532" s="11" t="str">
        <f t="array" ref="A7532">IFERROR(
  INDEX('Starlink Launches'!$A:$A, MATCH($E7532, 'Starlink Launches'!$B:$B, 0)),
  ""
)
</f>
        <v/>
      </c>
      <c r="B7532" s="26"/>
      <c r="C7532" s="12"/>
      <c r="D7532" s="13"/>
      <c r="E7532" s="4"/>
      <c r="F7532" s="4" t="str">
        <f>IF(D7532="","", IFNA(VLOOKUP(D7532, SATCAT_DECAY!A:B, 2, FALSE), ""))
</f>
        <v/>
      </c>
      <c r="G7532" s="3"/>
    </row>
    <row r="7533" ht="22.5" hidden="1" customHeight="1">
      <c r="A7533" s="11" t="str">
        <f t="array" ref="A7533">IFERROR(
  INDEX('Starlink Launches'!$A:$A, MATCH($E7533, 'Starlink Launches'!$B:$B, 0)),
  ""
)
</f>
        <v/>
      </c>
      <c r="B7533" s="26"/>
      <c r="C7533" s="12"/>
      <c r="D7533" s="13"/>
      <c r="E7533" s="4"/>
      <c r="F7533" s="4" t="str">
        <f>IF(D7533="","", IFNA(VLOOKUP(D7533, SATCAT_DECAY!A:B, 2, FALSE), ""))
</f>
        <v/>
      </c>
      <c r="G7533" s="3"/>
    </row>
    <row r="7534" ht="22.5" hidden="1" customHeight="1">
      <c r="A7534" s="11" t="str">
        <f t="array" ref="A7534">IFERROR(
  INDEX('Starlink Launches'!$A:$A, MATCH($E7534, 'Starlink Launches'!$B:$B, 0)),
  ""
)
</f>
        <v/>
      </c>
      <c r="B7534" s="26"/>
      <c r="C7534" s="12"/>
      <c r="D7534" s="13"/>
      <c r="E7534" s="4"/>
      <c r="F7534" s="4" t="str">
        <f>IF(D7534="","", IFNA(VLOOKUP(D7534, SATCAT_DECAY!A:B, 2, FALSE), ""))
</f>
        <v/>
      </c>
      <c r="G7534" s="3"/>
    </row>
    <row r="7535" ht="22.5" hidden="1" customHeight="1">
      <c r="A7535" s="11" t="str">
        <f t="array" ref="A7535">IFERROR(
  INDEX('Starlink Launches'!$A:$A, MATCH($E7535, 'Starlink Launches'!$B:$B, 0)),
  ""
)
</f>
        <v/>
      </c>
      <c r="B7535" s="26"/>
      <c r="C7535" s="12"/>
      <c r="D7535" s="13"/>
      <c r="E7535" s="4"/>
      <c r="F7535" s="4" t="str">
        <f>IF(D7535="","", IFNA(VLOOKUP(D7535, SATCAT_DECAY!A:B, 2, FALSE), ""))
</f>
        <v/>
      </c>
      <c r="G7535" s="3"/>
    </row>
    <row r="7536" ht="22.5" hidden="1" customHeight="1">
      <c r="A7536" s="11" t="str">
        <f t="array" ref="A7536">IFERROR(
  INDEX('Starlink Launches'!$A:$A, MATCH($E7536, 'Starlink Launches'!$B:$B, 0)),
  ""
)
</f>
        <v/>
      </c>
      <c r="B7536" s="26"/>
      <c r="C7536" s="12"/>
      <c r="D7536" s="13"/>
      <c r="E7536" s="4"/>
      <c r="F7536" s="4" t="str">
        <f>IF(D7536="","", IFNA(VLOOKUP(D7536, SATCAT_DECAY!A:B, 2, FALSE), ""))
</f>
        <v/>
      </c>
      <c r="G7536" s="3"/>
    </row>
    <row r="7537" ht="22.5" hidden="1" customHeight="1">
      <c r="A7537" s="11" t="str">
        <f t="array" ref="A7537">IFERROR(
  INDEX('Starlink Launches'!$A:$A, MATCH($E7537, 'Starlink Launches'!$B:$B, 0)),
  ""
)
</f>
        <v/>
      </c>
      <c r="B7537" s="26"/>
      <c r="C7537" s="12"/>
      <c r="D7537" s="13"/>
      <c r="E7537" s="4"/>
      <c r="F7537" s="4" t="str">
        <f>IF(D7537="","", IFNA(VLOOKUP(D7537, SATCAT_DECAY!A:B, 2, FALSE), ""))
</f>
        <v/>
      </c>
      <c r="G7537" s="3"/>
    </row>
    <row r="7538" ht="22.5" hidden="1" customHeight="1">
      <c r="A7538" s="11" t="str">
        <f t="array" ref="A7538">IFERROR(
  INDEX('Starlink Launches'!$A:$A, MATCH($E7538, 'Starlink Launches'!$B:$B, 0)),
  ""
)
</f>
        <v/>
      </c>
      <c r="B7538" s="26"/>
      <c r="C7538" s="12"/>
      <c r="D7538" s="13"/>
      <c r="E7538" s="4"/>
      <c r="F7538" s="4" t="str">
        <f>IF(D7538="","", IFNA(VLOOKUP(D7538, SATCAT_DECAY!A:B, 2, FALSE), ""))
</f>
        <v/>
      </c>
      <c r="G7538" s="3"/>
    </row>
    <row r="7539" ht="22.5" hidden="1" customHeight="1">
      <c r="A7539" s="11" t="str">
        <f t="array" ref="A7539">IFERROR(
  INDEX('Starlink Launches'!$A:$A, MATCH($E7539, 'Starlink Launches'!$B:$B, 0)),
  ""
)
</f>
        <v/>
      </c>
      <c r="B7539" s="26"/>
      <c r="C7539" s="12"/>
      <c r="D7539" s="13"/>
      <c r="E7539" s="4"/>
      <c r="F7539" s="4" t="str">
        <f>IF(D7539="","", IFNA(VLOOKUP(D7539, SATCAT_DECAY!A:B, 2, FALSE), ""))
</f>
        <v/>
      </c>
      <c r="G7539" s="3"/>
    </row>
    <row r="7540" ht="22.5" hidden="1" customHeight="1">
      <c r="A7540" s="11" t="str">
        <f t="array" ref="A7540">IFERROR(
  INDEX('Starlink Launches'!$A:$A, MATCH($E7540, 'Starlink Launches'!$B:$B, 0)),
  ""
)
</f>
        <v/>
      </c>
      <c r="B7540" s="26"/>
      <c r="C7540" s="12"/>
      <c r="D7540" s="13"/>
      <c r="E7540" s="4"/>
      <c r="F7540" s="4" t="str">
        <f>IF(D7540="","", IFNA(VLOOKUP(D7540, SATCAT_DECAY!A:B, 2, FALSE), ""))
</f>
        <v/>
      </c>
      <c r="G7540" s="3"/>
    </row>
    <row r="7541" ht="22.5" hidden="1" customHeight="1">
      <c r="A7541" s="11" t="str">
        <f t="array" ref="A7541">IFERROR(
  INDEX('Starlink Launches'!$A:$A, MATCH($E7541, 'Starlink Launches'!$B:$B, 0)),
  ""
)
</f>
        <v/>
      </c>
      <c r="B7541" s="26"/>
      <c r="C7541" s="12"/>
      <c r="D7541" s="13"/>
      <c r="E7541" s="4"/>
      <c r="F7541" s="4" t="str">
        <f>IF(D7541="","", IFNA(VLOOKUP(D7541, SATCAT_DECAY!A:B, 2, FALSE), ""))
</f>
        <v/>
      </c>
      <c r="G7541" s="3"/>
    </row>
    <row r="7542" ht="22.5" hidden="1" customHeight="1">
      <c r="A7542" s="11" t="str">
        <f t="array" ref="A7542">IFERROR(
  INDEX('Starlink Launches'!$A:$A, MATCH($E7542, 'Starlink Launches'!$B:$B, 0)),
  ""
)
</f>
        <v/>
      </c>
      <c r="B7542" s="26"/>
      <c r="C7542" s="12"/>
      <c r="D7542" s="13"/>
      <c r="E7542" s="4"/>
      <c r="F7542" s="4" t="str">
        <f>IF(D7542="","", IFNA(VLOOKUP(D7542, SATCAT_DECAY!A:B, 2, FALSE), ""))
</f>
        <v/>
      </c>
      <c r="G7542" s="3"/>
    </row>
    <row r="7543" ht="22.5" hidden="1" customHeight="1">
      <c r="A7543" s="11" t="str">
        <f t="array" ref="A7543">IFERROR(
  INDEX('Starlink Launches'!$A:$A, MATCH($E7543, 'Starlink Launches'!$B:$B, 0)),
  ""
)
</f>
        <v/>
      </c>
      <c r="B7543" s="26"/>
      <c r="C7543" s="12"/>
      <c r="D7543" s="13"/>
      <c r="E7543" s="4"/>
      <c r="F7543" s="4" t="str">
        <f>IF(D7543="","", IFNA(VLOOKUP(D7543, SATCAT_DECAY!A:B, 2, FALSE), ""))
</f>
        <v/>
      </c>
      <c r="G7543" s="3"/>
    </row>
    <row r="7544" ht="22.5" hidden="1" customHeight="1">
      <c r="A7544" s="11" t="str">
        <f t="array" ref="A7544">IFERROR(
  INDEX('Starlink Launches'!$A:$A, MATCH($E7544, 'Starlink Launches'!$B:$B, 0)),
  ""
)
</f>
        <v/>
      </c>
      <c r="B7544" s="26"/>
      <c r="C7544" s="12"/>
      <c r="D7544" s="13"/>
      <c r="E7544" s="4"/>
      <c r="F7544" s="4" t="str">
        <f>IF(D7544="","", IFNA(VLOOKUP(D7544, SATCAT_DECAY!A:B, 2, FALSE), ""))
</f>
        <v/>
      </c>
      <c r="G7544" s="3"/>
    </row>
    <row r="7545" ht="22.5" hidden="1" customHeight="1">
      <c r="A7545" s="11" t="str">
        <f t="array" ref="A7545">IFERROR(
  INDEX('Starlink Launches'!$A:$A, MATCH($E7545, 'Starlink Launches'!$B:$B, 0)),
  ""
)
</f>
        <v/>
      </c>
      <c r="B7545" s="26"/>
      <c r="C7545" s="12"/>
      <c r="D7545" s="13"/>
      <c r="E7545" s="4"/>
      <c r="F7545" s="4" t="str">
        <f>IF(D7545="","", IFNA(VLOOKUP(D7545, SATCAT_DECAY!A:B, 2, FALSE), ""))
</f>
        <v/>
      </c>
      <c r="G7545" s="3"/>
    </row>
    <row r="7546" ht="22.5" hidden="1" customHeight="1">
      <c r="A7546" s="11" t="str">
        <f t="array" ref="A7546">IFERROR(
  INDEX('Starlink Launches'!$A:$A, MATCH($E7546, 'Starlink Launches'!$B:$B, 0)),
  ""
)
</f>
        <v/>
      </c>
      <c r="B7546" s="26"/>
      <c r="C7546" s="12"/>
      <c r="D7546" s="13"/>
      <c r="E7546" s="4"/>
      <c r="F7546" s="4" t="str">
        <f>IF(D7546="","", IFNA(VLOOKUP(D7546, SATCAT_DECAY!A:B, 2, FALSE), ""))
</f>
        <v/>
      </c>
      <c r="G7546" s="3"/>
    </row>
    <row r="7547" ht="22.5" hidden="1" customHeight="1">
      <c r="A7547" s="11" t="str">
        <f t="array" ref="A7547">IFERROR(
  INDEX('Starlink Launches'!$A:$A, MATCH($E7547, 'Starlink Launches'!$B:$B, 0)),
  ""
)
</f>
        <v/>
      </c>
      <c r="B7547" s="26"/>
      <c r="C7547" s="12"/>
      <c r="D7547" s="13"/>
      <c r="E7547" s="4"/>
      <c r="F7547" s="4" t="str">
        <f>IF(D7547="","", IFNA(VLOOKUP(D7547, SATCAT_DECAY!A:B, 2, FALSE), ""))
</f>
        <v/>
      </c>
      <c r="G7547" s="3"/>
    </row>
    <row r="7548" ht="22.5" hidden="1" customHeight="1">
      <c r="A7548" s="11" t="str">
        <f t="array" ref="A7548">IFERROR(
  INDEX('Starlink Launches'!$A:$A, MATCH($E7548, 'Starlink Launches'!$B:$B, 0)),
  ""
)
</f>
        <v/>
      </c>
      <c r="B7548" s="26"/>
      <c r="C7548" s="12"/>
      <c r="D7548" s="13"/>
      <c r="E7548" s="4"/>
      <c r="F7548" s="4" t="str">
        <f>IF(D7548="","", IFNA(VLOOKUP(D7548, SATCAT_DECAY!A:B, 2, FALSE), ""))
</f>
        <v/>
      </c>
      <c r="G7548" s="3"/>
    </row>
    <row r="7549" ht="22.5" hidden="1" customHeight="1">
      <c r="A7549" s="11" t="str">
        <f t="array" ref="A7549">IFERROR(
  INDEX('Starlink Launches'!$A:$A, MATCH($E7549, 'Starlink Launches'!$B:$B, 0)),
  ""
)
</f>
        <v/>
      </c>
      <c r="B7549" s="26"/>
      <c r="C7549" s="12"/>
      <c r="D7549" s="13"/>
      <c r="E7549" s="4"/>
      <c r="F7549" s="4" t="str">
        <f>IF(D7549="","", IFNA(VLOOKUP(D7549, SATCAT_DECAY!A:B, 2, FALSE), ""))
</f>
        <v/>
      </c>
      <c r="G7549" s="3"/>
    </row>
    <row r="7550" ht="22.5" hidden="1" customHeight="1">
      <c r="A7550" s="11" t="str">
        <f t="array" ref="A7550">IFERROR(
  INDEX('Starlink Launches'!$A:$A, MATCH($E7550, 'Starlink Launches'!$B:$B, 0)),
  ""
)
</f>
        <v/>
      </c>
      <c r="B7550" s="26"/>
      <c r="C7550" s="12"/>
      <c r="D7550" s="13"/>
      <c r="E7550" s="4"/>
      <c r="F7550" s="4" t="str">
        <f>IF(D7550="","", IFNA(VLOOKUP(D7550, SATCAT_DECAY!A:B, 2, FALSE), ""))
</f>
        <v/>
      </c>
      <c r="G7550" s="3"/>
    </row>
    <row r="7551" ht="22.5" hidden="1" customHeight="1">
      <c r="A7551" s="11" t="str">
        <f t="array" ref="A7551">IFERROR(
  INDEX('Starlink Launches'!$A:$A, MATCH($E7551, 'Starlink Launches'!$B:$B, 0)),
  ""
)
</f>
        <v/>
      </c>
      <c r="B7551" s="26"/>
      <c r="C7551" s="12"/>
      <c r="D7551" s="13"/>
      <c r="E7551" s="4"/>
      <c r="F7551" s="4" t="str">
        <f>IF(D7551="","", IFNA(VLOOKUP(D7551, SATCAT_DECAY!A:B, 2, FALSE), ""))
</f>
        <v/>
      </c>
      <c r="G7551" s="3"/>
    </row>
    <row r="7552" ht="22.5" hidden="1" customHeight="1">
      <c r="A7552" s="11" t="str">
        <f t="array" ref="A7552">IFERROR(
  INDEX('Starlink Launches'!$A:$A, MATCH($E7552, 'Starlink Launches'!$B:$B, 0)),
  ""
)
</f>
        <v/>
      </c>
      <c r="B7552" s="26"/>
      <c r="C7552" s="12"/>
      <c r="D7552" s="13"/>
      <c r="E7552" s="4"/>
      <c r="F7552" s="4" t="str">
        <f>IF(D7552="","", IFNA(VLOOKUP(D7552, SATCAT_DECAY!A:B, 2, FALSE), ""))
</f>
        <v/>
      </c>
      <c r="G7552" s="3"/>
    </row>
    <row r="7553" ht="22.5" hidden="1" customHeight="1">
      <c r="A7553" s="11" t="str">
        <f t="array" ref="A7553">IFERROR(
  INDEX('Starlink Launches'!$A:$A, MATCH($E7553, 'Starlink Launches'!$B:$B, 0)),
  ""
)
</f>
        <v/>
      </c>
      <c r="B7553" s="26"/>
      <c r="C7553" s="12"/>
      <c r="D7553" s="13"/>
      <c r="E7553" s="4"/>
      <c r="F7553" s="4" t="str">
        <f>IF(D7553="","", IFNA(VLOOKUP(D7553, SATCAT_DECAY!A:B, 2, FALSE), ""))
</f>
        <v/>
      </c>
      <c r="G7553" s="3"/>
    </row>
    <row r="7554" ht="22.5" hidden="1" customHeight="1">
      <c r="A7554" s="11" t="str">
        <f t="array" ref="A7554">IFERROR(
  INDEX('Starlink Launches'!$A:$A, MATCH($E7554, 'Starlink Launches'!$B:$B, 0)),
  ""
)
</f>
        <v/>
      </c>
      <c r="B7554" s="26"/>
      <c r="C7554" s="12"/>
      <c r="D7554" s="13"/>
      <c r="E7554" s="4"/>
      <c r="F7554" s="4" t="str">
        <f>IF(D7554="","", IFNA(VLOOKUP(D7554, SATCAT_DECAY!A:B, 2, FALSE), ""))
</f>
        <v/>
      </c>
      <c r="G7554" s="3"/>
    </row>
    <row r="7555" ht="22.5" hidden="1" customHeight="1">
      <c r="A7555" s="11" t="str">
        <f t="array" ref="A7555">IFERROR(
  INDEX('Starlink Launches'!$A:$A, MATCH($E7555, 'Starlink Launches'!$B:$B, 0)),
  ""
)
</f>
        <v/>
      </c>
      <c r="B7555" s="26"/>
      <c r="C7555" s="12"/>
      <c r="D7555" s="13"/>
      <c r="E7555" s="4"/>
      <c r="F7555" s="4" t="str">
        <f>IF(D7555="","", IFNA(VLOOKUP(D7555, SATCAT_DECAY!A:B, 2, FALSE), ""))
</f>
        <v/>
      </c>
      <c r="G7555" s="3"/>
    </row>
    <row r="7556" ht="22.5" hidden="1" customHeight="1">
      <c r="A7556" s="11" t="str">
        <f t="array" ref="A7556">IFERROR(
  INDEX('Starlink Launches'!$A:$A, MATCH($E7556, 'Starlink Launches'!$B:$B, 0)),
  ""
)
</f>
        <v/>
      </c>
      <c r="B7556" s="26"/>
      <c r="C7556" s="12"/>
      <c r="D7556" s="13"/>
      <c r="E7556" s="4"/>
      <c r="F7556" s="4" t="str">
        <f>IF(D7556="","", IFNA(VLOOKUP(D7556, SATCAT_DECAY!A:B, 2, FALSE), ""))
</f>
        <v/>
      </c>
      <c r="G7556" s="3"/>
    </row>
    <row r="7557" ht="22.5" hidden="1" customHeight="1">
      <c r="A7557" s="11" t="str">
        <f t="array" ref="A7557">IFERROR(
  INDEX('Starlink Launches'!$A:$A, MATCH($E7557, 'Starlink Launches'!$B:$B, 0)),
  ""
)
</f>
        <v/>
      </c>
      <c r="B7557" s="26"/>
      <c r="C7557" s="12"/>
      <c r="D7557" s="13"/>
      <c r="E7557" s="4"/>
      <c r="F7557" s="4" t="str">
        <f>IF(D7557="","", IFNA(VLOOKUP(D7557, SATCAT_DECAY!A:B, 2, FALSE), ""))
</f>
        <v/>
      </c>
      <c r="G7557" s="3"/>
    </row>
    <row r="7558" ht="22.5" hidden="1" customHeight="1">
      <c r="A7558" s="11" t="str">
        <f t="array" ref="A7558">IFERROR(
  INDEX('Starlink Launches'!$A:$A, MATCH($E7558, 'Starlink Launches'!$B:$B, 0)),
  ""
)
</f>
        <v/>
      </c>
      <c r="B7558" s="26"/>
      <c r="C7558" s="12"/>
      <c r="D7558" s="13"/>
      <c r="E7558" s="4"/>
      <c r="F7558" s="4" t="str">
        <f>IF(D7558="","", IFNA(VLOOKUP(D7558, SATCAT_DECAY!A:B, 2, FALSE), ""))
</f>
        <v/>
      </c>
      <c r="G7558" s="3"/>
    </row>
    <row r="7559" ht="22.5" hidden="1" customHeight="1">
      <c r="A7559" s="11" t="str">
        <f t="array" ref="A7559">IFERROR(
  INDEX('Starlink Launches'!$A:$A, MATCH($E7559, 'Starlink Launches'!$B:$B, 0)),
  ""
)
</f>
        <v/>
      </c>
      <c r="B7559" s="26"/>
      <c r="C7559" s="12"/>
      <c r="D7559" s="13"/>
      <c r="E7559" s="4"/>
      <c r="F7559" s="4" t="str">
        <f>IF(D7559="","", IFNA(VLOOKUP(D7559, SATCAT_DECAY!A:B, 2, FALSE), ""))
</f>
        <v/>
      </c>
      <c r="G7559" s="3"/>
    </row>
    <row r="7560" ht="22.5" hidden="1" customHeight="1">
      <c r="A7560" s="11" t="str">
        <f t="array" ref="A7560">IFERROR(
  INDEX('Starlink Launches'!$A:$A, MATCH($E7560, 'Starlink Launches'!$B:$B, 0)),
  ""
)
</f>
        <v/>
      </c>
      <c r="B7560" s="26"/>
      <c r="C7560" s="12"/>
      <c r="D7560" s="13"/>
      <c r="E7560" s="4"/>
      <c r="F7560" s="4" t="str">
        <f>IF(D7560="","", IFNA(VLOOKUP(D7560, SATCAT_DECAY!A:B, 2, FALSE), ""))
</f>
        <v/>
      </c>
      <c r="G7560" s="3"/>
    </row>
    <row r="7561" ht="22.5" hidden="1" customHeight="1">
      <c r="A7561" s="11" t="str">
        <f t="array" ref="A7561">IFERROR(
  INDEX('Starlink Launches'!$A:$A, MATCH($E7561, 'Starlink Launches'!$B:$B, 0)),
  ""
)
</f>
        <v/>
      </c>
      <c r="B7561" s="26"/>
      <c r="C7561" s="12"/>
      <c r="D7561" s="13"/>
      <c r="E7561" s="4"/>
      <c r="F7561" s="4" t="str">
        <f>IF(D7561="","", IFNA(VLOOKUP(D7561, SATCAT_DECAY!A:B, 2, FALSE), ""))
</f>
        <v/>
      </c>
      <c r="G7561" s="3"/>
    </row>
    <row r="7562" ht="22.5" hidden="1" customHeight="1">
      <c r="A7562" s="11" t="str">
        <f t="array" ref="A7562">IFERROR(
  INDEX('Starlink Launches'!$A:$A, MATCH($E7562, 'Starlink Launches'!$B:$B, 0)),
  ""
)
</f>
        <v/>
      </c>
      <c r="B7562" s="26"/>
      <c r="C7562" s="12"/>
      <c r="D7562" s="13"/>
      <c r="E7562" s="4"/>
      <c r="F7562" s="4" t="str">
        <f>IF(D7562="","", IFNA(VLOOKUP(D7562, SATCAT_DECAY!A:B, 2, FALSE), ""))
</f>
        <v/>
      </c>
      <c r="G7562" s="3"/>
    </row>
    <row r="7563" ht="22.5" hidden="1" customHeight="1">
      <c r="A7563" s="11" t="str">
        <f t="array" ref="A7563">IFERROR(
  INDEX('Starlink Launches'!$A:$A, MATCH($E7563, 'Starlink Launches'!$B:$B, 0)),
  ""
)
</f>
        <v/>
      </c>
      <c r="B7563" s="26"/>
      <c r="C7563" s="12"/>
      <c r="D7563" s="13"/>
      <c r="E7563" s="4"/>
      <c r="F7563" s="4" t="str">
        <f>IF(D7563="","", IFNA(VLOOKUP(D7563, SATCAT_DECAY!A:B, 2, FALSE), ""))
</f>
        <v/>
      </c>
      <c r="G7563" s="3"/>
    </row>
    <row r="7564" ht="22.5" hidden="1" customHeight="1">
      <c r="A7564" s="11" t="str">
        <f t="array" ref="A7564">IFERROR(
  INDEX('Starlink Launches'!$A:$A, MATCH($E7564, 'Starlink Launches'!$B:$B, 0)),
  ""
)
</f>
        <v/>
      </c>
      <c r="B7564" s="26"/>
      <c r="C7564" s="12"/>
      <c r="D7564" s="13"/>
      <c r="E7564" s="4"/>
      <c r="F7564" s="4" t="str">
        <f>IF(D7564="","", IFNA(VLOOKUP(D7564, SATCAT_DECAY!A:B, 2, FALSE), ""))
</f>
        <v/>
      </c>
      <c r="G7564" s="3"/>
    </row>
    <row r="7565" ht="22.5" hidden="1" customHeight="1">
      <c r="A7565" s="11" t="str">
        <f t="array" ref="A7565">IFERROR(
  INDEX('Starlink Launches'!$A:$A, MATCH($E7565, 'Starlink Launches'!$B:$B, 0)),
  ""
)
</f>
        <v/>
      </c>
      <c r="B7565" s="26"/>
      <c r="C7565" s="12"/>
      <c r="D7565" s="13"/>
      <c r="E7565" s="4"/>
      <c r="F7565" s="4" t="str">
        <f>IF(D7565="","", IFNA(VLOOKUP(D7565, SATCAT_DECAY!A:B, 2, FALSE), ""))
</f>
        <v/>
      </c>
      <c r="G7565" s="3"/>
    </row>
    <row r="7566" ht="22.5" hidden="1" customHeight="1">
      <c r="A7566" s="11" t="str">
        <f t="array" ref="A7566">IFERROR(
  INDEX('Starlink Launches'!$A:$A, MATCH($E7566, 'Starlink Launches'!$B:$B, 0)),
  ""
)
</f>
        <v/>
      </c>
      <c r="B7566" s="26"/>
      <c r="C7566" s="12"/>
      <c r="D7566" s="13"/>
      <c r="E7566" s="4"/>
      <c r="F7566" s="4" t="str">
        <f>IF(D7566="","", IFNA(VLOOKUP(D7566, SATCAT_DECAY!A:B, 2, FALSE), ""))
</f>
        <v/>
      </c>
      <c r="G7566" s="3"/>
    </row>
    <row r="7567" ht="22.5" hidden="1" customHeight="1">
      <c r="A7567" s="11" t="str">
        <f t="array" ref="A7567">IFERROR(
  INDEX('Starlink Launches'!$A:$A, MATCH($E7567, 'Starlink Launches'!$B:$B, 0)),
  ""
)
</f>
        <v/>
      </c>
      <c r="B7567" s="26"/>
      <c r="C7567" s="12"/>
      <c r="D7567" s="13"/>
      <c r="E7567" s="4"/>
      <c r="F7567" s="4" t="str">
        <f>IF(D7567="","", IFNA(VLOOKUP(D7567, SATCAT_DECAY!A:B, 2, FALSE), ""))
</f>
        <v/>
      </c>
      <c r="G7567" s="3"/>
    </row>
    <row r="7568" ht="22.5" hidden="1" customHeight="1">
      <c r="A7568" s="11" t="str">
        <f t="array" ref="A7568">IFERROR(
  INDEX('Starlink Launches'!$A:$A, MATCH($E7568, 'Starlink Launches'!$B:$B, 0)),
  ""
)
</f>
        <v/>
      </c>
      <c r="B7568" s="26"/>
      <c r="C7568" s="12"/>
      <c r="D7568" s="13"/>
      <c r="E7568" s="4"/>
      <c r="F7568" s="4" t="str">
        <f>IF(D7568="","", IFNA(VLOOKUP(D7568, SATCAT_DECAY!A:B, 2, FALSE), ""))
</f>
        <v/>
      </c>
      <c r="G7568" s="3"/>
    </row>
    <row r="7569" ht="22.5" hidden="1" customHeight="1">
      <c r="A7569" s="11" t="str">
        <f t="array" ref="A7569">IFERROR(
  INDEX('Starlink Launches'!$A:$A, MATCH($E7569, 'Starlink Launches'!$B:$B, 0)),
  ""
)
</f>
        <v/>
      </c>
      <c r="B7569" s="26"/>
      <c r="C7569" s="12"/>
      <c r="D7569" s="13"/>
      <c r="E7569" s="4"/>
      <c r="F7569" s="4" t="str">
        <f>IF(D7569="","", IFNA(VLOOKUP(D7569, SATCAT_DECAY!A:B, 2, FALSE), ""))
</f>
        <v/>
      </c>
      <c r="G7569" s="3"/>
    </row>
    <row r="7570" ht="22.5" hidden="1" customHeight="1">
      <c r="A7570" s="11" t="str">
        <f t="array" ref="A7570">IFERROR(
  INDEX('Starlink Launches'!$A:$A, MATCH($E7570, 'Starlink Launches'!$B:$B, 0)),
  ""
)
</f>
        <v/>
      </c>
      <c r="B7570" s="26"/>
      <c r="C7570" s="12"/>
      <c r="D7570" s="13"/>
      <c r="E7570" s="4"/>
      <c r="F7570" s="4" t="str">
        <f>IF(D7570="","", IFNA(VLOOKUP(D7570, SATCAT_DECAY!A:B, 2, FALSE), ""))
</f>
        <v/>
      </c>
      <c r="G7570" s="3"/>
    </row>
    <row r="7571" ht="22.5" hidden="1" customHeight="1">
      <c r="A7571" s="11" t="str">
        <f t="array" ref="A7571">IFERROR(
  INDEX('Starlink Launches'!$A:$A, MATCH($E7571, 'Starlink Launches'!$B:$B, 0)),
  ""
)
</f>
        <v/>
      </c>
      <c r="B7571" s="26"/>
      <c r="C7571" s="12"/>
      <c r="D7571" s="13"/>
      <c r="E7571" s="4"/>
      <c r="F7571" s="4" t="str">
        <f>IF(D7571="","", IFNA(VLOOKUP(D7571, SATCAT_DECAY!A:B, 2, FALSE), ""))
</f>
        <v/>
      </c>
      <c r="G7571" s="3"/>
    </row>
    <row r="7572" ht="22.5" hidden="1" customHeight="1">
      <c r="A7572" s="11" t="str">
        <f t="array" ref="A7572">IFERROR(
  INDEX('Starlink Launches'!$A:$A, MATCH($E7572, 'Starlink Launches'!$B:$B, 0)),
  ""
)
</f>
        <v/>
      </c>
      <c r="B7572" s="26"/>
      <c r="C7572" s="12"/>
      <c r="D7572" s="13"/>
      <c r="E7572" s="4"/>
      <c r="F7572" s="4" t="str">
        <f>IF(D7572="","", IFNA(VLOOKUP(D7572, SATCAT_DECAY!A:B, 2, FALSE), ""))
</f>
        <v/>
      </c>
      <c r="G7572" s="3"/>
    </row>
    <row r="7573" ht="22.5" hidden="1" customHeight="1">
      <c r="A7573" s="11" t="str">
        <f t="array" ref="A7573">IFERROR(
  INDEX('Starlink Launches'!$A:$A, MATCH($E7573, 'Starlink Launches'!$B:$B, 0)),
  ""
)
</f>
        <v/>
      </c>
      <c r="B7573" s="26"/>
      <c r="C7573" s="12"/>
      <c r="D7573" s="13"/>
      <c r="E7573" s="4"/>
      <c r="F7573" s="4" t="str">
        <f>IF(D7573="","", IFNA(VLOOKUP(D7573, SATCAT_DECAY!A:B, 2, FALSE), ""))
</f>
        <v/>
      </c>
      <c r="G7573" s="3"/>
    </row>
    <row r="7574" ht="22.5" hidden="1" customHeight="1">
      <c r="A7574" s="11" t="str">
        <f t="array" ref="A7574">IFERROR(
  INDEX('Starlink Launches'!$A:$A, MATCH($E7574, 'Starlink Launches'!$B:$B, 0)),
  ""
)
</f>
        <v/>
      </c>
      <c r="B7574" s="26"/>
      <c r="C7574" s="12"/>
      <c r="D7574" s="13"/>
      <c r="E7574" s="4"/>
      <c r="F7574" s="4" t="str">
        <f>IF(D7574="","", IFNA(VLOOKUP(D7574, SATCAT_DECAY!A:B, 2, FALSE), ""))
</f>
        <v/>
      </c>
      <c r="G7574" s="3"/>
    </row>
    <row r="7575" ht="22.5" hidden="1" customHeight="1">
      <c r="A7575" s="11" t="str">
        <f t="array" ref="A7575">IFERROR(
  INDEX('Starlink Launches'!$A:$A, MATCH($E7575, 'Starlink Launches'!$B:$B, 0)),
  ""
)
</f>
        <v/>
      </c>
      <c r="B7575" s="26"/>
      <c r="C7575" s="12"/>
      <c r="D7575" s="13"/>
      <c r="E7575" s="4"/>
      <c r="F7575" s="4" t="str">
        <f>IF(D7575="","", IFNA(VLOOKUP(D7575, SATCAT_DECAY!A:B, 2, FALSE), ""))
</f>
        <v/>
      </c>
      <c r="G7575" s="3"/>
    </row>
    <row r="7576" ht="22.5" hidden="1" customHeight="1">
      <c r="A7576" s="11" t="str">
        <f t="array" ref="A7576">IFERROR(
  INDEX('Starlink Launches'!$A:$A, MATCH($E7576, 'Starlink Launches'!$B:$B, 0)),
  ""
)
</f>
        <v/>
      </c>
      <c r="B7576" s="26"/>
      <c r="C7576" s="12"/>
      <c r="D7576" s="13"/>
      <c r="E7576" s="4"/>
      <c r="F7576" s="4" t="str">
        <f>IF(D7576="","", IFNA(VLOOKUP(D7576, SATCAT_DECAY!A:B, 2, FALSE), ""))
</f>
        <v/>
      </c>
      <c r="G7576" s="3"/>
    </row>
    <row r="7577" ht="22.5" hidden="1" customHeight="1">
      <c r="A7577" s="11" t="str">
        <f t="array" ref="A7577">IFERROR(
  INDEX('Starlink Launches'!$A:$A, MATCH($E7577, 'Starlink Launches'!$B:$B, 0)),
  ""
)
</f>
        <v/>
      </c>
      <c r="B7577" s="26"/>
      <c r="C7577" s="12"/>
      <c r="D7577" s="13"/>
      <c r="E7577" s="4"/>
      <c r="F7577" s="4" t="str">
        <f>IF(D7577="","", IFNA(VLOOKUP(D7577, SATCAT_DECAY!A:B, 2, FALSE), ""))
</f>
        <v/>
      </c>
      <c r="G7577" s="3"/>
    </row>
    <row r="7578" ht="22.5" hidden="1" customHeight="1">
      <c r="A7578" s="11" t="str">
        <f t="array" ref="A7578">IFERROR(
  INDEX('Starlink Launches'!$A:$A, MATCH($E7578, 'Starlink Launches'!$B:$B, 0)),
  ""
)
</f>
        <v/>
      </c>
      <c r="B7578" s="26"/>
      <c r="C7578" s="12"/>
      <c r="D7578" s="13"/>
      <c r="E7578" s="4"/>
      <c r="F7578" s="4" t="str">
        <f>IF(D7578="","", IFNA(VLOOKUP(D7578, SATCAT_DECAY!A:B, 2, FALSE), ""))
</f>
        <v/>
      </c>
      <c r="G7578" s="3"/>
    </row>
    <row r="7579" ht="22.5" hidden="1" customHeight="1">
      <c r="A7579" s="11" t="str">
        <f t="array" ref="A7579">IFERROR(
  INDEX('Starlink Launches'!$A:$A, MATCH($E7579, 'Starlink Launches'!$B:$B, 0)),
  ""
)
</f>
        <v/>
      </c>
      <c r="B7579" s="26"/>
      <c r="C7579" s="12"/>
      <c r="D7579" s="13"/>
      <c r="E7579" s="4"/>
      <c r="F7579" s="4" t="str">
        <f>IF(D7579="","", IFNA(VLOOKUP(D7579, SATCAT_DECAY!A:B, 2, FALSE), ""))
</f>
        <v/>
      </c>
      <c r="G7579" s="3"/>
    </row>
    <row r="7580" ht="22.5" hidden="1" customHeight="1">
      <c r="A7580" s="11" t="str">
        <f t="array" ref="A7580">IFERROR(
  INDEX('Starlink Launches'!$A:$A, MATCH($E7580, 'Starlink Launches'!$B:$B, 0)),
  ""
)
</f>
        <v/>
      </c>
      <c r="B7580" s="26"/>
      <c r="C7580" s="12"/>
      <c r="D7580" s="13"/>
      <c r="E7580" s="4"/>
      <c r="F7580" s="4" t="str">
        <f>IF(D7580="","", IFNA(VLOOKUP(D7580, SATCAT_DECAY!A:B, 2, FALSE), ""))
</f>
        <v/>
      </c>
      <c r="G7580" s="3"/>
    </row>
    <row r="7581" ht="22.5" hidden="1" customHeight="1">
      <c r="A7581" s="11" t="str">
        <f t="array" ref="A7581">IFERROR(
  INDEX('Starlink Launches'!$A:$A, MATCH($E7581, 'Starlink Launches'!$B:$B, 0)),
  ""
)
</f>
        <v/>
      </c>
      <c r="B7581" s="26"/>
      <c r="C7581" s="12"/>
      <c r="D7581" s="13"/>
      <c r="E7581" s="4"/>
      <c r="F7581" s="4" t="str">
        <f>IF(D7581="","", IFNA(VLOOKUP(D7581, SATCAT_DECAY!A:B, 2, FALSE), ""))
</f>
        <v/>
      </c>
      <c r="G7581" s="3"/>
    </row>
    <row r="7582" ht="22.5" hidden="1" customHeight="1">
      <c r="A7582" s="11" t="str">
        <f t="array" ref="A7582">IFERROR(
  INDEX('Starlink Launches'!$A:$A, MATCH($E7582, 'Starlink Launches'!$B:$B, 0)),
  ""
)
</f>
        <v/>
      </c>
      <c r="B7582" s="26"/>
      <c r="C7582" s="12"/>
      <c r="D7582" s="13"/>
      <c r="E7582" s="4"/>
      <c r="F7582" s="4" t="str">
        <f>IF(D7582="","", IFNA(VLOOKUP(D7582, SATCAT_DECAY!A:B, 2, FALSE), ""))
</f>
        <v/>
      </c>
      <c r="G7582" s="3"/>
    </row>
    <row r="7583" ht="22.5" hidden="1" customHeight="1">
      <c r="A7583" s="11" t="str">
        <f t="array" ref="A7583">IFERROR(
  INDEX('Starlink Launches'!$A:$A, MATCH($E7583, 'Starlink Launches'!$B:$B, 0)),
  ""
)
</f>
        <v/>
      </c>
      <c r="B7583" s="26"/>
      <c r="C7583" s="12"/>
      <c r="D7583" s="13"/>
      <c r="E7583" s="4"/>
      <c r="F7583" s="4" t="str">
        <f>IF(D7583="","", IFNA(VLOOKUP(D7583, SATCAT_DECAY!A:B, 2, FALSE), ""))
</f>
        <v/>
      </c>
      <c r="G7583" s="3"/>
    </row>
    <row r="7584" ht="22.5" hidden="1" customHeight="1">
      <c r="A7584" s="11" t="str">
        <f t="array" ref="A7584">IFERROR(
  INDEX('Starlink Launches'!$A:$A, MATCH($E7584, 'Starlink Launches'!$B:$B, 0)),
  ""
)
</f>
        <v/>
      </c>
      <c r="B7584" s="26"/>
      <c r="C7584" s="12"/>
      <c r="D7584" s="13"/>
      <c r="E7584" s="4"/>
      <c r="F7584" s="4" t="str">
        <f>IF(D7584="","", IFNA(VLOOKUP(D7584, SATCAT_DECAY!A:B, 2, FALSE), ""))
</f>
        <v/>
      </c>
      <c r="G7584" s="3"/>
    </row>
    <row r="7585" ht="22.5" hidden="1" customHeight="1">
      <c r="A7585" s="11" t="str">
        <f t="array" ref="A7585">IFERROR(
  INDEX('Starlink Launches'!$A:$A, MATCH($E7585, 'Starlink Launches'!$B:$B, 0)),
  ""
)
</f>
        <v/>
      </c>
      <c r="B7585" s="26"/>
      <c r="C7585" s="12"/>
      <c r="D7585" s="13"/>
      <c r="E7585" s="4"/>
      <c r="F7585" s="4" t="str">
        <f>IF(D7585="","", IFNA(VLOOKUP(D7585, SATCAT_DECAY!A:B, 2, FALSE), ""))
</f>
        <v/>
      </c>
      <c r="G7585" s="3"/>
    </row>
    <row r="7586" ht="22.5" hidden="1" customHeight="1">
      <c r="A7586" s="11" t="str">
        <f t="array" ref="A7586">IFERROR(
  INDEX('Starlink Launches'!$A:$A, MATCH($E7586, 'Starlink Launches'!$B:$B, 0)),
  ""
)
</f>
        <v/>
      </c>
      <c r="B7586" s="26"/>
      <c r="C7586" s="12"/>
      <c r="D7586" s="13"/>
      <c r="E7586" s="4"/>
      <c r="F7586" s="4" t="str">
        <f>IF(D7586="","", IFNA(VLOOKUP(D7586, SATCAT_DECAY!A:B, 2, FALSE), ""))
</f>
        <v/>
      </c>
      <c r="G7586" s="3"/>
    </row>
    <row r="7587" ht="22.5" hidden="1" customHeight="1">
      <c r="A7587" s="11" t="str">
        <f t="array" ref="A7587">IFERROR(
  INDEX('Starlink Launches'!$A:$A, MATCH($E7587, 'Starlink Launches'!$B:$B, 0)),
  ""
)
</f>
        <v/>
      </c>
      <c r="B7587" s="26"/>
      <c r="C7587" s="12"/>
      <c r="D7587" s="13"/>
      <c r="E7587" s="4"/>
      <c r="F7587" s="4" t="str">
        <f>IF(D7587="","", IFNA(VLOOKUP(D7587, SATCAT_DECAY!A:B, 2, FALSE), ""))
</f>
        <v/>
      </c>
      <c r="G7587" s="3"/>
    </row>
    <row r="7588" ht="22.5" hidden="1" customHeight="1">
      <c r="A7588" s="11" t="str">
        <f t="array" ref="A7588">IFERROR(
  INDEX('Starlink Launches'!$A:$A, MATCH($E7588, 'Starlink Launches'!$B:$B, 0)),
  ""
)
</f>
        <v/>
      </c>
      <c r="B7588" s="26"/>
      <c r="C7588" s="12"/>
      <c r="D7588" s="13"/>
      <c r="E7588" s="4"/>
      <c r="F7588" s="4" t="str">
        <f>IF(D7588="","", IFNA(VLOOKUP(D7588, SATCAT_DECAY!A:B, 2, FALSE), ""))
</f>
        <v/>
      </c>
      <c r="G7588" s="3"/>
    </row>
    <row r="7589" ht="22.5" hidden="1" customHeight="1">
      <c r="A7589" s="11" t="str">
        <f t="array" ref="A7589">IFERROR(
  INDEX('Starlink Launches'!$A:$A, MATCH($E7589, 'Starlink Launches'!$B:$B, 0)),
  ""
)
</f>
        <v/>
      </c>
      <c r="B7589" s="26"/>
      <c r="C7589" s="12"/>
      <c r="D7589" s="13"/>
      <c r="E7589" s="4"/>
      <c r="F7589" s="4" t="str">
        <f>IF(D7589="","", IFNA(VLOOKUP(D7589, SATCAT_DECAY!A:B, 2, FALSE), ""))
</f>
        <v/>
      </c>
      <c r="G7589" s="3"/>
    </row>
    <row r="7590" ht="22.5" hidden="1" customHeight="1">
      <c r="A7590" s="11" t="str">
        <f t="array" ref="A7590">IFERROR(
  INDEX('Starlink Launches'!$A:$A, MATCH($E7590, 'Starlink Launches'!$B:$B, 0)),
  ""
)
</f>
        <v/>
      </c>
      <c r="B7590" s="26"/>
      <c r="C7590" s="12"/>
      <c r="D7590" s="13"/>
      <c r="E7590" s="4"/>
      <c r="F7590" s="4" t="str">
        <f>IF(D7590="","", IFNA(VLOOKUP(D7590, SATCAT_DECAY!A:B, 2, FALSE), ""))
</f>
        <v/>
      </c>
      <c r="G7590" s="3"/>
    </row>
    <row r="7591" ht="22.5" hidden="1" customHeight="1">
      <c r="A7591" s="11" t="str">
        <f t="array" ref="A7591">IFERROR(
  INDEX('Starlink Launches'!$A:$A, MATCH($E7591, 'Starlink Launches'!$B:$B, 0)),
  ""
)
</f>
        <v/>
      </c>
      <c r="B7591" s="26"/>
      <c r="C7591" s="12"/>
      <c r="D7591" s="13"/>
      <c r="E7591" s="4"/>
      <c r="F7591" s="4" t="str">
        <f>IF(D7591="","", IFNA(VLOOKUP(D7591, SATCAT_DECAY!A:B, 2, FALSE), ""))
</f>
        <v/>
      </c>
      <c r="G7591" s="3"/>
    </row>
    <row r="7592" ht="22.5" hidden="1" customHeight="1">
      <c r="A7592" s="11" t="str">
        <f t="array" ref="A7592">IFERROR(
  INDEX('Starlink Launches'!$A:$A, MATCH($E7592, 'Starlink Launches'!$B:$B, 0)),
  ""
)
</f>
        <v/>
      </c>
      <c r="B7592" s="26"/>
      <c r="C7592" s="12"/>
      <c r="D7592" s="13"/>
      <c r="E7592" s="4"/>
      <c r="F7592" s="4" t="str">
        <f>IF(D7592="","", IFNA(VLOOKUP(D7592, SATCAT_DECAY!A:B, 2, FALSE), ""))
</f>
        <v/>
      </c>
      <c r="G7592" s="3"/>
    </row>
    <row r="7593" ht="22.5" hidden="1" customHeight="1">
      <c r="A7593" s="11" t="str">
        <f t="array" ref="A7593">IFERROR(
  INDEX('Starlink Launches'!$A:$A, MATCH($E7593, 'Starlink Launches'!$B:$B, 0)),
  ""
)
</f>
        <v/>
      </c>
      <c r="B7593" s="26"/>
      <c r="C7593" s="12"/>
      <c r="D7593" s="13"/>
      <c r="E7593" s="4"/>
      <c r="F7593" s="4" t="str">
        <f>IF(D7593="","", IFNA(VLOOKUP(D7593, SATCAT_DECAY!A:B, 2, FALSE), ""))
</f>
        <v/>
      </c>
      <c r="G7593" s="3"/>
    </row>
    <row r="7594" ht="22.5" hidden="1" customHeight="1">
      <c r="A7594" s="11" t="str">
        <f t="array" ref="A7594">IFERROR(
  INDEX('Starlink Launches'!$A:$A, MATCH($E7594, 'Starlink Launches'!$B:$B, 0)),
  ""
)
</f>
        <v/>
      </c>
      <c r="B7594" s="26"/>
      <c r="C7594" s="12"/>
      <c r="D7594" s="13"/>
      <c r="E7594" s="4"/>
      <c r="F7594" s="4" t="str">
        <f>IF(D7594="","", IFNA(VLOOKUP(D7594, SATCAT_DECAY!A:B, 2, FALSE), ""))
</f>
        <v/>
      </c>
      <c r="G7594" s="3"/>
    </row>
    <row r="7595" ht="22.5" hidden="1" customHeight="1">
      <c r="A7595" s="11" t="str">
        <f t="array" ref="A7595">IFERROR(
  INDEX('Starlink Launches'!$A:$A, MATCH($E7595, 'Starlink Launches'!$B:$B, 0)),
  ""
)
</f>
        <v/>
      </c>
      <c r="B7595" s="26"/>
      <c r="C7595" s="12"/>
      <c r="D7595" s="13"/>
      <c r="E7595" s="4"/>
      <c r="F7595" s="4" t="str">
        <f>IF(D7595="","", IFNA(VLOOKUP(D7595, SATCAT_DECAY!A:B, 2, FALSE), ""))
</f>
        <v/>
      </c>
      <c r="G7595" s="3"/>
    </row>
    <row r="7596" ht="22.5" hidden="1" customHeight="1">
      <c r="A7596" s="11" t="str">
        <f t="array" ref="A7596">IFERROR(
  INDEX('Starlink Launches'!$A:$A, MATCH($E7596, 'Starlink Launches'!$B:$B, 0)),
  ""
)
</f>
        <v/>
      </c>
      <c r="B7596" s="26"/>
      <c r="C7596" s="12"/>
      <c r="D7596" s="13"/>
      <c r="E7596" s="4"/>
      <c r="F7596" s="4" t="str">
        <f>IF(D7596="","", IFNA(VLOOKUP(D7596, SATCAT_DECAY!A:B, 2, FALSE), ""))
</f>
        <v/>
      </c>
      <c r="G7596" s="3"/>
    </row>
    <row r="7597" ht="22.5" hidden="1" customHeight="1">
      <c r="A7597" s="11" t="str">
        <f t="array" ref="A7597">IFERROR(
  INDEX('Starlink Launches'!$A:$A, MATCH($E7597, 'Starlink Launches'!$B:$B, 0)),
  ""
)
</f>
        <v/>
      </c>
      <c r="B7597" s="26"/>
      <c r="C7597" s="12"/>
      <c r="D7597" s="13"/>
      <c r="E7597" s="4"/>
      <c r="F7597" s="4" t="str">
        <f>IF(D7597="","", IFNA(VLOOKUP(D7597, SATCAT_DECAY!A:B, 2, FALSE), ""))
</f>
        <v/>
      </c>
      <c r="G7597" s="3"/>
    </row>
    <row r="7598" ht="22.5" hidden="1" customHeight="1">
      <c r="A7598" s="11" t="str">
        <f t="array" ref="A7598">IFERROR(
  INDEX('Starlink Launches'!$A:$A, MATCH($E7598, 'Starlink Launches'!$B:$B, 0)),
  ""
)
</f>
        <v/>
      </c>
      <c r="B7598" s="26"/>
      <c r="C7598" s="12"/>
      <c r="D7598" s="13"/>
      <c r="E7598" s="4"/>
      <c r="F7598" s="4" t="str">
        <f>IF(D7598="","", IFNA(VLOOKUP(D7598, SATCAT_DECAY!A:B, 2, FALSE), ""))
</f>
        <v/>
      </c>
      <c r="G7598" s="3"/>
    </row>
    <row r="7599" ht="22.5" hidden="1" customHeight="1">
      <c r="A7599" s="11" t="str">
        <f t="array" ref="A7599">IFERROR(
  INDEX('Starlink Launches'!$A:$A, MATCH($E7599, 'Starlink Launches'!$B:$B, 0)),
  ""
)
</f>
        <v/>
      </c>
      <c r="B7599" s="26"/>
      <c r="C7599" s="12"/>
      <c r="D7599" s="13"/>
      <c r="E7599" s="4"/>
      <c r="F7599" s="4" t="str">
        <f>IF(D7599="","", IFNA(VLOOKUP(D7599, SATCAT_DECAY!A:B, 2, FALSE), ""))
</f>
        <v/>
      </c>
      <c r="G7599" s="3"/>
    </row>
    <row r="7600" ht="22.5" hidden="1" customHeight="1">
      <c r="A7600" s="11" t="str">
        <f t="array" ref="A7600">IFERROR(
  INDEX('Starlink Launches'!$A:$A, MATCH($E7600, 'Starlink Launches'!$B:$B, 0)),
  ""
)
</f>
        <v/>
      </c>
      <c r="B7600" s="26"/>
      <c r="C7600" s="12"/>
      <c r="D7600" s="13"/>
      <c r="E7600" s="4"/>
      <c r="F7600" s="4" t="str">
        <f>IF(D7600="","", IFNA(VLOOKUP(D7600, SATCAT_DECAY!A:B, 2, FALSE), ""))
</f>
        <v/>
      </c>
      <c r="G7600" s="3"/>
    </row>
    <row r="7601" ht="22.5" hidden="1" customHeight="1">
      <c r="A7601" s="11" t="str">
        <f t="array" ref="A7601">IFERROR(
  INDEX('Starlink Launches'!$A:$A, MATCH($E7601, 'Starlink Launches'!$B:$B, 0)),
  ""
)
</f>
        <v/>
      </c>
      <c r="B7601" s="26"/>
      <c r="C7601" s="12"/>
      <c r="D7601" s="13"/>
      <c r="E7601" s="4"/>
      <c r="F7601" s="4" t="str">
        <f>IF(D7601="","", IFNA(VLOOKUP(D7601, SATCAT_DECAY!A:B, 2, FALSE), ""))
</f>
        <v/>
      </c>
      <c r="G7601" s="3"/>
    </row>
    <row r="7602" ht="22.5" hidden="1" customHeight="1">
      <c r="A7602" s="11" t="str">
        <f t="array" ref="A7602">IFERROR(
  INDEX('Starlink Launches'!$A:$A, MATCH($E7602, 'Starlink Launches'!$B:$B, 0)),
  ""
)
</f>
        <v/>
      </c>
      <c r="B7602" s="26"/>
      <c r="C7602" s="12"/>
      <c r="D7602" s="13"/>
      <c r="E7602" s="4"/>
      <c r="F7602" s="4" t="str">
        <f>IF(D7602="","", IFNA(VLOOKUP(D7602, SATCAT_DECAY!A:B, 2, FALSE), ""))
</f>
        <v/>
      </c>
      <c r="G7602" s="3"/>
    </row>
    <row r="7603" ht="22.5" hidden="1" customHeight="1">
      <c r="A7603" s="11" t="str">
        <f t="array" ref="A7603">IFERROR(
  INDEX('Starlink Launches'!$A:$A, MATCH($E7603, 'Starlink Launches'!$B:$B, 0)),
  ""
)
</f>
        <v/>
      </c>
      <c r="B7603" s="26"/>
      <c r="C7603" s="12"/>
      <c r="D7603" s="13"/>
      <c r="E7603" s="4"/>
      <c r="F7603" s="4" t="str">
        <f>IF(D7603="","", IFNA(VLOOKUP(D7603, SATCAT_DECAY!A:B, 2, FALSE), ""))
</f>
        <v/>
      </c>
      <c r="G7603" s="3"/>
    </row>
    <row r="7604" ht="22.5" hidden="1" customHeight="1">
      <c r="A7604" s="11" t="str">
        <f t="array" ref="A7604">IFERROR(
  INDEX('Starlink Launches'!$A:$A, MATCH($E7604, 'Starlink Launches'!$B:$B, 0)),
  ""
)
</f>
        <v/>
      </c>
      <c r="B7604" s="26"/>
      <c r="C7604" s="12"/>
      <c r="D7604" s="13"/>
      <c r="E7604" s="4"/>
      <c r="F7604" s="4" t="str">
        <f>IF(D7604="","", IFNA(VLOOKUP(D7604, SATCAT_DECAY!A:B, 2, FALSE), ""))
</f>
        <v/>
      </c>
      <c r="G7604" s="3"/>
    </row>
    <row r="7605" ht="22.5" hidden="1" customHeight="1">
      <c r="A7605" s="11" t="str">
        <f t="array" ref="A7605">IFERROR(
  INDEX('Starlink Launches'!$A:$A, MATCH($E7605, 'Starlink Launches'!$B:$B, 0)),
  ""
)
</f>
        <v/>
      </c>
      <c r="B7605" s="26"/>
      <c r="C7605" s="12"/>
      <c r="D7605" s="13"/>
      <c r="E7605" s="4"/>
      <c r="F7605" s="4" t="str">
        <f>IF(D7605="","", IFNA(VLOOKUP(D7605, SATCAT_DECAY!A:B, 2, FALSE), ""))
</f>
        <v/>
      </c>
      <c r="G7605" s="3"/>
    </row>
    <row r="7606" ht="22.5" hidden="1" customHeight="1">
      <c r="A7606" s="11" t="str">
        <f t="array" ref="A7606">IFERROR(
  INDEX('Starlink Launches'!$A:$A, MATCH($E7606, 'Starlink Launches'!$B:$B, 0)),
  ""
)
</f>
        <v/>
      </c>
      <c r="B7606" s="26"/>
      <c r="C7606" s="12"/>
      <c r="D7606" s="13"/>
      <c r="E7606" s="4"/>
      <c r="F7606" s="4" t="str">
        <f>IF(D7606="","", IFNA(VLOOKUP(D7606, SATCAT_DECAY!A:B, 2, FALSE), ""))
</f>
        <v/>
      </c>
      <c r="G7606" s="3"/>
    </row>
    <row r="7607" ht="22.5" hidden="1" customHeight="1">
      <c r="A7607" s="11" t="str">
        <f t="array" ref="A7607">IFERROR(
  INDEX('Starlink Launches'!$A:$A, MATCH($E7607, 'Starlink Launches'!$B:$B, 0)),
  ""
)
</f>
        <v/>
      </c>
      <c r="B7607" s="26"/>
      <c r="C7607" s="12"/>
      <c r="D7607" s="13"/>
      <c r="E7607" s="4"/>
      <c r="F7607" s="4" t="str">
        <f>IF(D7607="","", IFNA(VLOOKUP(D7607, SATCAT_DECAY!A:B, 2, FALSE), ""))
</f>
        <v/>
      </c>
      <c r="G7607" s="3"/>
    </row>
    <row r="7608" ht="22.5" hidden="1" customHeight="1">
      <c r="A7608" s="11" t="str">
        <f t="array" ref="A7608">IFERROR(
  INDEX('Starlink Launches'!$A:$A, MATCH($E7608, 'Starlink Launches'!$B:$B, 0)),
  ""
)
</f>
        <v/>
      </c>
      <c r="B7608" s="26"/>
      <c r="C7608" s="12"/>
      <c r="D7608" s="13"/>
      <c r="E7608" s="4"/>
      <c r="F7608" s="4" t="str">
        <f>IF(D7608="","", IFNA(VLOOKUP(D7608, SATCAT_DECAY!A:B, 2, FALSE), ""))
</f>
        <v/>
      </c>
      <c r="G7608" s="3"/>
    </row>
    <row r="7609" ht="22.5" hidden="1" customHeight="1">
      <c r="A7609" s="11" t="str">
        <f t="array" ref="A7609">IFERROR(
  INDEX('Starlink Launches'!$A:$A, MATCH($E7609, 'Starlink Launches'!$B:$B, 0)),
  ""
)
</f>
        <v/>
      </c>
      <c r="B7609" s="26"/>
      <c r="C7609" s="12"/>
      <c r="D7609" s="13"/>
      <c r="E7609" s="4"/>
      <c r="F7609" s="4" t="str">
        <f>IF(D7609="","", IFNA(VLOOKUP(D7609, SATCAT_DECAY!A:B, 2, FALSE), ""))
</f>
        <v/>
      </c>
      <c r="G7609" s="3"/>
    </row>
    <row r="7610" ht="22.5" hidden="1" customHeight="1">
      <c r="A7610" s="11" t="str">
        <f t="array" ref="A7610">IFERROR(
  INDEX('Starlink Launches'!$A:$A, MATCH($E7610, 'Starlink Launches'!$B:$B, 0)),
  ""
)
</f>
        <v/>
      </c>
      <c r="B7610" s="26"/>
      <c r="C7610" s="12"/>
      <c r="D7610" s="13"/>
      <c r="E7610" s="4"/>
      <c r="F7610" s="4" t="str">
        <f>IF(D7610="","", IFNA(VLOOKUP(D7610, SATCAT_DECAY!A:B, 2, FALSE), ""))
</f>
        <v/>
      </c>
      <c r="G7610" s="3"/>
    </row>
    <row r="7611" ht="22.5" hidden="1" customHeight="1">
      <c r="A7611" s="11" t="str">
        <f t="array" ref="A7611">IFERROR(
  INDEX('Starlink Launches'!$A:$A, MATCH($E7611, 'Starlink Launches'!$B:$B, 0)),
  ""
)
</f>
        <v/>
      </c>
      <c r="B7611" s="26"/>
      <c r="C7611" s="12"/>
      <c r="D7611" s="13"/>
      <c r="E7611" s="4"/>
      <c r="F7611" s="4" t="str">
        <f>IF(D7611="","", IFNA(VLOOKUP(D7611, SATCAT_DECAY!A:B, 2, FALSE), ""))
</f>
        <v/>
      </c>
      <c r="G7611" s="3"/>
    </row>
    <row r="7612" ht="22.5" hidden="1" customHeight="1">
      <c r="A7612" s="11" t="str">
        <f t="array" ref="A7612">IFERROR(
  INDEX('Starlink Launches'!$A:$A, MATCH($E7612, 'Starlink Launches'!$B:$B, 0)),
  ""
)
</f>
        <v/>
      </c>
      <c r="B7612" s="26"/>
      <c r="C7612" s="12"/>
      <c r="D7612" s="13"/>
      <c r="E7612" s="4"/>
      <c r="F7612" s="4" t="str">
        <f>IF(D7612="","", IFNA(VLOOKUP(D7612, SATCAT_DECAY!A:B, 2, FALSE), ""))
</f>
        <v/>
      </c>
      <c r="G7612" s="3"/>
    </row>
    <row r="7613" ht="22.5" hidden="1" customHeight="1">
      <c r="A7613" s="11" t="str">
        <f t="array" ref="A7613">IFERROR(
  INDEX('Starlink Launches'!$A:$A, MATCH($E7613, 'Starlink Launches'!$B:$B, 0)),
  ""
)
</f>
        <v/>
      </c>
      <c r="B7613" s="26"/>
      <c r="C7613" s="12"/>
      <c r="D7613" s="13"/>
      <c r="E7613" s="4"/>
      <c r="F7613" s="4" t="str">
        <f>IF(D7613="","", IFNA(VLOOKUP(D7613, SATCAT_DECAY!A:B, 2, FALSE), ""))
</f>
        <v/>
      </c>
      <c r="G7613" s="3"/>
    </row>
    <row r="7614" ht="22.5" hidden="1" customHeight="1">
      <c r="A7614" s="11" t="str">
        <f t="array" ref="A7614">IFERROR(
  INDEX('Starlink Launches'!$A:$A, MATCH($E7614, 'Starlink Launches'!$B:$B, 0)),
  ""
)
</f>
        <v/>
      </c>
      <c r="B7614" s="26"/>
      <c r="C7614" s="12"/>
      <c r="D7614" s="13"/>
      <c r="E7614" s="4"/>
      <c r="F7614" s="4" t="str">
        <f>IF(D7614="","", IFNA(VLOOKUP(D7614, SATCAT_DECAY!A:B, 2, FALSE), ""))
</f>
        <v/>
      </c>
      <c r="G7614" s="3"/>
    </row>
    <row r="7615" ht="22.5" hidden="1" customHeight="1">
      <c r="A7615" s="11" t="str">
        <f t="array" ref="A7615">IFERROR(
  INDEX('Starlink Launches'!$A:$A, MATCH($E7615, 'Starlink Launches'!$B:$B, 0)),
  ""
)
</f>
        <v/>
      </c>
      <c r="B7615" s="26"/>
      <c r="C7615" s="12"/>
      <c r="D7615" s="13"/>
      <c r="E7615" s="4"/>
      <c r="F7615" s="4" t="str">
        <f>IF(D7615="","", IFNA(VLOOKUP(D7615, SATCAT_DECAY!A:B, 2, FALSE), ""))
</f>
        <v/>
      </c>
      <c r="G7615" s="3"/>
    </row>
    <row r="7616" ht="22.5" hidden="1" customHeight="1">
      <c r="A7616" s="11" t="str">
        <f t="array" ref="A7616">IFERROR(
  INDEX('Starlink Launches'!$A:$A, MATCH($E7616, 'Starlink Launches'!$B:$B, 0)),
  ""
)
</f>
        <v/>
      </c>
      <c r="B7616" s="26"/>
      <c r="C7616" s="12"/>
      <c r="D7616" s="13"/>
      <c r="E7616" s="4"/>
      <c r="F7616" s="4" t="str">
        <f>IF(D7616="","", IFNA(VLOOKUP(D7616, SATCAT_DECAY!A:B, 2, FALSE), ""))
</f>
        <v/>
      </c>
      <c r="G7616" s="3"/>
    </row>
    <row r="7617" ht="22.5" hidden="1" customHeight="1">
      <c r="A7617" s="11" t="str">
        <f t="array" ref="A7617">IFERROR(
  INDEX('Starlink Launches'!$A:$A, MATCH($E7617, 'Starlink Launches'!$B:$B, 0)),
  ""
)
</f>
        <v/>
      </c>
      <c r="B7617" s="26"/>
      <c r="C7617" s="12"/>
      <c r="D7617" s="13"/>
      <c r="E7617" s="4"/>
      <c r="F7617" s="4" t="str">
        <f>IF(D7617="","", IFNA(VLOOKUP(D7617, SATCAT_DECAY!A:B, 2, FALSE), ""))
</f>
        <v/>
      </c>
      <c r="G7617" s="3"/>
    </row>
    <row r="7618" ht="22.5" hidden="1" customHeight="1">
      <c r="A7618" s="11" t="str">
        <f t="array" ref="A7618">IFERROR(
  INDEX('Starlink Launches'!$A:$A, MATCH($E7618, 'Starlink Launches'!$B:$B, 0)),
  ""
)
</f>
        <v/>
      </c>
      <c r="B7618" s="26"/>
      <c r="C7618" s="12"/>
      <c r="D7618" s="13"/>
      <c r="E7618" s="4"/>
      <c r="F7618" s="4" t="str">
        <f>IF(D7618="","", IFNA(VLOOKUP(D7618, SATCAT_DECAY!A:B, 2, FALSE), ""))
</f>
        <v/>
      </c>
      <c r="G7618" s="3"/>
    </row>
    <row r="7619" ht="22.5" hidden="1" customHeight="1">
      <c r="A7619" s="11" t="str">
        <f t="array" ref="A7619">IFERROR(
  INDEX('Starlink Launches'!$A:$A, MATCH($E7619, 'Starlink Launches'!$B:$B, 0)),
  ""
)
</f>
        <v/>
      </c>
      <c r="B7619" s="26"/>
      <c r="C7619" s="12"/>
      <c r="D7619" s="13"/>
      <c r="E7619" s="4"/>
      <c r="F7619" s="4" t="str">
        <f>IF(D7619="","", IFNA(VLOOKUP(D7619, SATCAT_DECAY!A:B, 2, FALSE), ""))
</f>
        <v/>
      </c>
      <c r="G7619" s="3"/>
    </row>
    <row r="7620" ht="22.5" hidden="1" customHeight="1">
      <c r="A7620" s="11" t="str">
        <f t="array" ref="A7620">IFERROR(
  INDEX('Starlink Launches'!$A:$A, MATCH($E7620, 'Starlink Launches'!$B:$B, 0)),
  ""
)
</f>
        <v/>
      </c>
      <c r="B7620" s="26"/>
      <c r="C7620" s="12"/>
      <c r="D7620" s="13"/>
      <c r="E7620" s="4"/>
      <c r="F7620" s="4" t="str">
        <f>IF(D7620="","", IFNA(VLOOKUP(D7620, SATCAT_DECAY!A:B, 2, FALSE), ""))
</f>
        <v/>
      </c>
      <c r="G7620" s="3"/>
    </row>
    <row r="7621" ht="22.5" hidden="1" customHeight="1">
      <c r="A7621" s="11" t="str">
        <f t="array" ref="A7621">IFERROR(
  INDEX('Starlink Launches'!$A:$A, MATCH($E7621, 'Starlink Launches'!$B:$B, 0)),
  ""
)
</f>
        <v/>
      </c>
      <c r="B7621" s="26"/>
      <c r="C7621" s="12"/>
      <c r="D7621" s="13"/>
      <c r="E7621" s="4"/>
      <c r="F7621" s="4" t="str">
        <f>IF(D7621="","", IFNA(VLOOKUP(D7621, SATCAT_DECAY!A:B, 2, FALSE), ""))
</f>
        <v/>
      </c>
      <c r="G7621" s="3"/>
    </row>
    <row r="7622" ht="22.5" hidden="1" customHeight="1">
      <c r="A7622" s="11" t="str">
        <f t="array" ref="A7622">IFERROR(
  INDEX('Starlink Launches'!$A:$A, MATCH($E7622, 'Starlink Launches'!$B:$B, 0)),
  ""
)
</f>
        <v/>
      </c>
      <c r="B7622" s="26"/>
      <c r="C7622" s="12"/>
      <c r="D7622" s="13"/>
      <c r="E7622" s="4"/>
      <c r="F7622" s="4" t="str">
        <f>IF(D7622="","", IFNA(VLOOKUP(D7622, SATCAT_DECAY!A:B, 2, FALSE), ""))
</f>
        <v/>
      </c>
      <c r="G7622" s="3"/>
    </row>
    <row r="7623" ht="22.5" hidden="1" customHeight="1">
      <c r="A7623" s="11" t="str">
        <f t="array" ref="A7623">IFERROR(
  INDEX('Starlink Launches'!$A:$A, MATCH($E7623, 'Starlink Launches'!$B:$B, 0)),
  ""
)
</f>
        <v/>
      </c>
      <c r="B7623" s="26"/>
      <c r="C7623" s="12"/>
      <c r="D7623" s="13"/>
      <c r="E7623" s="4"/>
      <c r="F7623" s="4" t="str">
        <f>IF(D7623="","", IFNA(VLOOKUP(D7623, SATCAT_DECAY!A:B, 2, FALSE), ""))
</f>
        <v/>
      </c>
      <c r="G7623" s="3"/>
    </row>
    <row r="7624" ht="22.5" hidden="1" customHeight="1">
      <c r="A7624" s="11" t="str">
        <f t="array" ref="A7624">IFERROR(
  INDEX('Starlink Launches'!$A:$A, MATCH($E7624, 'Starlink Launches'!$B:$B, 0)),
  ""
)
</f>
        <v/>
      </c>
      <c r="B7624" s="26"/>
      <c r="C7624" s="12"/>
      <c r="D7624" s="13"/>
      <c r="E7624" s="4"/>
      <c r="F7624" s="4" t="str">
        <f>IF(D7624="","", IFNA(VLOOKUP(D7624, SATCAT_DECAY!A:B, 2, FALSE), ""))
</f>
        <v/>
      </c>
      <c r="G7624" s="3"/>
    </row>
    <row r="7625" ht="22.5" hidden="1" customHeight="1">
      <c r="A7625" s="11" t="str">
        <f t="array" ref="A7625">IFERROR(
  INDEX('Starlink Launches'!$A:$A, MATCH($E7625, 'Starlink Launches'!$B:$B, 0)),
  ""
)
</f>
        <v/>
      </c>
      <c r="B7625" s="26"/>
      <c r="C7625" s="12"/>
      <c r="D7625" s="13"/>
      <c r="E7625" s="4"/>
      <c r="F7625" s="4" t="str">
        <f>IF(D7625="","", IFNA(VLOOKUP(D7625, SATCAT_DECAY!A:B, 2, FALSE), ""))
</f>
        <v/>
      </c>
      <c r="G7625" s="3"/>
    </row>
    <row r="7626" ht="22.5" hidden="1" customHeight="1">
      <c r="A7626" s="11" t="str">
        <f t="array" ref="A7626">IFERROR(
  INDEX('Starlink Launches'!$A:$A, MATCH($E7626, 'Starlink Launches'!$B:$B, 0)),
  ""
)
</f>
        <v/>
      </c>
      <c r="B7626" s="26"/>
      <c r="C7626" s="12"/>
      <c r="D7626" s="13"/>
      <c r="E7626" s="4"/>
      <c r="F7626" s="4" t="str">
        <f>IF(D7626="","", IFNA(VLOOKUP(D7626, SATCAT_DECAY!A:B, 2, FALSE), ""))
</f>
        <v/>
      </c>
      <c r="G7626" s="3"/>
    </row>
    <row r="7627" ht="22.5" hidden="1" customHeight="1">
      <c r="A7627" s="11" t="str">
        <f t="array" ref="A7627">IFERROR(
  INDEX('Starlink Launches'!$A:$A, MATCH($E7627, 'Starlink Launches'!$B:$B, 0)),
  ""
)
</f>
        <v/>
      </c>
      <c r="B7627" s="26"/>
      <c r="C7627" s="12"/>
      <c r="D7627" s="13"/>
      <c r="E7627" s="4"/>
      <c r="F7627" s="4" t="str">
        <f>IF(D7627="","", IFNA(VLOOKUP(D7627, SATCAT_DECAY!A:B, 2, FALSE), ""))
</f>
        <v/>
      </c>
      <c r="G7627" s="3"/>
    </row>
    <row r="7628" ht="22.5" hidden="1" customHeight="1">
      <c r="A7628" s="11" t="str">
        <f t="array" ref="A7628">IFERROR(
  INDEX('Starlink Launches'!$A:$A, MATCH($E7628, 'Starlink Launches'!$B:$B, 0)),
  ""
)
</f>
        <v/>
      </c>
      <c r="B7628" s="26"/>
      <c r="C7628" s="12"/>
      <c r="D7628" s="13"/>
      <c r="E7628" s="4"/>
      <c r="F7628" s="4" t="str">
        <f>IF(D7628="","", IFNA(VLOOKUP(D7628, SATCAT_DECAY!A:B, 2, FALSE), ""))
</f>
        <v/>
      </c>
      <c r="G7628" s="3"/>
    </row>
    <row r="7629" ht="22.5" hidden="1" customHeight="1">
      <c r="A7629" s="11" t="str">
        <f t="array" ref="A7629">IFERROR(
  INDEX('Starlink Launches'!$A:$A, MATCH($E7629, 'Starlink Launches'!$B:$B, 0)),
  ""
)
</f>
        <v/>
      </c>
      <c r="B7629" s="26"/>
      <c r="C7629" s="12"/>
      <c r="D7629" s="13"/>
      <c r="E7629" s="4"/>
      <c r="F7629" s="4" t="str">
        <f>IF(D7629="","", IFNA(VLOOKUP(D7629, SATCAT_DECAY!A:B, 2, FALSE), ""))
</f>
        <v/>
      </c>
      <c r="G7629" s="3"/>
    </row>
    <row r="7630" ht="22.5" hidden="1" customHeight="1">
      <c r="A7630" s="11" t="str">
        <f t="array" ref="A7630">IFERROR(
  INDEX('Starlink Launches'!$A:$A, MATCH($E7630, 'Starlink Launches'!$B:$B, 0)),
  ""
)
</f>
        <v/>
      </c>
      <c r="B7630" s="26"/>
      <c r="C7630" s="12"/>
      <c r="D7630" s="13"/>
      <c r="E7630" s="4"/>
      <c r="F7630" s="4" t="str">
        <f>IF(D7630="","", IFNA(VLOOKUP(D7630, SATCAT_DECAY!A:B, 2, FALSE), ""))
</f>
        <v/>
      </c>
      <c r="G7630" s="3"/>
    </row>
    <row r="7631" ht="22.5" hidden="1" customHeight="1">
      <c r="A7631" s="11" t="str">
        <f t="array" ref="A7631">IFERROR(
  INDEX('Starlink Launches'!$A:$A, MATCH($E7631, 'Starlink Launches'!$B:$B, 0)),
  ""
)
</f>
        <v/>
      </c>
      <c r="B7631" s="26"/>
      <c r="C7631" s="12"/>
      <c r="D7631" s="13"/>
      <c r="E7631" s="4"/>
      <c r="F7631" s="4" t="str">
        <f>IF(D7631="","", IFNA(VLOOKUP(D7631, SATCAT_DECAY!A:B, 2, FALSE), ""))
</f>
        <v/>
      </c>
      <c r="G7631" s="3"/>
    </row>
    <row r="7632" ht="22.5" hidden="1" customHeight="1">
      <c r="A7632" s="11" t="str">
        <f t="array" ref="A7632">IFERROR(
  INDEX('Starlink Launches'!$A:$A, MATCH($E7632, 'Starlink Launches'!$B:$B, 0)),
  ""
)
</f>
        <v/>
      </c>
      <c r="B7632" s="26"/>
      <c r="C7632" s="12"/>
      <c r="D7632" s="13"/>
      <c r="E7632" s="4"/>
      <c r="F7632" s="4" t="str">
        <f>IF(D7632="","", IFNA(VLOOKUP(D7632, SATCAT_DECAY!A:B, 2, FALSE), ""))
</f>
        <v/>
      </c>
      <c r="G7632" s="3"/>
    </row>
    <row r="7633" ht="22.5" hidden="1" customHeight="1">
      <c r="A7633" s="11" t="str">
        <f t="array" ref="A7633">IFERROR(
  INDEX('Starlink Launches'!$A:$A, MATCH($E7633, 'Starlink Launches'!$B:$B, 0)),
  ""
)
</f>
        <v/>
      </c>
      <c r="B7633" s="26"/>
      <c r="C7633" s="12"/>
      <c r="D7633" s="13"/>
      <c r="E7633" s="4"/>
      <c r="F7633" s="4" t="str">
        <f>IF(D7633="","", IFNA(VLOOKUP(D7633, SATCAT_DECAY!A:B, 2, FALSE), ""))
</f>
        <v/>
      </c>
      <c r="G7633" s="3"/>
    </row>
    <row r="7634" ht="22.5" hidden="1" customHeight="1">
      <c r="A7634" s="11" t="str">
        <f t="array" ref="A7634">IFERROR(
  INDEX('Starlink Launches'!$A:$A, MATCH($E7634, 'Starlink Launches'!$B:$B, 0)),
  ""
)
</f>
        <v/>
      </c>
      <c r="B7634" s="26"/>
      <c r="C7634" s="12"/>
      <c r="D7634" s="13"/>
      <c r="E7634" s="4"/>
      <c r="F7634" s="4" t="str">
        <f>IF(D7634="","", IFNA(VLOOKUP(D7634, SATCAT_DECAY!A:B, 2, FALSE), ""))
</f>
        <v/>
      </c>
      <c r="G7634" s="3"/>
    </row>
    <row r="7635" ht="22.5" hidden="1" customHeight="1">
      <c r="A7635" s="11" t="str">
        <f t="array" ref="A7635">IFERROR(
  INDEX('Starlink Launches'!$A:$A, MATCH($E7635, 'Starlink Launches'!$B:$B, 0)),
  ""
)
</f>
        <v/>
      </c>
      <c r="B7635" s="26"/>
      <c r="C7635" s="12"/>
      <c r="D7635" s="13"/>
      <c r="E7635" s="4"/>
      <c r="F7635" s="4" t="str">
        <f>IF(D7635="","", IFNA(VLOOKUP(D7635, SATCAT_DECAY!A:B, 2, FALSE), ""))
</f>
        <v/>
      </c>
      <c r="G7635" s="3"/>
    </row>
    <row r="7636" ht="22.5" hidden="1" customHeight="1">
      <c r="A7636" s="11" t="str">
        <f t="array" ref="A7636">IFERROR(
  INDEX('Starlink Launches'!$A:$A, MATCH($E7636, 'Starlink Launches'!$B:$B, 0)),
  ""
)
</f>
        <v/>
      </c>
      <c r="B7636" s="26"/>
      <c r="C7636" s="12"/>
      <c r="D7636" s="13"/>
      <c r="E7636" s="4"/>
      <c r="F7636" s="4" t="str">
        <f>IF(D7636="","", IFNA(VLOOKUP(D7636, SATCAT_DECAY!A:B, 2, FALSE), ""))
</f>
        <v/>
      </c>
      <c r="G7636" s="3"/>
    </row>
    <row r="7637" ht="22.5" hidden="1" customHeight="1">
      <c r="A7637" s="11" t="str">
        <f t="array" ref="A7637">IFERROR(
  INDEX('Starlink Launches'!$A:$A, MATCH($E7637, 'Starlink Launches'!$B:$B, 0)),
  ""
)
</f>
        <v/>
      </c>
      <c r="B7637" s="26"/>
      <c r="C7637" s="12"/>
      <c r="D7637" s="13"/>
      <c r="E7637" s="4"/>
      <c r="F7637" s="4" t="str">
        <f>IF(D7637="","", IFNA(VLOOKUP(D7637, SATCAT_DECAY!A:B, 2, FALSE), ""))
</f>
        <v/>
      </c>
      <c r="G7637" s="3"/>
    </row>
    <row r="7638" ht="22.5" hidden="1" customHeight="1">
      <c r="A7638" s="11" t="str">
        <f t="array" ref="A7638">IFERROR(
  INDEX('Starlink Launches'!$A:$A, MATCH($E7638, 'Starlink Launches'!$B:$B, 0)),
  ""
)
</f>
        <v/>
      </c>
      <c r="B7638" s="26"/>
      <c r="C7638" s="12"/>
      <c r="D7638" s="13"/>
      <c r="E7638" s="4"/>
      <c r="F7638" s="4" t="str">
        <f>IF(D7638="","", IFNA(VLOOKUP(D7638, SATCAT_DECAY!A:B, 2, FALSE), ""))
</f>
        <v/>
      </c>
      <c r="G7638" s="3"/>
    </row>
    <row r="7639" ht="22.5" hidden="1" customHeight="1">
      <c r="A7639" s="11" t="str">
        <f t="array" ref="A7639">IFERROR(
  INDEX('Starlink Launches'!$A:$A, MATCH($E7639, 'Starlink Launches'!$B:$B, 0)),
  ""
)
</f>
        <v/>
      </c>
      <c r="B7639" s="26"/>
      <c r="C7639" s="12"/>
      <c r="D7639" s="13"/>
      <c r="E7639" s="4"/>
      <c r="F7639" s="4" t="str">
        <f>IF(D7639="","", IFNA(VLOOKUP(D7639, SATCAT_DECAY!A:B, 2, FALSE), ""))
</f>
        <v/>
      </c>
      <c r="G7639" s="3"/>
    </row>
    <row r="7640" ht="22.5" hidden="1" customHeight="1">
      <c r="A7640" s="11" t="str">
        <f t="array" ref="A7640">IFERROR(
  INDEX('Starlink Launches'!$A:$A, MATCH($E7640, 'Starlink Launches'!$B:$B, 0)),
  ""
)
</f>
        <v/>
      </c>
      <c r="B7640" s="26"/>
      <c r="C7640" s="12"/>
      <c r="D7640" s="13"/>
      <c r="E7640" s="4"/>
      <c r="F7640" s="4" t="str">
        <f>IF(D7640="","", IFNA(VLOOKUP(D7640, SATCAT_DECAY!A:B, 2, FALSE), ""))
</f>
        <v/>
      </c>
      <c r="G7640" s="3"/>
    </row>
    <row r="7641" ht="22.5" hidden="1" customHeight="1">
      <c r="A7641" s="11" t="str">
        <f t="array" ref="A7641">IFERROR(
  INDEX('Starlink Launches'!$A:$A, MATCH($E7641, 'Starlink Launches'!$B:$B, 0)),
  ""
)
</f>
        <v/>
      </c>
      <c r="B7641" s="26"/>
      <c r="C7641" s="12"/>
      <c r="D7641" s="13"/>
      <c r="E7641" s="4"/>
      <c r="F7641" s="4" t="str">
        <f>IF(D7641="","", IFNA(VLOOKUP(D7641, SATCAT_DECAY!A:B, 2, FALSE), ""))
</f>
        <v/>
      </c>
      <c r="G7641" s="3"/>
    </row>
    <row r="7642" ht="22.5" hidden="1" customHeight="1">
      <c r="A7642" s="11" t="str">
        <f t="array" ref="A7642">IFERROR(
  INDEX('Starlink Launches'!$A:$A, MATCH($E7642, 'Starlink Launches'!$B:$B, 0)),
  ""
)
</f>
        <v/>
      </c>
      <c r="B7642" s="26"/>
      <c r="C7642" s="12"/>
      <c r="D7642" s="13"/>
      <c r="E7642" s="4"/>
      <c r="F7642" s="4" t="str">
        <f>IF(D7642="","", IFNA(VLOOKUP(D7642, SATCAT_DECAY!A:B, 2, FALSE), ""))
</f>
        <v/>
      </c>
      <c r="G7642" s="3"/>
    </row>
    <row r="7643" ht="22.5" hidden="1" customHeight="1">
      <c r="A7643" s="11" t="str">
        <f t="array" ref="A7643">IFERROR(
  INDEX('Starlink Launches'!$A:$A, MATCH($E7643, 'Starlink Launches'!$B:$B, 0)),
  ""
)
</f>
        <v/>
      </c>
      <c r="B7643" s="26"/>
      <c r="C7643" s="12"/>
      <c r="D7643" s="13"/>
      <c r="E7643" s="4"/>
      <c r="F7643" s="4" t="str">
        <f>IF(D7643="","", IFNA(VLOOKUP(D7643, SATCAT_DECAY!A:B, 2, FALSE), ""))
</f>
        <v/>
      </c>
      <c r="G7643" s="3"/>
    </row>
    <row r="7644" ht="22.5" hidden="1" customHeight="1">
      <c r="A7644" s="11" t="str">
        <f t="array" ref="A7644">IFERROR(
  INDEX('Starlink Launches'!$A:$A, MATCH($E7644, 'Starlink Launches'!$B:$B, 0)),
  ""
)
</f>
        <v/>
      </c>
      <c r="B7644" s="26"/>
      <c r="C7644" s="12"/>
      <c r="D7644" s="13"/>
      <c r="E7644" s="4"/>
      <c r="F7644" s="4" t="str">
        <f>IF(D7644="","", IFNA(VLOOKUP(D7644, SATCAT_DECAY!A:B, 2, FALSE), ""))
</f>
        <v/>
      </c>
      <c r="G7644" s="3"/>
    </row>
    <row r="7645" ht="22.5" hidden="1" customHeight="1">
      <c r="A7645" s="11" t="str">
        <f t="array" ref="A7645">IFERROR(
  INDEX('Starlink Launches'!$A:$A, MATCH($E7645, 'Starlink Launches'!$B:$B, 0)),
  ""
)
</f>
        <v/>
      </c>
      <c r="B7645" s="26"/>
      <c r="C7645" s="12"/>
      <c r="D7645" s="13"/>
      <c r="E7645" s="4"/>
      <c r="F7645" s="4" t="str">
        <f>IF(D7645="","", IFNA(VLOOKUP(D7645, SATCAT_DECAY!A:B, 2, FALSE), ""))
</f>
        <v/>
      </c>
      <c r="G7645" s="3"/>
    </row>
    <row r="7646" ht="22.5" hidden="1" customHeight="1">
      <c r="A7646" s="11" t="str">
        <f t="array" ref="A7646">IFERROR(
  INDEX('Starlink Launches'!$A:$A, MATCH($E7646, 'Starlink Launches'!$B:$B, 0)),
  ""
)
</f>
        <v/>
      </c>
      <c r="B7646" s="26"/>
      <c r="C7646" s="12"/>
      <c r="D7646" s="13"/>
      <c r="E7646" s="4"/>
      <c r="F7646" s="4" t="str">
        <f>IF(D7646="","", IFNA(VLOOKUP(D7646, SATCAT_DECAY!A:B, 2, FALSE), ""))
</f>
        <v/>
      </c>
      <c r="G7646" s="3"/>
    </row>
    <row r="7647" ht="22.5" hidden="1" customHeight="1">
      <c r="A7647" s="11" t="str">
        <f t="array" ref="A7647">IFERROR(
  INDEX('Starlink Launches'!$A:$A, MATCH($E7647, 'Starlink Launches'!$B:$B, 0)),
  ""
)
</f>
        <v/>
      </c>
      <c r="B7647" s="26"/>
      <c r="C7647" s="12"/>
      <c r="D7647" s="13"/>
      <c r="E7647" s="4"/>
      <c r="F7647" s="4" t="str">
        <f>IF(D7647="","", IFNA(VLOOKUP(D7647, SATCAT_DECAY!A:B, 2, FALSE), ""))
</f>
        <v/>
      </c>
      <c r="G7647" s="3"/>
    </row>
    <row r="7648" ht="22.5" hidden="1" customHeight="1">
      <c r="A7648" s="11" t="str">
        <f t="array" ref="A7648">IFERROR(
  INDEX('Starlink Launches'!$A:$A, MATCH($E7648, 'Starlink Launches'!$B:$B, 0)),
  ""
)
</f>
        <v/>
      </c>
      <c r="B7648" s="26"/>
      <c r="C7648" s="12"/>
      <c r="D7648" s="13"/>
      <c r="E7648" s="4"/>
      <c r="F7648" s="4" t="str">
        <f>IF(D7648="","", IFNA(VLOOKUP(D7648, SATCAT_DECAY!A:B, 2, FALSE), ""))
</f>
        <v/>
      </c>
      <c r="G7648" s="3"/>
    </row>
    <row r="7649" ht="22.5" hidden="1" customHeight="1">
      <c r="A7649" s="11" t="str">
        <f t="array" ref="A7649">IFERROR(
  INDEX('Starlink Launches'!$A:$A, MATCH($E7649, 'Starlink Launches'!$B:$B, 0)),
  ""
)
</f>
        <v/>
      </c>
      <c r="B7649" s="26"/>
      <c r="C7649" s="12"/>
      <c r="D7649" s="13"/>
      <c r="E7649" s="4"/>
      <c r="F7649" s="4" t="str">
        <f>IF(D7649="","", IFNA(VLOOKUP(D7649, SATCAT_DECAY!A:B, 2, FALSE), ""))
</f>
        <v/>
      </c>
      <c r="G7649" s="3"/>
    </row>
    <row r="7650" ht="22.5" hidden="1" customHeight="1">
      <c r="A7650" s="11" t="str">
        <f t="array" ref="A7650">IFERROR(
  INDEX('Starlink Launches'!$A:$A, MATCH($E7650, 'Starlink Launches'!$B:$B, 0)),
  ""
)
</f>
        <v/>
      </c>
      <c r="B7650" s="26"/>
      <c r="C7650" s="12"/>
      <c r="D7650" s="13"/>
      <c r="E7650" s="4"/>
      <c r="F7650" s="4" t="str">
        <f>IF(D7650="","", IFNA(VLOOKUP(D7650, SATCAT_DECAY!A:B, 2, FALSE), ""))
</f>
        <v/>
      </c>
      <c r="G7650" s="3"/>
    </row>
    <row r="7651" ht="22.5" hidden="1" customHeight="1">
      <c r="A7651" s="11" t="str">
        <f t="array" ref="A7651">IFERROR(
  INDEX('Starlink Launches'!$A:$A, MATCH($E7651, 'Starlink Launches'!$B:$B, 0)),
  ""
)
</f>
        <v/>
      </c>
      <c r="B7651" s="26"/>
      <c r="C7651" s="12"/>
      <c r="D7651" s="13"/>
      <c r="E7651" s="4"/>
      <c r="F7651" s="4" t="str">
        <f>IF(D7651="","", IFNA(VLOOKUP(D7651, SATCAT_DECAY!A:B, 2, FALSE), ""))
</f>
        <v/>
      </c>
      <c r="G7651" s="3"/>
    </row>
    <row r="7652" ht="22.5" hidden="1" customHeight="1">
      <c r="A7652" s="11" t="str">
        <f t="array" ref="A7652">IFERROR(
  INDEX('Starlink Launches'!$A:$A, MATCH($E7652, 'Starlink Launches'!$B:$B, 0)),
  ""
)
</f>
        <v/>
      </c>
      <c r="B7652" s="26"/>
      <c r="C7652" s="12"/>
      <c r="D7652" s="13"/>
      <c r="E7652" s="4"/>
      <c r="F7652" s="4" t="str">
        <f>IF(D7652="","", IFNA(VLOOKUP(D7652, SATCAT_DECAY!A:B, 2, FALSE), ""))
</f>
        <v/>
      </c>
      <c r="G7652" s="3"/>
    </row>
    <row r="7653" ht="22.5" hidden="1" customHeight="1">
      <c r="A7653" s="11" t="str">
        <f t="array" ref="A7653">IFERROR(
  INDEX('Starlink Launches'!$A:$A, MATCH($E7653, 'Starlink Launches'!$B:$B, 0)),
  ""
)
</f>
        <v/>
      </c>
      <c r="B7653" s="26"/>
      <c r="C7653" s="12"/>
      <c r="D7653" s="13"/>
      <c r="E7653" s="4"/>
      <c r="F7653" s="4" t="str">
        <f>IF(D7653="","", IFNA(VLOOKUP(D7653, SATCAT_DECAY!A:B, 2, FALSE), ""))
</f>
        <v/>
      </c>
      <c r="G7653" s="3"/>
    </row>
    <row r="7654" ht="22.5" hidden="1" customHeight="1">
      <c r="A7654" s="11" t="str">
        <f t="array" ref="A7654">IFERROR(
  INDEX('Starlink Launches'!$A:$A, MATCH($E7654, 'Starlink Launches'!$B:$B, 0)),
  ""
)
</f>
        <v/>
      </c>
      <c r="B7654" s="26"/>
      <c r="C7654" s="12"/>
      <c r="D7654" s="13"/>
      <c r="E7654" s="4"/>
      <c r="F7654" s="4" t="str">
        <f>IF(D7654="","", IFNA(VLOOKUP(D7654, SATCAT_DECAY!A:B, 2, FALSE), ""))
</f>
        <v/>
      </c>
      <c r="G7654" s="3"/>
    </row>
    <row r="7655" ht="22.5" hidden="1" customHeight="1">
      <c r="A7655" s="11" t="str">
        <f t="array" ref="A7655">IFERROR(
  INDEX('Starlink Launches'!$A:$A, MATCH($E7655, 'Starlink Launches'!$B:$B, 0)),
  ""
)
</f>
        <v/>
      </c>
      <c r="B7655" s="26"/>
      <c r="C7655" s="12"/>
      <c r="D7655" s="13"/>
      <c r="E7655" s="4"/>
      <c r="F7655" s="4" t="str">
        <f>IF(D7655="","", IFNA(VLOOKUP(D7655, SATCAT_DECAY!A:B, 2, FALSE), ""))
</f>
        <v/>
      </c>
      <c r="G7655" s="3"/>
    </row>
    <row r="7656" ht="22.5" hidden="1" customHeight="1">
      <c r="A7656" s="11" t="str">
        <f t="array" ref="A7656">IFERROR(
  INDEX('Starlink Launches'!$A:$A, MATCH($E7656, 'Starlink Launches'!$B:$B, 0)),
  ""
)
</f>
        <v/>
      </c>
      <c r="B7656" s="26"/>
      <c r="C7656" s="12"/>
      <c r="D7656" s="13"/>
      <c r="E7656" s="4"/>
      <c r="F7656" s="4" t="str">
        <f>IF(D7656="","", IFNA(VLOOKUP(D7656, SATCAT_DECAY!A:B, 2, FALSE), ""))
</f>
        <v/>
      </c>
      <c r="G7656" s="3"/>
    </row>
    <row r="7657" ht="22.5" hidden="1" customHeight="1">
      <c r="A7657" s="11" t="str">
        <f t="array" ref="A7657">IFERROR(
  INDEX('Starlink Launches'!$A:$A, MATCH($E7657, 'Starlink Launches'!$B:$B, 0)),
  ""
)
</f>
        <v/>
      </c>
      <c r="B7657" s="26"/>
      <c r="C7657" s="12"/>
      <c r="D7657" s="13"/>
      <c r="E7657" s="4"/>
      <c r="F7657" s="4" t="str">
        <f>IF(D7657="","", IFNA(VLOOKUP(D7657, SATCAT_DECAY!A:B, 2, FALSE), ""))
</f>
        <v/>
      </c>
      <c r="G7657" s="3"/>
    </row>
    <row r="7658" ht="22.5" hidden="1" customHeight="1">
      <c r="A7658" s="11" t="str">
        <f t="array" ref="A7658">IFERROR(
  INDEX('Starlink Launches'!$A:$A, MATCH($E7658, 'Starlink Launches'!$B:$B, 0)),
  ""
)
</f>
        <v/>
      </c>
      <c r="B7658" s="26"/>
      <c r="C7658" s="12"/>
      <c r="D7658" s="13"/>
      <c r="E7658" s="4"/>
      <c r="F7658" s="4" t="str">
        <f>IF(D7658="","", IFNA(VLOOKUP(D7658, SATCAT_DECAY!A:B, 2, FALSE), ""))
</f>
        <v/>
      </c>
      <c r="G7658" s="3"/>
    </row>
    <row r="7659" ht="22.5" hidden="1" customHeight="1">
      <c r="A7659" s="11" t="str">
        <f t="array" ref="A7659">IFERROR(
  INDEX('Starlink Launches'!$A:$A, MATCH($E7659, 'Starlink Launches'!$B:$B, 0)),
  ""
)
</f>
        <v/>
      </c>
      <c r="B7659" s="26"/>
      <c r="C7659" s="12"/>
      <c r="D7659" s="13"/>
      <c r="E7659" s="4"/>
      <c r="F7659" s="4" t="str">
        <f>IF(D7659="","", IFNA(VLOOKUP(D7659, SATCAT_DECAY!A:B, 2, FALSE), ""))
</f>
        <v/>
      </c>
      <c r="G7659" s="3"/>
    </row>
    <row r="7660" ht="22.5" hidden="1" customHeight="1">
      <c r="A7660" s="11" t="str">
        <f t="array" ref="A7660">IFERROR(
  INDEX('Starlink Launches'!$A:$A, MATCH($E7660, 'Starlink Launches'!$B:$B, 0)),
  ""
)
</f>
        <v/>
      </c>
      <c r="B7660" s="26"/>
      <c r="C7660" s="12"/>
      <c r="D7660" s="13"/>
      <c r="E7660" s="4"/>
      <c r="F7660" s="4" t="str">
        <f>IF(D7660="","", IFNA(VLOOKUP(D7660, SATCAT_DECAY!A:B, 2, FALSE), ""))
</f>
        <v/>
      </c>
      <c r="G7660" s="3"/>
    </row>
    <row r="7661" ht="22.5" hidden="1" customHeight="1">
      <c r="A7661" s="11" t="str">
        <f t="array" ref="A7661">IFERROR(
  INDEX('Starlink Launches'!$A:$A, MATCH($E7661, 'Starlink Launches'!$B:$B, 0)),
  ""
)
</f>
        <v/>
      </c>
      <c r="B7661" s="26"/>
      <c r="C7661" s="12"/>
      <c r="D7661" s="13"/>
      <c r="E7661" s="4"/>
      <c r="F7661" s="4" t="str">
        <f>IF(D7661="","", IFNA(VLOOKUP(D7661, SATCAT_DECAY!A:B, 2, FALSE), ""))
</f>
        <v/>
      </c>
      <c r="G7661" s="3"/>
    </row>
    <row r="7662" ht="22.5" hidden="1" customHeight="1">
      <c r="A7662" s="11" t="str">
        <f t="array" ref="A7662">IFERROR(
  INDEX('Starlink Launches'!$A:$A, MATCH($E7662, 'Starlink Launches'!$B:$B, 0)),
  ""
)
</f>
        <v/>
      </c>
      <c r="B7662" s="26"/>
      <c r="C7662" s="12"/>
      <c r="D7662" s="13"/>
      <c r="E7662" s="4"/>
      <c r="F7662" s="4" t="str">
        <f>IF(D7662="","", IFNA(VLOOKUP(D7662, SATCAT_DECAY!A:B, 2, FALSE), ""))
</f>
        <v/>
      </c>
      <c r="G7662" s="3"/>
    </row>
    <row r="7663" ht="22.5" hidden="1" customHeight="1">
      <c r="A7663" s="11" t="str">
        <f t="array" ref="A7663">IFERROR(
  INDEX('Starlink Launches'!$A:$A, MATCH($E7663, 'Starlink Launches'!$B:$B, 0)),
  ""
)
</f>
        <v/>
      </c>
      <c r="B7663" s="26"/>
      <c r="C7663" s="12"/>
      <c r="D7663" s="13"/>
      <c r="E7663" s="4"/>
      <c r="F7663" s="4" t="str">
        <f>IF(D7663="","", IFNA(VLOOKUP(D7663, SATCAT_DECAY!A:B, 2, FALSE), ""))
</f>
        <v/>
      </c>
      <c r="G7663" s="3"/>
    </row>
    <row r="7664" ht="22.5" hidden="1" customHeight="1">
      <c r="A7664" s="11" t="str">
        <f t="array" ref="A7664">IFERROR(
  INDEX('Starlink Launches'!$A:$A, MATCH($E7664, 'Starlink Launches'!$B:$B, 0)),
  ""
)
</f>
        <v/>
      </c>
      <c r="B7664" s="26"/>
      <c r="C7664" s="12"/>
      <c r="D7664" s="13"/>
      <c r="E7664" s="4"/>
      <c r="F7664" s="4" t="str">
        <f>IF(D7664="","", IFNA(VLOOKUP(D7664, SATCAT_DECAY!A:B, 2, FALSE), ""))
</f>
        <v/>
      </c>
      <c r="G7664" s="3"/>
    </row>
    <row r="7665" ht="22.5" hidden="1" customHeight="1">
      <c r="A7665" s="11" t="str">
        <f t="array" ref="A7665">IFERROR(
  INDEX('Starlink Launches'!$A:$A, MATCH($E7665, 'Starlink Launches'!$B:$B, 0)),
  ""
)
</f>
        <v/>
      </c>
      <c r="B7665" s="26"/>
      <c r="C7665" s="12"/>
      <c r="D7665" s="13"/>
      <c r="E7665" s="4"/>
      <c r="F7665" s="4" t="str">
        <f>IF(D7665="","", IFNA(VLOOKUP(D7665, SATCAT_DECAY!A:B, 2, FALSE), ""))
</f>
        <v/>
      </c>
      <c r="G7665" s="3"/>
    </row>
    <row r="7666" ht="22.5" hidden="1" customHeight="1">
      <c r="A7666" s="11" t="str">
        <f t="array" ref="A7666">IFERROR(
  INDEX('Starlink Launches'!$A:$A, MATCH($E7666, 'Starlink Launches'!$B:$B, 0)),
  ""
)
</f>
        <v/>
      </c>
      <c r="B7666" s="26"/>
      <c r="C7666" s="12"/>
      <c r="D7666" s="13"/>
      <c r="E7666" s="4"/>
      <c r="F7666" s="4" t="str">
        <f>IF(D7666="","", IFNA(VLOOKUP(D7666, SATCAT_DECAY!A:B, 2, FALSE), ""))
</f>
        <v/>
      </c>
      <c r="G7666" s="3"/>
    </row>
    <row r="7667" ht="22.5" hidden="1" customHeight="1">
      <c r="A7667" s="11" t="str">
        <f t="array" ref="A7667">IFERROR(
  INDEX('Starlink Launches'!$A:$A, MATCH($E7667, 'Starlink Launches'!$B:$B, 0)),
  ""
)
</f>
        <v/>
      </c>
      <c r="B7667" s="26"/>
      <c r="C7667" s="12"/>
      <c r="D7667" s="13"/>
      <c r="E7667" s="4"/>
      <c r="F7667" s="4" t="str">
        <f>IF(D7667="","", IFNA(VLOOKUP(D7667, SATCAT_DECAY!A:B, 2, FALSE), ""))
</f>
        <v/>
      </c>
      <c r="G7667" s="3"/>
    </row>
    <row r="7668" ht="22.5" hidden="1" customHeight="1">
      <c r="A7668" s="11" t="str">
        <f t="array" ref="A7668">IFERROR(
  INDEX('Starlink Launches'!$A:$A, MATCH($E7668, 'Starlink Launches'!$B:$B, 0)),
  ""
)
</f>
        <v/>
      </c>
      <c r="B7668" s="26"/>
      <c r="C7668" s="12"/>
      <c r="D7668" s="13"/>
      <c r="E7668" s="4"/>
      <c r="F7668" s="4" t="str">
        <f>IF(D7668="","", IFNA(VLOOKUP(D7668, SATCAT_DECAY!A:B, 2, FALSE), ""))
</f>
        <v/>
      </c>
      <c r="G7668" s="3"/>
    </row>
    <row r="7669" ht="22.5" hidden="1" customHeight="1">
      <c r="A7669" s="11" t="str">
        <f t="array" ref="A7669">IFERROR(
  INDEX('Starlink Launches'!$A:$A, MATCH($E7669, 'Starlink Launches'!$B:$B, 0)),
  ""
)
</f>
        <v/>
      </c>
      <c r="B7669" s="26"/>
      <c r="C7669" s="12"/>
      <c r="D7669" s="13"/>
      <c r="E7669" s="4"/>
      <c r="F7669" s="4" t="str">
        <f>IF(D7669="","", IFNA(VLOOKUP(D7669, SATCAT_DECAY!A:B, 2, FALSE), ""))
</f>
        <v/>
      </c>
      <c r="G7669" s="3"/>
    </row>
    <row r="7670" ht="22.5" hidden="1" customHeight="1">
      <c r="A7670" s="11" t="str">
        <f t="array" ref="A7670">IFERROR(
  INDEX('Starlink Launches'!$A:$A, MATCH($E7670, 'Starlink Launches'!$B:$B, 0)),
  ""
)
</f>
        <v/>
      </c>
      <c r="B7670" s="26"/>
      <c r="C7670" s="12"/>
      <c r="D7670" s="13"/>
      <c r="E7670" s="4"/>
      <c r="F7670" s="4" t="str">
        <f>IF(D7670="","", IFNA(VLOOKUP(D7670, SATCAT_DECAY!A:B, 2, FALSE), ""))
</f>
        <v/>
      </c>
      <c r="G7670" s="3"/>
    </row>
    <row r="7671" ht="22.5" hidden="1" customHeight="1">
      <c r="A7671" s="11" t="str">
        <f t="array" ref="A7671">IFERROR(
  INDEX('Starlink Launches'!$A:$A, MATCH($E7671, 'Starlink Launches'!$B:$B, 0)),
  ""
)
</f>
        <v/>
      </c>
      <c r="B7671" s="26"/>
      <c r="C7671" s="12"/>
      <c r="D7671" s="13"/>
      <c r="E7671" s="4"/>
      <c r="F7671" s="4" t="str">
        <f>IF(D7671="","", IFNA(VLOOKUP(D7671, SATCAT_DECAY!A:B, 2, FALSE), ""))
</f>
        <v/>
      </c>
      <c r="G7671" s="3"/>
    </row>
    <row r="7672" ht="22.5" hidden="1" customHeight="1">
      <c r="A7672" s="11" t="str">
        <f t="array" ref="A7672">IFERROR(
  INDEX('Starlink Launches'!$A:$A, MATCH($E7672, 'Starlink Launches'!$B:$B, 0)),
  ""
)
</f>
        <v/>
      </c>
      <c r="B7672" s="26"/>
      <c r="C7672" s="12"/>
      <c r="D7672" s="13"/>
      <c r="E7672" s="4"/>
      <c r="F7672" s="4" t="str">
        <f>IF(D7672="","", IFNA(VLOOKUP(D7672, SATCAT_DECAY!A:B, 2, FALSE), ""))
</f>
        <v/>
      </c>
      <c r="G7672" s="3"/>
    </row>
    <row r="7673" ht="22.5" hidden="1" customHeight="1">
      <c r="A7673" s="11" t="str">
        <f t="array" ref="A7673">IFERROR(
  INDEX('Starlink Launches'!$A:$A, MATCH($E7673, 'Starlink Launches'!$B:$B, 0)),
  ""
)
</f>
        <v/>
      </c>
      <c r="B7673" s="26"/>
      <c r="C7673" s="12"/>
      <c r="D7673" s="13"/>
      <c r="E7673" s="4"/>
      <c r="F7673" s="4" t="str">
        <f>IF(D7673="","", IFNA(VLOOKUP(D7673, SATCAT_DECAY!A:B, 2, FALSE), ""))
</f>
        <v/>
      </c>
      <c r="G7673" s="3"/>
    </row>
    <row r="7674" ht="22.5" hidden="1" customHeight="1">
      <c r="A7674" s="11" t="str">
        <f t="array" ref="A7674">IFERROR(
  INDEX('Starlink Launches'!$A:$A, MATCH($E7674, 'Starlink Launches'!$B:$B, 0)),
  ""
)
</f>
        <v/>
      </c>
      <c r="B7674" s="26"/>
      <c r="C7674" s="12"/>
      <c r="D7674" s="13"/>
      <c r="E7674" s="4"/>
      <c r="F7674" s="4" t="str">
        <f>IF(D7674="","", IFNA(VLOOKUP(D7674, SATCAT_DECAY!A:B, 2, FALSE), ""))
</f>
        <v/>
      </c>
      <c r="G7674" s="3"/>
    </row>
    <row r="7675" ht="22.5" hidden="1" customHeight="1">
      <c r="A7675" s="11" t="str">
        <f t="array" ref="A7675">IFERROR(
  INDEX('Starlink Launches'!$A:$A, MATCH($E7675, 'Starlink Launches'!$B:$B, 0)),
  ""
)
</f>
        <v/>
      </c>
      <c r="B7675" s="26"/>
      <c r="C7675" s="12"/>
      <c r="D7675" s="13"/>
      <c r="E7675" s="4"/>
      <c r="F7675" s="4" t="str">
        <f>IF(D7675="","", IFNA(VLOOKUP(D7675, SATCAT_DECAY!A:B, 2, FALSE), ""))
</f>
        <v/>
      </c>
      <c r="G7675" s="3"/>
    </row>
    <row r="7676" ht="22.5" hidden="1" customHeight="1">
      <c r="A7676" s="11" t="str">
        <f t="array" ref="A7676">IFERROR(
  INDEX('Starlink Launches'!$A:$A, MATCH($E7676, 'Starlink Launches'!$B:$B, 0)),
  ""
)
</f>
        <v/>
      </c>
      <c r="B7676" s="26"/>
      <c r="C7676" s="12"/>
      <c r="D7676" s="13"/>
      <c r="E7676" s="4"/>
      <c r="F7676" s="4" t="str">
        <f>IF(D7676="","", IFNA(VLOOKUP(D7676, SATCAT_DECAY!A:B, 2, FALSE), ""))
</f>
        <v/>
      </c>
      <c r="G7676" s="3"/>
    </row>
    <row r="7677" ht="22.5" hidden="1" customHeight="1">
      <c r="A7677" s="11" t="str">
        <f t="array" ref="A7677">IFERROR(
  INDEX('Starlink Launches'!$A:$A, MATCH($E7677, 'Starlink Launches'!$B:$B, 0)),
  ""
)
</f>
        <v/>
      </c>
      <c r="B7677" s="26"/>
      <c r="C7677" s="12"/>
      <c r="D7677" s="13"/>
      <c r="E7677" s="4"/>
      <c r="F7677" s="4" t="str">
        <f>IF(D7677="","", IFNA(VLOOKUP(D7677, SATCAT_DECAY!A:B, 2, FALSE), ""))
</f>
        <v/>
      </c>
      <c r="G7677" s="3"/>
    </row>
    <row r="7678" ht="22.5" hidden="1" customHeight="1">
      <c r="A7678" s="11" t="str">
        <f t="array" ref="A7678">IFERROR(
  INDEX('Starlink Launches'!$A:$A, MATCH($E7678, 'Starlink Launches'!$B:$B, 0)),
  ""
)
</f>
        <v/>
      </c>
      <c r="B7678" s="26"/>
      <c r="C7678" s="12"/>
      <c r="D7678" s="13"/>
      <c r="E7678" s="4"/>
      <c r="F7678" s="4" t="str">
        <f>IF(D7678="","", IFNA(VLOOKUP(D7678, SATCAT_DECAY!A:B, 2, FALSE), ""))
</f>
        <v/>
      </c>
      <c r="G7678" s="3"/>
    </row>
    <row r="7679" ht="22.5" hidden="1" customHeight="1">
      <c r="A7679" s="11" t="str">
        <f t="array" ref="A7679">IFERROR(
  INDEX('Starlink Launches'!$A:$A, MATCH($E7679, 'Starlink Launches'!$B:$B, 0)),
  ""
)
</f>
        <v/>
      </c>
      <c r="B7679" s="26"/>
      <c r="C7679" s="12"/>
      <c r="D7679" s="13"/>
      <c r="E7679" s="4"/>
      <c r="F7679" s="4" t="str">
        <f>IF(D7679="","", IFNA(VLOOKUP(D7679, SATCAT_DECAY!A:B, 2, FALSE), ""))
</f>
        <v/>
      </c>
      <c r="G7679" s="3"/>
    </row>
    <row r="7680" ht="22.5" hidden="1" customHeight="1">
      <c r="A7680" s="11" t="str">
        <f t="array" ref="A7680">IFERROR(
  INDEX('Starlink Launches'!$A:$A, MATCH($E7680, 'Starlink Launches'!$B:$B, 0)),
  ""
)
</f>
        <v/>
      </c>
      <c r="B7680" s="26"/>
      <c r="C7680" s="12"/>
      <c r="D7680" s="13"/>
      <c r="E7680" s="4"/>
      <c r="F7680" s="4" t="str">
        <f>IF(D7680="","", IFNA(VLOOKUP(D7680, SATCAT_DECAY!A:B, 2, FALSE), ""))
</f>
        <v/>
      </c>
      <c r="G7680" s="3"/>
    </row>
    <row r="7681" ht="22.5" hidden="1" customHeight="1">
      <c r="A7681" s="11" t="str">
        <f t="array" ref="A7681">IFERROR(
  INDEX('Starlink Launches'!$A:$A, MATCH($E7681, 'Starlink Launches'!$B:$B, 0)),
  ""
)
</f>
        <v/>
      </c>
      <c r="B7681" s="26"/>
      <c r="C7681" s="12"/>
      <c r="D7681" s="13"/>
      <c r="E7681" s="4"/>
      <c r="F7681" s="4" t="str">
        <f>IF(D7681="","", IFNA(VLOOKUP(D7681, SATCAT_DECAY!A:B, 2, FALSE), ""))
</f>
        <v/>
      </c>
      <c r="G7681" s="3"/>
    </row>
    <row r="7682" ht="22.5" hidden="1" customHeight="1">
      <c r="A7682" s="11" t="str">
        <f t="array" ref="A7682">IFERROR(
  INDEX('Starlink Launches'!$A:$A, MATCH($E7682, 'Starlink Launches'!$B:$B, 0)),
  ""
)
</f>
        <v/>
      </c>
      <c r="B7682" s="26"/>
      <c r="C7682" s="12"/>
      <c r="D7682" s="13"/>
      <c r="E7682" s="4"/>
      <c r="F7682" s="4" t="str">
        <f>IF(D7682="","", IFNA(VLOOKUP(D7682, SATCAT_DECAY!A:B, 2, FALSE), ""))
</f>
        <v/>
      </c>
      <c r="G7682" s="3"/>
    </row>
    <row r="7683" ht="22.5" hidden="1" customHeight="1">
      <c r="A7683" s="11" t="str">
        <f t="array" ref="A7683">IFERROR(
  INDEX('Starlink Launches'!$A:$A, MATCH($E7683, 'Starlink Launches'!$B:$B, 0)),
  ""
)
</f>
        <v/>
      </c>
      <c r="B7683" s="26"/>
      <c r="C7683" s="12"/>
      <c r="D7683" s="13"/>
      <c r="E7683" s="4"/>
      <c r="F7683" s="4" t="str">
        <f>IF(D7683="","", IFNA(VLOOKUP(D7683, SATCAT_DECAY!A:B, 2, FALSE), ""))
</f>
        <v/>
      </c>
      <c r="G7683" s="3"/>
    </row>
    <row r="7684" ht="22.5" hidden="1" customHeight="1">
      <c r="A7684" s="11" t="str">
        <f t="array" ref="A7684">IFERROR(
  INDEX('Starlink Launches'!$A:$A, MATCH($E7684, 'Starlink Launches'!$B:$B, 0)),
  ""
)
</f>
        <v/>
      </c>
      <c r="B7684" s="26"/>
      <c r="C7684" s="12"/>
      <c r="D7684" s="13"/>
      <c r="E7684" s="4"/>
      <c r="F7684" s="4" t="str">
        <f>IF(D7684="","", IFNA(VLOOKUP(D7684, SATCAT_DECAY!A:B, 2, FALSE), ""))
</f>
        <v/>
      </c>
      <c r="G7684" s="3"/>
    </row>
    <row r="7685" ht="22.5" hidden="1" customHeight="1">
      <c r="A7685" s="11" t="str">
        <f t="array" ref="A7685">IFERROR(
  INDEX('Starlink Launches'!$A:$A, MATCH($E7685, 'Starlink Launches'!$B:$B, 0)),
  ""
)
</f>
        <v/>
      </c>
      <c r="B7685" s="26"/>
      <c r="C7685" s="12"/>
      <c r="D7685" s="13"/>
      <c r="E7685" s="4"/>
      <c r="F7685" s="4" t="str">
        <f>IF(D7685="","", IFNA(VLOOKUP(D7685, SATCAT_DECAY!A:B, 2, FALSE), ""))
</f>
        <v/>
      </c>
      <c r="G7685" s="3"/>
    </row>
    <row r="7686" ht="22.5" hidden="1" customHeight="1">
      <c r="A7686" s="11" t="str">
        <f t="array" ref="A7686">IFERROR(
  INDEX('Starlink Launches'!$A:$A, MATCH($E7686, 'Starlink Launches'!$B:$B, 0)),
  ""
)
</f>
        <v/>
      </c>
      <c r="B7686" s="26"/>
      <c r="C7686" s="12"/>
      <c r="D7686" s="13"/>
      <c r="E7686" s="4"/>
      <c r="F7686" s="4" t="str">
        <f>IF(D7686="","", IFNA(VLOOKUP(D7686, SATCAT_DECAY!A:B, 2, FALSE), ""))
</f>
        <v/>
      </c>
      <c r="G7686" s="3"/>
    </row>
    <row r="7687" ht="22.5" hidden="1" customHeight="1">
      <c r="A7687" s="11" t="str">
        <f t="array" ref="A7687">IFERROR(
  INDEX('Starlink Launches'!$A:$A, MATCH($E7687, 'Starlink Launches'!$B:$B, 0)),
  ""
)
</f>
        <v/>
      </c>
      <c r="B7687" s="26"/>
      <c r="C7687" s="12"/>
      <c r="D7687" s="13"/>
      <c r="E7687" s="4"/>
      <c r="F7687" s="4" t="str">
        <f>IF(D7687="","", IFNA(VLOOKUP(D7687, SATCAT_DECAY!A:B, 2, FALSE), ""))
</f>
        <v/>
      </c>
      <c r="G7687" s="3"/>
    </row>
    <row r="7688" ht="22.5" hidden="1" customHeight="1">
      <c r="A7688" s="11" t="str">
        <f t="array" ref="A7688">IFERROR(
  INDEX('Starlink Launches'!$A:$A, MATCH($E7688, 'Starlink Launches'!$B:$B, 0)),
  ""
)
</f>
        <v/>
      </c>
      <c r="B7688" s="26"/>
      <c r="C7688" s="12"/>
      <c r="D7688" s="13"/>
      <c r="E7688" s="4"/>
      <c r="F7688" s="4" t="str">
        <f>IF(D7688="","", IFNA(VLOOKUP(D7688, SATCAT_DECAY!A:B, 2, FALSE), ""))
</f>
        <v/>
      </c>
      <c r="G7688" s="3"/>
    </row>
    <row r="7689" ht="22.5" hidden="1" customHeight="1">
      <c r="A7689" s="11" t="str">
        <f t="array" ref="A7689">IFERROR(
  INDEX('Starlink Launches'!$A:$A, MATCH($E7689, 'Starlink Launches'!$B:$B, 0)),
  ""
)
</f>
        <v/>
      </c>
      <c r="B7689" s="26"/>
      <c r="C7689" s="12"/>
      <c r="D7689" s="13"/>
      <c r="E7689" s="4"/>
      <c r="F7689" s="4" t="str">
        <f>IF(D7689="","", IFNA(VLOOKUP(D7689, SATCAT_DECAY!A:B, 2, FALSE), ""))
</f>
        <v/>
      </c>
      <c r="G7689" s="3"/>
    </row>
    <row r="7690" ht="22.5" hidden="1" customHeight="1">
      <c r="A7690" s="11" t="str">
        <f t="array" ref="A7690">IFERROR(
  INDEX('Starlink Launches'!$A:$A, MATCH($E7690, 'Starlink Launches'!$B:$B, 0)),
  ""
)
</f>
        <v/>
      </c>
      <c r="B7690" s="26"/>
      <c r="C7690" s="12"/>
      <c r="D7690" s="13"/>
      <c r="E7690" s="4"/>
      <c r="F7690" s="4" t="str">
        <f>IF(D7690="","", IFNA(VLOOKUP(D7690, SATCAT_DECAY!A:B, 2, FALSE), ""))
</f>
        <v/>
      </c>
      <c r="G7690" s="3"/>
    </row>
    <row r="7691" ht="22.5" hidden="1" customHeight="1">
      <c r="A7691" s="11" t="str">
        <f t="array" ref="A7691">IFERROR(
  INDEX('Starlink Launches'!$A:$A, MATCH($E7691, 'Starlink Launches'!$B:$B, 0)),
  ""
)
</f>
        <v/>
      </c>
      <c r="B7691" s="26"/>
      <c r="C7691" s="12"/>
      <c r="D7691" s="13"/>
      <c r="E7691" s="4"/>
      <c r="F7691" s="4" t="str">
        <f>IF(D7691="","", IFNA(VLOOKUP(D7691, SATCAT_DECAY!A:B, 2, FALSE), ""))
</f>
        <v/>
      </c>
      <c r="G7691" s="3"/>
    </row>
    <row r="7692" ht="22.5" hidden="1" customHeight="1">
      <c r="A7692" s="11" t="str">
        <f t="array" ref="A7692">IFERROR(
  INDEX('Starlink Launches'!$A:$A, MATCH($E7692, 'Starlink Launches'!$B:$B, 0)),
  ""
)
</f>
        <v/>
      </c>
      <c r="B7692" s="26"/>
      <c r="C7692" s="12"/>
      <c r="D7692" s="13"/>
      <c r="E7692" s="4"/>
      <c r="F7692" s="4" t="str">
        <f>IF(D7692="","", IFNA(VLOOKUP(D7692, SATCAT_DECAY!A:B, 2, FALSE), ""))
</f>
        <v/>
      </c>
      <c r="G7692" s="3"/>
    </row>
    <row r="7693" ht="22.5" hidden="1" customHeight="1">
      <c r="A7693" s="11" t="str">
        <f t="array" ref="A7693">IFERROR(
  INDEX('Starlink Launches'!$A:$A, MATCH($E7693, 'Starlink Launches'!$B:$B, 0)),
  ""
)
</f>
        <v/>
      </c>
      <c r="B7693" s="26"/>
      <c r="C7693" s="12"/>
      <c r="D7693" s="13"/>
      <c r="E7693" s="4"/>
      <c r="F7693" s="4" t="str">
        <f>IF(D7693="","", IFNA(VLOOKUP(D7693, SATCAT_DECAY!A:B, 2, FALSE), ""))
</f>
        <v/>
      </c>
      <c r="G7693" s="3"/>
    </row>
    <row r="7694" ht="22.5" hidden="1" customHeight="1">
      <c r="A7694" s="11" t="str">
        <f t="array" ref="A7694">IFERROR(
  INDEX('Starlink Launches'!$A:$A, MATCH($E7694, 'Starlink Launches'!$B:$B, 0)),
  ""
)
</f>
        <v/>
      </c>
      <c r="B7694" s="26"/>
      <c r="C7694" s="12"/>
      <c r="D7694" s="13"/>
      <c r="E7694" s="4"/>
      <c r="F7694" s="4" t="str">
        <f>IF(D7694="","", IFNA(VLOOKUP(D7694, SATCAT_DECAY!A:B, 2, FALSE), ""))
</f>
        <v/>
      </c>
      <c r="G7694" s="3"/>
    </row>
    <row r="7695" ht="22.5" hidden="1" customHeight="1">
      <c r="A7695" s="11" t="str">
        <f t="array" ref="A7695">IFERROR(
  INDEX('Starlink Launches'!$A:$A, MATCH($E7695, 'Starlink Launches'!$B:$B, 0)),
  ""
)
</f>
        <v/>
      </c>
      <c r="B7695" s="26"/>
      <c r="C7695" s="12"/>
      <c r="D7695" s="13"/>
      <c r="E7695" s="4"/>
      <c r="F7695" s="4" t="str">
        <f>IF(D7695="","", IFNA(VLOOKUP(D7695, SATCAT_DECAY!A:B, 2, FALSE), ""))
</f>
        <v/>
      </c>
      <c r="G7695" s="3"/>
    </row>
    <row r="7696" ht="22.5" hidden="1" customHeight="1">
      <c r="A7696" s="11" t="str">
        <f t="array" ref="A7696">IFERROR(
  INDEX('Starlink Launches'!$A:$A, MATCH($E7696, 'Starlink Launches'!$B:$B, 0)),
  ""
)
</f>
        <v/>
      </c>
      <c r="B7696" s="26"/>
      <c r="C7696" s="12"/>
      <c r="D7696" s="13"/>
      <c r="E7696" s="4"/>
      <c r="F7696" s="4" t="str">
        <f>IF(D7696="","", IFNA(VLOOKUP(D7696, SATCAT_DECAY!A:B, 2, FALSE), ""))
</f>
        <v/>
      </c>
      <c r="G7696" s="3"/>
    </row>
    <row r="7697" ht="22.5" hidden="1" customHeight="1">
      <c r="A7697" s="11" t="str">
        <f t="array" ref="A7697">IFERROR(
  INDEX('Starlink Launches'!$A:$A, MATCH($E7697, 'Starlink Launches'!$B:$B, 0)),
  ""
)
</f>
        <v/>
      </c>
      <c r="B7697" s="26"/>
      <c r="C7697" s="12"/>
      <c r="D7697" s="13"/>
      <c r="E7697" s="4"/>
      <c r="F7697" s="4" t="str">
        <f>IF(D7697="","", IFNA(VLOOKUP(D7697, SATCAT_DECAY!A:B, 2, FALSE), ""))
</f>
        <v/>
      </c>
      <c r="G7697" s="3"/>
    </row>
    <row r="7698" ht="22.5" hidden="1" customHeight="1">
      <c r="A7698" s="11" t="str">
        <f t="array" ref="A7698">IFERROR(
  INDEX('Starlink Launches'!$A:$A, MATCH($E7698, 'Starlink Launches'!$B:$B, 0)),
  ""
)
</f>
        <v/>
      </c>
      <c r="B7698" s="26"/>
      <c r="C7698" s="12"/>
      <c r="D7698" s="13"/>
      <c r="E7698" s="4"/>
      <c r="F7698" s="4" t="str">
        <f>IF(D7698="","", IFNA(VLOOKUP(D7698, SATCAT_DECAY!A:B, 2, FALSE), ""))
</f>
        <v/>
      </c>
      <c r="G7698" s="3"/>
    </row>
    <row r="7699" ht="22.5" hidden="1" customHeight="1">
      <c r="A7699" s="11" t="str">
        <f t="array" ref="A7699">IFERROR(
  INDEX('Starlink Launches'!$A:$A, MATCH($E7699, 'Starlink Launches'!$B:$B, 0)),
  ""
)
</f>
        <v/>
      </c>
      <c r="B7699" s="26"/>
      <c r="C7699" s="12"/>
      <c r="D7699" s="13"/>
      <c r="E7699" s="4"/>
      <c r="F7699" s="4" t="str">
        <f>IF(D7699="","", IFNA(VLOOKUP(D7699, SATCAT_DECAY!A:B, 2, FALSE), ""))
</f>
        <v/>
      </c>
      <c r="G7699" s="3"/>
    </row>
    <row r="7700" ht="22.5" hidden="1" customHeight="1">
      <c r="A7700" s="11" t="str">
        <f t="array" ref="A7700">IFERROR(
  INDEX('Starlink Launches'!$A:$A, MATCH($E7700, 'Starlink Launches'!$B:$B, 0)),
  ""
)
</f>
        <v/>
      </c>
      <c r="B7700" s="26"/>
      <c r="C7700" s="12"/>
      <c r="D7700" s="13"/>
      <c r="E7700" s="4"/>
      <c r="F7700" s="4" t="str">
        <f>IF(D7700="","", IFNA(VLOOKUP(D7700, SATCAT_DECAY!A:B, 2, FALSE), ""))
</f>
        <v/>
      </c>
      <c r="G7700" s="3"/>
    </row>
    <row r="7701" ht="22.5" hidden="1" customHeight="1">
      <c r="A7701" s="11" t="str">
        <f t="array" ref="A7701">IFERROR(
  INDEX('Starlink Launches'!$A:$A, MATCH($E7701, 'Starlink Launches'!$B:$B, 0)),
  ""
)
</f>
        <v/>
      </c>
      <c r="B7701" s="26"/>
      <c r="C7701" s="12"/>
      <c r="D7701" s="13"/>
      <c r="E7701" s="4"/>
      <c r="F7701" s="4" t="str">
        <f>IF(D7701="","", IFNA(VLOOKUP(D7701, SATCAT_DECAY!A:B, 2, FALSE), ""))
</f>
        <v/>
      </c>
      <c r="G7701" s="3"/>
    </row>
    <row r="7702" ht="22.5" hidden="1" customHeight="1">
      <c r="A7702" s="11" t="str">
        <f t="array" ref="A7702">IFERROR(
  INDEX('Starlink Launches'!$A:$A, MATCH($E7702, 'Starlink Launches'!$B:$B, 0)),
  ""
)
</f>
        <v/>
      </c>
      <c r="B7702" s="26"/>
      <c r="C7702" s="12"/>
      <c r="D7702" s="13"/>
      <c r="E7702" s="4"/>
      <c r="F7702" s="4" t="str">
        <f>IF(D7702="","", IFNA(VLOOKUP(D7702, SATCAT_DECAY!A:B, 2, FALSE), ""))
</f>
        <v/>
      </c>
      <c r="G7702" s="3"/>
    </row>
    <row r="7703" ht="22.5" hidden="1" customHeight="1">
      <c r="A7703" s="11" t="str">
        <f t="array" ref="A7703">IFERROR(
  INDEX('Starlink Launches'!$A:$A, MATCH($E7703, 'Starlink Launches'!$B:$B, 0)),
  ""
)
</f>
        <v/>
      </c>
      <c r="B7703" s="26"/>
      <c r="C7703" s="12"/>
      <c r="D7703" s="13"/>
      <c r="E7703" s="4"/>
      <c r="F7703" s="4" t="str">
        <f>IF(D7703="","", IFNA(VLOOKUP(D7703, SATCAT_DECAY!A:B, 2, FALSE), ""))
</f>
        <v/>
      </c>
      <c r="G7703" s="3"/>
    </row>
    <row r="7704" ht="22.5" hidden="1" customHeight="1">
      <c r="A7704" s="11" t="str">
        <f t="array" ref="A7704">IFERROR(
  INDEX('Starlink Launches'!$A:$A, MATCH($E7704, 'Starlink Launches'!$B:$B, 0)),
  ""
)
</f>
        <v/>
      </c>
      <c r="B7704" s="26"/>
      <c r="C7704" s="12"/>
      <c r="D7704" s="13"/>
      <c r="E7704" s="4"/>
      <c r="F7704" s="4" t="str">
        <f>IF(D7704="","", IFNA(VLOOKUP(D7704, SATCAT_DECAY!A:B, 2, FALSE), ""))
</f>
        <v/>
      </c>
      <c r="G7704" s="3"/>
    </row>
    <row r="7705" ht="22.5" hidden="1" customHeight="1">
      <c r="A7705" s="11" t="str">
        <f t="array" ref="A7705">IFERROR(
  INDEX('Starlink Launches'!$A:$A, MATCH($E7705, 'Starlink Launches'!$B:$B, 0)),
  ""
)
</f>
        <v/>
      </c>
      <c r="B7705" s="26"/>
      <c r="C7705" s="12"/>
      <c r="D7705" s="13"/>
      <c r="E7705" s="4"/>
      <c r="F7705" s="4" t="str">
        <f>IF(D7705="","", IFNA(VLOOKUP(D7705, SATCAT_DECAY!A:B, 2, FALSE), ""))
</f>
        <v/>
      </c>
      <c r="G7705" s="3"/>
    </row>
    <row r="7706" ht="22.5" hidden="1" customHeight="1">
      <c r="A7706" s="11" t="str">
        <f t="array" ref="A7706">IFERROR(
  INDEX('Starlink Launches'!$A:$A, MATCH($E7706, 'Starlink Launches'!$B:$B, 0)),
  ""
)
</f>
        <v/>
      </c>
      <c r="B7706" s="26"/>
      <c r="C7706" s="12"/>
      <c r="D7706" s="13"/>
      <c r="E7706" s="4"/>
      <c r="F7706" s="4" t="str">
        <f>IF(D7706="","", IFNA(VLOOKUP(D7706, SATCAT_DECAY!A:B, 2, FALSE), ""))
</f>
        <v/>
      </c>
      <c r="G7706" s="3"/>
    </row>
    <row r="7707" ht="22.5" hidden="1" customHeight="1">
      <c r="A7707" s="11" t="str">
        <f t="array" ref="A7707">IFERROR(
  INDEX('Starlink Launches'!$A:$A, MATCH($E7707, 'Starlink Launches'!$B:$B, 0)),
  ""
)
</f>
        <v/>
      </c>
      <c r="B7707" s="26"/>
      <c r="C7707" s="12"/>
      <c r="D7707" s="13"/>
      <c r="E7707" s="4"/>
      <c r="F7707" s="4" t="str">
        <f>IF(D7707="","", IFNA(VLOOKUP(D7707, SATCAT_DECAY!A:B, 2, FALSE), ""))
</f>
        <v/>
      </c>
      <c r="G7707" s="3"/>
    </row>
    <row r="7708" ht="22.5" hidden="1" customHeight="1">
      <c r="A7708" s="11" t="str">
        <f t="array" ref="A7708">IFERROR(
  INDEX('Starlink Launches'!$A:$A, MATCH($E7708, 'Starlink Launches'!$B:$B, 0)),
  ""
)
</f>
        <v/>
      </c>
      <c r="B7708" s="26"/>
      <c r="C7708" s="12"/>
      <c r="D7708" s="13"/>
      <c r="E7708" s="4"/>
      <c r="F7708" s="4" t="str">
        <f>IF(D7708="","", IFNA(VLOOKUP(D7708, SATCAT_DECAY!A:B, 2, FALSE), ""))
</f>
        <v/>
      </c>
      <c r="G7708" s="3"/>
    </row>
    <row r="7709" ht="22.5" hidden="1" customHeight="1">
      <c r="A7709" s="11" t="str">
        <f t="array" ref="A7709">IFERROR(
  INDEX('Starlink Launches'!$A:$A, MATCH($E7709, 'Starlink Launches'!$B:$B, 0)),
  ""
)
</f>
        <v/>
      </c>
      <c r="B7709" s="26"/>
      <c r="C7709" s="12"/>
      <c r="D7709" s="13"/>
      <c r="E7709" s="4"/>
      <c r="F7709" s="4" t="str">
        <f>IF(D7709="","", IFNA(VLOOKUP(D7709, SATCAT_DECAY!A:B, 2, FALSE), ""))
</f>
        <v/>
      </c>
      <c r="G7709" s="3"/>
    </row>
    <row r="7710" ht="22.5" hidden="1" customHeight="1">
      <c r="A7710" s="11" t="str">
        <f t="array" ref="A7710">IFERROR(
  INDEX('Starlink Launches'!$A:$A, MATCH($E7710, 'Starlink Launches'!$B:$B, 0)),
  ""
)
</f>
        <v/>
      </c>
      <c r="B7710" s="26"/>
      <c r="C7710" s="12"/>
      <c r="D7710" s="13"/>
      <c r="E7710" s="4"/>
      <c r="F7710" s="4" t="str">
        <f>IF(D7710="","", IFNA(VLOOKUP(D7710, SATCAT_DECAY!A:B, 2, FALSE), ""))
</f>
        <v/>
      </c>
      <c r="G7710" s="3"/>
    </row>
    <row r="7711" ht="22.5" hidden="1" customHeight="1">
      <c r="A7711" s="11" t="str">
        <f t="array" ref="A7711">IFERROR(
  INDEX('Starlink Launches'!$A:$A, MATCH($E7711, 'Starlink Launches'!$B:$B, 0)),
  ""
)
</f>
        <v/>
      </c>
      <c r="B7711" s="26"/>
      <c r="C7711" s="12"/>
      <c r="D7711" s="13"/>
      <c r="E7711" s="4"/>
      <c r="F7711" s="4" t="str">
        <f>IF(D7711="","", IFNA(VLOOKUP(D7711, SATCAT_DECAY!A:B, 2, FALSE), ""))
</f>
        <v/>
      </c>
      <c r="G7711" s="3"/>
    </row>
    <row r="7712" ht="22.5" hidden="1" customHeight="1">
      <c r="A7712" s="11" t="str">
        <f t="array" ref="A7712">IFERROR(
  INDEX('Starlink Launches'!$A:$A, MATCH($E7712, 'Starlink Launches'!$B:$B, 0)),
  ""
)
</f>
        <v/>
      </c>
      <c r="B7712" s="26"/>
      <c r="C7712" s="12"/>
      <c r="D7712" s="13"/>
      <c r="E7712" s="4"/>
      <c r="F7712" s="4" t="str">
        <f>IF(D7712="","", IFNA(VLOOKUP(D7712, SATCAT_DECAY!A:B, 2, FALSE), ""))
</f>
        <v/>
      </c>
      <c r="G7712" s="3"/>
    </row>
    <row r="7713" ht="22.5" hidden="1" customHeight="1">
      <c r="A7713" s="11" t="str">
        <f t="array" ref="A7713">IFERROR(
  INDEX('Starlink Launches'!$A:$A, MATCH($E7713, 'Starlink Launches'!$B:$B, 0)),
  ""
)
</f>
        <v/>
      </c>
      <c r="B7713" s="26"/>
      <c r="C7713" s="12"/>
      <c r="D7713" s="13"/>
      <c r="E7713" s="4"/>
      <c r="F7713" s="4" t="str">
        <f>IF(D7713="","", IFNA(VLOOKUP(D7713, SATCAT_DECAY!A:B, 2, FALSE), ""))
</f>
        <v/>
      </c>
      <c r="G7713" s="3"/>
    </row>
    <row r="7714" ht="22.5" hidden="1" customHeight="1">
      <c r="A7714" s="11" t="str">
        <f t="array" ref="A7714">IFERROR(
  INDEX('Starlink Launches'!$A:$A, MATCH($E7714, 'Starlink Launches'!$B:$B, 0)),
  ""
)
</f>
        <v/>
      </c>
      <c r="B7714" s="26"/>
      <c r="C7714" s="12"/>
      <c r="D7714" s="13"/>
      <c r="E7714" s="4"/>
      <c r="F7714" s="4" t="str">
        <f>IF(D7714="","", IFNA(VLOOKUP(D7714, SATCAT_DECAY!A:B, 2, FALSE), ""))
</f>
        <v/>
      </c>
      <c r="G7714" s="3"/>
    </row>
    <row r="7715" ht="22.5" hidden="1" customHeight="1">
      <c r="A7715" s="11" t="str">
        <f t="array" ref="A7715">IFERROR(
  INDEX('Starlink Launches'!$A:$A, MATCH($E7715, 'Starlink Launches'!$B:$B, 0)),
  ""
)
</f>
        <v/>
      </c>
      <c r="B7715" s="26"/>
      <c r="C7715" s="12"/>
      <c r="D7715" s="13"/>
      <c r="E7715" s="4"/>
      <c r="F7715" s="4" t="str">
        <f>IF(D7715="","", IFNA(VLOOKUP(D7715, SATCAT_DECAY!A:B, 2, FALSE), ""))
</f>
        <v/>
      </c>
      <c r="G7715" s="3"/>
    </row>
    <row r="7716" ht="22.5" hidden="1" customHeight="1">
      <c r="A7716" s="11" t="str">
        <f t="array" ref="A7716">IFERROR(
  INDEX('Starlink Launches'!$A:$A, MATCH($E7716, 'Starlink Launches'!$B:$B, 0)),
  ""
)
</f>
        <v/>
      </c>
      <c r="B7716" s="26"/>
      <c r="C7716" s="12"/>
      <c r="D7716" s="13"/>
      <c r="E7716" s="4"/>
      <c r="F7716" s="4" t="str">
        <f>IF(D7716="","", IFNA(VLOOKUP(D7716, SATCAT_DECAY!A:B, 2, FALSE), ""))
</f>
        <v/>
      </c>
      <c r="G7716" s="3"/>
    </row>
    <row r="7717" ht="22.5" hidden="1" customHeight="1">
      <c r="A7717" s="11" t="str">
        <f t="array" ref="A7717">IFERROR(
  INDEX('Starlink Launches'!$A:$A, MATCH($E7717, 'Starlink Launches'!$B:$B, 0)),
  ""
)
</f>
        <v/>
      </c>
      <c r="B7717" s="26"/>
      <c r="C7717" s="12"/>
      <c r="D7717" s="13"/>
      <c r="E7717" s="4"/>
      <c r="F7717" s="4" t="str">
        <f>IF(D7717="","", IFNA(VLOOKUP(D7717, SATCAT_DECAY!A:B, 2, FALSE), ""))
</f>
        <v/>
      </c>
      <c r="G7717" s="3"/>
    </row>
    <row r="7718" ht="22.5" hidden="1" customHeight="1">
      <c r="A7718" s="11" t="str">
        <f t="array" ref="A7718">IFERROR(
  INDEX('Starlink Launches'!$A:$A, MATCH($E7718, 'Starlink Launches'!$B:$B, 0)),
  ""
)
</f>
        <v/>
      </c>
      <c r="B7718" s="26"/>
      <c r="C7718" s="12"/>
      <c r="D7718" s="13"/>
      <c r="E7718" s="4"/>
      <c r="F7718" s="4" t="str">
        <f>IF(D7718="","", IFNA(VLOOKUP(D7718, SATCAT_DECAY!A:B, 2, FALSE), ""))
</f>
        <v/>
      </c>
      <c r="G7718" s="3"/>
    </row>
    <row r="7719" ht="22.5" hidden="1" customHeight="1">
      <c r="A7719" s="11" t="str">
        <f t="array" ref="A7719">IFERROR(
  INDEX('Starlink Launches'!$A:$A, MATCH($E7719, 'Starlink Launches'!$B:$B, 0)),
  ""
)
</f>
        <v/>
      </c>
      <c r="B7719" s="26"/>
      <c r="C7719" s="12"/>
      <c r="D7719" s="13"/>
      <c r="E7719" s="4"/>
      <c r="F7719" s="4" t="str">
        <f>IF(D7719="","", IFNA(VLOOKUP(D7719, SATCAT_DECAY!A:B, 2, FALSE), ""))
</f>
        <v/>
      </c>
      <c r="G7719" s="3"/>
    </row>
    <row r="7720" ht="22.5" hidden="1" customHeight="1">
      <c r="A7720" s="11" t="str">
        <f t="array" ref="A7720">IFERROR(
  INDEX('Starlink Launches'!$A:$A, MATCH($E7720, 'Starlink Launches'!$B:$B, 0)),
  ""
)
</f>
        <v/>
      </c>
      <c r="B7720" s="26"/>
      <c r="C7720" s="12"/>
      <c r="D7720" s="13"/>
      <c r="E7720" s="4"/>
      <c r="F7720" s="4" t="str">
        <f>IF(D7720="","", IFNA(VLOOKUP(D7720, SATCAT_DECAY!A:B, 2, FALSE), ""))
</f>
        <v/>
      </c>
      <c r="G7720" s="3"/>
    </row>
    <row r="7721" ht="22.5" hidden="1" customHeight="1">
      <c r="A7721" s="11" t="str">
        <f t="array" ref="A7721">IFERROR(
  INDEX('Starlink Launches'!$A:$A, MATCH($E7721, 'Starlink Launches'!$B:$B, 0)),
  ""
)
</f>
        <v/>
      </c>
      <c r="B7721" s="26"/>
      <c r="C7721" s="12"/>
      <c r="D7721" s="13"/>
      <c r="E7721" s="4"/>
      <c r="F7721" s="4" t="str">
        <f>IF(D7721="","", IFNA(VLOOKUP(D7721, SATCAT_DECAY!A:B, 2, FALSE), ""))
</f>
        <v/>
      </c>
      <c r="G7721" s="3"/>
    </row>
    <row r="7722" ht="22.5" hidden="1" customHeight="1">
      <c r="A7722" s="11" t="str">
        <f t="array" ref="A7722">IFERROR(
  INDEX('Starlink Launches'!$A:$A, MATCH($E7722, 'Starlink Launches'!$B:$B, 0)),
  ""
)
</f>
        <v/>
      </c>
      <c r="B7722" s="26"/>
      <c r="C7722" s="12"/>
      <c r="D7722" s="13"/>
      <c r="E7722" s="4"/>
      <c r="F7722" s="4" t="str">
        <f>IF(D7722="","", IFNA(VLOOKUP(D7722, SATCAT_DECAY!A:B, 2, FALSE), ""))
</f>
        <v/>
      </c>
      <c r="G7722" s="3"/>
    </row>
    <row r="7723" ht="22.5" hidden="1" customHeight="1">
      <c r="A7723" s="11" t="str">
        <f t="array" ref="A7723">IFERROR(
  INDEX('Starlink Launches'!$A:$A, MATCH($E7723, 'Starlink Launches'!$B:$B, 0)),
  ""
)
</f>
        <v/>
      </c>
      <c r="B7723" s="26"/>
      <c r="C7723" s="12"/>
      <c r="D7723" s="13"/>
      <c r="E7723" s="4"/>
      <c r="F7723" s="4" t="str">
        <f>IF(D7723="","", IFNA(VLOOKUP(D7723, SATCAT_DECAY!A:B, 2, FALSE), ""))
</f>
        <v/>
      </c>
      <c r="G7723" s="3"/>
    </row>
    <row r="7724" ht="22.5" hidden="1" customHeight="1">
      <c r="A7724" s="11" t="str">
        <f t="array" ref="A7724">IFERROR(
  INDEX('Starlink Launches'!$A:$A, MATCH($E7724, 'Starlink Launches'!$B:$B, 0)),
  ""
)
</f>
        <v/>
      </c>
      <c r="B7724" s="26"/>
      <c r="C7724" s="12"/>
      <c r="D7724" s="13"/>
      <c r="E7724" s="4"/>
      <c r="F7724" s="4" t="str">
        <f>IF(D7724="","", IFNA(VLOOKUP(D7724, SATCAT_DECAY!A:B, 2, FALSE), ""))
</f>
        <v/>
      </c>
      <c r="G7724" s="3"/>
    </row>
    <row r="7725" ht="22.5" hidden="1" customHeight="1">
      <c r="A7725" s="11" t="str">
        <f t="array" ref="A7725">IFERROR(
  INDEX('Starlink Launches'!$A:$A, MATCH($E7725, 'Starlink Launches'!$B:$B, 0)),
  ""
)
</f>
        <v/>
      </c>
      <c r="B7725" s="26"/>
      <c r="C7725" s="12"/>
      <c r="D7725" s="13"/>
      <c r="E7725" s="4"/>
      <c r="F7725" s="4" t="str">
        <f>IF(D7725="","", IFNA(VLOOKUP(D7725, SATCAT_DECAY!A:B, 2, FALSE), ""))
</f>
        <v/>
      </c>
      <c r="G7725" s="3"/>
    </row>
    <row r="7726" ht="22.5" hidden="1" customHeight="1">
      <c r="A7726" s="11" t="str">
        <f t="array" ref="A7726">IFERROR(
  INDEX('Starlink Launches'!$A:$A, MATCH($E7726, 'Starlink Launches'!$B:$B, 0)),
  ""
)
</f>
        <v/>
      </c>
      <c r="B7726" s="26"/>
      <c r="C7726" s="12"/>
      <c r="D7726" s="13"/>
      <c r="E7726" s="4"/>
      <c r="F7726" s="4" t="str">
        <f>IF(D7726="","", IFNA(VLOOKUP(D7726, SATCAT_DECAY!A:B, 2, FALSE), ""))
</f>
        <v/>
      </c>
      <c r="G7726" s="3"/>
    </row>
    <row r="7727" ht="22.5" hidden="1" customHeight="1">
      <c r="A7727" s="11" t="str">
        <f t="array" ref="A7727">IFERROR(
  INDEX('Starlink Launches'!$A:$A, MATCH($E7727, 'Starlink Launches'!$B:$B, 0)),
  ""
)
</f>
        <v/>
      </c>
      <c r="B7727" s="26"/>
      <c r="C7727" s="12"/>
      <c r="D7727" s="13"/>
      <c r="E7727" s="4"/>
      <c r="F7727" s="4" t="str">
        <f>IF(D7727="","", IFNA(VLOOKUP(D7727, SATCAT_DECAY!A:B, 2, FALSE), ""))
</f>
        <v/>
      </c>
      <c r="G7727" s="3"/>
    </row>
    <row r="7728" ht="22.5" hidden="1" customHeight="1">
      <c r="A7728" s="11" t="str">
        <f t="array" ref="A7728">IFERROR(
  INDEX('Starlink Launches'!$A:$A, MATCH($E7728, 'Starlink Launches'!$B:$B, 0)),
  ""
)
</f>
        <v/>
      </c>
      <c r="B7728" s="26"/>
      <c r="C7728" s="12"/>
      <c r="D7728" s="13"/>
      <c r="E7728" s="4"/>
      <c r="F7728" s="4" t="str">
        <f>IF(D7728="","", IFNA(VLOOKUP(D7728, SATCAT_DECAY!A:B, 2, FALSE), ""))
</f>
        <v/>
      </c>
      <c r="G7728" s="3"/>
    </row>
    <row r="7729" ht="22.5" hidden="1" customHeight="1">
      <c r="A7729" s="11" t="str">
        <f t="array" ref="A7729">IFERROR(
  INDEX('Starlink Launches'!$A:$A, MATCH($E7729, 'Starlink Launches'!$B:$B, 0)),
  ""
)
</f>
        <v/>
      </c>
      <c r="B7729" s="26"/>
      <c r="C7729" s="12"/>
      <c r="D7729" s="13"/>
      <c r="E7729" s="4"/>
      <c r="F7729" s="4" t="str">
        <f>IF(D7729="","", IFNA(VLOOKUP(D7729, SATCAT_DECAY!A:B, 2, FALSE), ""))
</f>
        <v/>
      </c>
      <c r="G7729" s="3"/>
    </row>
    <row r="7730" ht="22.5" hidden="1" customHeight="1">
      <c r="A7730" s="11" t="str">
        <f t="array" ref="A7730">IFERROR(
  INDEX('Starlink Launches'!$A:$A, MATCH($E7730, 'Starlink Launches'!$B:$B, 0)),
  ""
)
</f>
        <v/>
      </c>
      <c r="B7730" s="26"/>
      <c r="C7730" s="12"/>
      <c r="D7730" s="13"/>
      <c r="E7730" s="4"/>
      <c r="F7730" s="4" t="str">
        <f>IF(D7730="","", IFNA(VLOOKUP(D7730, SATCAT_DECAY!A:B, 2, FALSE), ""))
</f>
        <v/>
      </c>
      <c r="G7730" s="3"/>
    </row>
    <row r="7731" ht="22.5" hidden="1" customHeight="1">
      <c r="A7731" s="11" t="str">
        <f t="array" ref="A7731">IFERROR(
  INDEX('Starlink Launches'!$A:$A, MATCH($E7731, 'Starlink Launches'!$B:$B, 0)),
  ""
)
</f>
        <v/>
      </c>
      <c r="B7731" s="26"/>
      <c r="C7731" s="12"/>
      <c r="D7731" s="13"/>
      <c r="E7731" s="4"/>
      <c r="F7731" s="4" t="str">
        <f>IF(D7731="","", IFNA(VLOOKUP(D7731, SATCAT_DECAY!A:B, 2, FALSE), ""))
</f>
        <v/>
      </c>
      <c r="G7731" s="3"/>
    </row>
    <row r="7732" ht="22.5" hidden="1" customHeight="1">
      <c r="A7732" s="11" t="str">
        <f t="array" ref="A7732">IFERROR(
  INDEX('Starlink Launches'!$A:$A, MATCH($E7732, 'Starlink Launches'!$B:$B, 0)),
  ""
)
</f>
        <v/>
      </c>
      <c r="B7732" s="26"/>
      <c r="C7732" s="12"/>
      <c r="D7732" s="13"/>
      <c r="E7732" s="4"/>
      <c r="F7732" s="4" t="str">
        <f>IF(D7732="","", IFNA(VLOOKUP(D7732, SATCAT_DECAY!A:B, 2, FALSE), ""))
</f>
        <v/>
      </c>
      <c r="G7732" s="3"/>
    </row>
    <row r="7733" ht="22.5" hidden="1" customHeight="1">
      <c r="A7733" s="11" t="str">
        <f t="array" ref="A7733">IFERROR(
  INDEX('Starlink Launches'!$A:$A, MATCH($E7733, 'Starlink Launches'!$B:$B, 0)),
  ""
)
</f>
        <v/>
      </c>
      <c r="B7733" s="26"/>
      <c r="C7733" s="12"/>
      <c r="D7733" s="13"/>
      <c r="E7733" s="4"/>
      <c r="F7733" s="4" t="str">
        <f>IF(D7733="","", IFNA(VLOOKUP(D7733, SATCAT_DECAY!A:B, 2, FALSE), ""))
</f>
        <v/>
      </c>
      <c r="G7733" s="3"/>
    </row>
    <row r="7734" ht="22.5" hidden="1" customHeight="1">
      <c r="A7734" s="11" t="str">
        <f t="array" ref="A7734">IFERROR(
  INDEX('Starlink Launches'!$A:$A, MATCH($E7734, 'Starlink Launches'!$B:$B, 0)),
  ""
)
</f>
        <v/>
      </c>
      <c r="B7734" s="26"/>
      <c r="C7734" s="12"/>
      <c r="D7734" s="13"/>
      <c r="E7734" s="4"/>
      <c r="F7734" s="4" t="str">
        <f>IF(D7734="","", IFNA(VLOOKUP(D7734, SATCAT_DECAY!A:B, 2, FALSE), ""))
</f>
        <v/>
      </c>
      <c r="G7734" s="3"/>
    </row>
    <row r="7735" ht="22.5" hidden="1" customHeight="1">
      <c r="A7735" s="11" t="str">
        <f t="array" ref="A7735">IFERROR(
  INDEX('Starlink Launches'!$A:$A, MATCH($E7735, 'Starlink Launches'!$B:$B, 0)),
  ""
)
</f>
        <v/>
      </c>
      <c r="B7735" s="26"/>
      <c r="C7735" s="12"/>
      <c r="D7735" s="13"/>
      <c r="E7735" s="4"/>
      <c r="F7735" s="4" t="str">
        <f>IF(D7735="","", IFNA(VLOOKUP(D7735, SATCAT_DECAY!A:B, 2, FALSE), ""))
</f>
        <v/>
      </c>
      <c r="G7735" s="3"/>
    </row>
    <row r="7736" ht="22.5" hidden="1" customHeight="1">
      <c r="A7736" s="11" t="str">
        <f t="array" ref="A7736">IFERROR(
  INDEX('Starlink Launches'!$A:$A, MATCH($E7736, 'Starlink Launches'!$B:$B, 0)),
  ""
)
</f>
        <v/>
      </c>
      <c r="B7736" s="26"/>
      <c r="C7736" s="12"/>
      <c r="D7736" s="13"/>
      <c r="E7736" s="4"/>
      <c r="F7736" s="4" t="str">
        <f>IF(D7736="","", IFNA(VLOOKUP(D7736, SATCAT_DECAY!A:B, 2, FALSE), ""))
</f>
        <v/>
      </c>
      <c r="G7736" s="3"/>
    </row>
    <row r="7737" ht="22.5" hidden="1" customHeight="1">
      <c r="A7737" s="11" t="str">
        <f t="array" ref="A7737">IFERROR(
  INDEX('Starlink Launches'!$A:$A, MATCH($E7737, 'Starlink Launches'!$B:$B, 0)),
  ""
)
</f>
        <v/>
      </c>
      <c r="B7737" s="26"/>
      <c r="C7737" s="12"/>
      <c r="D7737" s="13"/>
      <c r="E7737" s="4"/>
      <c r="F7737" s="4" t="str">
        <f>IF(D7737="","", IFNA(VLOOKUP(D7737, SATCAT_DECAY!A:B, 2, FALSE), ""))
</f>
        <v/>
      </c>
      <c r="G7737" s="3"/>
    </row>
    <row r="7738" ht="22.5" hidden="1" customHeight="1">
      <c r="A7738" s="11" t="str">
        <f t="array" ref="A7738">IFERROR(
  INDEX('Starlink Launches'!$A:$A, MATCH($E7738, 'Starlink Launches'!$B:$B, 0)),
  ""
)
</f>
        <v/>
      </c>
      <c r="B7738" s="26"/>
      <c r="C7738" s="12"/>
      <c r="D7738" s="13"/>
      <c r="E7738" s="4"/>
      <c r="F7738" s="4" t="str">
        <f>IF(D7738="","", IFNA(VLOOKUP(D7738, SATCAT_DECAY!A:B, 2, FALSE), ""))
</f>
        <v/>
      </c>
      <c r="G7738" s="3"/>
    </row>
    <row r="7739" ht="22.5" hidden="1" customHeight="1">
      <c r="A7739" s="11" t="str">
        <f t="array" ref="A7739">IFERROR(
  INDEX('Starlink Launches'!$A:$A, MATCH($E7739, 'Starlink Launches'!$B:$B, 0)),
  ""
)
</f>
        <v/>
      </c>
      <c r="B7739" s="26"/>
      <c r="C7739" s="12"/>
      <c r="D7739" s="13"/>
      <c r="E7739" s="4"/>
      <c r="F7739" s="4" t="str">
        <f>IF(D7739="","", IFNA(VLOOKUP(D7739, SATCAT_DECAY!A:B, 2, FALSE), ""))
</f>
        <v/>
      </c>
      <c r="G7739" s="3"/>
    </row>
    <row r="7740" ht="22.5" hidden="1" customHeight="1">
      <c r="A7740" s="11" t="str">
        <f t="array" ref="A7740">IFERROR(
  INDEX('Starlink Launches'!$A:$A, MATCH($E7740, 'Starlink Launches'!$B:$B, 0)),
  ""
)
</f>
        <v/>
      </c>
      <c r="B7740" s="26"/>
      <c r="C7740" s="12"/>
      <c r="D7740" s="13"/>
      <c r="E7740" s="4"/>
      <c r="F7740" s="4" t="str">
        <f>IF(D7740="","", IFNA(VLOOKUP(D7740, SATCAT_DECAY!A:B, 2, FALSE), ""))
</f>
        <v/>
      </c>
      <c r="G7740" s="3"/>
    </row>
    <row r="7741" ht="22.5" hidden="1" customHeight="1">
      <c r="A7741" s="11" t="str">
        <f t="array" ref="A7741">IFERROR(
  INDEX('Starlink Launches'!$A:$A, MATCH($E7741, 'Starlink Launches'!$B:$B, 0)),
  ""
)
</f>
        <v/>
      </c>
      <c r="B7741" s="26"/>
      <c r="C7741" s="12"/>
      <c r="D7741" s="13"/>
      <c r="E7741" s="4"/>
      <c r="F7741" s="4" t="str">
        <f>IF(D7741="","", IFNA(VLOOKUP(D7741, SATCAT_DECAY!A:B, 2, FALSE), ""))
</f>
        <v/>
      </c>
      <c r="G7741" s="3"/>
    </row>
    <row r="7742" ht="22.5" hidden="1" customHeight="1">
      <c r="A7742" s="11" t="str">
        <f t="array" ref="A7742">IFERROR(
  INDEX('Starlink Launches'!$A:$A, MATCH($E7742, 'Starlink Launches'!$B:$B, 0)),
  ""
)
</f>
        <v/>
      </c>
      <c r="B7742" s="26"/>
      <c r="C7742" s="12"/>
      <c r="D7742" s="13"/>
      <c r="E7742" s="4"/>
      <c r="F7742" s="4" t="str">
        <f>IF(D7742="","", IFNA(VLOOKUP(D7742, SATCAT_DECAY!A:B, 2, FALSE), ""))
</f>
        <v/>
      </c>
      <c r="G7742" s="3"/>
    </row>
    <row r="7743" ht="22.5" hidden="1" customHeight="1">
      <c r="A7743" s="11" t="str">
        <f t="array" ref="A7743">IFERROR(
  INDEX('Starlink Launches'!$A:$A, MATCH($E7743, 'Starlink Launches'!$B:$B, 0)),
  ""
)
</f>
        <v/>
      </c>
      <c r="B7743" s="26"/>
      <c r="C7743" s="12"/>
      <c r="D7743" s="13"/>
      <c r="E7743" s="4"/>
      <c r="F7743" s="4" t="str">
        <f>IF(D7743="","", IFNA(VLOOKUP(D7743, SATCAT_DECAY!A:B, 2, FALSE), ""))
</f>
        <v/>
      </c>
      <c r="G7743" s="3"/>
    </row>
    <row r="7744" ht="22.5" hidden="1" customHeight="1">
      <c r="A7744" s="11" t="str">
        <f t="array" ref="A7744">IFERROR(
  INDEX('Starlink Launches'!$A:$A, MATCH($E7744, 'Starlink Launches'!$B:$B, 0)),
  ""
)
</f>
        <v/>
      </c>
      <c r="B7744" s="26"/>
      <c r="C7744" s="12"/>
      <c r="D7744" s="13"/>
      <c r="E7744" s="4"/>
      <c r="F7744" s="4" t="str">
        <f>IF(D7744="","", IFNA(VLOOKUP(D7744, SATCAT_DECAY!A:B, 2, FALSE), ""))
</f>
        <v/>
      </c>
      <c r="G7744" s="3"/>
    </row>
    <row r="7745" ht="22.5" hidden="1" customHeight="1">
      <c r="A7745" s="11" t="str">
        <f t="array" ref="A7745">IFERROR(
  INDEX('Starlink Launches'!$A:$A, MATCH($E7745, 'Starlink Launches'!$B:$B, 0)),
  ""
)
</f>
        <v/>
      </c>
      <c r="B7745" s="26"/>
      <c r="C7745" s="12"/>
      <c r="D7745" s="13"/>
      <c r="E7745" s="4"/>
      <c r="F7745" s="4" t="str">
        <f>IF(D7745="","", IFNA(VLOOKUP(D7745, SATCAT_DECAY!A:B, 2, FALSE), ""))
</f>
        <v/>
      </c>
      <c r="G7745" s="3"/>
    </row>
    <row r="7746" ht="22.5" hidden="1" customHeight="1">
      <c r="A7746" s="11" t="str">
        <f t="array" ref="A7746">IFERROR(
  INDEX('Starlink Launches'!$A:$A, MATCH($E7746, 'Starlink Launches'!$B:$B, 0)),
  ""
)
</f>
        <v/>
      </c>
      <c r="B7746" s="26"/>
      <c r="C7746" s="12"/>
      <c r="D7746" s="13"/>
      <c r="E7746" s="4"/>
      <c r="F7746" s="4" t="str">
        <f>IF(D7746="","", IFNA(VLOOKUP(D7746, SATCAT_DECAY!A:B, 2, FALSE), ""))
</f>
        <v/>
      </c>
      <c r="G7746" s="3"/>
    </row>
    <row r="7747" ht="22.5" hidden="1" customHeight="1">
      <c r="A7747" s="11" t="str">
        <f t="array" ref="A7747">IFERROR(
  INDEX('Starlink Launches'!$A:$A, MATCH($E7747, 'Starlink Launches'!$B:$B, 0)),
  ""
)
</f>
        <v/>
      </c>
      <c r="B7747" s="26"/>
      <c r="C7747" s="12"/>
      <c r="D7747" s="13"/>
      <c r="E7747" s="4"/>
      <c r="F7747" s="4" t="str">
        <f>IF(D7747="","", IFNA(VLOOKUP(D7747, SATCAT_DECAY!A:B, 2, FALSE), ""))
</f>
        <v/>
      </c>
      <c r="G7747" s="3"/>
    </row>
    <row r="7748" ht="22.5" hidden="1" customHeight="1">
      <c r="A7748" s="11" t="str">
        <f t="array" ref="A7748">IFERROR(
  INDEX('Starlink Launches'!$A:$A, MATCH($E7748, 'Starlink Launches'!$B:$B, 0)),
  ""
)
</f>
        <v/>
      </c>
      <c r="B7748" s="26"/>
      <c r="C7748" s="12"/>
      <c r="D7748" s="13"/>
      <c r="E7748" s="4"/>
      <c r="F7748" s="4" t="str">
        <f>IF(D7748="","", IFNA(VLOOKUP(D7748, SATCAT_DECAY!A:B, 2, FALSE), ""))
</f>
        <v/>
      </c>
      <c r="G7748" s="3"/>
    </row>
    <row r="7749" ht="22.5" hidden="1" customHeight="1">
      <c r="A7749" s="11" t="str">
        <f t="array" ref="A7749">IFERROR(
  INDEX('Starlink Launches'!$A:$A, MATCH($E7749, 'Starlink Launches'!$B:$B, 0)),
  ""
)
</f>
        <v/>
      </c>
      <c r="B7749" s="26"/>
      <c r="C7749" s="12"/>
      <c r="D7749" s="13"/>
      <c r="E7749" s="4"/>
      <c r="F7749" s="4" t="str">
        <f>IF(D7749="","", IFNA(VLOOKUP(D7749, SATCAT_DECAY!A:B, 2, FALSE), ""))
</f>
        <v/>
      </c>
      <c r="G7749" s="3"/>
    </row>
    <row r="7750" ht="22.5" hidden="1" customHeight="1">
      <c r="A7750" s="11" t="str">
        <f t="array" ref="A7750">IFERROR(
  INDEX('Starlink Launches'!$A:$A, MATCH($E7750, 'Starlink Launches'!$B:$B, 0)),
  ""
)
</f>
        <v/>
      </c>
      <c r="B7750" s="26"/>
      <c r="C7750" s="12"/>
      <c r="D7750" s="13"/>
      <c r="E7750" s="4"/>
      <c r="F7750" s="4" t="str">
        <f>IF(D7750="","", IFNA(VLOOKUP(D7750, SATCAT_DECAY!A:B, 2, FALSE), ""))
</f>
        <v/>
      </c>
      <c r="G7750" s="3"/>
    </row>
    <row r="7751" ht="22.5" hidden="1" customHeight="1">
      <c r="A7751" s="11" t="str">
        <f t="array" ref="A7751">IFERROR(
  INDEX('Starlink Launches'!$A:$A, MATCH($E7751, 'Starlink Launches'!$B:$B, 0)),
  ""
)
</f>
        <v/>
      </c>
      <c r="B7751" s="26"/>
      <c r="C7751" s="12"/>
      <c r="D7751" s="13"/>
      <c r="E7751" s="4"/>
      <c r="F7751" s="4" t="str">
        <f>IF(D7751="","", IFNA(VLOOKUP(D7751, SATCAT_DECAY!A:B, 2, FALSE), ""))
</f>
        <v/>
      </c>
      <c r="G7751" s="3"/>
    </row>
    <row r="7752" ht="22.5" hidden="1" customHeight="1">
      <c r="A7752" s="11" t="str">
        <f t="array" ref="A7752">IFERROR(
  INDEX('Starlink Launches'!$A:$A, MATCH($E7752, 'Starlink Launches'!$B:$B, 0)),
  ""
)
</f>
        <v/>
      </c>
      <c r="B7752" s="26"/>
      <c r="C7752" s="12"/>
      <c r="D7752" s="13"/>
      <c r="E7752" s="4"/>
      <c r="F7752" s="4" t="str">
        <f>IF(D7752="","", IFNA(VLOOKUP(D7752, SATCAT_DECAY!A:B, 2, FALSE), ""))
</f>
        <v/>
      </c>
      <c r="G7752" s="3"/>
    </row>
    <row r="7753" ht="22.5" hidden="1" customHeight="1">
      <c r="A7753" s="11" t="str">
        <f t="array" ref="A7753">IFERROR(
  INDEX('Starlink Launches'!$A:$A, MATCH($E7753, 'Starlink Launches'!$B:$B, 0)),
  ""
)
</f>
        <v/>
      </c>
      <c r="B7753" s="26"/>
      <c r="C7753" s="12"/>
      <c r="D7753" s="13"/>
      <c r="E7753" s="4"/>
      <c r="F7753" s="4" t="str">
        <f>IF(D7753="","", IFNA(VLOOKUP(D7753, SATCAT_DECAY!A:B, 2, FALSE), ""))
</f>
        <v/>
      </c>
      <c r="G7753" s="3"/>
    </row>
    <row r="7754" ht="22.5" hidden="1" customHeight="1">
      <c r="A7754" s="11" t="str">
        <f t="array" ref="A7754">IFERROR(
  INDEX('Starlink Launches'!$A:$A, MATCH($E7754, 'Starlink Launches'!$B:$B, 0)),
  ""
)
</f>
        <v/>
      </c>
      <c r="B7754" s="26"/>
      <c r="C7754" s="12"/>
      <c r="D7754" s="13"/>
      <c r="E7754" s="4"/>
      <c r="F7754" s="4" t="str">
        <f>IF(D7754="","", IFNA(VLOOKUP(D7754, SATCAT_DECAY!A:B, 2, FALSE), ""))
</f>
        <v/>
      </c>
      <c r="G7754" s="3"/>
    </row>
    <row r="7755" ht="22.5" hidden="1" customHeight="1">
      <c r="A7755" s="11" t="str">
        <f t="array" ref="A7755">IFERROR(
  INDEX('Starlink Launches'!$A:$A, MATCH($E7755, 'Starlink Launches'!$B:$B, 0)),
  ""
)
</f>
        <v/>
      </c>
      <c r="B7755" s="26"/>
      <c r="C7755" s="12"/>
      <c r="D7755" s="13"/>
      <c r="E7755" s="4"/>
      <c r="F7755" s="4" t="str">
        <f>IF(D7755="","", IFNA(VLOOKUP(D7755, SATCAT_DECAY!A:B, 2, FALSE), ""))
</f>
        <v/>
      </c>
      <c r="G7755" s="3"/>
    </row>
    <row r="7756" ht="22.5" hidden="1" customHeight="1">
      <c r="A7756" s="11" t="str">
        <f t="array" ref="A7756">IFERROR(
  INDEX('Starlink Launches'!$A:$A, MATCH($E7756, 'Starlink Launches'!$B:$B, 0)),
  ""
)
</f>
        <v/>
      </c>
      <c r="B7756" s="26"/>
      <c r="C7756" s="12"/>
      <c r="D7756" s="13"/>
      <c r="E7756" s="4"/>
      <c r="F7756" s="4" t="str">
        <f>IF(D7756="","", IFNA(VLOOKUP(D7756, SATCAT_DECAY!A:B, 2, FALSE), ""))
</f>
        <v/>
      </c>
      <c r="G7756" s="3"/>
    </row>
    <row r="7757" ht="22.5" hidden="1" customHeight="1">
      <c r="A7757" s="11" t="str">
        <f t="array" ref="A7757">IFERROR(
  INDEX('Starlink Launches'!$A:$A, MATCH($E7757, 'Starlink Launches'!$B:$B, 0)),
  ""
)
</f>
        <v/>
      </c>
      <c r="B7757" s="26"/>
      <c r="C7757" s="12"/>
      <c r="D7757" s="13"/>
      <c r="E7757" s="4"/>
      <c r="F7757" s="4" t="str">
        <f>IF(D7757="","", IFNA(VLOOKUP(D7757, SATCAT_DECAY!A:B, 2, FALSE), ""))
</f>
        <v/>
      </c>
      <c r="G7757" s="3"/>
    </row>
    <row r="7758" ht="22.5" hidden="1" customHeight="1">
      <c r="A7758" s="11" t="str">
        <f t="array" ref="A7758">IFERROR(
  INDEX('Starlink Launches'!$A:$A, MATCH($E7758, 'Starlink Launches'!$B:$B, 0)),
  ""
)
</f>
        <v/>
      </c>
      <c r="B7758" s="26"/>
      <c r="C7758" s="12"/>
      <c r="D7758" s="13"/>
      <c r="E7758" s="4"/>
      <c r="F7758" s="4" t="str">
        <f>IF(D7758="","", IFNA(VLOOKUP(D7758, SATCAT_DECAY!A:B, 2, FALSE), ""))
</f>
        <v/>
      </c>
      <c r="G7758" s="3"/>
    </row>
    <row r="7759" ht="22.5" hidden="1" customHeight="1">
      <c r="A7759" s="11" t="str">
        <f t="array" ref="A7759">IFERROR(
  INDEX('Starlink Launches'!$A:$A, MATCH($E7759, 'Starlink Launches'!$B:$B, 0)),
  ""
)
</f>
        <v/>
      </c>
      <c r="B7759" s="26"/>
      <c r="C7759" s="12"/>
      <c r="D7759" s="13"/>
      <c r="E7759" s="4"/>
      <c r="F7759" s="4" t="str">
        <f>IF(D7759="","", IFNA(VLOOKUP(D7759, SATCAT_DECAY!A:B, 2, FALSE), ""))
</f>
        <v/>
      </c>
      <c r="G7759" s="3"/>
    </row>
    <row r="7760" ht="22.5" hidden="1" customHeight="1">
      <c r="A7760" s="11" t="str">
        <f t="array" ref="A7760">IFERROR(
  INDEX('Starlink Launches'!$A:$A, MATCH($E7760, 'Starlink Launches'!$B:$B, 0)),
  ""
)
</f>
        <v/>
      </c>
      <c r="B7760" s="26"/>
      <c r="C7760" s="12"/>
      <c r="D7760" s="13"/>
      <c r="E7760" s="4"/>
      <c r="F7760" s="4" t="str">
        <f>IF(D7760="","", IFNA(VLOOKUP(D7760, SATCAT_DECAY!A:B, 2, FALSE), ""))
</f>
        <v/>
      </c>
      <c r="G7760" s="3"/>
    </row>
    <row r="7761" ht="22.5" hidden="1" customHeight="1">
      <c r="A7761" s="11" t="str">
        <f t="array" ref="A7761">IFERROR(
  INDEX('Starlink Launches'!$A:$A, MATCH($E7761, 'Starlink Launches'!$B:$B, 0)),
  ""
)
</f>
        <v/>
      </c>
      <c r="B7761" s="26"/>
      <c r="C7761" s="12"/>
      <c r="D7761" s="13"/>
      <c r="E7761" s="4"/>
      <c r="F7761" s="4" t="str">
        <f>IF(D7761="","", IFNA(VLOOKUP(D7761, SATCAT_DECAY!A:B, 2, FALSE), ""))
</f>
        <v/>
      </c>
      <c r="G7761" s="3"/>
    </row>
    <row r="7762" ht="22.5" hidden="1" customHeight="1">
      <c r="A7762" s="11" t="str">
        <f t="array" ref="A7762">IFERROR(
  INDEX('Starlink Launches'!$A:$A, MATCH($E7762, 'Starlink Launches'!$B:$B, 0)),
  ""
)
</f>
        <v/>
      </c>
      <c r="B7762" s="26"/>
      <c r="C7762" s="12"/>
      <c r="D7762" s="13"/>
      <c r="E7762" s="4"/>
      <c r="F7762" s="4" t="str">
        <f>IF(D7762="","", IFNA(VLOOKUP(D7762, SATCAT_DECAY!A:B, 2, FALSE), ""))
</f>
        <v/>
      </c>
      <c r="G7762" s="3"/>
    </row>
    <row r="7763" ht="22.5" hidden="1" customHeight="1">
      <c r="A7763" s="11" t="str">
        <f t="array" ref="A7763">IFERROR(
  INDEX('Starlink Launches'!$A:$A, MATCH($E7763, 'Starlink Launches'!$B:$B, 0)),
  ""
)
</f>
        <v/>
      </c>
      <c r="B7763" s="26"/>
      <c r="C7763" s="12"/>
      <c r="D7763" s="13"/>
      <c r="E7763" s="4"/>
      <c r="F7763" s="4" t="str">
        <f>IF(D7763="","", IFNA(VLOOKUP(D7763, SATCAT_DECAY!A:B, 2, FALSE), ""))
</f>
        <v/>
      </c>
      <c r="G7763" s="3"/>
    </row>
    <row r="7764" ht="22.5" hidden="1" customHeight="1">
      <c r="A7764" s="11" t="str">
        <f t="array" ref="A7764">IFERROR(
  INDEX('Starlink Launches'!$A:$A, MATCH($E7764, 'Starlink Launches'!$B:$B, 0)),
  ""
)
</f>
        <v/>
      </c>
      <c r="B7764" s="26"/>
      <c r="C7764" s="12"/>
      <c r="D7764" s="13"/>
      <c r="E7764" s="4"/>
      <c r="F7764" s="4" t="str">
        <f>IF(D7764="","", IFNA(VLOOKUP(D7764, SATCAT_DECAY!A:B, 2, FALSE), ""))
</f>
        <v/>
      </c>
      <c r="G7764" s="3"/>
    </row>
    <row r="7765" ht="22.5" hidden="1" customHeight="1">
      <c r="A7765" s="11" t="str">
        <f t="array" ref="A7765">IFERROR(
  INDEX('Starlink Launches'!$A:$A, MATCH($E7765, 'Starlink Launches'!$B:$B, 0)),
  ""
)
</f>
        <v/>
      </c>
      <c r="B7765" s="26"/>
      <c r="C7765" s="12"/>
      <c r="D7765" s="13"/>
      <c r="E7765" s="4"/>
      <c r="F7765" s="4" t="str">
        <f>IF(D7765="","", IFNA(VLOOKUP(D7765, SATCAT_DECAY!A:B, 2, FALSE), ""))
</f>
        <v/>
      </c>
      <c r="G7765" s="3"/>
    </row>
    <row r="7766" ht="22.5" hidden="1" customHeight="1">
      <c r="A7766" s="11" t="str">
        <f t="array" ref="A7766">IFERROR(
  INDEX('Starlink Launches'!$A:$A, MATCH($E7766, 'Starlink Launches'!$B:$B, 0)),
  ""
)
</f>
        <v/>
      </c>
      <c r="B7766" s="26"/>
      <c r="C7766" s="12"/>
      <c r="D7766" s="13"/>
      <c r="E7766" s="4"/>
      <c r="F7766" s="4" t="str">
        <f>IF(D7766="","", IFNA(VLOOKUP(D7766, SATCAT_DECAY!A:B, 2, FALSE), ""))
</f>
        <v/>
      </c>
      <c r="G7766" s="3"/>
    </row>
    <row r="7767" ht="22.5" hidden="1" customHeight="1">
      <c r="A7767" s="11" t="str">
        <f t="array" ref="A7767">IFERROR(
  INDEX('Starlink Launches'!$A:$A, MATCH($E7767, 'Starlink Launches'!$B:$B, 0)),
  ""
)
</f>
        <v/>
      </c>
      <c r="B7767" s="26"/>
      <c r="C7767" s="12"/>
      <c r="D7767" s="13"/>
      <c r="E7767" s="4"/>
      <c r="F7767" s="4" t="str">
        <f>IF(D7767="","", IFNA(VLOOKUP(D7767, SATCAT_DECAY!A:B, 2, FALSE), ""))
</f>
        <v/>
      </c>
      <c r="G7767" s="3"/>
    </row>
    <row r="7768" ht="22.5" hidden="1" customHeight="1">
      <c r="A7768" s="11" t="str">
        <f t="array" ref="A7768">IFERROR(
  INDEX('Starlink Launches'!$A:$A, MATCH($E7768, 'Starlink Launches'!$B:$B, 0)),
  ""
)
</f>
        <v/>
      </c>
      <c r="B7768" s="26"/>
      <c r="C7768" s="12"/>
      <c r="D7768" s="13"/>
      <c r="E7768" s="4"/>
      <c r="F7768" s="4" t="str">
        <f>IF(D7768="","", IFNA(VLOOKUP(D7768, SATCAT_DECAY!A:B, 2, FALSE), ""))
</f>
        <v/>
      </c>
      <c r="G7768" s="3"/>
    </row>
    <row r="7769" ht="22.5" hidden="1" customHeight="1">
      <c r="A7769" s="11" t="str">
        <f t="array" ref="A7769">IFERROR(
  INDEX('Starlink Launches'!$A:$A, MATCH($E7769, 'Starlink Launches'!$B:$B, 0)),
  ""
)
</f>
        <v/>
      </c>
      <c r="B7769" s="26"/>
      <c r="C7769" s="12"/>
      <c r="D7769" s="13"/>
      <c r="E7769" s="4"/>
      <c r="F7769" s="4" t="str">
        <f>IF(D7769="","", IFNA(VLOOKUP(D7769, SATCAT_DECAY!A:B, 2, FALSE), ""))
</f>
        <v/>
      </c>
      <c r="G7769" s="3"/>
    </row>
    <row r="7770" ht="22.5" hidden="1" customHeight="1">
      <c r="A7770" s="11" t="str">
        <f t="array" ref="A7770">IFERROR(
  INDEX('Starlink Launches'!$A:$A, MATCH($E7770, 'Starlink Launches'!$B:$B, 0)),
  ""
)
</f>
        <v/>
      </c>
      <c r="B7770" s="26"/>
      <c r="C7770" s="12"/>
      <c r="D7770" s="13"/>
      <c r="E7770" s="4"/>
      <c r="F7770" s="4" t="str">
        <f>IF(D7770="","", IFNA(VLOOKUP(D7770, SATCAT_DECAY!A:B, 2, FALSE), ""))
</f>
        <v/>
      </c>
      <c r="G7770" s="3"/>
    </row>
    <row r="7771" ht="22.5" hidden="1" customHeight="1">
      <c r="A7771" s="11" t="str">
        <f t="array" ref="A7771">IFERROR(
  INDEX('Starlink Launches'!$A:$A, MATCH($E7771, 'Starlink Launches'!$B:$B, 0)),
  ""
)
</f>
        <v/>
      </c>
      <c r="B7771" s="26"/>
      <c r="C7771" s="12"/>
      <c r="D7771" s="13"/>
      <c r="E7771" s="4"/>
      <c r="F7771" s="4" t="str">
        <f>IF(D7771="","", IFNA(VLOOKUP(D7771, SATCAT_DECAY!A:B, 2, FALSE), ""))
</f>
        <v/>
      </c>
      <c r="G7771" s="3"/>
    </row>
    <row r="7772" ht="22.5" hidden="1" customHeight="1">
      <c r="A7772" s="11" t="str">
        <f t="array" ref="A7772">IFERROR(
  INDEX('Starlink Launches'!$A:$A, MATCH($E7772, 'Starlink Launches'!$B:$B, 0)),
  ""
)
</f>
        <v/>
      </c>
      <c r="B7772" s="26"/>
      <c r="C7772" s="12"/>
      <c r="D7772" s="13"/>
      <c r="E7772" s="4"/>
      <c r="F7772" s="4" t="str">
        <f>IF(D7772="","", IFNA(VLOOKUP(D7772, SATCAT_DECAY!A:B, 2, FALSE), ""))
</f>
        <v/>
      </c>
      <c r="G7772" s="3"/>
    </row>
    <row r="7773" ht="22.5" hidden="1" customHeight="1">
      <c r="A7773" s="11" t="str">
        <f t="array" ref="A7773">IFERROR(
  INDEX('Starlink Launches'!$A:$A, MATCH($E7773, 'Starlink Launches'!$B:$B, 0)),
  ""
)
</f>
        <v/>
      </c>
      <c r="B7773" s="26"/>
      <c r="C7773" s="12"/>
      <c r="D7773" s="13"/>
      <c r="E7773" s="4"/>
      <c r="F7773" s="4" t="str">
        <f>IF(D7773="","", IFNA(VLOOKUP(D7773, SATCAT_DECAY!A:B, 2, FALSE), ""))
</f>
        <v/>
      </c>
      <c r="G7773" s="3"/>
    </row>
    <row r="7774" ht="22.5" hidden="1" customHeight="1">
      <c r="A7774" s="11" t="str">
        <f t="array" ref="A7774">IFERROR(
  INDEX('Starlink Launches'!$A:$A, MATCH($E7774, 'Starlink Launches'!$B:$B, 0)),
  ""
)
</f>
        <v/>
      </c>
      <c r="B7774" s="26"/>
      <c r="C7774" s="12"/>
      <c r="D7774" s="13"/>
      <c r="E7774" s="4"/>
      <c r="F7774" s="4" t="str">
        <f>IF(D7774="","", IFNA(VLOOKUP(D7774, SATCAT_DECAY!A:B, 2, FALSE), ""))
</f>
        <v/>
      </c>
      <c r="G7774" s="3"/>
    </row>
    <row r="7775" ht="22.5" hidden="1" customHeight="1">
      <c r="A7775" s="11" t="str">
        <f t="array" ref="A7775">IFERROR(
  INDEX('Starlink Launches'!$A:$A, MATCH($E7775, 'Starlink Launches'!$B:$B, 0)),
  ""
)
</f>
        <v/>
      </c>
      <c r="B7775" s="26"/>
      <c r="C7775" s="12"/>
      <c r="D7775" s="13"/>
      <c r="E7775" s="4"/>
      <c r="F7775" s="4" t="str">
        <f>IF(D7775="","", IFNA(VLOOKUP(D7775, SATCAT_DECAY!A:B, 2, FALSE), ""))
</f>
        <v/>
      </c>
      <c r="G7775" s="3"/>
    </row>
    <row r="7776" ht="22.5" hidden="1" customHeight="1">
      <c r="A7776" s="11" t="str">
        <f t="array" ref="A7776">IFERROR(
  INDEX('Starlink Launches'!$A:$A, MATCH($E7776, 'Starlink Launches'!$B:$B, 0)),
  ""
)
</f>
        <v/>
      </c>
      <c r="B7776" s="26"/>
      <c r="C7776" s="12"/>
      <c r="D7776" s="13"/>
      <c r="E7776" s="4"/>
      <c r="F7776" s="4" t="str">
        <f>IF(D7776="","", IFNA(VLOOKUP(D7776, SATCAT_DECAY!A:B, 2, FALSE), ""))
</f>
        <v/>
      </c>
      <c r="G7776" s="3"/>
    </row>
    <row r="7777" ht="22.5" hidden="1" customHeight="1">
      <c r="A7777" s="11" t="str">
        <f t="array" ref="A7777">IFERROR(
  INDEX('Starlink Launches'!$A:$A, MATCH($E7777, 'Starlink Launches'!$B:$B, 0)),
  ""
)
</f>
        <v/>
      </c>
      <c r="B7777" s="26"/>
      <c r="C7777" s="12"/>
      <c r="D7777" s="13"/>
      <c r="E7777" s="4"/>
      <c r="F7777" s="4" t="str">
        <f>IF(D7777="","", IFNA(VLOOKUP(D7777, SATCAT_DECAY!A:B, 2, FALSE), ""))
</f>
        <v/>
      </c>
      <c r="G7777" s="3"/>
    </row>
    <row r="7778" ht="22.5" hidden="1" customHeight="1">
      <c r="A7778" s="11" t="str">
        <f t="array" ref="A7778">IFERROR(
  INDEX('Starlink Launches'!$A:$A, MATCH($E7778, 'Starlink Launches'!$B:$B, 0)),
  ""
)
</f>
        <v/>
      </c>
      <c r="B7778" s="26"/>
      <c r="C7778" s="12"/>
      <c r="D7778" s="13"/>
      <c r="E7778" s="4"/>
      <c r="F7778" s="4" t="str">
        <f>IF(D7778="","", IFNA(VLOOKUP(D7778, SATCAT_DECAY!A:B, 2, FALSE), ""))
</f>
        <v/>
      </c>
      <c r="G7778" s="3"/>
    </row>
    <row r="7779" ht="22.5" hidden="1" customHeight="1">
      <c r="A7779" s="11" t="str">
        <f t="array" ref="A7779">IFERROR(
  INDEX('Starlink Launches'!$A:$A, MATCH($E7779, 'Starlink Launches'!$B:$B, 0)),
  ""
)
</f>
        <v/>
      </c>
      <c r="B7779" s="26"/>
      <c r="C7779" s="12"/>
      <c r="D7779" s="13"/>
      <c r="E7779" s="4"/>
      <c r="F7779" s="4" t="str">
        <f>IF(D7779="","", IFNA(VLOOKUP(D7779, SATCAT_DECAY!A:B, 2, FALSE), ""))
</f>
        <v/>
      </c>
      <c r="G7779" s="3"/>
    </row>
    <row r="7780" ht="22.5" hidden="1" customHeight="1">
      <c r="A7780" s="11" t="str">
        <f t="array" ref="A7780">IFERROR(
  INDEX('Starlink Launches'!$A:$A, MATCH($E7780, 'Starlink Launches'!$B:$B, 0)),
  ""
)
</f>
        <v/>
      </c>
      <c r="B7780" s="26"/>
      <c r="C7780" s="12"/>
      <c r="D7780" s="13"/>
      <c r="E7780" s="4"/>
      <c r="F7780" s="4" t="str">
        <f>IF(D7780="","", IFNA(VLOOKUP(D7780, SATCAT_DECAY!A:B, 2, FALSE), ""))
</f>
        <v/>
      </c>
      <c r="G7780" s="3"/>
    </row>
    <row r="7781" ht="22.5" hidden="1" customHeight="1">
      <c r="A7781" s="11" t="str">
        <f t="array" ref="A7781">IFERROR(
  INDEX('Starlink Launches'!$A:$A, MATCH($E7781, 'Starlink Launches'!$B:$B, 0)),
  ""
)
</f>
        <v/>
      </c>
      <c r="B7781" s="26"/>
      <c r="C7781" s="12"/>
      <c r="D7781" s="13"/>
      <c r="E7781" s="4"/>
      <c r="F7781" s="4" t="str">
        <f>IF(D7781="","", IFNA(VLOOKUP(D7781, SATCAT_DECAY!A:B, 2, FALSE), ""))
</f>
        <v/>
      </c>
      <c r="G7781" s="3"/>
    </row>
    <row r="7782" ht="22.5" hidden="1" customHeight="1">
      <c r="A7782" s="11" t="str">
        <f t="array" ref="A7782">IFERROR(
  INDEX('Starlink Launches'!$A:$A, MATCH($E7782, 'Starlink Launches'!$B:$B, 0)),
  ""
)
</f>
        <v/>
      </c>
      <c r="B7782" s="26"/>
      <c r="C7782" s="12"/>
      <c r="D7782" s="13"/>
      <c r="E7782" s="4"/>
      <c r="F7782" s="4" t="str">
        <f>IF(D7782="","", IFNA(VLOOKUP(D7782, SATCAT_DECAY!A:B, 2, FALSE), ""))
</f>
        <v/>
      </c>
      <c r="G7782" s="3"/>
    </row>
    <row r="7783" ht="22.5" hidden="1" customHeight="1">
      <c r="A7783" s="11" t="str">
        <f t="array" ref="A7783">IFERROR(
  INDEX('Starlink Launches'!$A:$A, MATCH($E7783, 'Starlink Launches'!$B:$B, 0)),
  ""
)
</f>
        <v/>
      </c>
      <c r="B7783" s="26"/>
      <c r="C7783" s="12"/>
      <c r="D7783" s="13"/>
      <c r="E7783" s="4"/>
      <c r="F7783" s="4" t="str">
        <f>IF(D7783="","", IFNA(VLOOKUP(D7783, SATCAT_DECAY!A:B, 2, FALSE), ""))
</f>
        <v/>
      </c>
      <c r="G7783" s="3"/>
    </row>
    <row r="7784" ht="22.5" hidden="1" customHeight="1">
      <c r="A7784" s="11" t="str">
        <f t="array" ref="A7784">IFERROR(
  INDEX('Starlink Launches'!$A:$A, MATCH($E7784, 'Starlink Launches'!$B:$B, 0)),
  ""
)
</f>
        <v/>
      </c>
      <c r="B7784" s="26"/>
      <c r="C7784" s="12"/>
      <c r="D7784" s="13"/>
      <c r="E7784" s="4"/>
      <c r="F7784" s="4" t="str">
        <f>IF(D7784="","", IFNA(VLOOKUP(D7784, SATCAT_DECAY!A:B, 2, FALSE), ""))
</f>
        <v/>
      </c>
      <c r="G7784" s="3"/>
    </row>
    <row r="7785" ht="22.5" hidden="1" customHeight="1">
      <c r="A7785" s="11" t="str">
        <f t="array" ref="A7785">IFERROR(
  INDEX('Starlink Launches'!$A:$A, MATCH($E7785, 'Starlink Launches'!$B:$B, 0)),
  ""
)
</f>
        <v/>
      </c>
      <c r="B7785" s="26"/>
      <c r="C7785" s="12"/>
      <c r="D7785" s="13"/>
      <c r="E7785" s="4"/>
      <c r="F7785" s="4" t="str">
        <f>IF(D7785="","", IFNA(VLOOKUP(D7785, SATCAT_DECAY!A:B, 2, FALSE), ""))
</f>
        <v/>
      </c>
      <c r="G7785" s="3"/>
    </row>
    <row r="7786" ht="22.5" hidden="1" customHeight="1">
      <c r="A7786" s="11" t="str">
        <f t="array" ref="A7786">IFERROR(
  INDEX('Starlink Launches'!$A:$A, MATCH($E7786, 'Starlink Launches'!$B:$B, 0)),
  ""
)
</f>
        <v/>
      </c>
      <c r="B7786" s="26"/>
      <c r="C7786" s="12"/>
      <c r="D7786" s="13"/>
      <c r="E7786" s="4"/>
      <c r="F7786" s="4" t="str">
        <f>IF(D7786="","", IFNA(VLOOKUP(D7786, SATCAT_DECAY!A:B, 2, FALSE), ""))
</f>
        <v/>
      </c>
      <c r="G7786" s="3"/>
    </row>
    <row r="7787" ht="22.5" hidden="1" customHeight="1">
      <c r="A7787" s="11" t="str">
        <f t="array" ref="A7787">IFERROR(
  INDEX('Starlink Launches'!$A:$A, MATCH($E7787, 'Starlink Launches'!$B:$B, 0)),
  ""
)
</f>
        <v/>
      </c>
      <c r="B7787" s="26"/>
      <c r="C7787" s="12"/>
      <c r="D7787" s="13"/>
      <c r="E7787" s="4"/>
      <c r="F7787" s="4" t="str">
        <f>IF(D7787="","", IFNA(VLOOKUP(D7787, SATCAT_DECAY!A:B, 2, FALSE), ""))
</f>
        <v/>
      </c>
      <c r="G7787" s="3"/>
    </row>
    <row r="7788" ht="22.5" hidden="1" customHeight="1">
      <c r="A7788" s="11" t="str">
        <f t="array" ref="A7788">IFERROR(
  INDEX('Starlink Launches'!$A:$A, MATCH($E7788, 'Starlink Launches'!$B:$B, 0)),
  ""
)
</f>
        <v/>
      </c>
      <c r="B7788" s="26"/>
      <c r="C7788" s="12"/>
      <c r="D7788" s="13"/>
      <c r="E7788" s="4"/>
      <c r="F7788" s="4" t="str">
        <f>IF(D7788="","", IFNA(VLOOKUP(D7788, SATCAT_DECAY!A:B, 2, FALSE), ""))
</f>
        <v/>
      </c>
      <c r="G7788" s="3"/>
    </row>
    <row r="7789" ht="22.5" hidden="1" customHeight="1">
      <c r="A7789" s="11" t="str">
        <f t="array" ref="A7789">IFERROR(
  INDEX('Starlink Launches'!$A:$A, MATCH($E7789, 'Starlink Launches'!$B:$B, 0)),
  ""
)
</f>
        <v/>
      </c>
      <c r="B7789" s="26"/>
      <c r="C7789" s="12"/>
      <c r="D7789" s="13"/>
      <c r="E7789" s="4"/>
      <c r="F7789" s="4" t="str">
        <f>IF(D7789="","", IFNA(VLOOKUP(D7789, SATCAT_DECAY!A:B, 2, FALSE), ""))
</f>
        <v/>
      </c>
      <c r="G7789" s="3"/>
    </row>
    <row r="7790" ht="22.5" hidden="1" customHeight="1">
      <c r="A7790" s="11" t="str">
        <f t="array" ref="A7790">IFERROR(
  INDEX('Starlink Launches'!$A:$A, MATCH($E7790, 'Starlink Launches'!$B:$B, 0)),
  ""
)
</f>
        <v/>
      </c>
      <c r="B7790" s="26"/>
      <c r="C7790" s="12"/>
      <c r="D7790" s="13"/>
      <c r="E7790" s="4"/>
      <c r="F7790" s="4" t="str">
        <f>IF(D7790="","", IFNA(VLOOKUP(D7790, SATCAT_DECAY!A:B, 2, FALSE), ""))
</f>
        <v/>
      </c>
      <c r="G7790" s="3"/>
    </row>
    <row r="7791" ht="22.5" hidden="1" customHeight="1">
      <c r="A7791" s="11" t="str">
        <f t="array" ref="A7791">IFERROR(
  INDEX('Starlink Launches'!$A:$A, MATCH($E7791, 'Starlink Launches'!$B:$B, 0)),
  ""
)
</f>
        <v/>
      </c>
      <c r="B7791" s="26"/>
      <c r="C7791" s="12"/>
      <c r="D7791" s="13"/>
      <c r="E7791" s="4"/>
      <c r="F7791" s="4" t="str">
        <f>IF(D7791="","", IFNA(VLOOKUP(D7791, SATCAT_DECAY!A:B, 2, FALSE), ""))
</f>
        <v/>
      </c>
      <c r="G7791" s="3"/>
    </row>
    <row r="7792" ht="22.5" hidden="1" customHeight="1">
      <c r="A7792" s="11" t="str">
        <f t="array" ref="A7792">IFERROR(
  INDEX('Starlink Launches'!$A:$A, MATCH($E7792, 'Starlink Launches'!$B:$B, 0)),
  ""
)
</f>
        <v/>
      </c>
      <c r="B7792" s="26"/>
      <c r="C7792" s="12"/>
      <c r="D7792" s="13"/>
      <c r="E7792" s="4"/>
      <c r="F7792" s="4" t="str">
        <f>IF(D7792="","", IFNA(VLOOKUP(D7792, SATCAT_DECAY!A:B, 2, FALSE), ""))
</f>
        <v/>
      </c>
      <c r="G7792" s="3"/>
    </row>
    <row r="7793" ht="22.5" hidden="1" customHeight="1">
      <c r="A7793" s="11" t="str">
        <f t="array" ref="A7793">IFERROR(
  INDEX('Starlink Launches'!$A:$A, MATCH($E7793, 'Starlink Launches'!$B:$B, 0)),
  ""
)
</f>
        <v/>
      </c>
      <c r="B7793" s="26"/>
      <c r="C7793" s="12"/>
      <c r="D7793" s="13"/>
      <c r="E7793" s="4"/>
      <c r="F7793" s="4" t="str">
        <f>IF(D7793="","", IFNA(VLOOKUP(D7793, SATCAT_DECAY!A:B, 2, FALSE), ""))
</f>
        <v/>
      </c>
      <c r="G7793" s="3"/>
    </row>
    <row r="7794" ht="22.5" hidden="1" customHeight="1">
      <c r="A7794" s="11" t="str">
        <f t="array" ref="A7794">IFERROR(
  INDEX('Starlink Launches'!$A:$A, MATCH($E7794, 'Starlink Launches'!$B:$B, 0)),
  ""
)
</f>
        <v/>
      </c>
      <c r="B7794" s="26"/>
      <c r="C7794" s="12"/>
      <c r="D7794" s="13"/>
      <c r="E7794" s="4"/>
      <c r="F7794" s="4" t="str">
        <f>IF(D7794="","", IFNA(VLOOKUP(D7794, SATCAT_DECAY!A:B, 2, FALSE), ""))
</f>
        <v/>
      </c>
      <c r="G7794" s="3"/>
    </row>
    <row r="7795" ht="22.5" hidden="1" customHeight="1">
      <c r="A7795" s="11" t="str">
        <f t="array" ref="A7795">IFERROR(
  INDEX('Starlink Launches'!$A:$A, MATCH($E7795, 'Starlink Launches'!$B:$B, 0)),
  ""
)
</f>
        <v/>
      </c>
      <c r="B7795" s="26"/>
      <c r="C7795" s="12"/>
      <c r="D7795" s="13"/>
      <c r="E7795" s="4"/>
      <c r="F7795" s="4" t="str">
        <f>IF(D7795="","", IFNA(VLOOKUP(D7795, SATCAT_DECAY!A:B, 2, FALSE), ""))
</f>
        <v/>
      </c>
      <c r="G7795" s="3"/>
    </row>
    <row r="7796" ht="22.5" hidden="1" customHeight="1">
      <c r="A7796" s="11" t="str">
        <f t="array" ref="A7796">IFERROR(
  INDEX('Starlink Launches'!$A:$A, MATCH($E7796, 'Starlink Launches'!$B:$B, 0)),
  ""
)
</f>
        <v/>
      </c>
      <c r="B7796" s="26"/>
      <c r="C7796" s="12"/>
      <c r="D7796" s="13"/>
      <c r="E7796" s="4"/>
      <c r="F7796" s="4" t="str">
        <f>IF(D7796="","", IFNA(VLOOKUP(D7796, SATCAT_DECAY!A:B, 2, FALSE), ""))
</f>
        <v/>
      </c>
      <c r="G7796" s="3"/>
    </row>
    <row r="7797" ht="22.5" hidden="1" customHeight="1">
      <c r="A7797" s="11" t="str">
        <f t="array" ref="A7797">IFERROR(
  INDEX('Starlink Launches'!$A:$A, MATCH($E7797, 'Starlink Launches'!$B:$B, 0)),
  ""
)
</f>
        <v/>
      </c>
      <c r="B7797" s="26"/>
      <c r="C7797" s="12"/>
      <c r="D7797" s="13"/>
      <c r="E7797" s="4"/>
      <c r="F7797" s="4" t="str">
        <f>IF(D7797="","", IFNA(VLOOKUP(D7797, SATCAT_DECAY!A:B, 2, FALSE), ""))
</f>
        <v/>
      </c>
      <c r="G7797" s="3"/>
    </row>
    <row r="7798" ht="22.5" hidden="1" customHeight="1">
      <c r="A7798" s="11" t="str">
        <f t="array" ref="A7798">IFERROR(
  INDEX('Starlink Launches'!$A:$A, MATCH($E7798, 'Starlink Launches'!$B:$B, 0)),
  ""
)
</f>
        <v/>
      </c>
      <c r="B7798" s="26"/>
      <c r="C7798" s="12"/>
      <c r="D7798" s="13"/>
      <c r="E7798" s="4"/>
      <c r="F7798" s="4" t="str">
        <f>IF(D7798="","", IFNA(VLOOKUP(D7798, SATCAT_DECAY!A:B, 2, FALSE), ""))
</f>
        <v/>
      </c>
      <c r="G7798" s="3"/>
    </row>
    <row r="7799" ht="22.5" hidden="1" customHeight="1">
      <c r="A7799" s="11" t="str">
        <f t="array" ref="A7799">IFERROR(
  INDEX('Starlink Launches'!$A:$A, MATCH($E7799, 'Starlink Launches'!$B:$B, 0)),
  ""
)
</f>
        <v/>
      </c>
      <c r="B7799" s="26"/>
      <c r="C7799" s="12"/>
      <c r="D7799" s="13"/>
      <c r="E7799" s="4"/>
      <c r="F7799" s="4" t="str">
        <f>IF(D7799="","", IFNA(VLOOKUP(D7799, SATCAT_DECAY!A:B, 2, FALSE), ""))
</f>
        <v/>
      </c>
      <c r="G7799" s="3"/>
    </row>
    <row r="7800" ht="22.5" hidden="1" customHeight="1">
      <c r="A7800" s="11" t="str">
        <f t="array" ref="A7800">IFERROR(
  INDEX('Starlink Launches'!$A:$A, MATCH($E7800, 'Starlink Launches'!$B:$B, 0)),
  ""
)
</f>
        <v/>
      </c>
      <c r="B7800" s="26"/>
      <c r="C7800" s="12"/>
      <c r="D7800" s="13"/>
      <c r="E7800" s="4"/>
      <c r="F7800" s="4" t="str">
        <f>IF(D7800="","", IFNA(VLOOKUP(D7800, SATCAT_DECAY!A:B, 2, FALSE), ""))
</f>
        <v/>
      </c>
      <c r="G7800" s="3"/>
    </row>
    <row r="7801" ht="22.5" hidden="1" customHeight="1">
      <c r="A7801" s="11" t="str">
        <f t="array" ref="A7801">IFERROR(
  INDEX('Starlink Launches'!$A:$A, MATCH($E7801, 'Starlink Launches'!$B:$B, 0)),
  ""
)
</f>
        <v/>
      </c>
      <c r="B7801" s="26"/>
      <c r="C7801" s="12"/>
      <c r="D7801" s="13"/>
      <c r="E7801" s="4"/>
      <c r="F7801" s="4" t="str">
        <f>IF(D7801="","", IFNA(VLOOKUP(D7801, SATCAT_DECAY!A:B, 2, FALSE), ""))
</f>
        <v/>
      </c>
      <c r="G7801" s="3"/>
    </row>
    <row r="7802" ht="22.5" hidden="1" customHeight="1">
      <c r="A7802" s="11" t="str">
        <f t="array" ref="A7802">IFERROR(
  INDEX('Starlink Launches'!$A:$A, MATCH($E7802, 'Starlink Launches'!$B:$B, 0)),
  ""
)
</f>
        <v/>
      </c>
      <c r="B7802" s="26"/>
      <c r="C7802" s="12"/>
      <c r="D7802" s="13"/>
      <c r="E7802" s="4"/>
      <c r="F7802" s="4" t="str">
        <f>IF(D7802="","", IFNA(VLOOKUP(D7802, SATCAT_DECAY!A:B, 2, FALSE), ""))
</f>
        <v/>
      </c>
      <c r="G7802" s="3"/>
    </row>
    <row r="7803" ht="22.5" hidden="1" customHeight="1">
      <c r="A7803" s="11" t="str">
        <f t="array" ref="A7803">IFERROR(
  INDEX('Starlink Launches'!$A:$A, MATCH($E7803, 'Starlink Launches'!$B:$B, 0)),
  ""
)
</f>
        <v/>
      </c>
      <c r="B7803" s="26"/>
      <c r="C7803" s="12"/>
      <c r="D7803" s="13"/>
      <c r="E7803" s="4"/>
      <c r="F7803" s="4" t="str">
        <f>IF(D7803="","", IFNA(VLOOKUP(D7803, SATCAT_DECAY!A:B, 2, FALSE), ""))
</f>
        <v/>
      </c>
      <c r="G7803" s="3"/>
    </row>
    <row r="7804" ht="22.5" hidden="1" customHeight="1">
      <c r="A7804" s="11" t="str">
        <f t="array" ref="A7804">IFERROR(
  INDEX('Starlink Launches'!$A:$A, MATCH($E7804, 'Starlink Launches'!$B:$B, 0)),
  ""
)
</f>
        <v/>
      </c>
      <c r="B7804" s="26"/>
      <c r="C7804" s="12"/>
      <c r="D7804" s="13"/>
      <c r="E7804" s="4"/>
      <c r="F7804" s="4" t="str">
        <f>IF(D7804="","", IFNA(VLOOKUP(D7804, SATCAT_DECAY!A:B, 2, FALSE), ""))
</f>
        <v/>
      </c>
      <c r="G7804" s="3"/>
    </row>
    <row r="7805" ht="22.5" hidden="1" customHeight="1">
      <c r="A7805" s="11" t="str">
        <f t="array" ref="A7805">IFERROR(
  INDEX('Starlink Launches'!$A:$A, MATCH($E7805, 'Starlink Launches'!$B:$B, 0)),
  ""
)
</f>
        <v/>
      </c>
      <c r="B7805" s="26"/>
      <c r="C7805" s="12"/>
      <c r="D7805" s="13"/>
      <c r="E7805" s="4"/>
      <c r="F7805" s="4" t="str">
        <f>IF(D7805="","", IFNA(VLOOKUP(D7805, SATCAT_DECAY!A:B, 2, FALSE), ""))
</f>
        <v/>
      </c>
      <c r="G7805" s="3"/>
    </row>
    <row r="7806" ht="22.5" hidden="1" customHeight="1">
      <c r="A7806" s="11" t="str">
        <f t="array" ref="A7806">IFERROR(
  INDEX('Starlink Launches'!$A:$A, MATCH($E7806, 'Starlink Launches'!$B:$B, 0)),
  ""
)
</f>
        <v/>
      </c>
      <c r="B7806" s="26"/>
      <c r="C7806" s="12"/>
      <c r="D7806" s="13"/>
      <c r="E7806" s="4"/>
      <c r="F7806" s="4" t="str">
        <f>IF(D7806="","", IFNA(VLOOKUP(D7806, SATCAT_DECAY!A:B, 2, FALSE), ""))
</f>
        <v/>
      </c>
      <c r="G7806" s="3"/>
    </row>
    <row r="7807" ht="22.5" hidden="1" customHeight="1">
      <c r="A7807" s="11" t="str">
        <f t="array" ref="A7807">IFERROR(
  INDEX('Starlink Launches'!$A:$A, MATCH($E7807, 'Starlink Launches'!$B:$B, 0)),
  ""
)
</f>
        <v/>
      </c>
      <c r="B7807" s="26"/>
      <c r="C7807" s="12"/>
      <c r="D7807" s="13"/>
      <c r="E7807" s="4"/>
      <c r="F7807" s="4" t="str">
        <f>IF(D7807="","", IFNA(VLOOKUP(D7807, SATCAT_DECAY!A:B, 2, FALSE), ""))
</f>
        <v/>
      </c>
      <c r="G7807" s="3"/>
    </row>
    <row r="7808" ht="22.5" hidden="1" customHeight="1">
      <c r="A7808" s="11" t="str">
        <f t="array" ref="A7808">IFERROR(
  INDEX('Starlink Launches'!$A:$A, MATCH($E7808, 'Starlink Launches'!$B:$B, 0)),
  ""
)
</f>
        <v/>
      </c>
      <c r="B7808" s="26"/>
      <c r="C7808" s="12"/>
      <c r="D7808" s="13"/>
      <c r="E7808" s="4"/>
      <c r="F7808" s="4" t="str">
        <f>IF(D7808="","", IFNA(VLOOKUP(D7808, SATCAT_DECAY!A:B, 2, FALSE), ""))
</f>
        <v/>
      </c>
      <c r="G7808" s="3"/>
    </row>
    <row r="7809" ht="22.5" hidden="1" customHeight="1">
      <c r="A7809" s="11" t="str">
        <f t="array" ref="A7809">IFERROR(
  INDEX('Starlink Launches'!$A:$A, MATCH($E7809, 'Starlink Launches'!$B:$B, 0)),
  ""
)
</f>
        <v/>
      </c>
      <c r="B7809" s="26"/>
      <c r="C7809" s="12"/>
      <c r="D7809" s="13"/>
      <c r="E7809" s="4"/>
      <c r="F7809" s="4" t="str">
        <f>IF(D7809="","", IFNA(VLOOKUP(D7809, SATCAT_DECAY!A:B, 2, FALSE), ""))
</f>
        <v/>
      </c>
      <c r="G7809" s="3"/>
    </row>
    <row r="7810" ht="22.5" hidden="1" customHeight="1">
      <c r="A7810" s="11" t="str">
        <f t="array" ref="A7810">IFERROR(
  INDEX('Starlink Launches'!$A:$A, MATCH($E7810, 'Starlink Launches'!$B:$B, 0)),
  ""
)
</f>
        <v/>
      </c>
      <c r="B7810" s="26"/>
      <c r="C7810" s="12"/>
      <c r="D7810" s="13"/>
      <c r="E7810" s="4"/>
      <c r="F7810" s="4" t="str">
        <f>IF(D7810="","", IFNA(VLOOKUP(D7810, SATCAT_DECAY!A:B, 2, FALSE), ""))
</f>
        <v/>
      </c>
      <c r="G7810" s="3"/>
    </row>
    <row r="7811" ht="22.5" hidden="1" customHeight="1">
      <c r="A7811" s="11" t="str">
        <f t="array" ref="A7811">IFERROR(
  INDEX('Starlink Launches'!$A:$A, MATCH($E7811, 'Starlink Launches'!$B:$B, 0)),
  ""
)
</f>
        <v/>
      </c>
      <c r="B7811" s="26"/>
      <c r="C7811" s="12"/>
      <c r="D7811" s="13"/>
      <c r="E7811" s="4"/>
      <c r="F7811" s="4" t="str">
        <f>IF(D7811="","", IFNA(VLOOKUP(D7811, SATCAT_DECAY!A:B, 2, FALSE), ""))
</f>
        <v/>
      </c>
      <c r="G7811" s="3"/>
    </row>
    <row r="7812" ht="22.5" hidden="1" customHeight="1">
      <c r="A7812" s="11" t="str">
        <f t="array" ref="A7812">IFERROR(
  INDEX('Starlink Launches'!$A:$A, MATCH($E7812, 'Starlink Launches'!$B:$B, 0)),
  ""
)
</f>
        <v/>
      </c>
      <c r="B7812" s="26"/>
      <c r="C7812" s="12"/>
      <c r="D7812" s="13"/>
      <c r="E7812" s="4"/>
      <c r="F7812" s="4" t="str">
        <f>IF(D7812="","", IFNA(VLOOKUP(D7812, SATCAT_DECAY!A:B, 2, FALSE), ""))
</f>
        <v/>
      </c>
      <c r="G7812" s="3"/>
    </row>
    <row r="7813" ht="22.5" hidden="1" customHeight="1">
      <c r="A7813" s="11" t="str">
        <f t="array" ref="A7813">IFERROR(
  INDEX('Starlink Launches'!$A:$A, MATCH($E7813, 'Starlink Launches'!$B:$B, 0)),
  ""
)
</f>
        <v/>
      </c>
      <c r="B7813" s="26"/>
      <c r="C7813" s="12"/>
      <c r="D7813" s="13"/>
      <c r="E7813" s="4"/>
      <c r="F7813" s="4" t="str">
        <f>IF(D7813="","", IFNA(VLOOKUP(D7813, SATCAT_DECAY!A:B, 2, FALSE), ""))
</f>
        <v/>
      </c>
      <c r="G7813" s="3"/>
    </row>
    <row r="7814" ht="22.5" hidden="1" customHeight="1">
      <c r="A7814" s="11" t="str">
        <f t="array" ref="A7814">IFERROR(
  INDEX('Starlink Launches'!$A:$A, MATCH($E7814, 'Starlink Launches'!$B:$B, 0)),
  ""
)
</f>
        <v/>
      </c>
      <c r="B7814" s="26"/>
      <c r="C7814" s="12"/>
      <c r="D7814" s="13"/>
      <c r="E7814" s="4"/>
      <c r="F7814" s="4" t="str">
        <f>IF(D7814="","", IFNA(VLOOKUP(D7814, SATCAT_DECAY!A:B, 2, FALSE), ""))
</f>
        <v/>
      </c>
      <c r="G7814" s="3"/>
    </row>
    <row r="7815" ht="22.5" hidden="1" customHeight="1">
      <c r="A7815" s="11" t="str">
        <f t="array" ref="A7815">IFERROR(
  INDEX('Starlink Launches'!$A:$A, MATCH($E7815, 'Starlink Launches'!$B:$B, 0)),
  ""
)
</f>
        <v/>
      </c>
      <c r="B7815" s="26"/>
      <c r="C7815" s="12"/>
      <c r="D7815" s="13"/>
      <c r="E7815" s="4"/>
      <c r="F7815" s="4" t="str">
        <f>IF(D7815="","", IFNA(VLOOKUP(D7815, SATCAT_DECAY!A:B, 2, FALSE), ""))
</f>
        <v/>
      </c>
      <c r="G7815" s="3"/>
    </row>
    <row r="7816" ht="22.5" hidden="1" customHeight="1">
      <c r="A7816" s="11" t="str">
        <f t="array" ref="A7816">IFERROR(
  INDEX('Starlink Launches'!$A:$A, MATCH($E7816, 'Starlink Launches'!$B:$B, 0)),
  ""
)
</f>
        <v/>
      </c>
      <c r="B7816" s="26"/>
      <c r="C7816" s="12"/>
      <c r="D7816" s="13"/>
      <c r="E7816" s="4"/>
      <c r="F7816" s="4" t="str">
        <f>IF(D7816="","", IFNA(VLOOKUP(D7816, SATCAT_DECAY!A:B, 2, FALSE), ""))
</f>
        <v/>
      </c>
      <c r="G7816" s="3"/>
    </row>
    <row r="7817" ht="22.5" hidden="1" customHeight="1">
      <c r="A7817" s="11" t="str">
        <f t="array" ref="A7817">IFERROR(
  INDEX('Starlink Launches'!$A:$A, MATCH($E7817, 'Starlink Launches'!$B:$B, 0)),
  ""
)
</f>
        <v/>
      </c>
      <c r="B7817" s="26"/>
      <c r="C7817" s="12"/>
      <c r="D7817" s="13"/>
      <c r="E7817" s="4"/>
      <c r="F7817" s="4" t="str">
        <f>IF(D7817="","", IFNA(VLOOKUP(D7817, SATCAT_DECAY!A:B, 2, FALSE), ""))
</f>
        <v/>
      </c>
      <c r="G7817" s="3"/>
    </row>
    <row r="7818" ht="22.5" hidden="1" customHeight="1">
      <c r="A7818" s="11" t="str">
        <f t="array" ref="A7818">IFERROR(
  INDEX('Starlink Launches'!$A:$A, MATCH($E7818, 'Starlink Launches'!$B:$B, 0)),
  ""
)
</f>
        <v/>
      </c>
      <c r="B7818" s="26"/>
      <c r="C7818" s="12"/>
      <c r="D7818" s="13"/>
      <c r="E7818" s="4"/>
      <c r="F7818" s="4" t="str">
        <f>IF(D7818="","", IFNA(VLOOKUP(D7818, SATCAT_DECAY!A:B, 2, FALSE), ""))
</f>
        <v/>
      </c>
      <c r="G7818" s="3"/>
    </row>
    <row r="7819" ht="22.5" hidden="1" customHeight="1">
      <c r="A7819" s="11" t="str">
        <f t="array" ref="A7819">IFERROR(
  INDEX('Starlink Launches'!$A:$A, MATCH($E7819, 'Starlink Launches'!$B:$B, 0)),
  ""
)
</f>
        <v/>
      </c>
      <c r="B7819" s="26"/>
      <c r="C7819" s="12"/>
      <c r="D7819" s="13"/>
      <c r="E7819" s="4"/>
      <c r="F7819" s="4" t="str">
        <f>IF(D7819="","", IFNA(VLOOKUP(D7819, SATCAT_DECAY!A:B, 2, FALSE), ""))
</f>
        <v/>
      </c>
      <c r="G7819" s="3"/>
    </row>
    <row r="7820" ht="22.5" hidden="1" customHeight="1">
      <c r="A7820" s="11" t="str">
        <f t="array" ref="A7820">IFERROR(
  INDEX('Starlink Launches'!$A:$A, MATCH($E7820, 'Starlink Launches'!$B:$B, 0)),
  ""
)
</f>
        <v/>
      </c>
      <c r="B7820" s="26"/>
      <c r="C7820" s="12"/>
      <c r="D7820" s="13"/>
      <c r="E7820" s="4"/>
      <c r="F7820" s="4" t="str">
        <f>IF(D7820="","", IFNA(VLOOKUP(D7820, SATCAT_DECAY!A:B, 2, FALSE), ""))
</f>
        <v/>
      </c>
      <c r="G7820" s="3"/>
    </row>
    <row r="7821" ht="22.5" hidden="1" customHeight="1">
      <c r="A7821" s="11" t="str">
        <f t="array" ref="A7821">IFERROR(
  INDEX('Starlink Launches'!$A:$A, MATCH($E7821, 'Starlink Launches'!$B:$B, 0)),
  ""
)
</f>
        <v/>
      </c>
      <c r="B7821" s="26"/>
      <c r="C7821" s="12"/>
      <c r="D7821" s="13"/>
      <c r="E7821" s="4"/>
      <c r="F7821" s="4" t="str">
        <f>IF(D7821="","", IFNA(VLOOKUP(D7821, SATCAT_DECAY!A:B, 2, FALSE), ""))
</f>
        <v/>
      </c>
      <c r="G7821" s="3"/>
    </row>
    <row r="7822" ht="22.5" hidden="1" customHeight="1">
      <c r="A7822" s="11" t="str">
        <f t="array" ref="A7822">IFERROR(
  INDEX('Starlink Launches'!$A:$A, MATCH($E7822, 'Starlink Launches'!$B:$B, 0)),
  ""
)
</f>
        <v/>
      </c>
      <c r="B7822" s="26"/>
      <c r="C7822" s="12"/>
      <c r="D7822" s="13"/>
      <c r="E7822" s="4"/>
      <c r="F7822" s="4" t="str">
        <f>IF(D7822="","", IFNA(VLOOKUP(D7822, SATCAT_DECAY!A:B, 2, FALSE), ""))
</f>
        <v/>
      </c>
      <c r="G7822" s="3"/>
    </row>
    <row r="7823" ht="22.5" hidden="1" customHeight="1">
      <c r="A7823" s="11" t="str">
        <f t="array" ref="A7823">IFERROR(
  INDEX('Starlink Launches'!$A:$A, MATCH($E7823, 'Starlink Launches'!$B:$B, 0)),
  ""
)
</f>
        <v/>
      </c>
      <c r="B7823" s="26"/>
      <c r="C7823" s="12"/>
      <c r="D7823" s="13"/>
      <c r="E7823" s="4"/>
      <c r="F7823" s="4" t="str">
        <f>IF(D7823="","", IFNA(VLOOKUP(D7823, SATCAT_DECAY!A:B, 2, FALSE), ""))
</f>
        <v/>
      </c>
      <c r="G7823" s="3"/>
    </row>
    <row r="7824" ht="22.5" hidden="1" customHeight="1">
      <c r="A7824" s="11" t="str">
        <f t="array" ref="A7824">IFERROR(
  INDEX('Starlink Launches'!$A:$A, MATCH($E7824, 'Starlink Launches'!$B:$B, 0)),
  ""
)
</f>
        <v/>
      </c>
      <c r="B7824" s="26"/>
      <c r="C7824" s="12"/>
      <c r="D7824" s="13"/>
      <c r="E7824" s="4"/>
      <c r="F7824" s="4" t="str">
        <f>IF(D7824="","", IFNA(VLOOKUP(D7824, SATCAT_DECAY!A:B, 2, FALSE), ""))
</f>
        <v/>
      </c>
      <c r="G7824" s="3"/>
    </row>
    <row r="7825" ht="22.5" hidden="1" customHeight="1">
      <c r="A7825" s="11" t="str">
        <f t="array" ref="A7825">IFERROR(
  INDEX('Starlink Launches'!$A:$A, MATCH($E7825, 'Starlink Launches'!$B:$B, 0)),
  ""
)
</f>
        <v/>
      </c>
      <c r="B7825" s="26"/>
      <c r="C7825" s="12"/>
      <c r="D7825" s="13"/>
      <c r="E7825" s="4"/>
      <c r="F7825" s="4" t="str">
        <f>IF(D7825="","", IFNA(VLOOKUP(D7825, SATCAT_DECAY!A:B, 2, FALSE), ""))
</f>
        <v/>
      </c>
      <c r="G7825" s="3"/>
    </row>
    <row r="7826" ht="22.5" hidden="1" customHeight="1">
      <c r="A7826" s="11" t="str">
        <f t="array" ref="A7826">IFERROR(
  INDEX('Starlink Launches'!$A:$A, MATCH($E7826, 'Starlink Launches'!$B:$B, 0)),
  ""
)
</f>
        <v/>
      </c>
      <c r="B7826" s="26"/>
      <c r="C7826" s="12"/>
      <c r="D7826" s="13"/>
      <c r="E7826" s="4"/>
      <c r="F7826" s="4" t="str">
        <f>IF(D7826="","", IFNA(VLOOKUP(D7826, SATCAT_DECAY!A:B, 2, FALSE), ""))
</f>
        <v/>
      </c>
      <c r="G7826" s="3"/>
    </row>
    <row r="7827" ht="22.5" hidden="1" customHeight="1">
      <c r="A7827" s="11" t="str">
        <f t="array" ref="A7827">IFERROR(
  INDEX('Starlink Launches'!$A:$A, MATCH($E7827, 'Starlink Launches'!$B:$B, 0)),
  ""
)
</f>
        <v/>
      </c>
      <c r="B7827" s="26"/>
      <c r="C7827" s="12"/>
      <c r="D7827" s="13"/>
      <c r="E7827" s="4"/>
      <c r="F7827" s="4" t="str">
        <f>IF(D7827="","", IFNA(VLOOKUP(D7827, SATCAT_DECAY!A:B, 2, FALSE), ""))
</f>
        <v/>
      </c>
      <c r="G7827" s="3"/>
    </row>
    <row r="7828" ht="22.5" hidden="1" customHeight="1">
      <c r="A7828" s="11" t="str">
        <f t="array" ref="A7828">IFERROR(
  INDEX('Starlink Launches'!$A:$A, MATCH($E7828, 'Starlink Launches'!$B:$B, 0)),
  ""
)
</f>
        <v/>
      </c>
      <c r="B7828" s="26"/>
      <c r="C7828" s="12"/>
      <c r="D7828" s="13"/>
      <c r="E7828" s="4"/>
      <c r="F7828" s="4" t="str">
        <f>IF(D7828="","", IFNA(VLOOKUP(D7828, SATCAT_DECAY!A:B, 2, FALSE), ""))
</f>
        <v/>
      </c>
      <c r="G7828" s="3"/>
    </row>
    <row r="7829" ht="22.5" hidden="1" customHeight="1">
      <c r="A7829" s="11" t="str">
        <f t="array" ref="A7829">IFERROR(
  INDEX('Starlink Launches'!$A:$A, MATCH($E7829, 'Starlink Launches'!$B:$B, 0)),
  ""
)
</f>
        <v/>
      </c>
      <c r="B7829" s="26"/>
      <c r="C7829" s="12"/>
      <c r="D7829" s="13"/>
      <c r="E7829" s="4"/>
      <c r="F7829" s="4" t="str">
        <f>IF(D7829="","", IFNA(VLOOKUP(D7829, SATCAT_DECAY!A:B, 2, FALSE), ""))
</f>
        <v/>
      </c>
      <c r="G7829" s="3"/>
    </row>
    <row r="7830" ht="22.5" hidden="1" customHeight="1">
      <c r="A7830" s="11" t="str">
        <f t="array" ref="A7830">IFERROR(
  INDEX('Starlink Launches'!$A:$A, MATCH($E7830, 'Starlink Launches'!$B:$B, 0)),
  ""
)
</f>
        <v/>
      </c>
      <c r="B7830" s="26"/>
      <c r="C7830" s="12"/>
      <c r="D7830" s="13"/>
      <c r="E7830" s="4"/>
      <c r="F7830" s="4" t="str">
        <f>IF(D7830="","", IFNA(VLOOKUP(D7830, SATCAT_DECAY!A:B, 2, FALSE), ""))
</f>
        <v/>
      </c>
      <c r="G7830" s="3"/>
    </row>
    <row r="7831" ht="22.5" hidden="1" customHeight="1">
      <c r="A7831" s="11" t="str">
        <f t="array" ref="A7831">IFERROR(
  INDEX('Starlink Launches'!$A:$A, MATCH($E7831, 'Starlink Launches'!$B:$B, 0)),
  ""
)
</f>
        <v/>
      </c>
      <c r="B7831" s="26"/>
      <c r="C7831" s="12"/>
      <c r="D7831" s="13"/>
      <c r="E7831" s="4"/>
      <c r="F7831" s="4" t="str">
        <f>IF(D7831="","", IFNA(VLOOKUP(D7831, SATCAT_DECAY!A:B, 2, FALSE), ""))
</f>
        <v/>
      </c>
      <c r="G7831" s="3"/>
    </row>
    <row r="7832" ht="22.5" hidden="1" customHeight="1">
      <c r="A7832" s="11" t="str">
        <f t="array" ref="A7832">IFERROR(
  INDEX('Starlink Launches'!$A:$A, MATCH($E7832, 'Starlink Launches'!$B:$B, 0)),
  ""
)
</f>
        <v/>
      </c>
      <c r="B7832" s="26"/>
      <c r="C7832" s="12"/>
      <c r="D7832" s="13"/>
      <c r="E7832" s="4"/>
      <c r="F7832" s="4" t="str">
        <f>IF(D7832="","", IFNA(VLOOKUP(D7832, SATCAT_DECAY!A:B, 2, FALSE), ""))
</f>
        <v/>
      </c>
      <c r="G7832" s="3"/>
    </row>
    <row r="7833" ht="22.5" hidden="1" customHeight="1">
      <c r="A7833" s="11" t="str">
        <f t="array" ref="A7833">IFERROR(
  INDEX('Starlink Launches'!$A:$A, MATCH($E7833, 'Starlink Launches'!$B:$B, 0)),
  ""
)
</f>
        <v/>
      </c>
      <c r="B7833" s="26"/>
      <c r="C7833" s="12"/>
      <c r="D7833" s="13"/>
      <c r="E7833" s="4"/>
      <c r="F7833" s="4" t="str">
        <f>IF(D7833="","", IFNA(VLOOKUP(D7833, SATCAT_DECAY!A:B, 2, FALSE), ""))
</f>
        <v/>
      </c>
      <c r="G7833" s="3"/>
    </row>
    <row r="7834" ht="22.5" hidden="1" customHeight="1">
      <c r="A7834" s="11" t="str">
        <f t="array" ref="A7834">IFERROR(
  INDEX('Starlink Launches'!$A:$A, MATCH($E7834, 'Starlink Launches'!$B:$B, 0)),
  ""
)
</f>
        <v/>
      </c>
      <c r="B7834" s="26"/>
      <c r="C7834" s="12"/>
      <c r="D7834" s="13"/>
      <c r="E7834" s="4"/>
      <c r="F7834" s="4" t="str">
        <f>IF(D7834="","", IFNA(VLOOKUP(D7834, SATCAT_DECAY!A:B, 2, FALSE), ""))
</f>
        <v/>
      </c>
      <c r="G7834" s="3"/>
    </row>
    <row r="7835" ht="22.5" hidden="1" customHeight="1">
      <c r="A7835" s="11" t="str">
        <f t="array" ref="A7835">IFERROR(
  INDEX('Starlink Launches'!$A:$A, MATCH($E7835, 'Starlink Launches'!$B:$B, 0)),
  ""
)
</f>
        <v/>
      </c>
      <c r="B7835" s="26"/>
      <c r="C7835" s="12"/>
      <c r="D7835" s="13"/>
      <c r="E7835" s="4"/>
      <c r="F7835" s="4" t="str">
        <f>IF(D7835="","", IFNA(VLOOKUP(D7835, SATCAT_DECAY!A:B, 2, FALSE), ""))
</f>
        <v/>
      </c>
      <c r="G7835" s="3"/>
    </row>
    <row r="7836" ht="22.5" hidden="1" customHeight="1">
      <c r="A7836" s="11" t="str">
        <f t="array" ref="A7836">IFERROR(
  INDEX('Starlink Launches'!$A:$A, MATCH($E7836, 'Starlink Launches'!$B:$B, 0)),
  ""
)
</f>
        <v/>
      </c>
      <c r="B7836" s="26"/>
      <c r="C7836" s="12"/>
      <c r="D7836" s="13"/>
      <c r="E7836" s="4"/>
      <c r="F7836" s="4" t="str">
        <f>IF(D7836="","", IFNA(VLOOKUP(D7836, SATCAT_DECAY!A:B, 2, FALSE), ""))
</f>
        <v/>
      </c>
      <c r="G7836" s="3"/>
    </row>
    <row r="7837" ht="22.5" hidden="1" customHeight="1">
      <c r="A7837" s="11" t="str">
        <f t="array" ref="A7837">IFERROR(
  INDEX('Starlink Launches'!$A:$A, MATCH($E7837, 'Starlink Launches'!$B:$B, 0)),
  ""
)
</f>
        <v/>
      </c>
      <c r="B7837" s="26"/>
      <c r="C7837" s="12"/>
      <c r="D7837" s="13"/>
      <c r="E7837" s="4"/>
      <c r="F7837" s="4" t="str">
        <f>IF(D7837="","", IFNA(VLOOKUP(D7837, SATCAT_DECAY!A:B, 2, FALSE), ""))
</f>
        <v/>
      </c>
      <c r="G7837" s="3"/>
    </row>
    <row r="7838" ht="22.5" hidden="1" customHeight="1">
      <c r="A7838" s="11" t="str">
        <f t="array" ref="A7838">IFERROR(
  INDEX('Starlink Launches'!$A:$A, MATCH($E7838, 'Starlink Launches'!$B:$B, 0)),
  ""
)
</f>
        <v/>
      </c>
      <c r="B7838" s="26"/>
      <c r="C7838" s="12"/>
      <c r="D7838" s="13"/>
      <c r="E7838" s="4"/>
      <c r="F7838" s="4" t="str">
        <f>IF(D7838="","", IFNA(VLOOKUP(D7838, SATCAT_DECAY!A:B, 2, FALSE), ""))
</f>
        <v/>
      </c>
      <c r="G7838" s="3"/>
    </row>
    <row r="7839" ht="22.5" hidden="1" customHeight="1">
      <c r="A7839" s="11" t="str">
        <f t="array" ref="A7839">IFERROR(
  INDEX('Starlink Launches'!$A:$A, MATCH($E7839, 'Starlink Launches'!$B:$B, 0)),
  ""
)
</f>
        <v/>
      </c>
      <c r="B7839" s="26"/>
      <c r="C7839" s="12"/>
      <c r="D7839" s="13"/>
      <c r="E7839" s="4"/>
      <c r="F7839" s="4" t="str">
        <f>IF(D7839="","", IFNA(VLOOKUP(D7839, SATCAT_DECAY!A:B, 2, FALSE), ""))
</f>
        <v/>
      </c>
      <c r="G7839" s="3"/>
    </row>
    <row r="7840" ht="22.5" hidden="1" customHeight="1">
      <c r="A7840" s="11" t="str">
        <f t="array" ref="A7840">IFERROR(
  INDEX('Starlink Launches'!$A:$A, MATCH($E7840, 'Starlink Launches'!$B:$B, 0)),
  ""
)
</f>
        <v/>
      </c>
      <c r="B7840" s="26"/>
      <c r="C7840" s="12"/>
      <c r="D7840" s="13"/>
      <c r="E7840" s="4"/>
      <c r="F7840" s="4" t="str">
        <f>IF(D7840="","", IFNA(VLOOKUP(D7840, SATCAT_DECAY!A:B, 2, FALSE), ""))
</f>
        <v/>
      </c>
      <c r="G7840" s="3"/>
    </row>
    <row r="7841" ht="22.5" hidden="1" customHeight="1">
      <c r="A7841" s="11" t="str">
        <f t="array" ref="A7841">IFERROR(
  INDEX('Starlink Launches'!$A:$A, MATCH($E7841, 'Starlink Launches'!$B:$B, 0)),
  ""
)
</f>
        <v/>
      </c>
      <c r="B7841" s="26"/>
      <c r="C7841" s="12"/>
      <c r="D7841" s="13"/>
      <c r="E7841" s="4"/>
      <c r="F7841" s="4" t="str">
        <f>IF(D7841="","", IFNA(VLOOKUP(D7841, SATCAT_DECAY!A:B, 2, FALSE), ""))
</f>
        <v/>
      </c>
      <c r="G7841" s="3"/>
    </row>
    <row r="7842" ht="22.5" hidden="1" customHeight="1">
      <c r="A7842" s="11" t="str">
        <f t="array" ref="A7842">IFERROR(
  INDEX('Starlink Launches'!$A:$A, MATCH($E7842, 'Starlink Launches'!$B:$B, 0)),
  ""
)
</f>
        <v/>
      </c>
      <c r="B7842" s="26"/>
      <c r="C7842" s="12"/>
      <c r="D7842" s="13"/>
      <c r="E7842" s="4"/>
      <c r="F7842" s="4" t="str">
        <f>IF(D7842="","", IFNA(VLOOKUP(D7842, SATCAT_DECAY!A:B, 2, FALSE), ""))
</f>
        <v/>
      </c>
      <c r="G7842" s="3"/>
    </row>
    <row r="7843" ht="22.5" hidden="1" customHeight="1">
      <c r="A7843" s="11" t="str">
        <f t="array" ref="A7843">IFERROR(
  INDEX('Starlink Launches'!$A:$A, MATCH($E7843, 'Starlink Launches'!$B:$B, 0)),
  ""
)
</f>
        <v/>
      </c>
      <c r="B7843" s="26"/>
      <c r="C7843" s="12"/>
      <c r="D7843" s="13"/>
      <c r="E7843" s="4"/>
      <c r="F7843" s="4" t="str">
        <f>IF(D7843="","", IFNA(VLOOKUP(D7843, SATCAT_DECAY!A:B, 2, FALSE), ""))
</f>
        <v/>
      </c>
      <c r="G7843" s="3"/>
    </row>
    <row r="7844" ht="22.5" hidden="1" customHeight="1">
      <c r="A7844" s="11" t="str">
        <f t="array" ref="A7844">IFERROR(
  INDEX('Starlink Launches'!$A:$A, MATCH($E7844, 'Starlink Launches'!$B:$B, 0)),
  ""
)
</f>
        <v/>
      </c>
      <c r="B7844" s="26"/>
      <c r="C7844" s="12"/>
      <c r="D7844" s="13"/>
      <c r="E7844" s="4"/>
      <c r="F7844" s="4" t="str">
        <f>IF(D7844="","", IFNA(VLOOKUP(D7844, SATCAT_DECAY!A:B, 2, FALSE), ""))
</f>
        <v/>
      </c>
      <c r="G7844" s="3"/>
    </row>
    <row r="7845" ht="22.5" hidden="1" customHeight="1">
      <c r="A7845" s="11" t="str">
        <f t="array" ref="A7845">IFERROR(
  INDEX('Starlink Launches'!$A:$A, MATCH($E7845, 'Starlink Launches'!$B:$B, 0)),
  ""
)
</f>
        <v/>
      </c>
      <c r="B7845" s="26"/>
      <c r="C7845" s="12"/>
      <c r="D7845" s="13"/>
      <c r="E7845" s="4"/>
      <c r="F7845" s="4" t="str">
        <f>IF(D7845="","", IFNA(VLOOKUP(D7845, SATCAT_DECAY!A:B, 2, FALSE), ""))
</f>
        <v/>
      </c>
      <c r="G7845" s="3"/>
    </row>
    <row r="7846" ht="22.5" hidden="1" customHeight="1">
      <c r="A7846" s="11" t="str">
        <f t="array" ref="A7846">IFERROR(
  INDEX('Starlink Launches'!$A:$A, MATCH($E7846, 'Starlink Launches'!$B:$B, 0)),
  ""
)
</f>
        <v/>
      </c>
      <c r="B7846" s="26"/>
      <c r="C7846" s="12"/>
      <c r="D7846" s="13"/>
      <c r="E7846" s="4"/>
      <c r="F7846" s="4" t="str">
        <f>IF(D7846="","", IFNA(VLOOKUP(D7846, SATCAT_DECAY!A:B, 2, FALSE), ""))
</f>
        <v/>
      </c>
      <c r="G7846" s="3"/>
    </row>
    <row r="7847" ht="22.5" hidden="1" customHeight="1">
      <c r="A7847" s="11" t="str">
        <f t="array" ref="A7847">IFERROR(
  INDEX('Starlink Launches'!$A:$A, MATCH($E7847, 'Starlink Launches'!$B:$B, 0)),
  ""
)
</f>
        <v/>
      </c>
      <c r="B7847" s="26"/>
      <c r="C7847" s="12"/>
      <c r="D7847" s="13"/>
      <c r="E7847" s="4"/>
      <c r="F7847" s="4" t="str">
        <f>IF(D7847="","", IFNA(VLOOKUP(D7847, SATCAT_DECAY!A:B, 2, FALSE), ""))
</f>
        <v/>
      </c>
      <c r="G7847" s="3"/>
    </row>
    <row r="7848" ht="22.5" hidden="1" customHeight="1">
      <c r="A7848" s="11" t="str">
        <f t="array" ref="A7848">IFERROR(
  INDEX('Starlink Launches'!$A:$A, MATCH($E7848, 'Starlink Launches'!$B:$B, 0)),
  ""
)
</f>
        <v/>
      </c>
      <c r="B7848" s="26"/>
      <c r="C7848" s="12"/>
      <c r="D7848" s="13"/>
      <c r="E7848" s="4"/>
      <c r="F7848" s="4" t="str">
        <f>IF(D7848="","", IFNA(VLOOKUP(D7848, SATCAT_DECAY!A:B, 2, FALSE), ""))
</f>
        <v/>
      </c>
      <c r="G7848" s="3"/>
    </row>
    <row r="7849" ht="22.5" hidden="1" customHeight="1">
      <c r="A7849" s="11" t="str">
        <f t="array" ref="A7849">IFERROR(
  INDEX('Starlink Launches'!$A:$A, MATCH($E7849, 'Starlink Launches'!$B:$B, 0)),
  ""
)
</f>
        <v/>
      </c>
      <c r="B7849" s="26"/>
      <c r="C7849" s="12"/>
      <c r="D7849" s="13"/>
      <c r="E7849" s="4"/>
      <c r="F7849" s="4" t="str">
        <f>IF(D7849="","", IFNA(VLOOKUP(D7849, SATCAT_DECAY!A:B, 2, FALSE), ""))
</f>
        <v/>
      </c>
      <c r="G7849" s="3"/>
    </row>
    <row r="7850" ht="22.5" hidden="1" customHeight="1">
      <c r="A7850" s="11" t="str">
        <f t="array" ref="A7850">IFERROR(
  INDEX('Starlink Launches'!$A:$A, MATCH($E7850, 'Starlink Launches'!$B:$B, 0)),
  ""
)
</f>
        <v/>
      </c>
      <c r="B7850" s="26"/>
      <c r="C7850" s="12"/>
      <c r="D7850" s="13"/>
      <c r="E7850" s="4"/>
      <c r="F7850" s="4" t="str">
        <f>IF(D7850="","", IFNA(VLOOKUP(D7850, SATCAT_DECAY!A:B, 2, FALSE), ""))
</f>
        <v/>
      </c>
      <c r="G7850" s="3"/>
    </row>
    <row r="7851" ht="22.5" hidden="1" customHeight="1">
      <c r="A7851" s="11" t="str">
        <f t="array" ref="A7851">IFERROR(
  INDEX('Starlink Launches'!$A:$A, MATCH($E7851, 'Starlink Launches'!$B:$B, 0)),
  ""
)
</f>
        <v/>
      </c>
      <c r="B7851" s="26"/>
      <c r="C7851" s="12"/>
      <c r="D7851" s="13"/>
      <c r="E7851" s="4"/>
      <c r="F7851" s="4" t="str">
        <f>IF(D7851="","", IFNA(VLOOKUP(D7851, SATCAT_DECAY!A:B, 2, FALSE), ""))
</f>
        <v/>
      </c>
      <c r="G7851" s="3"/>
    </row>
    <row r="7852" ht="22.5" hidden="1" customHeight="1">
      <c r="A7852" s="11" t="str">
        <f t="array" ref="A7852">IFERROR(
  INDEX('Starlink Launches'!$A:$A, MATCH($E7852, 'Starlink Launches'!$B:$B, 0)),
  ""
)
</f>
        <v/>
      </c>
      <c r="B7852" s="26"/>
      <c r="C7852" s="12"/>
      <c r="D7852" s="13"/>
      <c r="E7852" s="4"/>
      <c r="F7852" s="4" t="str">
        <f>IF(D7852="","", IFNA(VLOOKUP(D7852, SATCAT_DECAY!A:B, 2, FALSE), ""))
</f>
        <v/>
      </c>
      <c r="G7852" s="3"/>
    </row>
    <row r="7853" ht="22.5" hidden="1" customHeight="1">
      <c r="A7853" s="11" t="str">
        <f t="array" ref="A7853">IFERROR(
  INDEX('Starlink Launches'!$A:$A, MATCH($E7853, 'Starlink Launches'!$B:$B, 0)),
  ""
)
</f>
        <v/>
      </c>
      <c r="B7853" s="26"/>
      <c r="C7853" s="12"/>
      <c r="D7853" s="13"/>
      <c r="E7853" s="4"/>
      <c r="F7853" s="4" t="str">
        <f>IF(D7853="","", IFNA(VLOOKUP(D7853, SATCAT_DECAY!A:B, 2, FALSE), ""))
</f>
        <v/>
      </c>
      <c r="G7853" s="3"/>
    </row>
    <row r="7854" ht="22.5" hidden="1" customHeight="1">
      <c r="A7854" s="11" t="str">
        <f t="array" ref="A7854">IFERROR(
  INDEX('Starlink Launches'!$A:$A, MATCH($E7854, 'Starlink Launches'!$B:$B, 0)),
  ""
)
</f>
        <v/>
      </c>
      <c r="B7854" s="26"/>
      <c r="C7854" s="12"/>
      <c r="D7854" s="13"/>
      <c r="E7854" s="4"/>
      <c r="F7854" s="4" t="str">
        <f>IF(D7854="","", IFNA(VLOOKUP(D7854, SATCAT_DECAY!A:B, 2, FALSE), ""))
</f>
        <v/>
      </c>
      <c r="G7854" s="3"/>
    </row>
    <row r="7855" ht="22.5" hidden="1" customHeight="1">
      <c r="A7855" s="11" t="str">
        <f t="array" ref="A7855">IFERROR(
  INDEX('Starlink Launches'!$A:$A, MATCH($E7855, 'Starlink Launches'!$B:$B, 0)),
  ""
)
</f>
        <v/>
      </c>
      <c r="B7855" s="26"/>
      <c r="C7855" s="12"/>
      <c r="D7855" s="13"/>
      <c r="E7855" s="4"/>
      <c r="F7855" s="4" t="str">
        <f>IF(D7855="","", IFNA(VLOOKUP(D7855, SATCAT_DECAY!A:B, 2, FALSE), ""))
</f>
        <v/>
      </c>
      <c r="G7855" s="3"/>
    </row>
  </sheetData>
  <conditionalFormatting sqref="A2:G7855">
    <cfRule type="expression" dxfId="5" priority="1">
      <formula>AND($E2&lt;&gt;"", $E2&lt;&gt;$E3)</formula>
    </cfRule>
  </conditionalFormatting>
  <conditionalFormatting sqref="K110">
    <cfRule type="notContainsBlanks" dxfId="5" priority="2">
      <formula>LEN(TRIM(K110))&gt;0</formula>
    </cfRule>
  </conditionalFormatting>
  <conditionalFormatting sqref="C2:C4830 C4852:C7855">
    <cfRule type="expression" dxfId="6" priority="3">
      <formula>AND($B2&lt;&gt;"", COUNTIF($C:$C, $C2)&gt;1)</formula>
    </cfRule>
  </conditionalFormatting>
  <dataValidations>
    <dataValidation type="custom" allowBlank="1" showDropDown="1" sqref="E2:F7855">
      <formula1>OR(NOT(ISERROR(DATEVALUE(E2))), AND(ISNUMBER(E2), LEFT(CELL("format", E2))="D"))</formula1>
    </dataValidation>
    <dataValidation allowBlank="1" showDropDown="1" sqref="A2:A7855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4.88"/>
    <col customWidth="1" min="3" max="3" width="9.88"/>
    <col customWidth="1" min="4" max="4" width="10.0"/>
    <col customWidth="1" min="5" max="5" width="9.13"/>
    <col customWidth="1" min="6" max="7" width="18.25"/>
    <col customWidth="1" min="9" max="9" width="24.25"/>
    <col customWidth="1" min="10" max="10" width="9.88"/>
  </cols>
  <sheetData>
    <row r="1" ht="22.5" customHeight="1">
      <c r="A1" s="27" t="s">
        <v>6198</v>
      </c>
      <c r="B1" s="27" t="s">
        <v>4</v>
      </c>
      <c r="C1" s="27" t="s">
        <v>6199</v>
      </c>
      <c r="D1" s="28" t="s">
        <v>6200</v>
      </c>
      <c r="E1" s="28" t="s">
        <v>6201</v>
      </c>
      <c r="F1" s="27" t="s">
        <v>6202</v>
      </c>
      <c r="G1" s="27" t="s">
        <v>6203</v>
      </c>
    </row>
    <row r="2" ht="22.5" customHeight="1">
      <c r="A2" s="29" t="s">
        <v>6204</v>
      </c>
      <c r="B2" s="30">
        <v>44984.0</v>
      </c>
      <c r="C2" s="31" t="s">
        <v>6205</v>
      </c>
      <c r="D2" s="31">
        <v>21.0</v>
      </c>
      <c r="E2" s="31">
        <v>12.0</v>
      </c>
      <c r="F2" s="31" t="s">
        <v>6206</v>
      </c>
      <c r="G2" s="31">
        <f t="shared" ref="G2:G315" si="1">D2-E2</f>
        <v>9</v>
      </c>
    </row>
    <row r="3" ht="22.5" customHeight="1">
      <c r="A3" s="29" t="s">
        <v>6207</v>
      </c>
      <c r="B3" s="30">
        <v>45035.0</v>
      </c>
      <c r="C3" s="31" t="s">
        <v>6205</v>
      </c>
      <c r="D3" s="31">
        <v>21.0</v>
      </c>
      <c r="E3" s="31">
        <v>20.0</v>
      </c>
      <c r="F3" s="32"/>
      <c r="G3" s="32">
        <f t="shared" si="1"/>
        <v>1</v>
      </c>
      <c r="I3" s="33" t="s">
        <v>6208</v>
      </c>
      <c r="J3" s="7">
        <f>COUNTA(A:A)</f>
        <v>257</v>
      </c>
    </row>
    <row r="4" ht="22.5" customHeight="1">
      <c r="A4" s="29" t="s">
        <v>6209</v>
      </c>
      <c r="B4" s="30">
        <v>45065.0</v>
      </c>
      <c r="C4" s="31" t="s">
        <v>6205</v>
      </c>
      <c r="D4" s="31">
        <v>22.0</v>
      </c>
      <c r="E4" s="31">
        <v>21.0</v>
      </c>
      <c r="F4" s="32"/>
      <c r="G4" s="32">
        <f t="shared" si="1"/>
        <v>1</v>
      </c>
      <c r="I4" s="33" t="s">
        <v>6210</v>
      </c>
      <c r="J4" s="34">
        <f>SUM(D:D)</f>
        <v>6132</v>
      </c>
    </row>
    <row r="5" ht="22.5" customHeight="1">
      <c r="A5" s="29" t="s">
        <v>6211</v>
      </c>
      <c r="B5" s="30">
        <v>45081.0</v>
      </c>
      <c r="C5" s="31" t="s">
        <v>6205</v>
      </c>
      <c r="D5" s="31">
        <v>22.0</v>
      </c>
      <c r="E5" s="31">
        <v>19.0</v>
      </c>
      <c r="F5" s="32"/>
      <c r="G5" s="32">
        <f t="shared" si="1"/>
        <v>3</v>
      </c>
      <c r="I5" s="33" t="s">
        <v>6212</v>
      </c>
      <c r="J5" s="7">
        <f>SUM(E:E)</f>
        <v>6089</v>
      </c>
      <c r="K5" s="35">
        <f>J4-J5</f>
        <v>43</v>
      </c>
    </row>
    <row r="6" ht="22.5" customHeight="1">
      <c r="A6" s="29" t="s">
        <v>6213</v>
      </c>
      <c r="B6" s="30">
        <v>45117.0</v>
      </c>
      <c r="C6" s="31" t="s">
        <v>6205</v>
      </c>
      <c r="D6" s="31">
        <v>22.0</v>
      </c>
      <c r="E6" s="31">
        <v>22.0</v>
      </c>
      <c r="F6" s="32"/>
      <c r="G6" s="32">
        <f t="shared" si="1"/>
        <v>0</v>
      </c>
      <c r="I6" s="33" t="s">
        <v>6214</v>
      </c>
      <c r="J6" s="7">
        <f t="array" ref="J6">COUNTA(B2:B315) - COUNTA(UNIQUE(B2:B315))</f>
        <v>20</v>
      </c>
    </row>
    <row r="7" ht="22.5" customHeight="1">
      <c r="A7" s="29" t="s">
        <v>6215</v>
      </c>
      <c r="B7" s="30">
        <v>45127.0</v>
      </c>
      <c r="C7" s="31" t="s">
        <v>6205</v>
      </c>
      <c r="D7" s="31">
        <v>15.0</v>
      </c>
      <c r="E7" s="31">
        <v>15.0</v>
      </c>
      <c r="F7" s="32"/>
      <c r="G7" s="32">
        <f t="shared" si="1"/>
        <v>0</v>
      </c>
      <c r="J7" s="36"/>
      <c r="L7" s="36"/>
    </row>
    <row r="8" ht="22.5" customHeight="1">
      <c r="A8" s="29" t="s">
        <v>6216</v>
      </c>
      <c r="B8" s="30">
        <v>45131.0</v>
      </c>
      <c r="C8" s="31" t="s">
        <v>6205</v>
      </c>
      <c r="D8" s="31">
        <v>22.0</v>
      </c>
      <c r="E8" s="31">
        <v>22.0</v>
      </c>
      <c r="F8" s="32"/>
      <c r="G8" s="32">
        <f t="shared" si="1"/>
        <v>0</v>
      </c>
      <c r="I8" s="37" t="s">
        <v>6217</v>
      </c>
      <c r="J8" s="38">
        <f>MIN(B:B)</f>
        <v>44984</v>
      </c>
      <c r="L8" s="36"/>
    </row>
    <row r="9" ht="22.5" customHeight="1">
      <c r="A9" s="29" t="s">
        <v>6218</v>
      </c>
      <c r="B9" s="30">
        <v>45135.0</v>
      </c>
      <c r="C9" s="31" t="s">
        <v>6205</v>
      </c>
      <c r="D9" s="31">
        <v>22.0</v>
      </c>
      <c r="E9" s="31">
        <v>20.0</v>
      </c>
      <c r="F9" s="32"/>
      <c r="G9" s="32">
        <f t="shared" si="1"/>
        <v>2</v>
      </c>
      <c r="I9" s="37" t="s">
        <v>6219</v>
      </c>
      <c r="J9" s="38">
        <f>MAX(B:B)</f>
        <v>46063</v>
      </c>
    </row>
    <row r="10" ht="22.5" customHeight="1">
      <c r="A10" s="29" t="s">
        <v>6220</v>
      </c>
      <c r="B10" s="30">
        <v>45145.0</v>
      </c>
      <c r="C10" s="31" t="s">
        <v>6205</v>
      </c>
      <c r="D10" s="31">
        <v>22.0</v>
      </c>
      <c r="E10" s="31">
        <v>22.0</v>
      </c>
      <c r="F10" s="32"/>
      <c r="G10" s="32">
        <f t="shared" si="1"/>
        <v>0</v>
      </c>
      <c r="I10" s="37" t="s">
        <v>6221</v>
      </c>
      <c r="J10" s="39">
        <f>J4/(J9-J8)</f>
        <v>5.683039852</v>
      </c>
    </row>
    <row r="11" ht="22.5" customHeight="1">
      <c r="A11" s="29" t="s">
        <v>6222</v>
      </c>
      <c r="B11" s="30">
        <v>45146.0</v>
      </c>
      <c r="C11" s="31" t="s">
        <v>6205</v>
      </c>
      <c r="D11" s="31">
        <v>15.0</v>
      </c>
      <c r="E11" s="31">
        <v>15.0</v>
      </c>
      <c r="F11" s="32"/>
      <c r="G11" s="32">
        <f t="shared" si="1"/>
        <v>0</v>
      </c>
      <c r="I11" s="37" t="s">
        <v>6223</v>
      </c>
      <c r="J11" s="39">
        <f>(J9-J8)/J3</f>
        <v>4.19844358</v>
      </c>
    </row>
    <row r="12" ht="22.5" customHeight="1">
      <c r="A12" s="29" t="s">
        <v>6224</v>
      </c>
      <c r="B12" s="30">
        <v>45149.0</v>
      </c>
      <c r="C12" s="31" t="s">
        <v>6205</v>
      </c>
      <c r="D12" s="31">
        <v>22.0</v>
      </c>
      <c r="E12" s="31">
        <v>21.0</v>
      </c>
      <c r="F12" s="32"/>
      <c r="G12" s="32">
        <f t="shared" si="1"/>
        <v>1</v>
      </c>
      <c r="I12" s="37" t="s">
        <v>6225</v>
      </c>
      <c r="J12" s="39">
        <f>J4/J3</f>
        <v>23.85992218</v>
      </c>
    </row>
    <row r="13" ht="22.5" customHeight="1">
      <c r="A13" s="29" t="s">
        <v>6226</v>
      </c>
      <c r="B13" s="30">
        <v>45155.0</v>
      </c>
      <c r="C13" s="31" t="s">
        <v>6205</v>
      </c>
      <c r="D13" s="31">
        <v>22.0</v>
      </c>
      <c r="E13" s="31">
        <v>22.0</v>
      </c>
      <c r="F13" s="32"/>
      <c r="G13" s="32">
        <f t="shared" si="1"/>
        <v>0</v>
      </c>
    </row>
    <row r="14" ht="22.5" customHeight="1">
      <c r="A14" s="29" t="s">
        <v>6227</v>
      </c>
      <c r="B14" s="30">
        <v>45165.0</v>
      </c>
      <c r="C14" s="31" t="s">
        <v>6205</v>
      </c>
      <c r="D14" s="31">
        <v>22.0</v>
      </c>
      <c r="E14" s="31">
        <v>21.0</v>
      </c>
      <c r="F14" s="32"/>
      <c r="G14" s="32">
        <f t="shared" si="1"/>
        <v>1</v>
      </c>
    </row>
    <row r="15" ht="22.5" customHeight="1">
      <c r="A15" s="29" t="s">
        <v>6228</v>
      </c>
      <c r="B15" s="30">
        <v>45170.0</v>
      </c>
      <c r="C15" s="31" t="s">
        <v>6205</v>
      </c>
      <c r="D15" s="31">
        <v>22.0</v>
      </c>
      <c r="E15" s="31">
        <v>22.0</v>
      </c>
      <c r="F15" s="32"/>
      <c r="G15" s="32">
        <f t="shared" si="1"/>
        <v>0</v>
      </c>
    </row>
    <row r="16" ht="22.5" customHeight="1">
      <c r="A16" s="29" t="s">
        <v>6229</v>
      </c>
      <c r="B16" s="30">
        <v>45173.0</v>
      </c>
      <c r="C16" s="31" t="s">
        <v>6205</v>
      </c>
      <c r="D16" s="31">
        <v>21.0</v>
      </c>
      <c r="E16" s="31">
        <v>21.0</v>
      </c>
      <c r="F16" s="32"/>
      <c r="G16" s="32">
        <f t="shared" si="1"/>
        <v>0</v>
      </c>
    </row>
    <row r="17" ht="22.5" customHeight="1">
      <c r="A17" s="29" t="s">
        <v>6230</v>
      </c>
      <c r="B17" s="30">
        <v>45178.0</v>
      </c>
      <c r="C17" s="31" t="s">
        <v>6205</v>
      </c>
      <c r="D17" s="31">
        <v>22.0</v>
      </c>
      <c r="E17" s="31">
        <v>22.0</v>
      </c>
      <c r="F17" s="32"/>
      <c r="G17" s="32">
        <f t="shared" si="1"/>
        <v>0</v>
      </c>
    </row>
    <row r="18" ht="22.5" customHeight="1">
      <c r="A18" s="29" t="s">
        <v>6231</v>
      </c>
      <c r="B18" s="30">
        <v>45185.0</v>
      </c>
      <c r="C18" s="31" t="s">
        <v>6205</v>
      </c>
      <c r="D18" s="31">
        <v>22.0</v>
      </c>
      <c r="E18" s="31">
        <v>22.0</v>
      </c>
      <c r="F18" s="32"/>
      <c r="G18" s="32">
        <f t="shared" si="1"/>
        <v>0</v>
      </c>
    </row>
    <row r="19" ht="22.5" customHeight="1">
      <c r="A19" s="29" t="s">
        <v>6232</v>
      </c>
      <c r="B19" s="30">
        <v>45189.0</v>
      </c>
      <c r="C19" s="31" t="s">
        <v>6205</v>
      </c>
      <c r="D19" s="31">
        <v>22.0</v>
      </c>
      <c r="E19" s="31">
        <v>22.0</v>
      </c>
      <c r="F19" s="32"/>
      <c r="G19" s="32">
        <f t="shared" si="1"/>
        <v>0</v>
      </c>
    </row>
    <row r="20" ht="22.5" customHeight="1">
      <c r="A20" s="29" t="s">
        <v>6233</v>
      </c>
      <c r="B20" s="30">
        <v>45193.0</v>
      </c>
      <c r="C20" s="31" t="s">
        <v>6205</v>
      </c>
      <c r="D20" s="31">
        <v>22.0</v>
      </c>
      <c r="E20" s="31">
        <v>21.0</v>
      </c>
      <c r="F20" s="32"/>
      <c r="G20" s="32">
        <f t="shared" si="1"/>
        <v>1</v>
      </c>
    </row>
    <row r="21" ht="22.5" customHeight="1">
      <c r="A21" s="29" t="s">
        <v>6234</v>
      </c>
      <c r="B21" s="30">
        <v>45199.0</v>
      </c>
      <c r="C21" s="31" t="s">
        <v>6205</v>
      </c>
      <c r="D21" s="31">
        <v>22.0</v>
      </c>
      <c r="E21" s="31">
        <v>22.0</v>
      </c>
      <c r="F21" s="32"/>
      <c r="G21" s="32">
        <f t="shared" si="1"/>
        <v>0</v>
      </c>
    </row>
    <row r="22" ht="22.5" customHeight="1">
      <c r="A22" s="29" t="s">
        <v>6235</v>
      </c>
      <c r="B22" s="30">
        <v>45204.0</v>
      </c>
      <c r="C22" s="31" t="s">
        <v>6205</v>
      </c>
      <c r="D22" s="31">
        <v>22.0</v>
      </c>
      <c r="E22" s="31">
        <v>22.0</v>
      </c>
      <c r="F22" s="32"/>
      <c r="G22" s="32">
        <f t="shared" si="1"/>
        <v>0</v>
      </c>
    </row>
    <row r="23" ht="22.5" customHeight="1">
      <c r="A23" s="29" t="s">
        <v>6236</v>
      </c>
      <c r="B23" s="30">
        <v>45212.0</v>
      </c>
      <c r="C23" s="31" t="s">
        <v>6205</v>
      </c>
      <c r="D23" s="31">
        <v>22.0</v>
      </c>
      <c r="E23" s="31">
        <v>22.0</v>
      </c>
      <c r="F23" s="32"/>
      <c r="G23" s="32">
        <f t="shared" si="1"/>
        <v>0</v>
      </c>
    </row>
    <row r="24" ht="22.5" customHeight="1">
      <c r="A24" s="29" t="s">
        <v>6237</v>
      </c>
      <c r="B24" s="30">
        <v>45217.0</v>
      </c>
      <c r="C24" s="31" t="s">
        <v>6205</v>
      </c>
      <c r="D24" s="31">
        <v>22.0</v>
      </c>
      <c r="E24" s="31">
        <v>22.0</v>
      </c>
      <c r="F24" s="32"/>
      <c r="G24" s="32">
        <f t="shared" si="1"/>
        <v>0</v>
      </c>
    </row>
    <row r="25" ht="22.5" customHeight="1">
      <c r="A25" s="29" t="s">
        <v>6238</v>
      </c>
      <c r="B25" s="40">
        <v>45221.0</v>
      </c>
      <c r="C25" s="31" t="s">
        <v>6205</v>
      </c>
      <c r="D25" s="31">
        <v>23.0</v>
      </c>
      <c r="E25" s="31">
        <v>23.0</v>
      </c>
      <c r="F25" s="32"/>
      <c r="G25" s="32">
        <f t="shared" si="1"/>
        <v>0</v>
      </c>
    </row>
    <row r="26" ht="22.5" customHeight="1">
      <c r="A26" s="29" t="s">
        <v>6239</v>
      </c>
      <c r="B26" s="30">
        <v>45229.0</v>
      </c>
      <c r="C26" s="31" t="s">
        <v>6205</v>
      </c>
      <c r="D26" s="31">
        <v>23.0</v>
      </c>
      <c r="E26" s="31">
        <v>23.0</v>
      </c>
      <c r="F26" s="32"/>
      <c r="G26" s="32">
        <f t="shared" si="1"/>
        <v>0</v>
      </c>
    </row>
    <row r="27" ht="22.5" customHeight="1">
      <c r="A27" s="29" t="s">
        <v>6240</v>
      </c>
      <c r="B27" s="30">
        <v>45233.0</v>
      </c>
      <c r="C27" s="31" t="s">
        <v>6205</v>
      </c>
      <c r="D27" s="31">
        <v>23.0</v>
      </c>
      <c r="E27" s="31">
        <v>23.0</v>
      </c>
      <c r="F27" s="32"/>
      <c r="G27" s="32">
        <f t="shared" si="1"/>
        <v>0</v>
      </c>
    </row>
    <row r="28" ht="22.5" customHeight="1">
      <c r="A28" s="29" t="s">
        <v>6241</v>
      </c>
      <c r="B28" s="30">
        <v>45238.0</v>
      </c>
      <c r="C28" s="31" t="s">
        <v>6205</v>
      </c>
      <c r="D28" s="31">
        <v>23.0</v>
      </c>
      <c r="E28" s="31">
        <v>23.0</v>
      </c>
      <c r="F28" s="32"/>
      <c r="G28" s="32">
        <f t="shared" si="1"/>
        <v>0</v>
      </c>
    </row>
    <row r="29" ht="22.5" customHeight="1">
      <c r="A29" s="29" t="s">
        <v>6242</v>
      </c>
      <c r="B29" s="30">
        <v>45248.0</v>
      </c>
      <c r="C29" s="31" t="s">
        <v>6205</v>
      </c>
      <c r="D29" s="31">
        <v>23.0</v>
      </c>
      <c r="E29" s="31">
        <v>23.0</v>
      </c>
      <c r="F29" s="32"/>
      <c r="G29" s="32">
        <f t="shared" si="1"/>
        <v>0</v>
      </c>
    </row>
    <row r="30" ht="22.5" customHeight="1">
      <c r="A30" s="29" t="s">
        <v>6243</v>
      </c>
      <c r="B30" s="30">
        <v>45252.0</v>
      </c>
      <c r="C30" s="31" t="s">
        <v>6205</v>
      </c>
      <c r="D30" s="31">
        <v>23.0</v>
      </c>
      <c r="E30" s="31">
        <v>23.0</v>
      </c>
      <c r="F30" s="32"/>
      <c r="G30" s="32">
        <f t="shared" si="1"/>
        <v>0</v>
      </c>
    </row>
    <row r="31" ht="22.5" customHeight="1">
      <c r="A31" s="29" t="s">
        <v>6244</v>
      </c>
      <c r="B31" s="30">
        <v>45258.0</v>
      </c>
      <c r="C31" s="31" t="s">
        <v>6205</v>
      </c>
      <c r="D31" s="31">
        <v>23.0</v>
      </c>
      <c r="E31" s="31">
        <v>23.0</v>
      </c>
      <c r="F31" s="32"/>
      <c r="G31" s="32">
        <f t="shared" si="1"/>
        <v>0</v>
      </c>
    </row>
    <row r="32" ht="22.5" customHeight="1">
      <c r="A32" s="29" t="s">
        <v>6245</v>
      </c>
      <c r="B32" s="30">
        <v>45263.0</v>
      </c>
      <c r="C32" s="31" t="s">
        <v>6205</v>
      </c>
      <c r="D32" s="31">
        <v>23.0</v>
      </c>
      <c r="E32" s="31">
        <v>23.0</v>
      </c>
      <c r="F32" s="32"/>
      <c r="G32" s="32">
        <f t="shared" si="1"/>
        <v>0</v>
      </c>
    </row>
    <row r="33" ht="22.5" customHeight="1">
      <c r="A33" s="29" t="s">
        <v>6246</v>
      </c>
      <c r="B33" s="30">
        <v>45267.0</v>
      </c>
      <c r="C33" s="31" t="s">
        <v>6205</v>
      </c>
      <c r="D33" s="31">
        <v>23.0</v>
      </c>
      <c r="E33" s="31">
        <v>23.0</v>
      </c>
      <c r="F33" s="32"/>
      <c r="G33" s="32">
        <f t="shared" si="1"/>
        <v>0</v>
      </c>
    </row>
    <row r="34" ht="22.5" customHeight="1">
      <c r="A34" s="29" t="s">
        <v>6247</v>
      </c>
      <c r="B34" s="30">
        <v>45279.0</v>
      </c>
      <c r="C34" s="31" t="s">
        <v>6205</v>
      </c>
      <c r="D34" s="31">
        <v>23.0</v>
      </c>
      <c r="E34" s="31">
        <v>23.0</v>
      </c>
      <c r="F34" s="32"/>
      <c r="G34" s="32">
        <f t="shared" si="1"/>
        <v>0</v>
      </c>
    </row>
    <row r="35" ht="22.5" customHeight="1">
      <c r="A35" s="29" t="s">
        <v>6248</v>
      </c>
      <c r="B35" s="30">
        <v>45283.0</v>
      </c>
      <c r="C35" s="31" t="s">
        <v>6205</v>
      </c>
      <c r="D35" s="31">
        <v>23.0</v>
      </c>
      <c r="E35" s="31">
        <v>22.0</v>
      </c>
      <c r="F35" s="32"/>
      <c r="G35" s="32">
        <f t="shared" si="1"/>
        <v>1</v>
      </c>
    </row>
    <row r="36" ht="22.5" customHeight="1">
      <c r="A36" s="29" t="s">
        <v>6249</v>
      </c>
      <c r="B36" s="30">
        <v>45289.0</v>
      </c>
      <c r="C36" s="31" t="s">
        <v>6205</v>
      </c>
      <c r="D36" s="31">
        <v>23.0</v>
      </c>
      <c r="E36" s="31">
        <v>22.0</v>
      </c>
      <c r="F36" s="32"/>
      <c r="G36" s="32">
        <f t="shared" si="1"/>
        <v>1</v>
      </c>
    </row>
    <row r="37" ht="22.5" customHeight="1">
      <c r="A37" s="29" t="s">
        <v>6250</v>
      </c>
      <c r="B37" s="30">
        <v>45298.0</v>
      </c>
      <c r="C37" s="31" t="s">
        <v>6205</v>
      </c>
      <c r="D37" s="31">
        <v>23.0</v>
      </c>
      <c r="E37" s="31">
        <v>23.0</v>
      </c>
      <c r="F37" s="32"/>
      <c r="G37" s="32">
        <f t="shared" si="1"/>
        <v>0</v>
      </c>
    </row>
    <row r="38" ht="22.5" customHeight="1">
      <c r="A38" s="29" t="s">
        <v>6251</v>
      </c>
      <c r="B38" s="30">
        <v>45306.0</v>
      </c>
      <c r="C38" s="31" t="s">
        <v>6205</v>
      </c>
      <c r="D38" s="31">
        <v>23.0</v>
      </c>
      <c r="E38" s="31">
        <v>23.0</v>
      </c>
      <c r="F38" s="32"/>
      <c r="G38" s="32">
        <f t="shared" si="1"/>
        <v>0</v>
      </c>
    </row>
    <row r="39" ht="22.5" customHeight="1">
      <c r="A39" s="29" t="s">
        <v>6252</v>
      </c>
      <c r="B39" s="30">
        <v>45320.0</v>
      </c>
      <c r="C39" s="31" t="s">
        <v>6205</v>
      </c>
      <c r="D39" s="31">
        <v>23.0</v>
      </c>
      <c r="E39" s="31">
        <v>23.0</v>
      </c>
      <c r="F39" s="32"/>
      <c r="G39" s="32">
        <f t="shared" si="1"/>
        <v>0</v>
      </c>
    </row>
    <row r="40" ht="22.5" customHeight="1">
      <c r="A40" s="29" t="s">
        <v>6253</v>
      </c>
      <c r="B40" s="30">
        <v>45347.0</v>
      </c>
      <c r="C40" s="31" t="s">
        <v>6205</v>
      </c>
      <c r="D40" s="31">
        <v>24.0</v>
      </c>
      <c r="E40" s="31">
        <v>24.0</v>
      </c>
      <c r="F40" s="32"/>
      <c r="G40" s="32">
        <f t="shared" si="1"/>
        <v>0</v>
      </c>
    </row>
    <row r="41" ht="22.5" customHeight="1">
      <c r="A41" s="29" t="s">
        <v>6254</v>
      </c>
      <c r="B41" s="30">
        <v>45351.0</v>
      </c>
      <c r="C41" s="31" t="s">
        <v>6205</v>
      </c>
      <c r="D41" s="31">
        <v>23.0</v>
      </c>
      <c r="E41" s="31">
        <v>22.0</v>
      </c>
      <c r="F41" s="32"/>
      <c r="G41" s="32">
        <f t="shared" si="1"/>
        <v>1</v>
      </c>
    </row>
    <row r="42" ht="22.5" customHeight="1">
      <c r="A42" s="29" t="s">
        <v>6255</v>
      </c>
      <c r="B42" s="30">
        <v>45355.0</v>
      </c>
      <c r="C42" s="31" t="s">
        <v>6205</v>
      </c>
      <c r="D42" s="31">
        <v>23.0</v>
      </c>
      <c r="E42" s="31">
        <v>23.0</v>
      </c>
      <c r="F42" s="32"/>
      <c r="G42" s="32">
        <f t="shared" si="1"/>
        <v>0</v>
      </c>
    </row>
    <row r="43" ht="22.5" customHeight="1">
      <c r="A43" s="29" t="s">
        <v>6256</v>
      </c>
      <c r="B43" s="30">
        <v>45361.0</v>
      </c>
      <c r="C43" s="31" t="s">
        <v>6205</v>
      </c>
      <c r="D43" s="31">
        <v>23.0</v>
      </c>
      <c r="E43" s="31">
        <v>23.0</v>
      </c>
      <c r="F43" s="32"/>
      <c r="G43" s="32">
        <f t="shared" si="1"/>
        <v>0</v>
      </c>
    </row>
    <row r="44" ht="22.5" customHeight="1">
      <c r="A44" s="29" t="s">
        <v>6257</v>
      </c>
      <c r="B44" s="30">
        <v>45367.0</v>
      </c>
      <c r="C44" s="31" t="s">
        <v>6205</v>
      </c>
      <c r="D44" s="31">
        <v>23.0</v>
      </c>
      <c r="E44" s="31">
        <v>23.0</v>
      </c>
      <c r="F44" s="32"/>
      <c r="G44" s="32">
        <f t="shared" si="1"/>
        <v>0</v>
      </c>
    </row>
    <row r="45" ht="22.5" customHeight="1">
      <c r="A45" s="29" t="s">
        <v>6258</v>
      </c>
      <c r="B45" s="30">
        <v>45375.0</v>
      </c>
      <c r="C45" s="31" t="s">
        <v>6205</v>
      </c>
      <c r="D45" s="31">
        <v>23.0</v>
      </c>
      <c r="E45" s="31">
        <v>23.0</v>
      </c>
      <c r="F45" s="32"/>
      <c r="G45" s="32">
        <f t="shared" si="1"/>
        <v>0</v>
      </c>
    </row>
    <row r="46" ht="22.5" customHeight="1">
      <c r="A46" s="29" t="s">
        <v>6259</v>
      </c>
      <c r="B46" s="30">
        <v>45376.0</v>
      </c>
      <c r="C46" s="31" t="s">
        <v>6205</v>
      </c>
      <c r="D46" s="31">
        <v>23.0</v>
      </c>
      <c r="E46" s="31">
        <v>23.0</v>
      </c>
      <c r="F46" s="32"/>
      <c r="G46" s="32">
        <f t="shared" si="1"/>
        <v>0</v>
      </c>
    </row>
    <row r="47" ht="22.5" customHeight="1">
      <c r="A47" s="29" t="s">
        <v>6260</v>
      </c>
      <c r="B47" s="30">
        <v>45382.0</v>
      </c>
      <c r="C47" s="31" t="s">
        <v>6205</v>
      </c>
      <c r="D47" s="31">
        <v>23.0</v>
      </c>
      <c r="E47" s="31">
        <v>23.0</v>
      </c>
      <c r="F47" s="32"/>
      <c r="G47" s="32">
        <f t="shared" si="1"/>
        <v>0</v>
      </c>
    </row>
    <row r="48" ht="22.5" customHeight="1">
      <c r="A48" s="29" t="s">
        <v>6261</v>
      </c>
      <c r="B48" s="30">
        <v>45387.0</v>
      </c>
      <c r="C48" s="31" t="s">
        <v>6205</v>
      </c>
      <c r="D48" s="31">
        <v>23.0</v>
      </c>
      <c r="E48" s="31">
        <v>23.0</v>
      </c>
      <c r="F48" s="32"/>
      <c r="G48" s="32">
        <f t="shared" si="1"/>
        <v>0</v>
      </c>
    </row>
    <row r="49" ht="22.5" customHeight="1">
      <c r="A49" s="29" t="s">
        <v>6262</v>
      </c>
      <c r="B49" s="30">
        <v>45392.0</v>
      </c>
      <c r="C49" s="31" t="s">
        <v>6205</v>
      </c>
      <c r="D49" s="31">
        <v>23.0</v>
      </c>
      <c r="E49" s="31">
        <v>23.0</v>
      </c>
      <c r="F49" s="32"/>
      <c r="G49" s="32">
        <f t="shared" si="1"/>
        <v>0</v>
      </c>
    </row>
    <row r="50" ht="22.5" customHeight="1">
      <c r="A50" s="29" t="s">
        <v>6263</v>
      </c>
      <c r="B50" s="30">
        <v>45395.0</v>
      </c>
      <c r="C50" s="31" t="s">
        <v>6205</v>
      </c>
      <c r="D50" s="31">
        <v>23.0</v>
      </c>
      <c r="E50" s="31">
        <v>23.0</v>
      </c>
      <c r="F50" s="32"/>
      <c r="G50" s="32">
        <f t="shared" si="1"/>
        <v>0</v>
      </c>
    </row>
    <row r="51" ht="22.5" customHeight="1">
      <c r="A51" s="29" t="s">
        <v>6264</v>
      </c>
      <c r="B51" s="30">
        <v>45399.0</v>
      </c>
      <c r="C51" s="31" t="s">
        <v>6205</v>
      </c>
      <c r="D51" s="31">
        <v>23.0</v>
      </c>
      <c r="E51" s="31">
        <v>23.0</v>
      </c>
      <c r="F51" s="32"/>
      <c r="G51" s="32">
        <f t="shared" si="1"/>
        <v>0</v>
      </c>
    </row>
    <row r="52" ht="22.5" customHeight="1">
      <c r="A52" s="29" t="s">
        <v>6265</v>
      </c>
      <c r="B52" s="30">
        <v>45400.0</v>
      </c>
      <c r="C52" s="31" t="s">
        <v>6205</v>
      </c>
      <c r="D52" s="31">
        <v>23.0</v>
      </c>
      <c r="E52" s="31">
        <v>23.0</v>
      </c>
      <c r="F52" s="32"/>
      <c r="G52" s="32">
        <f t="shared" si="1"/>
        <v>0</v>
      </c>
    </row>
    <row r="53" ht="22.5" customHeight="1">
      <c r="A53" s="29" t="s">
        <v>6266</v>
      </c>
      <c r="B53" s="30">
        <v>45405.0</v>
      </c>
      <c r="C53" s="31" t="s">
        <v>6205</v>
      </c>
      <c r="D53" s="31">
        <v>23.0</v>
      </c>
      <c r="E53" s="31">
        <v>23.0</v>
      </c>
      <c r="F53" s="32"/>
      <c r="G53" s="32">
        <f t="shared" si="1"/>
        <v>0</v>
      </c>
    </row>
    <row r="54" ht="22.5" customHeight="1">
      <c r="A54" s="29" t="s">
        <v>6267</v>
      </c>
      <c r="B54" s="30">
        <v>45410.0</v>
      </c>
      <c r="C54" s="31" t="s">
        <v>6205</v>
      </c>
      <c r="D54" s="31">
        <v>23.0</v>
      </c>
      <c r="E54" s="31">
        <v>23.0</v>
      </c>
      <c r="F54" s="32"/>
      <c r="G54" s="32">
        <f t="shared" si="1"/>
        <v>0</v>
      </c>
    </row>
    <row r="55" ht="22.5" customHeight="1">
      <c r="A55" s="29" t="s">
        <v>6268</v>
      </c>
      <c r="B55" s="30">
        <v>45415.0</v>
      </c>
      <c r="C55" s="31" t="s">
        <v>6205</v>
      </c>
      <c r="D55" s="31">
        <v>23.0</v>
      </c>
      <c r="E55" s="31">
        <v>23.0</v>
      </c>
      <c r="F55" s="32"/>
      <c r="G55" s="32">
        <f t="shared" si="1"/>
        <v>0</v>
      </c>
    </row>
    <row r="56" ht="22.5" customHeight="1">
      <c r="A56" s="29" t="s">
        <v>6269</v>
      </c>
      <c r="B56" s="30">
        <v>45418.0</v>
      </c>
      <c r="C56" s="31" t="s">
        <v>6205</v>
      </c>
      <c r="D56" s="31">
        <v>23.0</v>
      </c>
      <c r="E56" s="31">
        <v>23.0</v>
      </c>
      <c r="F56" s="32"/>
      <c r="G56" s="32">
        <f t="shared" si="1"/>
        <v>0</v>
      </c>
    </row>
    <row r="57" ht="22.5" customHeight="1">
      <c r="A57" s="29" t="s">
        <v>6270</v>
      </c>
      <c r="B57" s="30">
        <v>45420.0</v>
      </c>
      <c r="C57" s="31" t="s">
        <v>6205</v>
      </c>
      <c r="D57" s="31">
        <v>23.0</v>
      </c>
      <c r="E57" s="31">
        <v>23.0</v>
      </c>
      <c r="F57" s="32"/>
      <c r="G57" s="32">
        <f t="shared" si="1"/>
        <v>0</v>
      </c>
    </row>
    <row r="58" ht="22.5" customHeight="1">
      <c r="A58" s="29" t="s">
        <v>6271</v>
      </c>
      <c r="B58" s="30">
        <v>45425.0</v>
      </c>
      <c r="C58" s="31" t="s">
        <v>6205</v>
      </c>
      <c r="D58" s="31">
        <v>23.0</v>
      </c>
      <c r="E58" s="31">
        <v>23.0</v>
      </c>
      <c r="F58" s="32"/>
      <c r="G58" s="32">
        <f t="shared" si="1"/>
        <v>0</v>
      </c>
    </row>
    <row r="59" ht="22.5" customHeight="1">
      <c r="A59" s="29" t="s">
        <v>6272</v>
      </c>
      <c r="B59" s="30">
        <v>45430.0</v>
      </c>
      <c r="C59" s="31" t="s">
        <v>6205</v>
      </c>
      <c r="D59" s="31">
        <v>23.0</v>
      </c>
      <c r="E59" s="31">
        <v>23.0</v>
      </c>
      <c r="F59" s="32"/>
      <c r="G59" s="32">
        <f t="shared" si="1"/>
        <v>0</v>
      </c>
    </row>
    <row r="60" ht="22.5" customHeight="1">
      <c r="A60" s="29" t="s">
        <v>6273</v>
      </c>
      <c r="B60" s="30">
        <v>45435.0</v>
      </c>
      <c r="C60" s="31" t="s">
        <v>6205</v>
      </c>
      <c r="D60" s="31">
        <v>23.0</v>
      </c>
      <c r="E60" s="31">
        <v>23.0</v>
      </c>
      <c r="F60" s="32"/>
      <c r="G60" s="32">
        <f t="shared" si="1"/>
        <v>0</v>
      </c>
    </row>
    <row r="61" ht="22.5" customHeight="1">
      <c r="A61" s="29" t="s">
        <v>6274</v>
      </c>
      <c r="B61" s="30">
        <v>45436.0</v>
      </c>
      <c r="C61" s="31" t="s">
        <v>6205</v>
      </c>
      <c r="D61" s="31">
        <v>23.0</v>
      </c>
      <c r="E61" s="31">
        <v>23.0</v>
      </c>
      <c r="F61" s="32"/>
      <c r="G61" s="32">
        <f t="shared" si="1"/>
        <v>0</v>
      </c>
    </row>
    <row r="62" ht="22.5" customHeight="1">
      <c r="A62" s="29" t="s">
        <v>6275</v>
      </c>
      <c r="B62" s="30">
        <v>45440.0</v>
      </c>
      <c r="C62" s="31" t="s">
        <v>6205</v>
      </c>
      <c r="D62" s="31">
        <v>23.0</v>
      </c>
      <c r="E62" s="31">
        <v>23.0</v>
      </c>
      <c r="F62" s="32"/>
      <c r="G62" s="32">
        <f t="shared" si="1"/>
        <v>0</v>
      </c>
    </row>
    <row r="63" ht="22.5" customHeight="1">
      <c r="A63" s="29" t="s">
        <v>6276</v>
      </c>
      <c r="B63" s="30">
        <v>45444.0</v>
      </c>
      <c r="C63" s="31" t="s">
        <v>6205</v>
      </c>
      <c r="D63" s="31">
        <v>23.0</v>
      </c>
      <c r="E63" s="31">
        <v>23.0</v>
      </c>
      <c r="F63" s="32"/>
      <c r="G63" s="32">
        <f t="shared" si="1"/>
        <v>0</v>
      </c>
    </row>
    <row r="64" ht="22.5" customHeight="1">
      <c r="A64" s="29" t="s">
        <v>6277</v>
      </c>
      <c r="B64" s="30">
        <v>45588.0</v>
      </c>
      <c r="C64" s="31" t="s">
        <v>6205</v>
      </c>
      <c r="D64" s="31">
        <v>23.0</v>
      </c>
      <c r="E64" s="31">
        <v>23.0</v>
      </c>
      <c r="F64" s="32"/>
      <c r="G64" s="32">
        <f t="shared" si="1"/>
        <v>0</v>
      </c>
    </row>
    <row r="65" ht="22.5" customHeight="1">
      <c r="A65" s="29" t="s">
        <v>6278</v>
      </c>
      <c r="B65" s="30">
        <v>45603.0</v>
      </c>
      <c r="C65" s="31" t="s">
        <v>6205</v>
      </c>
      <c r="D65" s="31">
        <v>23.0</v>
      </c>
      <c r="E65" s="31">
        <v>23.0</v>
      </c>
      <c r="F65" s="32"/>
      <c r="G65" s="32">
        <f t="shared" si="1"/>
        <v>0</v>
      </c>
    </row>
    <row r="66" ht="22.5" customHeight="1">
      <c r="A66" s="29" t="s">
        <v>6279</v>
      </c>
      <c r="B66" s="30">
        <v>45607.0</v>
      </c>
      <c r="C66" s="31" t="s">
        <v>6205</v>
      </c>
      <c r="D66" s="31">
        <v>24.0</v>
      </c>
      <c r="E66" s="31">
        <v>24.0</v>
      </c>
      <c r="F66" s="32"/>
      <c r="G66" s="32">
        <f t="shared" si="1"/>
        <v>0</v>
      </c>
    </row>
    <row r="67" ht="22.5" customHeight="1">
      <c r="A67" s="29" t="s">
        <v>6280</v>
      </c>
      <c r="B67" s="30">
        <v>45610.0</v>
      </c>
      <c r="C67" s="31" t="s">
        <v>6205</v>
      </c>
      <c r="D67" s="31">
        <v>24.0</v>
      </c>
      <c r="E67" s="31">
        <v>24.0</v>
      </c>
      <c r="F67" s="32"/>
      <c r="G67" s="32">
        <f t="shared" si="1"/>
        <v>0</v>
      </c>
    </row>
    <row r="68" ht="22.5" customHeight="1">
      <c r="A68" s="29" t="s">
        <v>6281</v>
      </c>
      <c r="B68" s="30">
        <v>45617.0</v>
      </c>
      <c r="C68" s="31" t="s">
        <v>6205</v>
      </c>
      <c r="D68" s="31">
        <v>24.0</v>
      </c>
      <c r="E68" s="31">
        <v>24.0</v>
      </c>
      <c r="F68" s="32"/>
      <c r="G68" s="32">
        <f t="shared" si="1"/>
        <v>0</v>
      </c>
    </row>
    <row r="69" ht="22.5" customHeight="1">
      <c r="A69" s="29" t="s">
        <v>6282</v>
      </c>
      <c r="B69" s="30">
        <v>45623.0</v>
      </c>
      <c r="C69" s="31" t="s">
        <v>6205</v>
      </c>
      <c r="D69" s="31">
        <v>24.0</v>
      </c>
      <c r="E69" s="31">
        <v>24.0</v>
      </c>
      <c r="F69" s="32"/>
      <c r="G69" s="32">
        <f t="shared" si="1"/>
        <v>0</v>
      </c>
    </row>
    <row r="70" ht="22.5" customHeight="1">
      <c r="A70" s="29" t="s">
        <v>6283</v>
      </c>
      <c r="B70" s="30">
        <v>45626.0</v>
      </c>
      <c r="C70" s="31" t="s">
        <v>6205</v>
      </c>
      <c r="D70" s="31">
        <v>24.0</v>
      </c>
      <c r="E70" s="31">
        <v>24.0</v>
      </c>
      <c r="F70" s="32"/>
      <c r="G70" s="32">
        <f t="shared" si="1"/>
        <v>0</v>
      </c>
    </row>
    <row r="71" ht="22.5" customHeight="1">
      <c r="A71" s="29" t="s">
        <v>6284</v>
      </c>
      <c r="B71" s="30">
        <v>45630.0</v>
      </c>
      <c r="C71" s="31" t="s">
        <v>6205</v>
      </c>
      <c r="D71" s="31">
        <v>24.0</v>
      </c>
      <c r="E71" s="31">
        <v>24.0</v>
      </c>
      <c r="F71" s="32"/>
      <c r="G71" s="32">
        <f t="shared" si="1"/>
        <v>0</v>
      </c>
    </row>
    <row r="72" ht="22.5" customHeight="1">
      <c r="A72" s="29" t="s">
        <v>6285</v>
      </c>
      <c r="B72" s="30">
        <v>45663.0</v>
      </c>
      <c r="C72" s="31" t="s">
        <v>6205</v>
      </c>
      <c r="D72" s="31">
        <v>24.0</v>
      </c>
      <c r="E72" s="31">
        <v>24.0</v>
      </c>
      <c r="F72" s="32"/>
      <c r="G72" s="32">
        <f t="shared" si="1"/>
        <v>0</v>
      </c>
    </row>
    <row r="73" ht="22.5" customHeight="1">
      <c r="A73" s="29" t="s">
        <v>6286</v>
      </c>
      <c r="B73" s="30">
        <v>45747.0</v>
      </c>
      <c r="C73" s="31" t="s">
        <v>6205</v>
      </c>
      <c r="D73" s="31">
        <v>28.0</v>
      </c>
      <c r="E73" s="31">
        <v>28.0</v>
      </c>
      <c r="F73" s="32"/>
      <c r="G73" s="32">
        <f t="shared" si="1"/>
        <v>0</v>
      </c>
    </row>
    <row r="74" ht="22.5" customHeight="1">
      <c r="A74" s="29" t="s">
        <v>6287</v>
      </c>
      <c r="B74" s="30">
        <v>45753.0</v>
      </c>
      <c r="C74" s="31" t="s">
        <v>6205</v>
      </c>
      <c r="D74" s="31">
        <v>28.0</v>
      </c>
      <c r="E74" s="31">
        <v>28.0</v>
      </c>
      <c r="F74" s="32"/>
      <c r="G74" s="32">
        <f t="shared" si="1"/>
        <v>0</v>
      </c>
    </row>
    <row r="75" ht="22.5" customHeight="1">
      <c r="A75" s="29" t="s">
        <v>6288</v>
      </c>
      <c r="B75" s="30">
        <v>45761.0</v>
      </c>
      <c r="C75" s="31" t="s">
        <v>6205</v>
      </c>
      <c r="D75" s="31">
        <v>27.0</v>
      </c>
      <c r="E75" s="31">
        <v>27.0</v>
      </c>
      <c r="F75" s="32"/>
      <c r="G75" s="32">
        <f t="shared" si="1"/>
        <v>0</v>
      </c>
    </row>
    <row r="76" ht="22.5" customHeight="1">
      <c r="A76" s="29" t="s">
        <v>6289</v>
      </c>
      <c r="B76" s="30">
        <v>45772.0</v>
      </c>
      <c r="C76" s="31" t="s">
        <v>6205</v>
      </c>
      <c r="D76" s="31">
        <v>28.0</v>
      </c>
      <c r="E76" s="31">
        <v>28.0</v>
      </c>
      <c r="F76" s="32"/>
      <c r="G76" s="32">
        <f t="shared" si="1"/>
        <v>0</v>
      </c>
    </row>
    <row r="77" ht="22.5" customHeight="1">
      <c r="A77" s="29" t="s">
        <v>6290</v>
      </c>
      <c r="B77" s="30">
        <v>45779.0</v>
      </c>
      <c r="C77" s="31" t="s">
        <v>6205</v>
      </c>
      <c r="D77" s="31">
        <v>28.0</v>
      </c>
      <c r="E77" s="31">
        <v>28.0</v>
      </c>
      <c r="F77" s="32"/>
      <c r="G77" s="32">
        <f t="shared" si="1"/>
        <v>0</v>
      </c>
    </row>
    <row r="78" ht="22.5" customHeight="1">
      <c r="A78" s="29" t="s">
        <v>6291</v>
      </c>
      <c r="B78" s="30">
        <v>45781.0</v>
      </c>
      <c r="C78" s="31" t="s">
        <v>6205</v>
      </c>
      <c r="D78" s="31">
        <v>29.0</v>
      </c>
      <c r="E78" s="31">
        <v>29.0</v>
      </c>
      <c r="F78" s="32"/>
      <c r="G78" s="32">
        <f t="shared" si="1"/>
        <v>0</v>
      </c>
    </row>
    <row r="79" ht="22.5" customHeight="1">
      <c r="A79" s="29" t="s">
        <v>6292</v>
      </c>
      <c r="B79" s="30">
        <v>45784.0</v>
      </c>
      <c r="C79" s="31" t="s">
        <v>6205</v>
      </c>
      <c r="D79" s="31">
        <v>28.0</v>
      </c>
      <c r="E79" s="31">
        <v>28.0</v>
      </c>
      <c r="F79" s="32"/>
      <c r="G79" s="32">
        <f t="shared" si="1"/>
        <v>0</v>
      </c>
    </row>
    <row r="80" ht="22.5" customHeight="1">
      <c r="A80" s="29" t="s">
        <v>6293</v>
      </c>
      <c r="B80" s="30">
        <v>45787.0</v>
      </c>
      <c r="C80" s="31" t="s">
        <v>6205</v>
      </c>
      <c r="D80" s="31">
        <v>28.0</v>
      </c>
      <c r="E80" s="31">
        <v>28.0</v>
      </c>
      <c r="F80" s="32"/>
      <c r="G80" s="32">
        <f t="shared" si="1"/>
        <v>0</v>
      </c>
    </row>
    <row r="81" ht="22.5" customHeight="1">
      <c r="A81" s="29" t="s">
        <v>6294</v>
      </c>
      <c r="B81" s="30">
        <v>45790.0</v>
      </c>
      <c r="C81" s="31" t="s">
        <v>6205</v>
      </c>
      <c r="D81" s="31">
        <v>28.0</v>
      </c>
      <c r="E81" s="31">
        <v>28.0</v>
      </c>
      <c r="F81" s="32"/>
      <c r="G81" s="32">
        <f t="shared" si="1"/>
        <v>0</v>
      </c>
    </row>
    <row r="82" ht="22.5" customHeight="1">
      <c r="A82" s="29" t="s">
        <v>6295</v>
      </c>
      <c r="B82" s="30">
        <v>45791.0</v>
      </c>
      <c r="C82" s="31" t="s">
        <v>6205</v>
      </c>
      <c r="D82" s="31">
        <v>28.0</v>
      </c>
      <c r="E82" s="31">
        <v>28.0</v>
      </c>
      <c r="F82" s="32"/>
      <c r="G82" s="32">
        <f t="shared" si="1"/>
        <v>0</v>
      </c>
    </row>
    <row r="83" ht="22.5" customHeight="1">
      <c r="A83" s="29" t="s">
        <v>6296</v>
      </c>
      <c r="B83" s="30">
        <v>45967.0</v>
      </c>
      <c r="C83" s="31" t="s">
        <v>6205</v>
      </c>
      <c r="D83" s="31">
        <v>29.0</v>
      </c>
      <c r="E83" s="31">
        <v>29.0</v>
      </c>
      <c r="F83" s="32"/>
      <c r="G83" s="32">
        <f t="shared" si="1"/>
        <v>0</v>
      </c>
    </row>
    <row r="84" ht="22.5" customHeight="1">
      <c r="A84" s="29" t="s">
        <v>6297</v>
      </c>
      <c r="B84" s="30">
        <v>45972.0</v>
      </c>
      <c r="C84" s="31" t="s">
        <v>6205</v>
      </c>
      <c r="D84" s="31">
        <v>29.0</v>
      </c>
      <c r="E84" s="31">
        <v>29.0</v>
      </c>
      <c r="F84" s="32"/>
      <c r="G84" s="32">
        <f t="shared" si="1"/>
        <v>0</v>
      </c>
    </row>
    <row r="85" ht="22.5" customHeight="1">
      <c r="A85" s="29" t="s">
        <v>6298</v>
      </c>
      <c r="B85" s="30">
        <v>45976.0</v>
      </c>
      <c r="C85" s="31" t="s">
        <v>6205</v>
      </c>
      <c r="D85" s="31">
        <v>29.0</v>
      </c>
      <c r="E85" s="31">
        <v>29.0</v>
      </c>
      <c r="F85" s="32"/>
      <c r="G85" s="32">
        <f t="shared" si="1"/>
        <v>0</v>
      </c>
    </row>
    <row r="86" ht="22.5" customHeight="1">
      <c r="A86" s="29" t="s">
        <v>6299</v>
      </c>
      <c r="B86" s="30">
        <v>45976.0</v>
      </c>
      <c r="C86" s="31" t="s">
        <v>6205</v>
      </c>
      <c r="D86" s="31">
        <v>29.0</v>
      </c>
      <c r="E86" s="31">
        <v>29.0</v>
      </c>
      <c r="F86" s="32"/>
      <c r="G86" s="32">
        <f t="shared" si="1"/>
        <v>0</v>
      </c>
    </row>
    <row r="87" ht="22.5" customHeight="1">
      <c r="A87" s="29" t="s">
        <v>6300</v>
      </c>
      <c r="B87" s="30">
        <v>45980.0</v>
      </c>
      <c r="C87" s="31" t="s">
        <v>6205</v>
      </c>
      <c r="D87" s="31">
        <v>29.0</v>
      </c>
      <c r="E87" s="31">
        <v>29.0</v>
      </c>
      <c r="F87" s="32"/>
      <c r="G87" s="32">
        <f t="shared" si="1"/>
        <v>0</v>
      </c>
    </row>
    <row r="88" ht="22.5" customHeight="1">
      <c r="A88" s="29" t="s">
        <v>6301</v>
      </c>
      <c r="B88" s="30">
        <v>45982.0</v>
      </c>
      <c r="C88" s="31" t="s">
        <v>6205</v>
      </c>
      <c r="D88" s="31">
        <v>29.0</v>
      </c>
      <c r="E88" s="31">
        <v>29.0</v>
      </c>
      <c r="F88" s="32"/>
      <c r="G88" s="32">
        <f t="shared" si="1"/>
        <v>0</v>
      </c>
    </row>
    <row r="89" ht="22.5" customHeight="1">
      <c r="A89" s="29" t="s">
        <v>6302</v>
      </c>
      <c r="B89" s="30">
        <v>45983.0</v>
      </c>
      <c r="C89" s="31" t="s">
        <v>6205</v>
      </c>
      <c r="D89" s="31">
        <v>29.0</v>
      </c>
      <c r="E89" s="31">
        <v>29.0</v>
      </c>
      <c r="F89" s="32"/>
      <c r="G89" s="32">
        <f t="shared" si="1"/>
        <v>0</v>
      </c>
    </row>
    <row r="90" ht="22.5" customHeight="1">
      <c r="A90" s="29" t="s">
        <v>6303</v>
      </c>
      <c r="B90" s="30">
        <v>45992.0</v>
      </c>
      <c r="C90" s="31" t="s">
        <v>6205</v>
      </c>
      <c r="D90" s="31">
        <v>29.0</v>
      </c>
      <c r="E90" s="31">
        <v>29.0</v>
      </c>
      <c r="F90" s="32"/>
      <c r="G90" s="32">
        <f t="shared" si="1"/>
        <v>0</v>
      </c>
    </row>
    <row r="91" ht="22.5" customHeight="1">
      <c r="A91" s="29" t="s">
        <v>6304</v>
      </c>
      <c r="B91" s="30">
        <v>45993.0</v>
      </c>
      <c r="C91" s="31" t="s">
        <v>6205</v>
      </c>
      <c r="D91" s="31">
        <v>29.0</v>
      </c>
      <c r="E91" s="31">
        <v>29.0</v>
      </c>
      <c r="F91" s="32"/>
      <c r="G91" s="32">
        <f t="shared" si="1"/>
        <v>0</v>
      </c>
    </row>
    <row r="92" ht="22.5" customHeight="1">
      <c r="A92" s="29" t="s">
        <v>6305</v>
      </c>
      <c r="B92" s="30">
        <v>45999.0</v>
      </c>
      <c r="C92" s="31" t="s">
        <v>6205</v>
      </c>
      <c r="D92" s="31">
        <v>29.0</v>
      </c>
      <c r="E92" s="31">
        <v>29.0</v>
      </c>
      <c r="F92" s="32"/>
      <c r="G92" s="32">
        <f t="shared" si="1"/>
        <v>0</v>
      </c>
    </row>
    <row r="93" ht="22.5" customHeight="1">
      <c r="A93" s="29" t="s">
        <v>6306</v>
      </c>
      <c r="B93" s="30">
        <v>46002.0</v>
      </c>
      <c r="C93" s="31" t="s">
        <v>6205</v>
      </c>
      <c r="D93" s="31">
        <v>29.0</v>
      </c>
      <c r="E93" s="31">
        <v>29.0</v>
      </c>
      <c r="F93" s="32"/>
      <c r="G93" s="32">
        <f t="shared" si="1"/>
        <v>0</v>
      </c>
    </row>
    <row r="94" ht="22.5" customHeight="1">
      <c r="A94" s="29" t="s">
        <v>6307</v>
      </c>
      <c r="B94" s="30">
        <v>46006.0</v>
      </c>
      <c r="C94" s="31" t="s">
        <v>6205</v>
      </c>
      <c r="D94" s="31">
        <v>29.0</v>
      </c>
      <c r="E94" s="31">
        <v>29.0</v>
      </c>
      <c r="F94" s="32"/>
      <c r="G94" s="32">
        <f t="shared" si="1"/>
        <v>0</v>
      </c>
    </row>
    <row r="95" ht="22.5" customHeight="1">
      <c r="A95" s="29" t="s">
        <v>6308</v>
      </c>
      <c r="B95" s="30">
        <v>46008.0</v>
      </c>
      <c r="C95" s="31" t="s">
        <v>6205</v>
      </c>
      <c r="D95" s="31">
        <v>29.0</v>
      </c>
      <c r="E95" s="31">
        <v>29.0</v>
      </c>
      <c r="F95" s="32"/>
      <c r="G95" s="32">
        <f t="shared" si="1"/>
        <v>0</v>
      </c>
    </row>
    <row r="96" ht="22.5" customHeight="1">
      <c r="A96" s="29" t="s">
        <v>6309</v>
      </c>
      <c r="B96" s="30">
        <v>46026.0</v>
      </c>
      <c r="C96" s="31" t="s">
        <v>6205</v>
      </c>
      <c r="D96" s="31">
        <v>29.0</v>
      </c>
      <c r="E96" s="31">
        <v>29.0</v>
      </c>
      <c r="F96" s="32"/>
      <c r="G96" s="32">
        <f t="shared" si="1"/>
        <v>0</v>
      </c>
    </row>
    <row r="97" ht="22.5" customHeight="1">
      <c r="A97" s="29" t="s">
        <v>6310</v>
      </c>
      <c r="B97" s="30">
        <v>46031.0</v>
      </c>
      <c r="C97" s="31" t="s">
        <v>6205</v>
      </c>
      <c r="D97" s="31">
        <v>29.0</v>
      </c>
      <c r="E97" s="31">
        <v>29.0</v>
      </c>
      <c r="F97" s="32"/>
      <c r="G97" s="32">
        <f t="shared" si="1"/>
        <v>0</v>
      </c>
    </row>
    <row r="98" ht="22.5" customHeight="1">
      <c r="A98" s="29" t="s">
        <v>6311</v>
      </c>
      <c r="B98" s="30">
        <v>46034.0</v>
      </c>
      <c r="C98" s="31" t="s">
        <v>6205</v>
      </c>
      <c r="D98" s="31">
        <v>29.0</v>
      </c>
      <c r="E98" s="31">
        <v>29.0</v>
      </c>
      <c r="F98" s="32"/>
      <c r="G98" s="32">
        <f t="shared" si="1"/>
        <v>0</v>
      </c>
    </row>
    <row r="99" ht="22.5" customHeight="1">
      <c r="A99" s="29" t="s">
        <v>6312</v>
      </c>
      <c r="B99" s="30">
        <v>46036.0</v>
      </c>
      <c r="C99" s="31" t="s">
        <v>6205</v>
      </c>
      <c r="D99" s="31">
        <v>29.0</v>
      </c>
      <c r="E99" s="31">
        <v>29.0</v>
      </c>
      <c r="F99" s="32"/>
      <c r="G99" s="32">
        <f t="shared" si="1"/>
        <v>0</v>
      </c>
    </row>
    <row r="100" ht="22.5" customHeight="1">
      <c r="A100" s="29" t="s">
        <v>6313</v>
      </c>
      <c r="B100" s="30">
        <v>46040.0</v>
      </c>
      <c r="C100" s="31" t="s">
        <v>6205</v>
      </c>
      <c r="D100" s="31">
        <v>29.0</v>
      </c>
      <c r="E100" s="31">
        <v>29.0</v>
      </c>
      <c r="F100" s="32"/>
      <c r="G100" s="32">
        <f t="shared" si="1"/>
        <v>0</v>
      </c>
    </row>
    <row r="101" ht="22.5" customHeight="1">
      <c r="A101" s="29" t="s">
        <v>6314</v>
      </c>
      <c r="B101" s="30">
        <v>46052.0</v>
      </c>
      <c r="C101" s="31" t="s">
        <v>6205</v>
      </c>
      <c r="D101" s="31">
        <v>29.0</v>
      </c>
      <c r="E101" s="31">
        <v>29.0</v>
      </c>
      <c r="F101" s="31"/>
      <c r="G101" s="31">
        <f t="shared" si="1"/>
        <v>0</v>
      </c>
    </row>
    <row r="102" ht="22.5" customHeight="1">
      <c r="A102" s="41" t="s">
        <v>6315</v>
      </c>
      <c r="B102" s="42">
        <v>46058.0</v>
      </c>
      <c r="C102" s="31" t="s">
        <v>6205</v>
      </c>
      <c r="D102" s="43">
        <v>29.0</v>
      </c>
      <c r="E102" s="43">
        <v>29.0</v>
      </c>
      <c r="F102" s="44"/>
      <c r="G102" s="44">
        <f t="shared" si="1"/>
        <v>0</v>
      </c>
    </row>
    <row r="103" ht="22.5" customHeight="1">
      <c r="A103" s="45" t="s">
        <v>6316</v>
      </c>
      <c r="B103" s="46">
        <v>46061.0</v>
      </c>
      <c r="C103" s="47" t="s">
        <v>6205</v>
      </c>
      <c r="D103" s="48">
        <v>29.0</v>
      </c>
      <c r="E103" s="48">
        <v>29.0</v>
      </c>
      <c r="F103" s="49"/>
      <c r="G103" s="44">
        <f t="shared" si="1"/>
        <v>0</v>
      </c>
    </row>
    <row r="104" ht="22.5" customHeight="1">
      <c r="A104" s="50" t="s">
        <v>6317</v>
      </c>
      <c r="B104" s="51">
        <v>45160.0</v>
      </c>
      <c r="C104" s="52" t="s">
        <v>6205</v>
      </c>
      <c r="D104" s="53">
        <v>21.0</v>
      </c>
      <c r="E104" s="53">
        <v>21.0</v>
      </c>
      <c r="F104" s="54"/>
      <c r="G104" s="44">
        <f t="shared" si="1"/>
        <v>0</v>
      </c>
    </row>
    <row r="105" ht="22.5" customHeight="1">
      <c r="A105" s="55" t="s">
        <v>6318</v>
      </c>
      <c r="B105" s="56">
        <v>45181.0</v>
      </c>
      <c r="C105" s="57" t="s">
        <v>6205</v>
      </c>
      <c r="D105" s="58">
        <v>21.0</v>
      </c>
      <c r="E105" s="58">
        <v>21.0</v>
      </c>
      <c r="F105" s="59"/>
      <c r="G105" s="60">
        <f t="shared" si="1"/>
        <v>0</v>
      </c>
    </row>
    <row r="106" ht="22.5" customHeight="1">
      <c r="A106" s="61" t="s">
        <v>6319</v>
      </c>
      <c r="B106" s="62">
        <v>45194.0</v>
      </c>
      <c r="C106" s="63" t="s">
        <v>6205</v>
      </c>
      <c r="D106" s="64">
        <v>21.0</v>
      </c>
      <c r="E106" s="64">
        <v>21.0</v>
      </c>
      <c r="F106" s="65"/>
      <c r="G106" s="44">
        <f t="shared" si="1"/>
        <v>0</v>
      </c>
    </row>
    <row r="107" ht="22.5" customHeight="1">
      <c r="A107" s="55" t="s">
        <v>6320</v>
      </c>
      <c r="B107" s="56">
        <v>45208.0</v>
      </c>
      <c r="C107" s="57" t="s">
        <v>6205</v>
      </c>
      <c r="D107" s="58">
        <v>21.0</v>
      </c>
      <c r="E107" s="58">
        <v>21.0</v>
      </c>
      <c r="F107" s="59"/>
      <c r="G107" s="60">
        <f t="shared" si="1"/>
        <v>0</v>
      </c>
    </row>
    <row r="108" ht="22.5" customHeight="1">
      <c r="A108" s="61" t="s">
        <v>6321</v>
      </c>
      <c r="B108" s="62">
        <v>45220.0</v>
      </c>
      <c r="C108" s="63" t="s">
        <v>6205</v>
      </c>
      <c r="D108" s="64">
        <v>21.0</v>
      </c>
      <c r="E108" s="64">
        <v>21.0</v>
      </c>
      <c r="F108" s="65"/>
      <c r="G108" s="44">
        <f t="shared" si="1"/>
        <v>0</v>
      </c>
    </row>
    <row r="109" ht="22.5" customHeight="1">
      <c r="A109" s="55" t="s">
        <v>6322</v>
      </c>
      <c r="B109" s="56">
        <v>45228.0</v>
      </c>
      <c r="C109" s="57" t="s">
        <v>6205</v>
      </c>
      <c r="D109" s="58">
        <v>22.0</v>
      </c>
      <c r="E109" s="58">
        <v>22.0</v>
      </c>
      <c r="F109" s="59"/>
      <c r="G109" s="60">
        <f t="shared" si="1"/>
        <v>0</v>
      </c>
    </row>
    <row r="110" ht="22.5" customHeight="1">
      <c r="A110" s="61" t="s">
        <v>6323</v>
      </c>
      <c r="B110" s="62">
        <v>45250.0</v>
      </c>
      <c r="C110" s="63" t="s">
        <v>6205</v>
      </c>
      <c r="D110" s="64">
        <v>22.0</v>
      </c>
      <c r="E110" s="64">
        <v>22.0</v>
      </c>
      <c r="F110" s="65"/>
      <c r="G110" s="44">
        <f t="shared" si="1"/>
        <v>0</v>
      </c>
    </row>
    <row r="111" ht="22.5" customHeight="1">
      <c r="A111" s="55" t="s">
        <v>6324</v>
      </c>
      <c r="B111" s="56">
        <v>45268.0</v>
      </c>
      <c r="C111" s="57" t="s">
        <v>6205</v>
      </c>
      <c r="D111" s="58">
        <v>22.0</v>
      </c>
      <c r="E111" s="58">
        <v>22.0</v>
      </c>
      <c r="F111" s="59"/>
      <c r="G111" s="60">
        <f t="shared" si="1"/>
        <v>0</v>
      </c>
    </row>
    <row r="112" ht="22.5" customHeight="1">
      <c r="A112" s="61" t="s">
        <v>6325</v>
      </c>
      <c r="B112" s="62">
        <v>45294.0</v>
      </c>
      <c r="C112" s="63" t="s">
        <v>6205</v>
      </c>
      <c r="D112" s="64">
        <v>21.0</v>
      </c>
      <c r="E112" s="64">
        <v>21.0</v>
      </c>
      <c r="F112" s="65"/>
      <c r="G112" s="44">
        <f t="shared" si="1"/>
        <v>0</v>
      </c>
    </row>
    <row r="113" ht="22.5" customHeight="1">
      <c r="A113" s="55" t="s">
        <v>6326</v>
      </c>
      <c r="B113" s="56">
        <v>45305.0</v>
      </c>
      <c r="C113" s="57" t="s">
        <v>6205</v>
      </c>
      <c r="D113" s="58">
        <v>22.0</v>
      </c>
      <c r="E113" s="58">
        <v>22.0</v>
      </c>
      <c r="F113" s="59"/>
      <c r="G113" s="60">
        <f t="shared" si="1"/>
        <v>0</v>
      </c>
    </row>
    <row r="114" ht="22.5" customHeight="1">
      <c r="A114" s="61" t="s">
        <v>6327</v>
      </c>
      <c r="B114" s="62">
        <v>45315.0</v>
      </c>
      <c r="C114" s="63" t="s">
        <v>6205</v>
      </c>
      <c r="D114" s="64">
        <v>22.0</v>
      </c>
      <c r="E114" s="64">
        <v>22.0</v>
      </c>
      <c r="F114" s="65"/>
      <c r="G114" s="44">
        <f t="shared" si="1"/>
        <v>0</v>
      </c>
    </row>
    <row r="115" ht="22.5" customHeight="1">
      <c r="A115" s="55" t="s">
        <v>2617</v>
      </c>
      <c r="B115" s="56">
        <v>45320.0</v>
      </c>
      <c r="C115" s="57" t="s">
        <v>6205</v>
      </c>
      <c r="D115" s="58">
        <v>22.0</v>
      </c>
      <c r="E115" s="58">
        <v>22.0</v>
      </c>
      <c r="F115" s="59"/>
      <c r="G115" s="60">
        <f t="shared" si="1"/>
        <v>0</v>
      </c>
    </row>
    <row r="116" ht="22.5" customHeight="1">
      <c r="A116" s="61" t="s">
        <v>6328</v>
      </c>
      <c r="B116" s="62">
        <v>45332.0</v>
      </c>
      <c r="C116" s="63" t="s">
        <v>6205</v>
      </c>
      <c r="D116" s="64">
        <v>22.0</v>
      </c>
      <c r="E116" s="64">
        <v>21.0</v>
      </c>
      <c r="F116" s="65"/>
      <c r="G116" s="44">
        <f t="shared" si="1"/>
        <v>1</v>
      </c>
    </row>
    <row r="117" ht="22.5" customHeight="1">
      <c r="A117" s="55" t="s">
        <v>6329</v>
      </c>
      <c r="B117" s="56">
        <v>45337.0</v>
      </c>
      <c r="C117" s="57" t="s">
        <v>6205</v>
      </c>
      <c r="D117" s="58">
        <v>22.0</v>
      </c>
      <c r="E117" s="58">
        <v>22.0</v>
      </c>
      <c r="F117" s="59"/>
      <c r="G117" s="60">
        <f t="shared" si="1"/>
        <v>0</v>
      </c>
    </row>
    <row r="118" ht="22.5" customHeight="1">
      <c r="A118" s="61" t="s">
        <v>6330</v>
      </c>
      <c r="B118" s="62">
        <v>45345.0</v>
      </c>
      <c r="C118" s="63" t="s">
        <v>6205</v>
      </c>
      <c r="D118" s="64">
        <v>22.0</v>
      </c>
      <c r="E118" s="64">
        <v>22.0</v>
      </c>
      <c r="F118" s="65"/>
      <c r="G118" s="44">
        <f t="shared" si="1"/>
        <v>0</v>
      </c>
    </row>
    <row r="119" ht="22.5" customHeight="1">
      <c r="A119" s="55" t="s">
        <v>2703</v>
      </c>
      <c r="B119" s="56">
        <v>45362.0</v>
      </c>
      <c r="C119" s="57" t="s">
        <v>6205</v>
      </c>
      <c r="D119" s="58">
        <v>23.0</v>
      </c>
      <c r="E119" s="58">
        <v>23.0</v>
      </c>
      <c r="F119" s="59"/>
      <c r="G119" s="60">
        <f t="shared" si="1"/>
        <v>0</v>
      </c>
    </row>
    <row r="120" ht="22.5" customHeight="1">
      <c r="A120" s="61" t="s">
        <v>6331</v>
      </c>
      <c r="B120" s="62">
        <v>45370.0</v>
      </c>
      <c r="C120" s="63" t="s">
        <v>6205</v>
      </c>
      <c r="D120" s="64">
        <v>20.0</v>
      </c>
      <c r="E120" s="64">
        <v>20.0</v>
      </c>
      <c r="F120" s="65"/>
      <c r="G120" s="44">
        <f t="shared" si="1"/>
        <v>0</v>
      </c>
    </row>
    <row r="121" ht="22.5" customHeight="1">
      <c r="A121" s="55" t="s">
        <v>6332</v>
      </c>
      <c r="B121" s="56">
        <v>45384.0</v>
      </c>
      <c r="C121" s="57" t="s">
        <v>6205</v>
      </c>
      <c r="D121" s="58">
        <v>22.0</v>
      </c>
      <c r="E121" s="58">
        <v>22.0</v>
      </c>
      <c r="F121" s="59"/>
      <c r="G121" s="60">
        <f t="shared" si="1"/>
        <v>0</v>
      </c>
    </row>
    <row r="122" ht="22.5" customHeight="1">
      <c r="A122" s="66" t="s">
        <v>6333</v>
      </c>
      <c r="B122" s="67">
        <v>45389.0</v>
      </c>
      <c r="C122" s="68" t="s">
        <v>6205</v>
      </c>
      <c r="D122" s="69">
        <v>21.0</v>
      </c>
      <c r="E122" s="69">
        <v>21.0</v>
      </c>
      <c r="F122" s="70"/>
      <c r="G122" s="44">
        <f t="shared" si="1"/>
        <v>0</v>
      </c>
    </row>
    <row r="123" ht="22.5" customHeight="1">
      <c r="A123" s="55" t="s">
        <v>6334</v>
      </c>
      <c r="B123" s="56">
        <v>45422.0</v>
      </c>
      <c r="C123" s="57" t="s">
        <v>6205</v>
      </c>
      <c r="D123" s="58">
        <v>20.0</v>
      </c>
      <c r="E123" s="58">
        <v>20.0</v>
      </c>
      <c r="F123" s="59"/>
      <c r="G123" s="60">
        <f t="shared" si="1"/>
        <v>0</v>
      </c>
    </row>
    <row r="124" ht="22.5" customHeight="1">
      <c r="A124" s="61" t="s">
        <v>6335</v>
      </c>
      <c r="B124" s="62">
        <v>45514.0</v>
      </c>
      <c r="C124" s="63" t="s">
        <v>6205</v>
      </c>
      <c r="D124" s="64">
        <v>21.0</v>
      </c>
      <c r="E124" s="64">
        <v>21.0</v>
      </c>
      <c r="F124" s="65"/>
      <c r="G124" s="44">
        <f t="shared" si="1"/>
        <v>0</v>
      </c>
    </row>
    <row r="125" ht="22.5" customHeight="1">
      <c r="A125" s="55" t="s">
        <v>6336</v>
      </c>
      <c r="B125" s="56">
        <v>45448.0</v>
      </c>
      <c r="C125" s="57" t="s">
        <v>6205</v>
      </c>
      <c r="D125" s="58">
        <v>20.0</v>
      </c>
      <c r="E125" s="58">
        <v>20.0</v>
      </c>
      <c r="F125" s="59"/>
      <c r="G125" s="60">
        <f t="shared" si="1"/>
        <v>0</v>
      </c>
    </row>
    <row r="126" ht="22.5" customHeight="1">
      <c r="A126" s="61" t="s">
        <v>6337</v>
      </c>
      <c r="B126" s="62">
        <v>45532.0</v>
      </c>
      <c r="C126" s="63" t="s">
        <v>6205</v>
      </c>
      <c r="D126" s="64">
        <v>21.0</v>
      </c>
      <c r="E126" s="64">
        <v>21.0</v>
      </c>
      <c r="F126" s="65"/>
      <c r="G126" s="44">
        <f t="shared" si="1"/>
        <v>0</v>
      </c>
    </row>
    <row r="127" ht="22.5" customHeight="1">
      <c r="A127" s="55" t="s">
        <v>6338</v>
      </c>
      <c r="B127" s="56">
        <v>45426.0</v>
      </c>
      <c r="C127" s="57" t="s">
        <v>6205</v>
      </c>
      <c r="D127" s="58">
        <v>20.0</v>
      </c>
      <c r="E127" s="58">
        <v>20.0</v>
      </c>
      <c r="F127" s="59"/>
      <c r="G127" s="60">
        <f t="shared" si="1"/>
        <v>0</v>
      </c>
    </row>
    <row r="128" ht="22.5" customHeight="1">
      <c r="A128" s="61" t="s">
        <v>6339</v>
      </c>
      <c r="B128" s="62">
        <v>45451.0</v>
      </c>
      <c r="C128" s="63" t="s">
        <v>6205</v>
      </c>
      <c r="D128" s="64">
        <v>20.0</v>
      </c>
      <c r="E128" s="64">
        <v>20.0</v>
      </c>
      <c r="F128" s="65"/>
      <c r="G128" s="44">
        <f t="shared" si="1"/>
        <v>0</v>
      </c>
    </row>
    <row r="129" ht="22.5" customHeight="1">
      <c r="A129" s="55" t="s">
        <v>6340</v>
      </c>
      <c r="B129" s="56">
        <v>45476.0</v>
      </c>
      <c r="C129" s="57" t="s">
        <v>6205</v>
      </c>
      <c r="D129" s="58">
        <v>20.0</v>
      </c>
      <c r="E129" s="58">
        <v>20.0</v>
      </c>
      <c r="F129" s="59"/>
      <c r="G129" s="60">
        <f t="shared" si="1"/>
        <v>0</v>
      </c>
    </row>
    <row r="130" ht="22.5" customHeight="1">
      <c r="A130" s="61" t="s">
        <v>6341</v>
      </c>
      <c r="B130" s="62">
        <v>45535.0</v>
      </c>
      <c r="C130" s="63" t="s">
        <v>6205</v>
      </c>
      <c r="D130" s="64">
        <v>21.0</v>
      </c>
      <c r="E130" s="64">
        <v>21.0</v>
      </c>
      <c r="F130" s="65"/>
      <c r="G130" s="44">
        <f t="shared" si="1"/>
        <v>0</v>
      </c>
    </row>
    <row r="131" ht="22.5" customHeight="1">
      <c r="A131" s="55" t="s">
        <v>6342</v>
      </c>
      <c r="B131" s="56">
        <v>45540.0</v>
      </c>
      <c r="C131" s="57" t="s">
        <v>6205</v>
      </c>
      <c r="D131" s="58">
        <v>21.0</v>
      </c>
      <c r="E131" s="58">
        <v>21.0</v>
      </c>
      <c r="F131" s="59"/>
      <c r="G131" s="60">
        <f t="shared" si="1"/>
        <v>0</v>
      </c>
    </row>
    <row r="132" ht="22.5" customHeight="1">
      <c r="A132" s="61" t="s">
        <v>6343</v>
      </c>
      <c r="B132" s="62">
        <v>45583.0</v>
      </c>
      <c r="C132" s="63" t="s">
        <v>6205</v>
      </c>
      <c r="D132" s="64">
        <v>20.0</v>
      </c>
      <c r="E132" s="64">
        <v>20.0</v>
      </c>
      <c r="F132" s="65"/>
      <c r="G132" s="44">
        <f t="shared" si="1"/>
        <v>0</v>
      </c>
    </row>
    <row r="133" ht="22.5" customHeight="1">
      <c r="A133" s="71" t="s">
        <v>6344</v>
      </c>
      <c r="B133" s="72">
        <v>45462.0</v>
      </c>
      <c r="C133" s="73" t="s">
        <v>6205</v>
      </c>
      <c r="D133" s="74">
        <v>20.0</v>
      </c>
      <c r="E133" s="74">
        <v>20.0</v>
      </c>
      <c r="F133" s="75"/>
      <c r="G133" s="60">
        <f t="shared" si="1"/>
        <v>0</v>
      </c>
    </row>
    <row r="134" ht="22.5" customHeight="1">
      <c r="A134" s="61" t="s">
        <v>6345</v>
      </c>
      <c r="B134" s="62">
        <v>45467.0</v>
      </c>
      <c r="C134" s="63" t="s">
        <v>6205</v>
      </c>
      <c r="D134" s="64">
        <v>20.0</v>
      </c>
      <c r="E134" s="64">
        <v>20.0</v>
      </c>
      <c r="F134" s="65"/>
      <c r="G134" s="44">
        <f t="shared" si="1"/>
        <v>0</v>
      </c>
    </row>
    <row r="135" ht="22.5" customHeight="1">
      <c r="A135" s="55" t="s">
        <v>6346</v>
      </c>
      <c r="B135" s="56">
        <v>45485.0</v>
      </c>
      <c r="C135" s="57" t="s">
        <v>6205</v>
      </c>
      <c r="D135" s="58">
        <v>20.0</v>
      </c>
      <c r="E135" s="58">
        <v>0.0</v>
      </c>
      <c r="F135" s="76" t="s">
        <v>6347</v>
      </c>
      <c r="G135" s="77">
        <f t="shared" si="1"/>
        <v>20</v>
      </c>
    </row>
    <row r="136" ht="22.5" customHeight="1">
      <c r="A136" s="61" t="s">
        <v>6348</v>
      </c>
      <c r="B136" s="62">
        <v>45501.0</v>
      </c>
      <c r="C136" s="63" t="s">
        <v>6205</v>
      </c>
      <c r="D136" s="64">
        <v>21.0</v>
      </c>
      <c r="E136" s="64">
        <v>21.0</v>
      </c>
      <c r="F136" s="65"/>
      <c r="G136" s="44">
        <f t="shared" si="1"/>
        <v>0</v>
      </c>
    </row>
    <row r="137" ht="22.5" customHeight="1">
      <c r="A137" s="55" t="s">
        <v>3038</v>
      </c>
      <c r="B137" s="56">
        <v>45535.0</v>
      </c>
      <c r="C137" s="57" t="s">
        <v>6205</v>
      </c>
      <c r="D137" s="58">
        <v>21.0</v>
      </c>
      <c r="E137" s="58">
        <v>21.0</v>
      </c>
      <c r="F137" s="59"/>
      <c r="G137" s="60">
        <f t="shared" si="1"/>
        <v>0</v>
      </c>
    </row>
    <row r="138" ht="22.5" customHeight="1">
      <c r="A138" s="61" t="s">
        <v>6349</v>
      </c>
      <c r="B138" s="62">
        <v>45548.0</v>
      </c>
      <c r="C138" s="63" t="s">
        <v>6205</v>
      </c>
      <c r="D138" s="64">
        <v>21.0</v>
      </c>
      <c r="E138" s="64">
        <v>21.0</v>
      </c>
      <c r="F138" s="65"/>
      <c r="G138" s="44">
        <f t="shared" si="1"/>
        <v>0</v>
      </c>
    </row>
    <row r="139" ht="22.5" customHeight="1">
      <c r="A139" s="55" t="s">
        <v>6350</v>
      </c>
      <c r="B139" s="56">
        <v>45555.0</v>
      </c>
      <c r="C139" s="57" t="s">
        <v>6205</v>
      </c>
      <c r="D139" s="58">
        <v>20.0</v>
      </c>
      <c r="E139" s="58">
        <v>20.0</v>
      </c>
      <c r="F139" s="59"/>
      <c r="G139" s="60">
        <f t="shared" si="1"/>
        <v>0</v>
      </c>
    </row>
    <row r="140" ht="22.5" customHeight="1">
      <c r="A140" s="61" t="s">
        <v>6351</v>
      </c>
      <c r="B140" s="62">
        <v>45560.0</v>
      </c>
      <c r="C140" s="63" t="s">
        <v>6205</v>
      </c>
      <c r="D140" s="64">
        <v>20.0</v>
      </c>
      <c r="E140" s="64">
        <v>20.0</v>
      </c>
      <c r="F140" s="65"/>
      <c r="G140" s="44">
        <f t="shared" si="1"/>
        <v>0</v>
      </c>
    </row>
    <row r="141" ht="22.5" customHeight="1">
      <c r="A141" s="55" t="s">
        <v>6352</v>
      </c>
      <c r="B141" s="56">
        <v>45580.0</v>
      </c>
      <c r="C141" s="57" t="s">
        <v>6205</v>
      </c>
      <c r="D141" s="58">
        <v>20.0</v>
      </c>
      <c r="E141" s="58">
        <v>20.0</v>
      </c>
      <c r="F141" s="59"/>
      <c r="G141" s="60">
        <f t="shared" si="1"/>
        <v>0</v>
      </c>
    </row>
    <row r="142" ht="22.5" customHeight="1">
      <c r="A142" s="61" t="s">
        <v>6353</v>
      </c>
      <c r="B142" s="62">
        <v>45595.0</v>
      </c>
      <c r="C142" s="63" t="s">
        <v>6205</v>
      </c>
      <c r="D142" s="64">
        <v>20.0</v>
      </c>
      <c r="E142" s="64">
        <v>20.0</v>
      </c>
      <c r="F142" s="65"/>
      <c r="G142" s="44">
        <f t="shared" si="1"/>
        <v>0</v>
      </c>
    </row>
    <row r="143" ht="22.5" customHeight="1">
      <c r="A143" s="55" t="s">
        <v>6354</v>
      </c>
      <c r="B143" s="56">
        <v>45605.0</v>
      </c>
      <c r="C143" s="57" t="s">
        <v>6205</v>
      </c>
      <c r="D143" s="58">
        <v>20.0</v>
      </c>
      <c r="E143" s="58">
        <v>20.0</v>
      </c>
      <c r="F143" s="59"/>
      <c r="G143" s="60">
        <f t="shared" si="1"/>
        <v>0</v>
      </c>
    </row>
    <row r="144" ht="22.5" customHeight="1">
      <c r="A144" s="61" t="s">
        <v>3178</v>
      </c>
      <c r="B144" s="62">
        <v>45610.0</v>
      </c>
      <c r="C144" s="63" t="s">
        <v>6205</v>
      </c>
      <c r="D144" s="64">
        <v>20.0</v>
      </c>
      <c r="E144" s="64">
        <v>20.0</v>
      </c>
      <c r="F144" s="65"/>
      <c r="G144" s="44">
        <f t="shared" si="1"/>
        <v>0</v>
      </c>
    </row>
    <row r="145" ht="22.5" customHeight="1">
      <c r="A145" s="55" t="s">
        <v>6355</v>
      </c>
      <c r="B145" s="56">
        <v>45614.0</v>
      </c>
      <c r="C145" s="57" t="s">
        <v>6205</v>
      </c>
      <c r="D145" s="58">
        <v>20.0</v>
      </c>
      <c r="E145" s="58">
        <v>20.0</v>
      </c>
      <c r="F145" s="59"/>
      <c r="G145" s="60">
        <f t="shared" si="1"/>
        <v>0</v>
      </c>
    </row>
    <row r="146" ht="22.5" customHeight="1">
      <c r="A146" s="61" t="s">
        <v>6356</v>
      </c>
      <c r="B146" s="62">
        <v>45620.0</v>
      </c>
      <c r="C146" s="63" t="s">
        <v>6205</v>
      </c>
      <c r="D146" s="64">
        <v>20.0</v>
      </c>
      <c r="E146" s="64">
        <v>20.0</v>
      </c>
      <c r="F146" s="65"/>
      <c r="G146" s="44">
        <f t="shared" si="1"/>
        <v>0</v>
      </c>
    </row>
    <row r="147" ht="22.5" customHeight="1">
      <c r="A147" s="55" t="s">
        <v>6357</v>
      </c>
      <c r="B147" s="56">
        <v>45631.0</v>
      </c>
      <c r="C147" s="57" t="s">
        <v>6205</v>
      </c>
      <c r="D147" s="58">
        <v>20.0</v>
      </c>
      <c r="E147" s="58">
        <v>20.0</v>
      </c>
      <c r="F147" s="59"/>
      <c r="G147" s="60">
        <f t="shared" si="1"/>
        <v>0</v>
      </c>
    </row>
    <row r="148" ht="22.5" customHeight="1">
      <c r="A148" s="66" t="s">
        <v>3259</v>
      </c>
      <c r="B148" s="67">
        <v>45451.0</v>
      </c>
      <c r="C148" s="68" t="s">
        <v>6205</v>
      </c>
      <c r="D148" s="69">
        <v>22.0</v>
      </c>
      <c r="E148" s="69">
        <v>22.0</v>
      </c>
      <c r="F148" s="70"/>
      <c r="G148" s="44">
        <f t="shared" si="1"/>
        <v>0</v>
      </c>
    </row>
    <row r="149" ht="22.5" customHeight="1">
      <c r="A149" s="55" t="s">
        <v>6358</v>
      </c>
      <c r="B149" s="56">
        <v>45466.0</v>
      </c>
      <c r="C149" s="57" t="s">
        <v>6205</v>
      </c>
      <c r="D149" s="58">
        <v>22.0</v>
      </c>
      <c r="E149" s="58">
        <v>22.0</v>
      </c>
      <c r="F149" s="59"/>
      <c r="G149" s="60">
        <f t="shared" si="1"/>
        <v>0</v>
      </c>
    </row>
    <row r="150" ht="22.5" customHeight="1">
      <c r="A150" s="61" t="s">
        <v>6359</v>
      </c>
      <c r="B150" s="62">
        <v>45470.0</v>
      </c>
      <c r="C150" s="63" t="s">
        <v>6205</v>
      </c>
      <c r="D150" s="64">
        <v>23.0</v>
      </c>
      <c r="E150" s="64">
        <v>23.0</v>
      </c>
      <c r="F150" s="65"/>
      <c r="G150" s="44">
        <f t="shared" si="1"/>
        <v>0</v>
      </c>
    </row>
    <row r="151" ht="22.5" customHeight="1">
      <c r="A151" s="55" t="s">
        <v>6360</v>
      </c>
      <c r="B151" s="56">
        <v>45500.0</v>
      </c>
      <c r="C151" s="57" t="s">
        <v>6205</v>
      </c>
      <c r="D151" s="58">
        <v>23.0</v>
      </c>
      <c r="E151" s="58">
        <v>23.0</v>
      </c>
      <c r="F151" s="59"/>
      <c r="G151" s="60">
        <f t="shared" si="1"/>
        <v>0</v>
      </c>
    </row>
    <row r="152" ht="22.5" customHeight="1">
      <c r="A152" s="61" t="s">
        <v>3350</v>
      </c>
      <c r="B152" s="62">
        <v>45501.0</v>
      </c>
      <c r="C152" s="63" t="s">
        <v>6205</v>
      </c>
      <c r="D152" s="64">
        <v>23.0</v>
      </c>
      <c r="E152" s="64">
        <v>23.0</v>
      </c>
      <c r="F152" s="65"/>
      <c r="G152" s="44">
        <f t="shared" si="1"/>
        <v>0</v>
      </c>
    </row>
    <row r="153" ht="22.5" customHeight="1">
      <c r="A153" s="55" t="s">
        <v>6361</v>
      </c>
      <c r="B153" s="56">
        <v>45506.0</v>
      </c>
      <c r="C153" s="57" t="s">
        <v>6205</v>
      </c>
      <c r="D153" s="58">
        <v>23.0</v>
      </c>
      <c r="E153" s="58">
        <v>23.0</v>
      </c>
      <c r="F153" s="59"/>
      <c r="G153" s="60">
        <f t="shared" si="1"/>
        <v>0</v>
      </c>
    </row>
    <row r="154" ht="22.5" customHeight="1">
      <c r="A154" s="61" t="s">
        <v>6362</v>
      </c>
      <c r="B154" s="62">
        <v>45516.0</v>
      </c>
      <c r="C154" s="63" t="s">
        <v>6205</v>
      </c>
      <c r="D154" s="64">
        <v>23.0</v>
      </c>
      <c r="E154" s="64">
        <v>23.0</v>
      </c>
      <c r="F154" s="65"/>
      <c r="G154" s="44">
        <f t="shared" si="1"/>
        <v>0</v>
      </c>
    </row>
    <row r="155" ht="22.5" customHeight="1">
      <c r="A155" s="55" t="s">
        <v>6363</v>
      </c>
      <c r="B155" s="56">
        <v>45524.0</v>
      </c>
      <c r="C155" s="57" t="s">
        <v>6205</v>
      </c>
      <c r="D155" s="58">
        <v>22.0</v>
      </c>
      <c r="E155" s="58">
        <v>22.0</v>
      </c>
      <c r="F155" s="59"/>
      <c r="G155" s="60">
        <f t="shared" si="1"/>
        <v>0</v>
      </c>
    </row>
    <row r="156" ht="22.5" customHeight="1">
      <c r="A156" s="61" t="s">
        <v>3441</v>
      </c>
      <c r="B156" s="62">
        <v>45580.0</v>
      </c>
      <c r="C156" s="63" t="s">
        <v>6205</v>
      </c>
      <c r="D156" s="64">
        <v>23.0</v>
      </c>
      <c r="E156" s="64">
        <v>23.0</v>
      </c>
      <c r="F156" s="65"/>
      <c r="G156" s="44">
        <f t="shared" si="1"/>
        <v>0</v>
      </c>
    </row>
    <row r="157" ht="22.5" customHeight="1">
      <c r="A157" s="55" t="s">
        <v>6364</v>
      </c>
      <c r="B157" s="56">
        <v>45591.0</v>
      </c>
      <c r="C157" s="57" t="s">
        <v>6205</v>
      </c>
      <c r="D157" s="58">
        <v>22.0</v>
      </c>
      <c r="E157" s="58">
        <v>22.0</v>
      </c>
      <c r="F157" s="59"/>
      <c r="G157" s="60">
        <f t="shared" si="1"/>
        <v>0</v>
      </c>
    </row>
    <row r="158" ht="22.5" customHeight="1">
      <c r="A158" s="61" t="s">
        <v>3487</v>
      </c>
      <c r="B158" s="62">
        <v>45595.0</v>
      </c>
      <c r="C158" s="63" t="s">
        <v>6205</v>
      </c>
      <c r="D158" s="64">
        <v>23.0</v>
      </c>
      <c r="E158" s="64">
        <v>23.0</v>
      </c>
      <c r="F158" s="65"/>
      <c r="G158" s="44">
        <f t="shared" si="1"/>
        <v>0</v>
      </c>
    </row>
    <row r="159" ht="22.5" customHeight="1">
      <c r="A159" s="55" t="s">
        <v>6365</v>
      </c>
      <c r="B159" s="56">
        <v>45706.0</v>
      </c>
      <c r="C159" s="57" t="s">
        <v>6205</v>
      </c>
      <c r="D159" s="58">
        <v>23.0</v>
      </c>
      <c r="E159" s="58">
        <v>23.0</v>
      </c>
      <c r="F159" s="59"/>
      <c r="G159" s="60">
        <f t="shared" si="1"/>
        <v>0</v>
      </c>
    </row>
    <row r="160" ht="22.5" customHeight="1">
      <c r="A160" s="61" t="s">
        <v>6366</v>
      </c>
      <c r="B160" s="62">
        <v>45805.0</v>
      </c>
      <c r="C160" s="63" t="s">
        <v>6205</v>
      </c>
      <c r="D160" s="64">
        <v>27.0</v>
      </c>
      <c r="E160" s="64">
        <v>27.0</v>
      </c>
      <c r="F160" s="65"/>
      <c r="G160" s="44">
        <f t="shared" si="1"/>
        <v>0</v>
      </c>
    </row>
    <row r="161" ht="22.5" customHeight="1">
      <c r="A161" s="55" t="s">
        <v>6367</v>
      </c>
      <c r="B161" s="56">
        <v>45826.0</v>
      </c>
      <c r="C161" s="57" t="s">
        <v>6205</v>
      </c>
      <c r="D161" s="58">
        <v>28.0</v>
      </c>
      <c r="E161" s="58">
        <v>28.0</v>
      </c>
      <c r="F161" s="59"/>
      <c r="G161" s="60">
        <f t="shared" si="1"/>
        <v>0</v>
      </c>
    </row>
    <row r="162" ht="22.5" customHeight="1">
      <c r="A162" s="61" t="s">
        <v>6368</v>
      </c>
      <c r="B162" s="62">
        <v>45831.0</v>
      </c>
      <c r="C162" s="63" t="s">
        <v>6205</v>
      </c>
      <c r="D162" s="64">
        <v>27.0</v>
      </c>
      <c r="E162" s="64">
        <v>27.0</v>
      </c>
      <c r="F162" s="65"/>
      <c r="G162" s="44">
        <f t="shared" si="1"/>
        <v>0</v>
      </c>
    </row>
    <row r="163" ht="22.5" customHeight="1">
      <c r="A163" s="55" t="s">
        <v>6369</v>
      </c>
      <c r="B163" s="56">
        <v>45833.0</v>
      </c>
      <c r="C163" s="57" t="s">
        <v>6205</v>
      </c>
      <c r="D163" s="58">
        <v>27.0</v>
      </c>
      <c r="E163" s="58">
        <v>27.0</v>
      </c>
      <c r="F163" s="59"/>
      <c r="G163" s="60">
        <f t="shared" si="1"/>
        <v>0</v>
      </c>
    </row>
    <row r="164" ht="22.5" customHeight="1">
      <c r="A164" s="61" t="s">
        <v>6370</v>
      </c>
      <c r="B164" s="62">
        <v>45836.0</v>
      </c>
      <c r="C164" s="63" t="s">
        <v>6205</v>
      </c>
      <c r="D164" s="64">
        <v>27.0</v>
      </c>
      <c r="E164" s="64">
        <v>27.0</v>
      </c>
      <c r="F164" s="65"/>
      <c r="G164" s="44">
        <f t="shared" si="1"/>
        <v>0</v>
      </c>
    </row>
    <row r="165" ht="22.5" customHeight="1">
      <c r="A165" s="55" t="s">
        <v>6371</v>
      </c>
      <c r="B165" s="56">
        <v>45840.0</v>
      </c>
      <c r="C165" s="57" t="s">
        <v>6205</v>
      </c>
      <c r="D165" s="58">
        <v>27.0</v>
      </c>
      <c r="E165" s="58">
        <v>27.0</v>
      </c>
      <c r="F165" s="59"/>
      <c r="G165" s="60">
        <f t="shared" si="1"/>
        <v>0</v>
      </c>
    </row>
    <row r="166" ht="22.5" customHeight="1">
      <c r="A166" s="61" t="s">
        <v>6372</v>
      </c>
      <c r="B166" s="62">
        <v>45846.0</v>
      </c>
      <c r="C166" s="63" t="s">
        <v>6205</v>
      </c>
      <c r="D166" s="64">
        <v>28.0</v>
      </c>
      <c r="E166" s="64">
        <v>28.0</v>
      </c>
      <c r="F166" s="65"/>
      <c r="G166" s="44">
        <f t="shared" si="1"/>
        <v>0</v>
      </c>
    </row>
    <row r="167" ht="22.5" customHeight="1">
      <c r="A167" s="55" t="s">
        <v>6373</v>
      </c>
      <c r="B167" s="56">
        <v>45864.0</v>
      </c>
      <c r="C167" s="57" t="s">
        <v>6205</v>
      </c>
      <c r="D167" s="58">
        <v>28.0</v>
      </c>
      <c r="E167" s="58">
        <v>28.0</v>
      </c>
      <c r="F167" s="59"/>
      <c r="G167" s="60">
        <f t="shared" si="1"/>
        <v>0</v>
      </c>
    </row>
    <row r="168" ht="22.5" customHeight="1">
      <c r="A168" s="61" t="s">
        <v>6374</v>
      </c>
      <c r="B168" s="62">
        <v>45868.0</v>
      </c>
      <c r="C168" s="63" t="s">
        <v>6205</v>
      </c>
      <c r="D168" s="64">
        <v>28.0</v>
      </c>
      <c r="E168" s="64">
        <v>28.0</v>
      </c>
      <c r="F168" s="65"/>
      <c r="G168" s="44">
        <f t="shared" si="1"/>
        <v>0</v>
      </c>
    </row>
    <row r="169" ht="22.5" customHeight="1">
      <c r="A169" s="55" t="s">
        <v>6375</v>
      </c>
      <c r="B169" s="56">
        <v>45873.0</v>
      </c>
      <c r="C169" s="57" t="s">
        <v>6205</v>
      </c>
      <c r="D169" s="58">
        <v>28.0</v>
      </c>
      <c r="E169" s="58">
        <v>28.0</v>
      </c>
      <c r="F169" s="59"/>
      <c r="G169" s="60">
        <f t="shared" si="1"/>
        <v>0</v>
      </c>
    </row>
    <row r="170" ht="22.5" customHeight="1">
      <c r="A170" s="61" t="s">
        <v>6376</v>
      </c>
      <c r="B170" s="62">
        <v>45883.0</v>
      </c>
      <c r="C170" s="63" t="s">
        <v>6205</v>
      </c>
      <c r="D170" s="64">
        <v>28.0</v>
      </c>
      <c r="E170" s="64">
        <v>28.0</v>
      </c>
      <c r="F170" s="65"/>
      <c r="G170" s="44">
        <f t="shared" si="1"/>
        <v>0</v>
      </c>
    </row>
    <row r="171" ht="22.5" customHeight="1">
      <c r="A171" s="55" t="s">
        <v>6377</v>
      </c>
      <c r="B171" s="56">
        <v>45897.0</v>
      </c>
      <c r="C171" s="57" t="s">
        <v>6205</v>
      </c>
      <c r="D171" s="58">
        <v>28.0</v>
      </c>
      <c r="E171" s="58">
        <v>28.0</v>
      </c>
      <c r="F171" s="59"/>
      <c r="G171" s="60">
        <f t="shared" si="1"/>
        <v>0</v>
      </c>
    </row>
    <row r="172" ht="22.5" customHeight="1">
      <c r="A172" s="61" t="s">
        <v>6378</v>
      </c>
      <c r="B172" s="62">
        <v>45900.0</v>
      </c>
      <c r="C172" s="63" t="s">
        <v>6205</v>
      </c>
      <c r="D172" s="64">
        <v>28.0</v>
      </c>
      <c r="E172" s="64">
        <v>28.0</v>
      </c>
      <c r="F172" s="65"/>
      <c r="G172" s="44">
        <f t="shared" si="1"/>
        <v>0</v>
      </c>
    </row>
    <row r="173" ht="22.5" customHeight="1">
      <c r="A173" s="55" t="s">
        <v>6379</v>
      </c>
      <c r="B173" s="56">
        <v>45903.0</v>
      </c>
      <c r="C173" s="57" t="s">
        <v>6205</v>
      </c>
      <c r="D173" s="58">
        <v>28.0</v>
      </c>
      <c r="E173" s="58">
        <v>28.0</v>
      </c>
      <c r="F173" s="59"/>
      <c r="G173" s="60">
        <f t="shared" si="1"/>
        <v>0</v>
      </c>
    </row>
    <row r="174" ht="22.5" customHeight="1">
      <c r="A174" s="61" t="s">
        <v>6380</v>
      </c>
      <c r="B174" s="62">
        <v>45921.0</v>
      </c>
      <c r="C174" s="63" t="s">
        <v>6205</v>
      </c>
      <c r="D174" s="64">
        <v>28.0</v>
      </c>
      <c r="E174" s="64">
        <v>28.0</v>
      </c>
      <c r="F174" s="65"/>
      <c r="G174" s="44">
        <f t="shared" si="1"/>
        <v>0</v>
      </c>
    </row>
    <row r="175" ht="22.5" customHeight="1">
      <c r="A175" s="55" t="s">
        <v>6381</v>
      </c>
      <c r="B175" s="56">
        <v>45925.0</v>
      </c>
      <c r="C175" s="57" t="s">
        <v>6205</v>
      </c>
      <c r="D175" s="58">
        <v>28.0</v>
      </c>
      <c r="E175" s="58">
        <v>28.0</v>
      </c>
      <c r="F175" s="59"/>
      <c r="G175" s="60">
        <f t="shared" si="1"/>
        <v>0</v>
      </c>
    </row>
    <row r="176" ht="22.5" customHeight="1">
      <c r="A176" s="61" t="s">
        <v>6382</v>
      </c>
      <c r="B176" s="62">
        <v>45949.0</v>
      </c>
      <c r="C176" s="63" t="s">
        <v>6205</v>
      </c>
      <c r="D176" s="64">
        <v>28.0</v>
      </c>
      <c r="E176" s="64">
        <v>28.0</v>
      </c>
      <c r="F176" s="65"/>
      <c r="G176" s="44">
        <f t="shared" si="1"/>
        <v>0</v>
      </c>
    </row>
    <row r="177" ht="22.5" customHeight="1">
      <c r="A177" s="55" t="s">
        <v>6383</v>
      </c>
      <c r="B177" s="56">
        <v>45956.0</v>
      </c>
      <c r="C177" s="57" t="s">
        <v>6205</v>
      </c>
      <c r="D177" s="58">
        <v>28.0</v>
      </c>
      <c r="E177" s="58">
        <v>28.0</v>
      </c>
      <c r="F177" s="59"/>
      <c r="G177" s="60">
        <f t="shared" si="1"/>
        <v>0</v>
      </c>
    </row>
    <row r="178" ht="22.5" customHeight="1">
      <c r="A178" s="61" t="s">
        <v>6384</v>
      </c>
      <c r="B178" s="62">
        <v>45959.0</v>
      </c>
      <c r="C178" s="63" t="s">
        <v>6205</v>
      </c>
      <c r="D178" s="64">
        <v>29.0</v>
      </c>
      <c r="E178" s="64">
        <v>29.0</v>
      </c>
      <c r="F178" s="65"/>
      <c r="G178" s="44">
        <f t="shared" si="1"/>
        <v>0</v>
      </c>
    </row>
    <row r="179" ht="22.5" customHeight="1">
      <c r="A179" s="71" t="s">
        <v>6385</v>
      </c>
      <c r="B179" s="72">
        <v>45508.0</v>
      </c>
      <c r="C179" s="73" t="s">
        <v>6205</v>
      </c>
      <c r="D179" s="74">
        <v>23.0</v>
      </c>
      <c r="E179" s="74">
        <v>23.0</v>
      </c>
      <c r="F179" s="75"/>
      <c r="G179" s="60">
        <f t="shared" si="1"/>
        <v>0</v>
      </c>
    </row>
    <row r="180" ht="22.5" customHeight="1">
      <c r="A180" s="61" t="s">
        <v>6386</v>
      </c>
      <c r="B180" s="62">
        <v>45639.0</v>
      </c>
      <c r="C180" s="63" t="s">
        <v>6205</v>
      </c>
      <c r="D180" s="64">
        <v>22.0</v>
      </c>
      <c r="E180" s="64">
        <v>22.0</v>
      </c>
      <c r="F180" s="65"/>
      <c r="G180" s="44">
        <f t="shared" si="1"/>
        <v>0</v>
      </c>
    </row>
    <row r="181" ht="22.5" customHeight="1">
      <c r="A181" s="55" t="s">
        <v>6387</v>
      </c>
      <c r="B181" s="56">
        <v>45655.0</v>
      </c>
      <c r="C181" s="57" t="s">
        <v>6205</v>
      </c>
      <c r="D181" s="58">
        <v>22.0</v>
      </c>
      <c r="E181" s="58">
        <v>22.0</v>
      </c>
      <c r="F181" s="59"/>
      <c r="G181" s="60">
        <f t="shared" si="1"/>
        <v>0</v>
      </c>
    </row>
    <row r="182" ht="22.5" customHeight="1">
      <c r="A182" s="61" t="s">
        <v>6388</v>
      </c>
      <c r="B182" s="62">
        <v>45678.0</v>
      </c>
      <c r="C182" s="63" t="s">
        <v>6205</v>
      </c>
      <c r="D182" s="64">
        <v>27.0</v>
      </c>
      <c r="E182" s="64">
        <v>27.0</v>
      </c>
      <c r="F182" s="65"/>
      <c r="G182" s="44">
        <f t="shared" si="1"/>
        <v>0</v>
      </c>
    </row>
    <row r="183" ht="22.5" customHeight="1">
      <c r="A183" s="55" t="s">
        <v>6389</v>
      </c>
      <c r="B183" s="56">
        <v>45681.0</v>
      </c>
      <c r="C183" s="57" t="s">
        <v>6205</v>
      </c>
      <c r="D183" s="58">
        <v>23.0</v>
      </c>
      <c r="E183" s="58">
        <v>23.0</v>
      </c>
      <c r="F183" s="59"/>
      <c r="G183" s="60">
        <f t="shared" si="1"/>
        <v>0</v>
      </c>
    </row>
    <row r="184" ht="22.5" customHeight="1">
      <c r="A184" s="61" t="s">
        <v>6390</v>
      </c>
      <c r="B184" s="78">
        <v>45689.0</v>
      </c>
      <c r="C184" s="63" t="s">
        <v>6205</v>
      </c>
      <c r="D184" s="64">
        <v>22.0</v>
      </c>
      <c r="E184" s="64">
        <v>22.0</v>
      </c>
      <c r="F184" s="65"/>
      <c r="G184" s="44">
        <f t="shared" si="1"/>
        <v>0</v>
      </c>
    </row>
    <row r="185" ht="22.5" customHeight="1">
      <c r="A185" s="55" t="s">
        <v>6391</v>
      </c>
      <c r="B185" s="56">
        <v>45699.0</v>
      </c>
      <c r="C185" s="57" t="s">
        <v>6205</v>
      </c>
      <c r="D185" s="58">
        <v>23.0</v>
      </c>
      <c r="E185" s="58">
        <v>23.0</v>
      </c>
      <c r="F185" s="59"/>
      <c r="G185" s="60">
        <f t="shared" si="1"/>
        <v>0</v>
      </c>
    </row>
    <row r="186" ht="22.5" customHeight="1">
      <c r="A186" s="61" t="s">
        <v>6392</v>
      </c>
      <c r="B186" s="62">
        <v>45742.0</v>
      </c>
      <c r="C186" s="63" t="s">
        <v>6205</v>
      </c>
      <c r="D186" s="64">
        <v>27.0</v>
      </c>
      <c r="E186" s="64">
        <v>27.0</v>
      </c>
      <c r="F186" s="65"/>
      <c r="G186" s="44">
        <f t="shared" si="1"/>
        <v>0</v>
      </c>
    </row>
    <row r="187" ht="22.5" customHeight="1">
      <c r="A187" s="55" t="s">
        <v>6393</v>
      </c>
      <c r="B187" s="56">
        <v>45751.0</v>
      </c>
      <c r="C187" s="57" t="s">
        <v>6205</v>
      </c>
      <c r="D187" s="58">
        <v>27.0</v>
      </c>
      <c r="E187" s="58">
        <v>27.0</v>
      </c>
      <c r="F187" s="59"/>
      <c r="G187" s="60">
        <f t="shared" si="1"/>
        <v>0</v>
      </c>
    </row>
    <row r="188" ht="22.5" customHeight="1">
      <c r="A188" s="61" t="s">
        <v>6394</v>
      </c>
      <c r="B188" s="62">
        <v>45754.0</v>
      </c>
      <c r="C188" s="63" t="s">
        <v>6205</v>
      </c>
      <c r="D188" s="64">
        <v>27.0</v>
      </c>
      <c r="E188" s="64">
        <v>27.0</v>
      </c>
      <c r="F188" s="65"/>
      <c r="G188" s="44">
        <f t="shared" si="1"/>
        <v>0</v>
      </c>
    </row>
    <row r="189" ht="22.5" customHeight="1">
      <c r="A189" s="55" t="s">
        <v>6395</v>
      </c>
      <c r="B189" s="56">
        <v>45775.0</v>
      </c>
      <c r="C189" s="57" t="s">
        <v>6205</v>
      </c>
      <c r="D189" s="58">
        <v>27.0</v>
      </c>
      <c r="E189" s="58">
        <v>27.0</v>
      </c>
      <c r="F189" s="59"/>
      <c r="G189" s="60">
        <f t="shared" si="1"/>
        <v>0</v>
      </c>
    </row>
    <row r="190" ht="22.5" customHeight="1">
      <c r="A190" s="61" t="s">
        <v>6396</v>
      </c>
      <c r="B190" s="62">
        <v>45800.0</v>
      </c>
      <c r="C190" s="63" t="s">
        <v>6205</v>
      </c>
      <c r="D190" s="64">
        <v>27.0</v>
      </c>
      <c r="E190" s="64">
        <v>27.0</v>
      </c>
      <c r="F190" s="65"/>
      <c r="G190" s="44">
        <f t="shared" si="1"/>
        <v>0</v>
      </c>
    </row>
    <row r="191" ht="22.5" customHeight="1">
      <c r="A191" s="55" t="s">
        <v>6397</v>
      </c>
      <c r="B191" s="56">
        <v>45808.0</v>
      </c>
      <c r="C191" s="57" t="s">
        <v>6205</v>
      </c>
      <c r="D191" s="58">
        <v>27.0</v>
      </c>
      <c r="E191" s="58">
        <v>27.0</v>
      </c>
      <c r="F191" s="59"/>
      <c r="G191" s="60">
        <f t="shared" si="1"/>
        <v>0</v>
      </c>
    </row>
    <row r="192" ht="22.5" customHeight="1">
      <c r="A192" s="61" t="s">
        <v>6398</v>
      </c>
      <c r="B192" s="62">
        <v>45812.0</v>
      </c>
      <c r="C192" s="63" t="s">
        <v>6205</v>
      </c>
      <c r="D192" s="64">
        <v>27.0</v>
      </c>
      <c r="E192" s="64">
        <v>27.0</v>
      </c>
      <c r="F192" s="65"/>
      <c r="G192" s="44">
        <f t="shared" si="1"/>
        <v>0</v>
      </c>
    </row>
    <row r="193" ht="22.5" customHeight="1">
      <c r="A193" s="55" t="s">
        <v>6399</v>
      </c>
      <c r="B193" s="56">
        <v>45929.0</v>
      </c>
      <c r="C193" s="57" t="s">
        <v>6205</v>
      </c>
      <c r="D193" s="58">
        <v>28.0</v>
      </c>
      <c r="E193" s="58">
        <v>28.0</v>
      </c>
      <c r="F193" s="59"/>
      <c r="G193" s="60">
        <f t="shared" si="1"/>
        <v>0</v>
      </c>
    </row>
    <row r="194" ht="22.5" customHeight="1">
      <c r="A194" s="61" t="s">
        <v>6400</v>
      </c>
      <c r="B194" s="62">
        <v>45933.0</v>
      </c>
      <c r="C194" s="63" t="s">
        <v>6205</v>
      </c>
      <c r="D194" s="64">
        <v>28.0</v>
      </c>
      <c r="E194" s="64">
        <v>28.0</v>
      </c>
      <c r="F194" s="65"/>
      <c r="G194" s="44">
        <f t="shared" si="1"/>
        <v>0</v>
      </c>
    </row>
    <row r="195" ht="22.5" customHeight="1">
      <c r="A195" s="55" t="s">
        <v>6401</v>
      </c>
      <c r="B195" s="56">
        <v>45938.0</v>
      </c>
      <c r="C195" s="57" t="s">
        <v>6205</v>
      </c>
      <c r="D195" s="58">
        <v>28.0</v>
      </c>
      <c r="E195" s="58">
        <v>28.0</v>
      </c>
      <c r="F195" s="59"/>
      <c r="G195" s="60">
        <f t="shared" si="1"/>
        <v>0</v>
      </c>
    </row>
    <row r="196" ht="22.5" customHeight="1">
      <c r="A196" s="61" t="s">
        <v>4515</v>
      </c>
      <c r="B196" s="62">
        <v>45949.0</v>
      </c>
      <c r="C196" s="63" t="s">
        <v>6205</v>
      </c>
      <c r="D196" s="64">
        <v>28.0</v>
      </c>
      <c r="E196" s="64">
        <v>28.0</v>
      </c>
      <c r="F196" s="65"/>
      <c r="G196" s="44">
        <f t="shared" si="1"/>
        <v>0</v>
      </c>
    </row>
    <row r="197" ht="22.5" customHeight="1">
      <c r="A197" s="55" t="s">
        <v>6402</v>
      </c>
      <c r="B197" s="56">
        <v>45952.0</v>
      </c>
      <c r="C197" s="57" t="s">
        <v>6205</v>
      </c>
      <c r="D197" s="58">
        <v>28.0</v>
      </c>
      <c r="E197" s="58">
        <v>28.0</v>
      </c>
      <c r="F197" s="59"/>
      <c r="G197" s="60">
        <f t="shared" si="1"/>
        <v>0</v>
      </c>
    </row>
    <row r="198" ht="22.5" customHeight="1">
      <c r="A198" s="61" t="s">
        <v>6403</v>
      </c>
      <c r="B198" s="62">
        <v>45955.0</v>
      </c>
      <c r="C198" s="63" t="s">
        <v>6205</v>
      </c>
      <c r="D198" s="64">
        <v>28.0</v>
      </c>
      <c r="E198" s="64">
        <v>28.0</v>
      </c>
      <c r="F198" s="65"/>
      <c r="G198" s="44">
        <f t="shared" si="1"/>
        <v>0</v>
      </c>
    </row>
    <row r="199" ht="22.5" customHeight="1">
      <c r="A199" s="55" t="s">
        <v>6404</v>
      </c>
      <c r="B199" s="56">
        <v>45958.0</v>
      </c>
      <c r="C199" s="57" t="s">
        <v>6205</v>
      </c>
      <c r="D199" s="58">
        <v>28.0</v>
      </c>
      <c r="E199" s="58">
        <v>28.0</v>
      </c>
      <c r="F199" s="59"/>
      <c r="G199" s="60">
        <f t="shared" si="1"/>
        <v>0</v>
      </c>
    </row>
    <row r="200" ht="22.5" customHeight="1">
      <c r="A200" s="61" t="s">
        <v>6405</v>
      </c>
      <c r="B200" s="62">
        <v>45961.0</v>
      </c>
      <c r="C200" s="63" t="s">
        <v>6205</v>
      </c>
      <c r="D200" s="64">
        <v>28.0</v>
      </c>
      <c r="E200" s="64">
        <v>28.0</v>
      </c>
      <c r="F200" s="65"/>
      <c r="G200" s="44">
        <f t="shared" si="1"/>
        <v>0</v>
      </c>
    </row>
    <row r="201" ht="22.5" customHeight="1">
      <c r="A201" s="55" t="s">
        <v>4656</v>
      </c>
      <c r="B201" s="56">
        <v>45967.0</v>
      </c>
      <c r="C201" s="57" t="s">
        <v>6205</v>
      </c>
      <c r="D201" s="58">
        <v>28.0</v>
      </c>
      <c r="E201" s="58">
        <v>28.0</v>
      </c>
      <c r="F201" s="59"/>
      <c r="G201" s="60">
        <f t="shared" si="1"/>
        <v>0</v>
      </c>
    </row>
    <row r="202" ht="22.5" customHeight="1">
      <c r="A202" s="61" t="s">
        <v>6406</v>
      </c>
      <c r="B202" s="62">
        <v>45984.0</v>
      </c>
      <c r="C202" s="63" t="s">
        <v>6205</v>
      </c>
      <c r="D202" s="64">
        <v>28.0</v>
      </c>
      <c r="E202" s="64">
        <v>28.0</v>
      </c>
      <c r="F202" s="65"/>
      <c r="G202" s="44">
        <f t="shared" si="1"/>
        <v>0</v>
      </c>
    </row>
    <row r="203" ht="22.5" customHeight="1">
      <c r="A203" s="55" t="s">
        <v>6407</v>
      </c>
      <c r="B203" s="56">
        <v>45995.0</v>
      </c>
      <c r="C203" s="57" t="s">
        <v>6205</v>
      </c>
      <c r="D203" s="58">
        <v>28.0</v>
      </c>
      <c r="E203" s="58">
        <v>28.0</v>
      </c>
      <c r="F203" s="59"/>
      <c r="G203" s="60">
        <f t="shared" si="1"/>
        <v>0</v>
      </c>
    </row>
    <row r="204" ht="22.5" customHeight="1">
      <c r="A204" s="61" t="s">
        <v>6408</v>
      </c>
      <c r="B204" s="62">
        <v>45998.0</v>
      </c>
      <c r="C204" s="63" t="s">
        <v>6205</v>
      </c>
      <c r="D204" s="64">
        <v>28.0</v>
      </c>
      <c r="E204" s="64">
        <v>28.0</v>
      </c>
      <c r="F204" s="65"/>
      <c r="G204" s="44">
        <f t="shared" si="1"/>
        <v>0</v>
      </c>
    </row>
    <row r="205" ht="22.5" customHeight="1">
      <c r="A205" s="71" t="s">
        <v>6409</v>
      </c>
      <c r="B205" s="72">
        <v>45621.0</v>
      </c>
      <c r="C205" s="73" t="s">
        <v>6205</v>
      </c>
      <c r="D205" s="74">
        <v>21.0</v>
      </c>
      <c r="E205" s="74">
        <v>21.0</v>
      </c>
      <c r="F205" s="75"/>
      <c r="G205" s="60">
        <f t="shared" si="1"/>
        <v>0</v>
      </c>
    </row>
    <row r="206" ht="22.5" customHeight="1">
      <c r="A206" s="61" t="s">
        <v>6410</v>
      </c>
      <c r="B206" s="62">
        <v>45634.0</v>
      </c>
      <c r="C206" s="63" t="s">
        <v>6205</v>
      </c>
      <c r="D206" s="64">
        <v>23.0</v>
      </c>
      <c r="E206" s="64">
        <v>23.0</v>
      </c>
      <c r="F206" s="65"/>
      <c r="G206" s="44">
        <f t="shared" si="1"/>
        <v>0</v>
      </c>
    </row>
    <row r="207" ht="22.5" customHeight="1">
      <c r="A207" s="55" t="s">
        <v>6411</v>
      </c>
      <c r="B207" s="56">
        <v>45649.0</v>
      </c>
      <c r="C207" s="57" t="s">
        <v>6205</v>
      </c>
      <c r="D207" s="58">
        <v>21.0</v>
      </c>
      <c r="E207" s="58">
        <v>21.0</v>
      </c>
      <c r="F207" s="59"/>
      <c r="G207" s="60">
        <f t="shared" si="1"/>
        <v>0</v>
      </c>
    </row>
    <row r="208" ht="22.5" customHeight="1">
      <c r="A208" s="61" t="s">
        <v>6412</v>
      </c>
      <c r="B208" s="62">
        <v>45657.0</v>
      </c>
      <c r="C208" s="63" t="s">
        <v>6205</v>
      </c>
      <c r="D208" s="64">
        <v>21.0</v>
      </c>
      <c r="E208" s="64">
        <v>21.0</v>
      </c>
      <c r="F208" s="65"/>
      <c r="G208" s="44">
        <f t="shared" si="1"/>
        <v>0</v>
      </c>
    </row>
    <row r="209" ht="22.5" customHeight="1">
      <c r="A209" s="55" t="s">
        <v>6413</v>
      </c>
      <c r="B209" s="79">
        <v>45665.0</v>
      </c>
      <c r="C209" s="57" t="s">
        <v>6205</v>
      </c>
      <c r="D209" s="58">
        <v>21.0</v>
      </c>
      <c r="E209" s="58">
        <v>21.0</v>
      </c>
      <c r="F209" s="59"/>
      <c r="G209" s="60">
        <f t="shared" si="1"/>
        <v>0</v>
      </c>
    </row>
    <row r="210" ht="22.5" customHeight="1">
      <c r="A210" s="61" t="s">
        <v>6414</v>
      </c>
      <c r="B210" s="62">
        <v>45667.0</v>
      </c>
      <c r="C210" s="63" t="s">
        <v>6205</v>
      </c>
      <c r="D210" s="64">
        <v>21.0</v>
      </c>
      <c r="E210" s="64">
        <v>21.0</v>
      </c>
      <c r="F210" s="65"/>
      <c r="G210" s="44">
        <f t="shared" si="1"/>
        <v>0</v>
      </c>
    </row>
    <row r="211" ht="22.5" customHeight="1">
      <c r="A211" s="55" t="s">
        <v>6415</v>
      </c>
      <c r="B211" s="79">
        <v>45670.0</v>
      </c>
      <c r="C211" s="57" t="s">
        <v>6205</v>
      </c>
      <c r="D211" s="58">
        <v>21.0</v>
      </c>
      <c r="E211" s="58">
        <v>21.0</v>
      </c>
      <c r="F211" s="59"/>
      <c r="G211" s="60">
        <f t="shared" si="1"/>
        <v>0</v>
      </c>
    </row>
    <row r="212" ht="22.5" customHeight="1">
      <c r="A212" s="61" t="s">
        <v>6416</v>
      </c>
      <c r="B212" s="62">
        <v>45671.0</v>
      </c>
      <c r="C212" s="63" t="s">
        <v>6205</v>
      </c>
      <c r="D212" s="64">
        <v>21.0</v>
      </c>
      <c r="E212" s="64">
        <v>21.0</v>
      </c>
      <c r="F212" s="65"/>
      <c r="G212" s="44">
        <f t="shared" si="1"/>
        <v>0</v>
      </c>
    </row>
    <row r="213" ht="22.5" customHeight="1">
      <c r="A213" s="55" t="s">
        <v>6417</v>
      </c>
      <c r="B213" s="79">
        <v>45684.0</v>
      </c>
      <c r="C213" s="57" t="s">
        <v>6205</v>
      </c>
      <c r="D213" s="58">
        <v>21.0</v>
      </c>
      <c r="E213" s="58">
        <v>21.0</v>
      </c>
      <c r="F213" s="59"/>
      <c r="G213" s="60">
        <f t="shared" si="1"/>
        <v>0</v>
      </c>
    </row>
    <row r="214" ht="22.5" customHeight="1">
      <c r="A214" s="61" t="s">
        <v>6418</v>
      </c>
      <c r="B214" s="62">
        <v>45692.0</v>
      </c>
      <c r="C214" s="63" t="s">
        <v>6205</v>
      </c>
      <c r="D214" s="64">
        <v>21.0</v>
      </c>
      <c r="E214" s="64">
        <v>21.0</v>
      </c>
      <c r="F214" s="65"/>
      <c r="G214" s="44">
        <f t="shared" si="1"/>
        <v>0</v>
      </c>
    </row>
    <row r="215" ht="22.5" customHeight="1">
      <c r="A215" s="55" t="s">
        <v>4957</v>
      </c>
      <c r="B215" s="56">
        <v>45699.0</v>
      </c>
      <c r="C215" s="57" t="s">
        <v>6205</v>
      </c>
      <c r="D215" s="58">
        <v>21.0</v>
      </c>
      <c r="E215" s="58">
        <v>21.0</v>
      </c>
      <c r="F215" s="59"/>
      <c r="G215" s="60">
        <f t="shared" si="1"/>
        <v>0</v>
      </c>
    </row>
    <row r="216" ht="22.5" customHeight="1">
      <c r="A216" s="61" t="s">
        <v>6419</v>
      </c>
      <c r="B216" s="62">
        <v>45703.0</v>
      </c>
      <c r="C216" s="63" t="s">
        <v>6205</v>
      </c>
      <c r="D216" s="64">
        <v>21.0</v>
      </c>
      <c r="E216" s="64">
        <v>21.0</v>
      </c>
      <c r="F216" s="65"/>
      <c r="G216" s="44">
        <f t="shared" si="1"/>
        <v>0</v>
      </c>
    </row>
    <row r="217" ht="22.5" customHeight="1">
      <c r="A217" s="55" t="s">
        <v>6420</v>
      </c>
      <c r="B217" s="56">
        <v>45709.0</v>
      </c>
      <c r="C217" s="57" t="s">
        <v>6205</v>
      </c>
      <c r="D217" s="58">
        <v>21.0</v>
      </c>
      <c r="E217" s="58">
        <v>21.0</v>
      </c>
      <c r="F217" s="59"/>
      <c r="G217" s="60">
        <f t="shared" si="1"/>
        <v>0</v>
      </c>
    </row>
    <row r="218" ht="22.5" customHeight="1">
      <c r="A218" s="61" t="s">
        <v>6421</v>
      </c>
      <c r="B218" s="62">
        <v>45715.0</v>
      </c>
      <c r="C218" s="63" t="s">
        <v>6205</v>
      </c>
      <c r="D218" s="64">
        <v>21.0</v>
      </c>
      <c r="E218" s="64">
        <v>21.0</v>
      </c>
      <c r="F218" s="65"/>
      <c r="G218" s="44">
        <f t="shared" si="1"/>
        <v>0</v>
      </c>
    </row>
    <row r="219" ht="22.5" customHeight="1">
      <c r="A219" s="55" t="s">
        <v>6422</v>
      </c>
      <c r="B219" s="56">
        <v>45719.0</v>
      </c>
      <c r="C219" s="57" t="s">
        <v>6205</v>
      </c>
      <c r="D219" s="58">
        <v>21.0</v>
      </c>
      <c r="E219" s="58">
        <v>21.0</v>
      </c>
      <c r="F219" s="59"/>
      <c r="G219" s="60">
        <f t="shared" si="1"/>
        <v>0</v>
      </c>
    </row>
    <row r="220" ht="22.5" customHeight="1">
      <c r="A220" s="61" t="s">
        <v>6423</v>
      </c>
      <c r="B220" s="62">
        <v>45776.0</v>
      </c>
      <c r="C220" s="63" t="s">
        <v>6205</v>
      </c>
      <c r="D220" s="64">
        <v>21.0</v>
      </c>
      <c r="E220" s="64">
        <v>21.0</v>
      </c>
      <c r="F220" s="65"/>
      <c r="G220" s="44">
        <f t="shared" si="1"/>
        <v>0</v>
      </c>
    </row>
    <row r="221" ht="22.5" customHeight="1">
      <c r="A221" s="55" t="s">
        <v>6424</v>
      </c>
      <c r="B221" s="56">
        <v>45798.0</v>
      </c>
      <c r="C221" s="57" t="s">
        <v>6205</v>
      </c>
      <c r="D221" s="58">
        <v>21.0</v>
      </c>
      <c r="E221" s="58">
        <v>21.0</v>
      </c>
      <c r="F221" s="59"/>
      <c r="G221" s="60">
        <f t="shared" si="1"/>
        <v>0</v>
      </c>
    </row>
    <row r="222" ht="22.5" customHeight="1">
      <c r="A222" s="61" t="s">
        <v>6425</v>
      </c>
      <c r="B222" s="62">
        <v>45801.0</v>
      </c>
      <c r="C222" s="63" t="s">
        <v>6205</v>
      </c>
      <c r="D222" s="64">
        <v>21.0</v>
      </c>
      <c r="E222" s="64">
        <v>21.0</v>
      </c>
      <c r="F222" s="65"/>
      <c r="G222" s="44">
        <f t="shared" si="1"/>
        <v>0</v>
      </c>
    </row>
    <row r="223" ht="22.5" customHeight="1">
      <c r="A223" s="55" t="s">
        <v>6426</v>
      </c>
      <c r="B223" s="56">
        <v>45818.0</v>
      </c>
      <c r="C223" s="57" t="s">
        <v>6205</v>
      </c>
      <c r="D223" s="58">
        <v>21.0</v>
      </c>
      <c r="E223" s="58">
        <v>21.0</v>
      </c>
      <c r="F223" s="59"/>
      <c r="G223" s="60">
        <f t="shared" si="1"/>
        <v>0</v>
      </c>
    </row>
    <row r="224" ht="22.5" customHeight="1">
      <c r="A224" s="61" t="s">
        <v>6427</v>
      </c>
      <c r="B224" s="62">
        <v>45821.0</v>
      </c>
      <c r="C224" s="63" t="s">
        <v>6205</v>
      </c>
      <c r="D224" s="64">
        <v>21.0</v>
      </c>
      <c r="E224" s="64">
        <v>21.0</v>
      </c>
      <c r="F224" s="65"/>
      <c r="G224" s="44">
        <f t="shared" si="1"/>
        <v>0</v>
      </c>
    </row>
    <row r="225" ht="22.5" customHeight="1">
      <c r="A225" s="71" t="s">
        <v>5180</v>
      </c>
      <c r="B225" s="72">
        <v>45678.0</v>
      </c>
      <c r="C225" s="73" t="s">
        <v>6205</v>
      </c>
      <c r="D225" s="74">
        <v>21.0</v>
      </c>
      <c r="E225" s="74">
        <v>21.0</v>
      </c>
      <c r="F225" s="75"/>
      <c r="G225" s="60">
        <f t="shared" si="1"/>
        <v>0</v>
      </c>
    </row>
    <row r="226" ht="22.5" customHeight="1">
      <c r="A226" s="80" t="s">
        <v>6428</v>
      </c>
      <c r="B226" s="81">
        <v>45869.0</v>
      </c>
      <c r="C226" s="82" t="s">
        <v>6205</v>
      </c>
      <c r="D226" s="83">
        <v>19.0</v>
      </c>
      <c r="E226" s="83">
        <v>19.0</v>
      </c>
      <c r="F226" s="84" t="s">
        <v>6206</v>
      </c>
      <c r="G226" s="85">
        <f t="shared" si="1"/>
        <v>0</v>
      </c>
    </row>
    <row r="227" ht="22.5" customHeight="1">
      <c r="A227" s="86" t="s">
        <v>6429</v>
      </c>
      <c r="B227" s="87">
        <v>45711.0</v>
      </c>
      <c r="C227" s="88" t="s">
        <v>6205</v>
      </c>
      <c r="D227" s="89">
        <v>22.0</v>
      </c>
      <c r="E227" s="89">
        <v>22.0</v>
      </c>
      <c r="F227" s="90"/>
      <c r="G227" s="60">
        <f t="shared" si="1"/>
        <v>0</v>
      </c>
    </row>
    <row r="228" ht="22.5" customHeight="1">
      <c r="A228" s="41" t="s">
        <v>5224</v>
      </c>
      <c r="B228" s="91">
        <v>45787.0</v>
      </c>
      <c r="C228" s="57" t="s">
        <v>6205</v>
      </c>
      <c r="D228" s="43">
        <v>26.0</v>
      </c>
      <c r="E228" s="43">
        <v>26.0</v>
      </c>
      <c r="F228" s="92"/>
      <c r="G228" s="44">
        <f t="shared" si="1"/>
        <v>0</v>
      </c>
    </row>
    <row r="229" ht="22.5" customHeight="1">
      <c r="A229" s="93" t="s">
        <v>5251</v>
      </c>
      <c r="B229" s="91">
        <v>45790.0</v>
      </c>
      <c r="C229" s="57" t="s">
        <v>6205</v>
      </c>
      <c r="D229" s="94">
        <v>26.0</v>
      </c>
      <c r="E229" s="94">
        <v>26.0</v>
      </c>
      <c r="F229" s="95"/>
      <c r="G229" s="60">
        <f t="shared" si="1"/>
        <v>0</v>
      </c>
    </row>
    <row r="230" ht="22.5" customHeight="1">
      <c r="A230" s="41" t="s">
        <v>6430</v>
      </c>
      <c r="B230" s="42">
        <v>45793.0</v>
      </c>
      <c r="C230" s="57" t="s">
        <v>6205</v>
      </c>
      <c r="D230" s="43">
        <v>26.0</v>
      </c>
      <c r="E230" s="43">
        <v>26.0</v>
      </c>
      <c r="F230" s="92"/>
      <c r="G230" s="44">
        <f t="shared" si="1"/>
        <v>0</v>
      </c>
    </row>
    <row r="231" ht="22.5" customHeight="1">
      <c r="A231" s="93" t="s">
        <v>6431</v>
      </c>
      <c r="B231" s="91">
        <v>45816.0</v>
      </c>
      <c r="C231" s="57" t="s">
        <v>6205</v>
      </c>
      <c r="D231" s="94">
        <v>26.0</v>
      </c>
      <c r="E231" s="94">
        <v>26.0</v>
      </c>
      <c r="F231" s="95"/>
      <c r="G231" s="60">
        <f t="shared" si="1"/>
        <v>0</v>
      </c>
    </row>
    <row r="232" ht="22.5" customHeight="1">
      <c r="A232" s="41" t="s">
        <v>5330</v>
      </c>
      <c r="B232" s="42">
        <v>45821.0</v>
      </c>
      <c r="C232" s="57" t="s">
        <v>6205</v>
      </c>
      <c r="D232" s="94">
        <v>26.0</v>
      </c>
      <c r="E232" s="94">
        <v>26.0</v>
      </c>
      <c r="F232" s="92"/>
      <c r="G232" s="44">
        <f t="shared" si="1"/>
        <v>0</v>
      </c>
    </row>
    <row r="233" ht="22.5" customHeight="1">
      <c r="A233" s="93" t="s">
        <v>6432</v>
      </c>
      <c r="B233" s="91">
        <v>45825.0</v>
      </c>
      <c r="C233" s="57" t="s">
        <v>6205</v>
      </c>
      <c r="D233" s="94">
        <v>26.0</v>
      </c>
      <c r="E233" s="94">
        <v>26.0</v>
      </c>
      <c r="F233" s="95"/>
      <c r="G233" s="60">
        <f t="shared" si="1"/>
        <v>0</v>
      </c>
    </row>
    <row r="234" ht="22.5" customHeight="1">
      <c r="A234" s="41" t="s">
        <v>5383</v>
      </c>
      <c r="B234" s="42">
        <v>45836.0</v>
      </c>
      <c r="C234" s="57" t="s">
        <v>6205</v>
      </c>
      <c r="D234" s="94">
        <v>26.0</v>
      </c>
      <c r="E234" s="94">
        <v>26.0</v>
      </c>
      <c r="F234" s="92"/>
      <c r="G234" s="44">
        <f t="shared" si="1"/>
        <v>0</v>
      </c>
    </row>
    <row r="235" ht="22.5" customHeight="1">
      <c r="A235" s="93" t="s">
        <v>6433</v>
      </c>
      <c r="B235" s="91">
        <v>45854.0</v>
      </c>
      <c r="C235" s="57" t="s">
        <v>6205</v>
      </c>
      <c r="D235" s="94">
        <v>26.0</v>
      </c>
      <c r="E235" s="94">
        <v>26.0</v>
      </c>
      <c r="F235" s="95"/>
      <c r="G235" s="60">
        <f t="shared" si="1"/>
        <v>0</v>
      </c>
    </row>
    <row r="236" ht="22.5" customHeight="1">
      <c r="A236" s="41" t="s">
        <v>5436</v>
      </c>
      <c r="B236" s="42">
        <v>45993.0</v>
      </c>
      <c r="C236" s="57" t="s">
        <v>6205</v>
      </c>
      <c r="D236" s="43">
        <v>27.0</v>
      </c>
      <c r="E236" s="43">
        <v>27.0</v>
      </c>
      <c r="F236" s="92"/>
      <c r="G236" s="44">
        <f t="shared" si="1"/>
        <v>0</v>
      </c>
    </row>
    <row r="237" ht="22.5" customHeight="1">
      <c r="A237" s="93" t="s">
        <v>6434</v>
      </c>
      <c r="B237" s="91">
        <v>46001.0</v>
      </c>
      <c r="C237" s="57" t="s">
        <v>6205</v>
      </c>
      <c r="D237" s="94">
        <v>27.0</v>
      </c>
      <c r="E237" s="94">
        <v>27.0</v>
      </c>
      <c r="F237" s="95"/>
      <c r="G237" s="60">
        <f t="shared" si="1"/>
        <v>0</v>
      </c>
    </row>
    <row r="238" ht="22.5" customHeight="1">
      <c r="A238" s="41" t="s">
        <v>6435</v>
      </c>
      <c r="B238" s="42">
        <v>46005.0</v>
      </c>
      <c r="C238" s="57" t="s">
        <v>6205</v>
      </c>
      <c r="D238" s="43">
        <v>27.0</v>
      </c>
      <c r="E238" s="43">
        <v>27.0</v>
      </c>
      <c r="F238" s="92"/>
      <c r="G238" s="44">
        <f t="shared" si="1"/>
        <v>0</v>
      </c>
    </row>
    <row r="239" ht="22.5" customHeight="1">
      <c r="A239" s="96" t="s">
        <v>5518</v>
      </c>
      <c r="B239" s="97">
        <v>46008.0</v>
      </c>
      <c r="C239" s="98" t="s">
        <v>6205</v>
      </c>
      <c r="D239" s="99">
        <v>27.0</v>
      </c>
      <c r="E239" s="99">
        <v>27.0</v>
      </c>
      <c r="F239" s="100"/>
      <c r="G239" s="101">
        <f t="shared" si="1"/>
        <v>0</v>
      </c>
    </row>
    <row r="240" ht="22.5" customHeight="1">
      <c r="A240" s="93" t="s">
        <v>6436</v>
      </c>
      <c r="B240" s="91">
        <v>45804.0</v>
      </c>
      <c r="C240" s="88" t="s">
        <v>6205</v>
      </c>
      <c r="D240" s="102">
        <v>24.0</v>
      </c>
      <c r="E240" s="94">
        <v>24.0</v>
      </c>
      <c r="F240" s="95"/>
      <c r="G240" s="60">
        <f t="shared" si="1"/>
        <v>0</v>
      </c>
    </row>
    <row r="241" ht="22.5" customHeight="1">
      <c r="A241" s="41" t="s">
        <v>6437</v>
      </c>
      <c r="B241" s="42">
        <v>45865.0</v>
      </c>
      <c r="C241" s="57" t="s">
        <v>6205</v>
      </c>
      <c r="D241" s="103">
        <v>24.0</v>
      </c>
      <c r="E241" s="43">
        <v>24.0</v>
      </c>
      <c r="F241" s="92"/>
      <c r="G241" s="44">
        <f t="shared" si="1"/>
        <v>0</v>
      </c>
    </row>
    <row r="242" ht="22.5" customHeight="1">
      <c r="A242" s="93" t="s">
        <v>6438</v>
      </c>
      <c r="B242" s="91">
        <v>45857.0</v>
      </c>
      <c r="C242" s="57" t="s">
        <v>6205</v>
      </c>
      <c r="D242" s="102">
        <v>24.0</v>
      </c>
      <c r="E242" s="94">
        <v>24.0</v>
      </c>
      <c r="F242" s="95"/>
      <c r="G242" s="60">
        <f t="shared" si="1"/>
        <v>0</v>
      </c>
    </row>
    <row r="243" ht="22.5" customHeight="1">
      <c r="A243" s="41" t="s">
        <v>5618</v>
      </c>
      <c r="B243" s="42">
        <v>45883.0</v>
      </c>
      <c r="C243" s="57" t="s">
        <v>6205</v>
      </c>
      <c r="D243" s="103">
        <v>24.0</v>
      </c>
      <c r="E243" s="43">
        <v>24.0</v>
      </c>
      <c r="F243" s="92"/>
      <c r="G243" s="44">
        <f t="shared" si="1"/>
        <v>0</v>
      </c>
    </row>
    <row r="244" ht="22.5" customHeight="1">
      <c r="A244" s="93" t="s">
        <v>6439</v>
      </c>
      <c r="B244" s="91">
        <v>45887.0</v>
      </c>
      <c r="C244" s="57" t="s">
        <v>6205</v>
      </c>
      <c r="D244" s="102">
        <v>24.0</v>
      </c>
      <c r="E244" s="94">
        <v>24.0</v>
      </c>
      <c r="F244" s="95"/>
      <c r="G244" s="60">
        <f t="shared" si="1"/>
        <v>0</v>
      </c>
    </row>
    <row r="245" ht="22.5" customHeight="1">
      <c r="A245" s="41" t="s">
        <v>6440</v>
      </c>
      <c r="B245" s="42">
        <v>45891.0</v>
      </c>
      <c r="C245" s="57" t="s">
        <v>6205</v>
      </c>
      <c r="D245" s="103">
        <v>24.0</v>
      </c>
      <c r="E245" s="43">
        <v>24.0</v>
      </c>
      <c r="F245" s="92"/>
      <c r="G245" s="44">
        <f t="shared" si="1"/>
        <v>0</v>
      </c>
    </row>
    <row r="246" ht="22.5" customHeight="1">
      <c r="A246" s="93" t="s">
        <v>6441</v>
      </c>
      <c r="B246" s="91">
        <v>45899.0</v>
      </c>
      <c r="C246" s="57" t="s">
        <v>6205</v>
      </c>
      <c r="D246" s="102">
        <v>24.0</v>
      </c>
      <c r="E246" s="94">
        <v>24.0</v>
      </c>
      <c r="F246" s="95"/>
      <c r="G246" s="60">
        <f t="shared" si="1"/>
        <v>0</v>
      </c>
    </row>
    <row r="247" ht="22.5" customHeight="1">
      <c r="A247" s="41" t="s">
        <v>5715</v>
      </c>
      <c r="B247" s="42">
        <v>45903.0</v>
      </c>
      <c r="C247" s="57" t="s">
        <v>6205</v>
      </c>
      <c r="D247" s="103">
        <v>24.0</v>
      </c>
      <c r="E247" s="43">
        <v>24.0</v>
      </c>
      <c r="F247" s="92"/>
      <c r="G247" s="44">
        <f t="shared" si="1"/>
        <v>0</v>
      </c>
    </row>
    <row r="248" ht="22.5" customHeight="1">
      <c r="A248" s="93" t="s">
        <v>6442</v>
      </c>
      <c r="B248" s="91">
        <v>45906.0</v>
      </c>
      <c r="C248" s="57" t="s">
        <v>6205</v>
      </c>
      <c r="D248" s="102">
        <v>24.0</v>
      </c>
      <c r="E248" s="94">
        <v>24.0</v>
      </c>
      <c r="F248" s="95"/>
      <c r="G248" s="60">
        <f t="shared" si="1"/>
        <v>0</v>
      </c>
    </row>
    <row r="249" ht="22.5" customHeight="1">
      <c r="A249" s="41" t="s">
        <v>6443</v>
      </c>
      <c r="B249" s="42">
        <v>45913.0</v>
      </c>
      <c r="C249" s="57" t="s">
        <v>6205</v>
      </c>
      <c r="D249" s="103">
        <v>24.0</v>
      </c>
      <c r="E249" s="43">
        <v>24.0</v>
      </c>
      <c r="F249" s="92"/>
      <c r="G249" s="44">
        <f t="shared" si="1"/>
        <v>0</v>
      </c>
    </row>
    <row r="250" ht="22.5" customHeight="1">
      <c r="A250" s="29" t="s">
        <v>6444</v>
      </c>
      <c r="B250" s="30">
        <v>45926.0</v>
      </c>
      <c r="C250" s="57" t="s">
        <v>6205</v>
      </c>
      <c r="D250" s="31">
        <v>24.0</v>
      </c>
      <c r="E250" s="31">
        <v>24.0</v>
      </c>
      <c r="F250" s="104"/>
      <c r="G250" s="32">
        <f t="shared" si="1"/>
        <v>0</v>
      </c>
    </row>
    <row r="251" ht="22.5" customHeight="1">
      <c r="A251" s="29" t="s">
        <v>6445</v>
      </c>
      <c r="B251" s="30">
        <v>45919.0</v>
      </c>
      <c r="C251" s="57" t="s">
        <v>6205</v>
      </c>
      <c r="D251" s="31">
        <v>24.0</v>
      </c>
      <c r="E251" s="31">
        <v>24.0</v>
      </c>
      <c r="F251" s="104"/>
      <c r="G251" s="32">
        <f t="shared" si="1"/>
        <v>0</v>
      </c>
    </row>
    <row r="252" ht="22.5" customHeight="1">
      <c r="A252" s="29" t="s">
        <v>6446</v>
      </c>
      <c r="B252" s="30">
        <v>46051.0</v>
      </c>
      <c r="C252" s="57" t="s">
        <v>6205</v>
      </c>
      <c r="D252" s="31">
        <v>25.0</v>
      </c>
      <c r="E252" s="31">
        <v>25.0</v>
      </c>
      <c r="F252" s="104"/>
      <c r="G252" s="32">
        <f t="shared" si="1"/>
        <v>0</v>
      </c>
    </row>
    <row r="253" ht="22.5" customHeight="1">
      <c r="A253" s="29" t="s">
        <v>6447</v>
      </c>
      <c r="B253" s="30">
        <v>46047.0</v>
      </c>
      <c r="C253" s="57" t="s">
        <v>6205</v>
      </c>
      <c r="D253" s="31">
        <v>25.0</v>
      </c>
      <c r="E253" s="31">
        <v>25.0</v>
      </c>
      <c r="F253" s="104"/>
      <c r="G253" s="32">
        <f t="shared" si="1"/>
        <v>0</v>
      </c>
    </row>
    <row r="254" ht="22.5" customHeight="1">
      <c r="A254" s="29" t="s">
        <v>6448</v>
      </c>
      <c r="B254" s="30">
        <v>46044.0</v>
      </c>
      <c r="C254" s="105" t="s">
        <v>6205</v>
      </c>
      <c r="D254" s="31">
        <v>25.0</v>
      </c>
      <c r="E254" s="31">
        <v>25.0</v>
      </c>
      <c r="F254" s="104"/>
      <c r="G254" s="32">
        <f t="shared" si="1"/>
        <v>0</v>
      </c>
    </row>
    <row r="255" ht="22.5" customHeight="1">
      <c r="A255" s="29" t="s">
        <v>6449</v>
      </c>
      <c r="B255" s="30">
        <v>46055.0</v>
      </c>
      <c r="C255" s="106" t="s">
        <v>6205</v>
      </c>
      <c r="D255" s="31">
        <v>25.0</v>
      </c>
      <c r="E255" s="31">
        <v>25.0</v>
      </c>
      <c r="F255" s="104"/>
      <c r="G255" s="32">
        <f t="shared" si="1"/>
        <v>0</v>
      </c>
    </row>
    <row r="256" ht="22.5" customHeight="1">
      <c r="A256" s="29" t="s">
        <v>6450</v>
      </c>
      <c r="B256" s="30">
        <v>46060.0</v>
      </c>
      <c r="C256" s="106" t="s">
        <v>6205</v>
      </c>
      <c r="D256" s="31">
        <v>25.0</v>
      </c>
      <c r="E256" s="31">
        <v>25.0</v>
      </c>
      <c r="F256" s="104"/>
      <c r="G256" s="32">
        <f t="shared" si="1"/>
        <v>0</v>
      </c>
    </row>
    <row r="257" ht="22.5" customHeight="1">
      <c r="A257" s="107" t="s">
        <v>6451</v>
      </c>
      <c r="B257" s="108">
        <v>46063.0</v>
      </c>
      <c r="C257" s="109" t="s">
        <v>6205</v>
      </c>
      <c r="D257" s="110">
        <v>25.0</v>
      </c>
      <c r="E257" s="110">
        <v>25.0</v>
      </c>
      <c r="F257" s="111"/>
      <c r="G257" s="32">
        <f t="shared" si="1"/>
        <v>0</v>
      </c>
    </row>
    <row r="258" ht="22.5" customHeight="1">
      <c r="A258" s="112"/>
      <c r="B258" s="113"/>
      <c r="C258" s="32"/>
      <c r="D258" s="32"/>
      <c r="E258" s="32"/>
      <c r="F258" s="32"/>
      <c r="G258" s="32">
        <f t="shared" si="1"/>
        <v>0</v>
      </c>
    </row>
    <row r="259" ht="22.5" customHeight="1">
      <c r="A259" s="112"/>
      <c r="B259" s="113"/>
      <c r="C259" s="32"/>
      <c r="D259" s="32"/>
      <c r="E259" s="32"/>
      <c r="F259" s="32"/>
      <c r="G259" s="32">
        <f t="shared" si="1"/>
        <v>0</v>
      </c>
    </row>
    <row r="260" ht="22.5" customHeight="1">
      <c r="A260" s="112"/>
      <c r="B260" s="113"/>
      <c r="C260" s="32"/>
      <c r="D260" s="32"/>
      <c r="E260" s="32"/>
      <c r="F260" s="32"/>
      <c r="G260" s="32">
        <f t="shared" si="1"/>
        <v>0</v>
      </c>
    </row>
    <row r="261" ht="22.5" customHeight="1">
      <c r="A261" s="112"/>
      <c r="B261" s="113"/>
      <c r="C261" s="32"/>
      <c r="D261" s="32"/>
      <c r="E261" s="32"/>
      <c r="F261" s="32"/>
      <c r="G261" s="32">
        <f t="shared" si="1"/>
        <v>0</v>
      </c>
    </row>
    <row r="262" ht="22.5" customHeight="1">
      <c r="A262" s="112"/>
      <c r="B262" s="113"/>
      <c r="C262" s="32"/>
      <c r="D262" s="32"/>
      <c r="E262" s="32"/>
      <c r="F262" s="32"/>
      <c r="G262" s="32">
        <f t="shared" si="1"/>
        <v>0</v>
      </c>
    </row>
    <row r="263" ht="22.5" customHeight="1">
      <c r="A263" s="112"/>
      <c r="B263" s="113"/>
      <c r="C263" s="32"/>
      <c r="D263" s="32"/>
      <c r="E263" s="32"/>
      <c r="F263" s="32"/>
      <c r="G263" s="32">
        <f t="shared" si="1"/>
        <v>0</v>
      </c>
    </row>
    <row r="264" ht="22.5" customHeight="1">
      <c r="A264" s="112"/>
      <c r="B264" s="113"/>
      <c r="C264" s="32"/>
      <c r="D264" s="32"/>
      <c r="E264" s="32"/>
      <c r="F264" s="32"/>
      <c r="G264" s="32">
        <f t="shared" si="1"/>
        <v>0</v>
      </c>
    </row>
    <row r="265" ht="22.5" customHeight="1">
      <c r="A265" s="112"/>
      <c r="B265" s="113"/>
      <c r="C265" s="32"/>
      <c r="D265" s="32"/>
      <c r="E265" s="32"/>
      <c r="F265" s="32"/>
      <c r="G265" s="32">
        <f t="shared" si="1"/>
        <v>0</v>
      </c>
    </row>
    <row r="266" ht="22.5" customHeight="1">
      <c r="A266" s="112"/>
      <c r="B266" s="113"/>
      <c r="C266" s="32"/>
      <c r="D266" s="32"/>
      <c r="E266" s="32"/>
      <c r="F266" s="32"/>
      <c r="G266" s="32">
        <f t="shared" si="1"/>
        <v>0</v>
      </c>
    </row>
    <row r="267" ht="22.5" customHeight="1">
      <c r="A267" s="112"/>
      <c r="B267" s="113"/>
      <c r="C267" s="32"/>
      <c r="D267" s="32"/>
      <c r="E267" s="32"/>
      <c r="F267" s="32"/>
      <c r="G267" s="32">
        <f t="shared" si="1"/>
        <v>0</v>
      </c>
    </row>
    <row r="268" ht="22.5" customHeight="1">
      <c r="A268" s="112"/>
      <c r="B268" s="113"/>
      <c r="C268" s="32"/>
      <c r="D268" s="32"/>
      <c r="E268" s="32"/>
      <c r="F268" s="32"/>
      <c r="G268" s="32">
        <f t="shared" si="1"/>
        <v>0</v>
      </c>
    </row>
    <row r="269" ht="22.5" customHeight="1">
      <c r="A269" s="112"/>
      <c r="B269" s="113"/>
      <c r="C269" s="32"/>
      <c r="D269" s="32"/>
      <c r="E269" s="32"/>
      <c r="F269" s="32"/>
      <c r="G269" s="32">
        <f t="shared" si="1"/>
        <v>0</v>
      </c>
    </row>
    <row r="270" ht="22.5" customHeight="1">
      <c r="A270" s="112"/>
      <c r="B270" s="113"/>
      <c r="C270" s="32"/>
      <c r="D270" s="32"/>
      <c r="E270" s="32"/>
      <c r="F270" s="32"/>
      <c r="G270" s="32">
        <f t="shared" si="1"/>
        <v>0</v>
      </c>
    </row>
    <row r="271" ht="22.5" customHeight="1">
      <c r="A271" s="112"/>
      <c r="B271" s="113"/>
      <c r="C271" s="32"/>
      <c r="D271" s="32"/>
      <c r="E271" s="32"/>
      <c r="F271" s="32"/>
      <c r="G271" s="32">
        <f t="shared" si="1"/>
        <v>0</v>
      </c>
    </row>
    <row r="272" ht="22.5" customHeight="1">
      <c r="A272" s="112"/>
      <c r="B272" s="113"/>
      <c r="C272" s="32"/>
      <c r="D272" s="32"/>
      <c r="E272" s="32"/>
      <c r="F272" s="32"/>
      <c r="G272" s="32">
        <f t="shared" si="1"/>
        <v>0</v>
      </c>
    </row>
    <row r="273" ht="22.5" customHeight="1">
      <c r="A273" s="112"/>
      <c r="B273" s="113"/>
      <c r="C273" s="32"/>
      <c r="D273" s="32"/>
      <c r="E273" s="32"/>
      <c r="F273" s="32"/>
      <c r="G273" s="32">
        <f t="shared" si="1"/>
        <v>0</v>
      </c>
    </row>
    <row r="274" ht="22.5" customHeight="1">
      <c r="A274" s="112"/>
      <c r="B274" s="113"/>
      <c r="C274" s="32"/>
      <c r="D274" s="32"/>
      <c r="E274" s="32"/>
      <c r="F274" s="32"/>
      <c r="G274" s="32">
        <f t="shared" si="1"/>
        <v>0</v>
      </c>
    </row>
    <row r="275" ht="22.5" customHeight="1">
      <c r="A275" s="112"/>
      <c r="B275" s="113"/>
      <c r="C275" s="32"/>
      <c r="D275" s="32"/>
      <c r="E275" s="32"/>
      <c r="F275" s="32"/>
      <c r="G275" s="32">
        <f t="shared" si="1"/>
        <v>0</v>
      </c>
    </row>
    <row r="276" ht="22.5" customHeight="1">
      <c r="A276" s="112"/>
      <c r="B276" s="113"/>
      <c r="C276" s="32"/>
      <c r="D276" s="32"/>
      <c r="E276" s="32"/>
      <c r="F276" s="32"/>
      <c r="G276" s="32">
        <f t="shared" si="1"/>
        <v>0</v>
      </c>
    </row>
    <row r="277" ht="22.5" customHeight="1">
      <c r="A277" s="112"/>
      <c r="B277" s="113"/>
      <c r="C277" s="32"/>
      <c r="D277" s="32"/>
      <c r="E277" s="32"/>
      <c r="F277" s="32"/>
      <c r="G277" s="32">
        <f t="shared" si="1"/>
        <v>0</v>
      </c>
    </row>
    <row r="278" ht="22.5" customHeight="1">
      <c r="A278" s="112"/>
      <c r="B278" s="113"/>
      <c r="C278" s="32"/>
      <c r="D278" s="32"/>
      <c r="E278" s="32"/>
      <c r="F278" s="32"/>
      <c r="G278" s="32">
        <f t="shared" si="1"/>
        <v>0</v>
      </c>
    </row>
    <row r="279" ht="22.5" customHeight="1">
      <c r="A279" s="112"/>
      <c r="B279" s="113"/>
      <c r="C279" s="32"/>
      <c r="D279" s="32"/>
      <c r="E279" s="32"/>
      <c r="F279" s="32"/>
      <c r="G279" s="32">
        <f t="shared" si="1"/>
        <v>0</v>
      </c>
    </row>
    <row r="280" ht="22.5" customHeight="1">
      <c r="A280" s="112"/>
      <c r="B280" s="113"/>
      <c r="C280" s="32"/>
      <c r="D280" s="32"/>
      <c r="E280" s="32"/>
      <c r="F280" s="32"/>
      <c r="G280" s="32">
        <f t="shared" si="1"/>
        <v>0</v>
      </c>
    </row>
    <row r="281" ht="22.5" customHeight="1">
      <c r="A281" s="112"/>
      <c r="B281" s="113"/>
      <c r="C281" s="32"/>
      <c r="D281" s="32"/>
      <c r="E281" s="32"/>
      <c r="F281" s="32"/>
      <c r="G281" s="32">
        <f t="shared" si="1"/>
        <v>0</v>
      </c>
    </row>
    <row r="282" ht="22.5" customHeight="1">
      <c r="A282" s="112"/>
      <c r="B282" s="113"/>
      <c r="C282" s="32"/>
      <c r="D282" s="32"/>
      <c r="E282" s="32"/>
      <c r="F282" s="32"/>
      <c r="G282" s="32">
        <f t="shared" si="1"/>
        <v>0</v>
      </c>
    </row>
    <row r="283" ht="22.5" customHeight="1">
      <c r="A283" s="112"/>
      <c r="B283" s="113"/>
      <c r="C283" s="32"/>
      <c r="D283" s="32"/>
      <c r="E283" s="32"/>
      <c r="F283" s="32"/>
      <c r="G283" s="32">
        <f t="shared" si="1"/>
        <v>0</v>
      </c>
    </row>
    <row r="284" ht="22.5" customHeight="1">
      <c r="A284" s="112"/>
      <c r="B284" s="113"/>
      <c r="C284" s="32"/>
      <c r="D284" s="32"/>
      <c r="E284" s="32"/>
      <c r="F284" s="32"/>
      <c r="G284" s="32">
        <f t="shared" si="1"/>
        <v>0</v>
      </c>
    </row>
    <row r="285" ht="22.5" customHeight="1">
      <c r="A285" s="112"/>
      <c r="B285" s="113"/>
      <c r="C285" s="32"/>
      <c r="D285" s="32"/>
      <c r="E285" s="32"/>
      <c r="F285" s="32"/>
      <c r="G285" s="32">
        <f t="shared" si="1"/>
        <v>0</v>
      </c>
    </row>
    <row r="286" ht="22.5" customHeight="1">
      <c r="A286" s="112"/>
      <c r="B286" s="113"/>
      <c r="C286" s="32"/>
      <c r="D286" s="32"/>
      <c r="E286" s="32"/>
      <c r="F286" s="32"/>
      <c r="G286" s="32">
        <f t="shared" si="1"/>
        <v>0</v>
      </c>
    </row>
    <row r="287" ht="22.5" customHeight="1">
      <c r="A287" s="112"/>
      <c r="B287" s="113"/>
      <c r="C287" s="32"/>
      <c r="D287" s="32"/>
      <c r="E287" s="32"/>
      <c r="F287" s="32"/>
      <c r="G287" s="32">
        <f t="shared" si="1"/>
        <v>0</v>
      </c>
    </row>
    <row r="288" ht="22.5" customHeight="1">
      <c r="A288" s="112"/>
      <c r="B288" s="113"/>
      <c r="C288" s="32"/>
      <c r="D288" s="32"/>
      <c r="E288" s="32"/>
      <c r="F288" s="32"/>
      <c r="G288" s="32">
        <f t="shared" si="1"/>
        <v>0</v>
      </c>
    </row>
    <row r="289" ht="22.5" customHeight="1">
      <c r="A289" s="112"/>
      <c r="B289" s="113"/>
      <c r="C289" s="32"/>
      <c r="D289" s="32"/>
      <c r="E289" s="32"/>
      <c r="F289" s="32"/>
      <c r="G289" s="32">
        <f t="shared" si="1"/>
        <v>0</v>
      </c>
    </row>
    <row r="290" ht="22.5" customHeight="1">
      <c r="A290" s="112"/>
      <c r="B290" s="113"/>
      <c r="C290" s="32"/>
      <c r="D290" s="32"/>
      <c r="E290" s="32"/>
      <c r="F290" s="32"/>
      <c r="G290" s="32">
        <f t="shared" si="1"/>
        <v>0</v>
      </c>
    </row>
    <row r="291" ht="22.5" customHeight="1">
      <c r="A291" s="112"/>
      <c r="B291" s="113"/>
      <c r="C291" s="32"/>
      <c r="D291" s="32"/>
      <c r="E291" s="32"/>
      <c r="F291" s="32"/>
      <c r="G291" s="32">
        <f t="shared" si="1"/>
        <v>0</v>
      </c>
    </row>
    <row r="292" ht="22.5" customHeight="1">
      <c r="A292" s="112"/>
      <c r="B292" s="113"/>
      <c r="C292" s="32"/>
      <c r="D292" s="32"/>
      <c r="E292" s="32"/>
      <c r="F292" s="32"/>
      <c r="G292" s="32">
        <f t="shared" si="1"/>
        <v>0</v>
      </c>
    </row>
    <row r="293" ht="22.5" customHeight="1">
      <c r="A293" s="112"/>
      <c r="B293" s="113"/>
      <c r="C293" s="32"/>
      <c r="D293" s="32"/>
      <c r="E293" s="32"/>
      <c r="F293" s="32"/>
      <c r="G293" s="32">
        <f t="shared" si="1"/>
        <v>0</v>
      </c>
    </row>
    <row r="294" ht="22.5" customHeight="1">
      <c r="A294" s="112"/>
      <c r="B294" s="113"/>
      <c r="C294" s="32"/>
      <c r="D294" s="32"/>
      <c r="E294" s="32"/>
      <c r="F294" s="32"/>
      <c r="G294" s="32">
        <f t="shared" si="1"/>
        <v>0</v>
      </c>
    </row>
    <row r="295" ht="22.5" customHeight="1">
      <c r="A295" s="112"/>
      <c r="B295" s="113"/>
      <c r="C295" s="32"/>
      <c r="D295" s="32"/>
      <c r="E295" s="32"/>
      <c r="F295" s="32"/>
      <c r="G295" s="32">
        <f t="shared" si="1"/>
        <v>0</v>
      </c>
    </row>
    <row r="296" ht="22.5" customHeight="1">
      <c r="A296" s="112"/>
      <c r="B296" s="113"/>
      <c r="C296" s="32"/>
      <c r="D296" s="32"/>
      <c r="E296" s="32"/>
      <c r="F296" s="32"/>
      <c r="G296" s="32">
        <f t="shared" si="1"/>
        <v>0</v>
      </c>
    </row>
    <row r="297" ht="22.5" customHeight="1">
      <c r="A297" s="112"/>
      <c r="B297" s="113"/>
      <c r="C297" s="32"/>
      <c r="D297" s="32"/>
      <c r="E297" s="32"/>
      <c r="F297" s="32"/>
      <c r="G297" s="32">
        <f t="shared" si="1"/>
        <v>0</v>
      </c>
    </row>
    <row r="298" ht="22.5" customHeight="1">
      <c r="A298" s="112"/>
      <c r="B298" s="113"/>
      <c r="C298" s="32"/>
      <c r="D298" s="32"/>
      <c r="E298" s="32"/>
      <c r="F298" s="32"/>
      <c r="G298" s="32">
        <f t="shared" si="1"/>
        <v>0</v>
      </c>
    </row>
    <row r="299" ht="22.5" customHeight="1">
      <c r="A299" s="112"/>
      <c r="B299" s="113"/>
      <c r="C299" s="32"/>
      <c r="D299" s="32"/>
      <c r="E299" s="32"/>
      <c r="F299" s="32"/>
      <c r="G299" s="32">
        <f t="shared" si="1"/>
        <v>0</v>
      </c>
    </row>
    <row r="300" ht="22.5" customHeight="1">
      <c r="A300" s="112"/>
      <c r="B300" s="113"/>
      <c r="C300" s="32"/>
      <c r="D300" s="32"/>
      <c r="E300" s="32"/>
      <c r="F300" s="32"/>
      <c r="G300" s="32">
        <f t="shared" si="1"/>
        <v>0</v>
      </c>
    </row>
    <row r="301" ht="22.5" customHeight="1">
      <c r="A301" s="112"/>
      <c r="B301" s="113"/>
      <c r="C301" s="32"/>
      <c r="D301" s="32"/>
      <c r="E301" s="32"/>
      <c r="F301" s="32"/>
      <c r="G301" s="32">
        <f t="shared" si="1"/>
        <v>0</v>
      </c>
    </row>
    <row r="302" ht="22.5" customHeight="1">
      <c r="A302" s="112"/>
      <c r="B302" s="113"/>
      <c r="C302" s="32"/>
      <c r="D302" s="32"/>
      <c r="E302" s="32"/>
      <c r="F302" s="32"/>
      <c r="G302" s="32">
        <f t="shared" si="1"/>
        <v>0</v>
      </c>
    </row>
    <row r="303" ht="22.5" customHeight="1">
      <c r="A303" s="112"/>
      <c r="B303" s="113"/>
      <c r="C303" s="32"/>
      <c r="D303" s="32"/>
      <c r="E303" s="32"/>
      <c r="F303" s="32"/>
      <c r="G303" s="32">
        <f t="shared" si="1"/>
        <v>0</v>
      </c>
    </row>
    <row r="304" ht="22.5" customHeight="1">
      <c r="A304" s="112"/>
      <c r="B304" s="113"/>
      <c r="C304" s="32"/>
      <c r="D304" s="32"/>
      <c r="E304" s="32"/>
      <c r="F304" s="32"/>
      <c r="G304" s="32">
        <f t="shared" si="1"/>
        <v>0</v>
      </c>
    </row>
    <row r="305" ht="22.5" customHeight="1">
      <c r="A305" s="112"/>
      <c r="B305" s="113"/>
      <c r="C305" s="32"/>
      <c r="D305" s="32"/>
      <c r="E305" s="32"/>
      <c r="F305" s="32"/>
      <c r="G305" s="32">
        <f t="shared" si="1"/>
        <v>0</v>
      </c>
    </row>
    <row r="306" ht="22.5" customHeight="1">
      <c r="A306" s="112"/>
      <c r="B306" s="113"/>
      <c r="C306" s="32"/>
      <c r="D306" s="32"/>
      <c r="E306" s="32"/>
      <c r="F306" s="32"/>
      <c r="G306" s="32">
        <f t="shared" si="1"/>
        <v>0</v>
      </c>
    </row>
    <row r="307" ht="22.5" customHeight="1">
      <c r="A307" s="112"/>
      <c r="B307" s="113"/>
      <c r="C307" s="32"/>
      <c r="D307" s="32"/>
      <c r="E307" s="32"/>
      <c r="F307" s="32"/>
      <c r="G307" s="32">
        <f t="shared" si="1"/>
        <v>0</v>
      </c>
    </row>
    <row r="308" ht="22.5" customHeight="1">
      <c r="A308" s="112"/>
      <c r="B308" s="113"/>
      <c r="C308" s="32"/>
      <c r="D308" s="32"/>
      <c r="E308" s="32"/>
      <c r="F308" s="32"/>
      <c r="G308" s="32">
        <f t="shared" si="1"/>
        <v>0</v>
      </c>
    </row>
    <row r="309" ht="22.5" customHeight="1">
      <c r="A309" s="112"/>
      <c r="B309" s="113"/>
      <c r="C309" s="32"/>
      <c r="D309" s="32"/>
      <c r="E309" s="32"/>
      <c r="F309" s="32"/>
      <c r="G309" s="32">
        <f t="shared" si="1"/>
        <v>0</v>
      </c>
    </row>
    <row r="310" ht="22.5" customHeight="1">
      <c r="A310" s="112"/>
      <c r="B310" s="113"/>
      <c r="C310" s="32"/>
      <c r="D310" s="32"/>
      <c r="E310" s="32"/>
      <c r="F310" s="32"/>
      <c r="G310" s="32">
        <f t="shared" si="1"/>
        <v>0</v>
      </c>
    </row>
    <row r="311" ht="22.5" customHeight="1">
      <c r="A311" s="112"/>
      <c r="B311" s="113"/>
      <c r="C311" s="32"/>
      <c r="D311" s="32"/>
      <c r="E311" s="32"/>
      <c r="F311" s="32"/>
      <c r="G311" s="32">
        <f t="shared" si="1"/>
        <v>0</v>
      </c>
    </row>
    <row r="312" ht="22.5" customHeight="1">
      <c r="A312" s="112"/>
      <c r="B312" s="113"/>
      <c r="C312" s="32"/>
      <c r="D312" s="32"/>
      <c r="E312" s="32"/>
      <c r="F312" s="32"/>
      <c r="G312" s="32">
        <f t="shared" si="1"/>
        <v>0</v>
      </c>
    </row>
    <row r="313" ht="22.5" customHeight="1">
      <c r="A313" s="112"/>
      <c r="B313" s="113"/>
      <c r="C313" s="32"/>
      <c r="D313" s="32"/>
      <c r="E313" s="32"/>
      <c r="F313" s="32"/>
      <c r="G313" s="32">
        <f t="shared" si="1"/>
        <v>0</v>
      </c>
    </row>
    <row r="314" ht="22.5" customHeight="1">
      <c r="A314" s="112"/>
      <c r="B314" s="113"/>
      <c r="C314" s="32"/>
      <c r="D314" s="32"/>
      <c r="E314" s="32"/>
      <c r="F314" s="32"/>
      <c r="G314" s="32">
        <f t="shared" si="1"/>
        <v>0</v>
      </c>
    </row>
    <row r="315" ht="22.5" customHeight="1">
      <c r="A315" s="112"/>
      <c r="B315" s="113"/>
      <c r="C315" s="32"/>
      <c r="D315" s="32"/>
      <c r="E315" s="32"/>
      <c r="F315" s="32"/>
      <c r="G315" s="32">
        <f t="shared" si="1"/>
        <v>0</v>
      </c>
    </row>
  </sheetData>
  <conditionalFormatting sqref="B2:B315 I9">
    <cfRule type="expression" dxfId="7" priority="1">
      <formula>AND($B2&lt;&gt;"", COUNTIF($B:$B, $B2)&gt;1)</formula>
    </cfRule>
  </conditionalFormatting>
  <dataValidations>
    <dataValidation type="custom" allowBlank="1" showDropDown="1" sqref="B2:B315">
      <formula1>OR(NOT(ISERROR(DATEVALUE(B2))), AND(ISNUMBER(B2), LEFT(CELL("format", B2))="D"))</formula1>
    </dataValidation>
    <dataValidation allowBlank="1" showDropDown="1" sqref="A2:A315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4.88"/>
    <col customWidth="1" min="3" max="3" width="9.88"/>
    <col customWidth="1" min="4" max="4" width="17.0"/>
    <col customWidth="1" min="5" max="5" width="14.13"/>
    <col customWidth="1" min="6" max="7" width="18.25"/>
    <col customWidth="1" min="9" max="9" width="24.25"/>
    <col customWidth="1" min="10" max="10" width="9.88"/>
  </cols>
  <sheetData>
    <row r="1" ht="22.5" customHeight="1">
      <c r="A1" s="27" t="s">
        <v>6198</v>
      </c>
      <c r="B1" s="27" t="s">
        <v>4</v>
      </c>
      <c r="C1" s="27" t="s">
        <v>6199</v>
      </c>
      <c r="D1" s="27" t="s">
        <v>6200</v>
      </c>
      <c r="E1" s="27" t="s">
        <v>6201</v>
      </c>
      <c r="F1" s="27" t="s">
        <v>6202</v>
      </c>
      <c r="G1" s="27" t="s">
        <v>6203</v>
      </c>
    </row>
    <row r="2" ht="22.5" customHeight="1">
      <c r="A2" s="29" t="s">
        <v>6452</v>
      </c>
      <c r="B2" s="30">
        <v>45205.0</v>
      </c>
      <c r="C2" s="31" t="s">
        <v>6453</v>
      </c>
      <c r="D2" s="31">
        <v>2.0</v>
      </c>
      <c r="E2" s="31">
        <v>0.0</v>
      </c>
      <c r="F2" s="31"/>
      <c r="G2" s="31">
        <f t="shared" ref="G2:G13" si="1">D2-E2</f>
        <v>2</v>
      </c>
    </row>
    <row r="3" ht="22.5" customHeight="1">
      <c r="A3" s="29" t="s">
        <v>6454</v>
      </c>
      <c r="B3" s="30">
        <v>45775.0</v>
      </c>
      <c r="C3" s="31" t="s">
        <v>6453</v>
      </c>
      <c r="D3" s="31">
        <v>27.0</v>
      </c>
      <c r="E3" s="31">
        <v>27.0</v>
      </c>
      <c r="F3" s="32"/>
      <c r="G3" s="32">
        <f t="shared" si="1"/>
        <v>0</v>
      </c>
      <c r="I3" s="33" t="s">
        <v>6208</v>
      </c>
      <c r="J3" s="7">
        <f>COUNTA(A:A)</f>
        <v>11</v>
      </c>
    </row>
    <row r="4" ht="22.5" customHeight="1">
      <c r="A4" s="29" t="s">
        <v>6455</v>
      </c>
      <c r="B4" s="30">
        <v>45831.0</v>
      </c>
      <c r="C4" s="31" t="s">
        <v>6453</v>
      </c>
      <c r="D4" s="31">
        <v>27.0</v>
      </c>
      <c r="E4" s="31">
        <v>27.0</v>
      </c>
      <c r="F4" s="32"/>
      <c r="G4" s="32">
        <f t="shared" si="1"/>
        <v>0</v>
      </c>
      <c r="I4" s="33" t="s">
        <v>6210</v>
      </c>
      <c r="J4" s="34">
        <f>SUM(D:D)</f>
        <v>182</v>
      </c>
    </row>
    <row r="5" ht="22.5" customHeight="1">
      <c r="A5" s="29" t="s">
        <v>6456</v>
      </c>
      <c r="B5" s="30">
        <v>45854.0</v>
      </c>
      <c r="C5" s="31" t="s">
        <v>6453</v>
      </c>
      <c r="D5" s="31">
        <v>24.0</v>
      </c>
      <c r="E5" s="31">
        <v>24.0</v>
      </c>
      <c r="F5" s="32"/>
      <c r="G5" s="32">
        <f t="shared" si="1"/>
        <v>0</v>
      </c>
      <c r="I5" s="33" t="s">
        <v>6212</v>
      </c>
      <c r="J5" s="7">
        <f>SUM(E:E)</f>
        <v>180</v>
      </c>
      <c r="K5" s="35">
        <f>J4-J5</f>
        <v>2</v>
      </c>
    </row>
    <row r="6" ht="22.5" customHeight="1">
      <c r="A6" s="29" t="s">
        <v>6457</v>
      </c>
      <c r="B6" s="30">
        <v>45880.0</v>
      </c>
      <c r="C6" s="31" t="s">
        <v>6453</v>
      </c>
      <c r="D6" s="31">
        <v>24.0</v>
      </c>
      <c r="E6" s="31">
        <v>24.0</v>
      </c>
      <c r="F6" s="32"/>
      <c r="G6" s="32">
        <f t="shared" si="1"/>
        <v>0</v>
      </c>
      <c r="I6" s="33" t="s">
        <v>6214</v>
      </c>
      <c r="J6" s="7">
        <f t="array" ref="J6">COUNTA(B2:B314) - COUNTA(UNIQUE(B2:B314))</f>
        <v>0</v>
      </c>
    </row>
    <row r="7" ht="22.5" customHeight="1">
      <c r="A7" s="29" t="s">
        <v>6458</v>
      </c>
      <c r="B7" s="30">
        <v>45925.0</v>
      </c>
      <c r="C7" s="31" t="s">
        <v>6453</v>
      </c>
      <c r="D7" s="31">
        <v>27.0</v>
      </c>
      <c r="E7" s="31">
        <v>27.0</v>
      </c>
      <c r="F7" s="32"/>
      <c r="G7" s="32">
        <f t="shared" si="1"/>
        <v>0</v>
      </c>
      <c r="J7" s="36"/>
      <c r="L7" s="36"/>
    </row>
    <row r="8" ht="22.5" customHeight="1">
      <c r="A8" s="29" t="s">
        <v>6459</v>
      </c>
      <c r="B8" s="30">
        <v>45944.0</v>
      </c>
      <c r="C8" s="31" t="s">
        <v>6453</v>
      </c>
      <c r="D8" s="31">
        <v>24.0</v>
      </c>
      <c r="E8" s="31">
        <v>24.0</v>
      </c>
      <c r="F8" s="32"/>
      <c r="G8" s="32">
        <f t="shared" si="1"/>
        <v>0</v>
      </c>
      <c r="I8" s="37" t="s">
        <v>6217</v>
      </c>
      <c r="J8" s="38">
        <f>B2</f>
        <v>45205</v>
      </c>
      <c r="L8" s="36"/>
    </row>
    <row r="9" ht="22.5" customHeight="1">
      <c r="A9" s="29" t="s">
        <v>6460</v>
      </c>
      <c r="B9" s="30">
        <v>46007.0</v>
      </c>
      <c r="C9" s="31" t="s">
        <v>6453</v>
      </c>
      <c r="D9" s="31">
        <v>27.0</v>
      </c>
      <c r="E9" s="31">
        <v>27.0</v>
      </c>
      <c r="F9" s="32"/>
      <c r="G9" s="32">
        <f t="shared" si="1"/>
        <v>0</v>
      </c>
      <c r="I9" s="37" t="s">
        <v>6219</v>
      </c>
      <c r="J9" s="38">
        <f>B9</f>
        <v>46007</v>
      </c>
    </row>
    <row r="10" ht="22.5" customHeight="1">
      <c r="A10" s="29" t="s">
        <v>6461</v>
      </c>
      <c r="B10" s="30">
        <v>46065.0</v>
      </c>
      <c r="F10" s="32"/>
      <c r="G10" s="32">
        <f t="shared" si="1"/>
        <v>0</v>
      </c>
      <c r="I10" s="37" t="s">
        <v>6221</v>
      </c>
      <c r="J10" s="39">
        <f>J4/(J9-J8)</f>
        <v>0.2269326683</v>
      </c>
    </row>
    <row r="11" ht="22.5" customHeight="1">
      <c r="A11" s="29" t="s">
        <v>6462</v>
      </c>
      <c r="B11" s="30">
        <v>46082.0</v>
      </c>
      <c r="F11" s="32"/>
      <c r="G11" s="32">
        <f t="shared" si="1"/>
        <v>0</v>
      </c>
      <c r="I11" s="37" t="s">
        <v>6223</v>
      </c>
      <c r="J11" s="39">
        <f>(J9-J8)/J3</f>
        <v>72.90909091</v>
      </c>
    </row>
    <row r="12" ht="22.5" customHeight="1">
      <c r="A12" s="29"/>
      <c r="B12" s="30"/>
      <c r="F12" s="32"/>
      <c r="G12" s="32">
        <f t="shared" si="1"/>
        <v>0</v>
      </c>
      <c r="I12" s="37" t="s">
        <v>6225</v>
      </c>
      <c r="J12" s="39">
        <f>J4/J3</f>
        <v>16.54545455</v>
      </c>
    </row>
    <row r="13" ht="22.5" customHeight="1">
      <c r="A13" s="29"/>
      <c r="B13" s="30"/>
      <c r="F13" s="32"/>
      <c r="G13" s="32">
        <f t="shared" si="1"/>
        <v>0</v>
      </c>
    </row>
    <row r="14" ht="22.5" customHeight="1">
      <c r="A14" s="29"/>
      <c r="B14" s="30"/>
      <c r="F14" s="32"/>
      <c r="G14" s="32"/>
    </row>
    <row r="15" ht="22.5" customHeight="1">
      <c r="A15" s="29"/>
      <c r="B15" s="30"/>
      <c r="F15" s="32"/>
      <c r="G15" s="32"/>
    </row>
    <row r="16" ht="22.5" customHeight="1">
      <c r="A16" s="29"/>
      <c r="B16" s="30"/>
      <c r="F16" s="32"/>
      <c r="G16" s="32"/>
    </row>
    <row r="17" ht="22.5" customHeight="1">
      <c r="A17" s="29"/>
      <c r="B17" s="30"/>
      <c r="F17" s="32"/>
      <c r="G17" s="32"/>
    </row>
    <row r="18" ht="22.5" customHeight="1">
      <c r="A18" s="29"/>
      <c r="B18" s="30"/>
      <c r="F18" s="32"/>
      <c r="G18" s="32"/>
    </row>
    <row r="19" ht="22.5" customHeight="1">
      <c r="A19" s="29"/>
      <c r="B19" s="30"/>
      <c r="F19" s="32"/>
      <c r="G19" s="32"/>
    </row>
    <row r="20" ht="22.5" customHeight="1">
      <c r="A20" s="29"/>
      <c r="B20" s="30"/>
      <c r="F20" s="32"/>
      <c r="G20" s="32"/>
    </row>
    <row r="21" ht="22.5" customHeight="1">
      <c r="A21" s="29"/>
      <c r="B21" s="30"/>
      <c r="F21" s="32"/>
      <c r="G21" s="32"/>
    </row>
    <row r="22" ht="22.5" customHeight="1">
      <c r="A22" s="29"/>
      <c r="B22" s="30"/>
      <c r="F22" s="32"/>
      <c r="G22" s="32"/>
    </row>
    <row r="23" ht="22.5" customHeight="1">
      <c r="A23" s="29"/>
      <c r="B23" s="30"/>
      <c r="F23" s="32"/>
      <c r="G23" s="32"/>
    </row>
    <row r="24" ht="22.5" customHeight="1">
      <c r="A24" s="29"/>
      <c r="B24" s="30"/>
      <c r="F24" s="32"/>
      <c r="G24" s="32"/>
    </row>
    <row r="25" ht="22.5" customHeight="1">
      <c r="A25" s="29"/>
      <c r="B25" s="30"/>
      <c r="F25" s="32"/>
      <c r="G25" s="32"/>
    </row>
    <row r="26" ht="22.5" customHeight="1">
      <c r="A26" s="29"/>
      <c r="B26" s="30"/>
      <c r="F26" s="32"/>
      <c r="G26" s="32"/>
    </row>
    <row r="27" ht="22.5" customHeight="1">
      <c r="A27" s="29"/>
      <c r="B27" s="30"/>
      <c r="F27" s="32"/>
      <c r="G27" s="32"/>
    </row>
    <row r="28" ht="22.5" customHeight="1">
      <c r="A28" s="29"/>
      <c r="B28" s="30"/>
      <c r="F28" s="32"/>
      <c r="G28" s="32"/>
    </row>
    <row r="29" ht="22.5" customHeight="1">
      <c r="A29" s="29"/>
      <c r="B29" s="30"/>
      <c r="F29" s="32"/>
      <c r="G29" s="32"/>
    </row>
    <row r="30" ht="22.5" customHeight="1">
      <c r="A30" s="29"/>
      <c r="B30" s="30"/>
      <c r="F30" s="32"/>
      <c r="G30" s="32"/>
    </row>
    <row r="31" ht="22.5" customHeight="1">
      <c r="A31" s="29"/>
      <c r="B31" s="30"/>
      <c r="F31" s="32"/>
      <c r="G31" s="32"/>
    </row>
    <row r="32" ht="22.5" customHeight="1">
      <c r="A32" s="29"/>
      <c r="B32" s="30"/>
      <c r="F32" s="32"/>
      <c r="G32" s="32"/>
    </row>
    <row r="33" ht="22.5" customHeight="1">
      <c r="A33" s="29"/>
      <c r="B33" s="30"/>
      <c r="F33" s="32"/>
      <c r="G33" s="32"/>
    </row>
    <row r="34" ht="22.5" customHeight="1">
      <c r="A34" s="29"/>
      <c r="B34" s="30"/>
      <c r="F34" s="32"/>
      <c r="G34" s="32"/>
    </row>
    <row r="35" ht="22.5" customHeight="1">
      <c r="A35" s="29"/>
      <c r="B35" s="30"/>
      <c r="F35" s="32"/>
      <c r="G35" s="32"/>
    </row>
    <row r="36" ht="22.5" customHeight="1">
      <c r="A36" s="29"/>
      <c r="B36" s="30"/>
      <c r="F36" s="32"/>
      <c r="G36" s="32"/>
    </row>
    <row r="37" ht="22.5" customHeight="1">
      <c r="A37" s="29"/>
      <c r="B37" s="30"/>
      <c r="F37" s="32"/>
      <c r="G37" s="32"/>
    </row>
    <row r="38" ht="22.5" customHeight="1">
      <c r="A38" s="29"/>
      <c r="B38" s="30"/>
      <c r="F38" s="32"/>
      <c r="G38" s="32"/>
    </row>
    <row r="39" ht="22.5" customHeight="1">
      <c r="A39" s="29"/>
      <c r="B39" s="30"/>
      <c r="F39" s="32"/>
      <c r="G39" s="32"/>
    </row>
    <row r="40" ht="22.5" customHeight="1">
      <c r="A40" s="29"/>
      <c r="B40" s="30"/>
      <c r="F40" s="32"/>
      <c r="G40" s="32"/>
    </row>
    <row r="41" ht="22.5" customHeight="1">
      <c r="A41" s="29"/>
      <c r="B41" s="30"/>
      <c r="F41" s="32"/>
      <c r="G41" s="32"/>
    </row>
    <row r="42" ht="22.5" customHeight="1">
      <c r="A42" s="29"/>
      <c r="B42" s="30"/>
      <c r="F42" s="32"/>
      <c r="G42" s="32"/>
    </row>
    <row r="43" ht="22.5" customHeight="1">
      <c r="A43" s="29"/>
      <c r="B43" s="30"/>
      <c r="F43" s="32"/>
      <c r="G43" s="32"/>
    </row>
    <row r="44" ht="22.5" customHeight="1">
      <c r="A44" s="29"/>
      <c r="B44" s="30"/>
      <c r="F44" s="32"/>
      <c r="G44" s="32"/>
    </row>
    <row r="45" ht="22.5" customHeight="1">
      <c r="A45" s="29"/>
      <c r="B45" s="30"/>
      <c r="F45" s="32"/>
      <c r="G45" s="32"/>
    </row>
    <row r="46" ht="22.5" customHeight="1">
      <c r="A46" s="29"/>
      <c r="B46" s="30"/>
      <c r="F46" s="32"/>
      <c r="G46" s="32"/>
    </row>
    <row r="47" ht="22.5" customHeight="1">
      <c r="A47" s="29"/>
      <c r="B47" s="30"/>
      <c r="F47" s="32"/>
      <c r="G47" s="32"/>
    </row>
    <row r="48" ht="22.5" customHeight="1">
      <c r="A48" s="29"/>
      <c r="B48" s="30"/>
      <c r="F48" s="32"/>
      <c r="G48" s="32"/>
    </row>
    <row r="49" ht="22.5" customHeight="1">
      <c r="A49" s="29"/>
      <c r="B49" s="30"/>
      <c r="F49" s="32"/>
      <c r="G49" s="32"/>
    </row>
    <row r="50" ht="22.5" customHeight="1">
      <c r="A50" s="29"/>
      <c r="B50" s="30"/>
      <c r="F50" s="32"/>
      <c r="G50" s="32"/>
    </row>
    <row r="51" ht="22.5" customHeight="1">
      <c r="A51" s="29"/>
      <c r="B51" s="30"/>
      <c r="F51" s="32"/>
      <c r="G51" s="32"/>
    </row>
    <row r="52" ht="22.5" customHeight="1">
      <c r="A52" s="29"/>
      <c r="B52" s="30"/>
      <c r="F52" s="32"/>
      <c r="G52" s="32"/>
    </row>
    <row r="53" ht="22.5" customHeight="1">
      <c r="A53" s="29"/>
      <c r="B53" s="30"/>
      <c r="F53" s="32"/>
      <c r="G53" s="32"/>
    </row>
    <row r="54" ht="22.5" customHeight="1">
      <c r="A54" s="29"/>
      <c r="B54" s="30"/>
      <c r="F54" s="32"/>
      <c r="G54" s="32"/>
    </row>
    <row r="55" ht="22.5" customHeight="1">
      <c r="A55" s="29"/>
      <c r="B55" s="30"/>
      <c r="F55" s="32"/>
      <c r="G55" s="32"/>
    </row>
    <row r="56" ht="22.5" customHeight="1">
      <c r="A56" s="29"/>
      <c r="B56" s="30"/>
      <c r="F56" s="32"/>
      <c r="G56" s="32"/>
    </row>
    <row r="57" ht="22.5" customHeight="1">
      <c r="A57" s="29"/>
      <c r="B57" s="30"/>
      <c r="F57" s="32"/>
      <c r="G57" s="32"/>
    </row>
    <row r="58" ht="22.5" customHeight="1">
      <c r="A58" s="29"/>
      <c r="B58" s="30"/>
      <c r="F58" s="32"/>
      <c r="G58" s="32"/>
    </row>
    <row r="59" ht="22.5" customHeight="1">
      <c r="A59" s="29"/>
      <c r="B59" s="30"/>
      <c r="C59" s="31"/>
      <c r="D59" s="31"/>
      <c r="E59" s="31"/>
      <c r="F59" s="32"/>
      <c r="G59" s="32"/>
    </row>
    <row r="60" ht="22.5" customHeight="1">
      <c r="A60" s="29"/>
      <c r="B60" s="30"/>
      <c r="C60" s="31"/>
      <c r="D60" s="31"/>
      <c r="E60" s="31"/>
      <c r="F60" s="32"/>
      <c r="G60" s="32"/>
    </row>
    <row r="61" ht="22.5" customHeight="1">
      <c r="A61" s="29"/>
      <c r="B61" s="30"/>
      <c r="C61" s="31"/>
      <c r="D61" s="31"/>
      <c r="E61" s="31"/>
      <c r="F61" s="32"/>
      <c r="G61" s="32"/>
    </row>
    <row r="62" ht="22.5" customHeight="1">
      <c r="A62" s="29"/>
      <c r="B62" s="30"/>
      <c r="C62" s="31"/>
      <c r="D62" s="31"/>
      <c r="E62" s="31"/>
      <c r="F62" s="32"/>
      <c r="G62" s="32"/>
    </row>
    <row r="63" ht="22.5" customHeight="1">
      <c r="A63" s="29"/>
      <c r="B63" s="30"/>
      <c r="C63" s="31"/>
      <c r="D63" s="31"/>
      <c r="E63" s="31"/>
      <c r="F63" s="32"/>
      <c r="G63" s="32"/>
    </row>
    <row r="64" ht="22.5" customHeight="1">
      <c r="A64" s="29"/>
      <c r="B64" s="30"/>
      <c r="C64" s="31"/>
      <c r="D64" s="31"/>
      <c r="E64" s="31"/>
      <c r="F64" s="32"/>
      <c r="G64" s="32"/>
    </row>
    <row r="65" ht="22.5" customHeight="1">
      <c r="A65" s="29"/>
      <c r="B65" s="30"/>
      <c r="C65" s="31"/>
      <c r="D65" s="31"/>
      <c r="E65" s="31"/>
      <c r="F65" s="32"/>
      <c r="G65" s="32"/>
    </row>
    <row r="66" ht="22.5" customHeight="1">
      <c r="A66" s="29"/>
      <c r="B66" s="30"/>
      <c r="C66" s="31"/>
      <c r="D66" s="31"/>
      <c r="E66" s="31"/>
      <c r="F66" s="32"/>
      <c r="G66" s="32"/>
    </row>
    <row r="67" ht="22.5" customHeight="1">
      <c r="A67" s="29"/>
      <c r="B67" s="30"/>
      <c r="C67" s="31"/>
      <c r="D67" s="31"/>
      <c r="E67" s="31"/>
      <c r="F67" s="32"/>
      <c r="G67" s="32"/>
    </row>
    <row r="68" ht="22.5" customHeight="1">
      <c r="A68" s="29"/>
      <c r="B68" s="30"/>
      <c r="C68" s="31"/>
      <c r="D68" s="31"/>
      <c r="E68" s="31"/>
      <c r="F68" s="32"/>
      <c r="G68" s="32"/>
    </row>
    <row r="69" ht="22.5" customHeight="1">
      <c r="A69" s="29"/>
      <c r="B69" s="30"/>
      <c r="C69" s="31"/>
      <c r="D69" s="31"/>
      <c r="E69" s="31"/>
      <c r="F69" s="32"/>
      <c r="G69" s="32"/>
    </row>
    <row r="70" ht="22.5" customHeight="1">
      <c r="A70" s="29"/>
      <c r="B70" s="30"/>
      <c r="C70" s="31"/>
      <c r="D70" s="31"/>
      <c r="E70" s="31"/>
      <c r="F70" s="32"/>
      <c r="G70" s="32"/>
    </row>
    <row r="71" ht="22.5" customHeight="1">
      <c r="A71" s="29"/>
      <c r="B71" s="30"/>
      <c r="C71" s="31"/>
      <c r="D71" s="31"/>
      <c r="E71" s="31"/>
      <c r="F71" s="32"/>
      <c r="G71" s="32"/>
    </row>
    <row r="72" ht="22.5" customHeight="1">
      <c r="A72" s="29"/>
      <c r="B72" s="30"/>
      <c r="C72" s="31"/>
      <c r="D72" s="31"/>
      <c r="E72" s="31"/>
      <c r="F72" s="32"/>
      <c r="G72" s="32"/>
    </row>
    <row r="73" ht="22.5" customHeight="1">
      <c r="A73" s="29"/>
      <c r="B73" s="30"/>
      <c r="C73" s="31"/>
      <c r="D73" s="31"/>
      <c r="E73" s="31"/>
      <c r="F73" s="32"/>
      <c r="G73" s="32"/>
    </row>
    <row r="74" ht="22.5" customHeight="1">
      <c r="A74" s="29"/>
      <c r="B74" s="30"/>
      <c r="C74" s="31"/>
      <c r="D74" s="31"/>
      <c r="E74" s="31"/>
      <c r="F74" s="32"/>
      <c r="G74" s="32"/>
    </row>
    <row r="75" ht="22.5" customHeight="1">
      <c r="A75" s="29"/>
      <c r="B75" s="30"/>
      <c r="C75" s="31"/>
      <c r="D75" s="31"/>
      <c r="E75" s="31"/>
      <c r="F75" s="32"/>
      <c r="G75" s="32"/>
    </row>
    <row r="76" ht="22.5" customHeight="1">
      <c r="A76" s="29"/>
      <c r="B76" s="30"/>
      <c r="C76" s="31"/>
      <c r="D76" s="31"/>
      <c r="E76" s="31"/>
      <c r="F76" s="32"/>
      <c r="G76" s="32"/>
    </row>
    <row r="77" ht="22.5" customHeight="1">
      <c r="A77" s="29"/>
      <c r="B77" s="30"/>
      <c r="C77" s="31"/>
      <c r="D77" s="31"/>
      <c r="E77" s="31"/>
      <c r="F77" s="32"/>
      <c r="G77" s="32"/>
    </row>
    <row r="78" ht="22.5" customHeight="1">
      <c r="A78" s="29"/>
      <c r="B78" s="30"/>
      <c r="C78" s="31"/>
      <c r="D78" s="31"/>
      <c r="E78" s="31"/>
      <c r="F78" s="32"/>
      <c r="G78" s="32"/>
    </row>
    <row r="79" ht="22.5" customHeight="1">
      <c r="A79" s="29"/>
      <c r="B79" s="30"/>
      <c r="C79" s="31"/>
      <c r="D79" s="31"/>
      <c r="E79" s="31"/>
      <c r="F79" s="32"/>
      <c r="G79" s="32"/>
    </row>
    <row r="80" ht="22.5" customHeight="1">
      <c r="A80" s="29"/>
      <c r="B80" s="30"/>
      <c r="C80" s="31"/>
      <c r="D80" s="31"/>
      <c r="E80" s="31"/>
      <c r="F80" s="32"/>
      <c r="G80" s="32"/>
    </row>
    <row r="81" ht="22.5" customHeight="1">
      <c r="A81" s="29"/>
      <c r="B81" s="30"/>
      <c r="C81" s="31"/>
      <c r="D81" s="31"/>
      <c r="E81" s="31"/>
      <c r="F81" s="32"/>
      <c r="G81" s="32"/>
    </row>
    <row r="82" ht="22.5" customHeight="1">
      <c r="A82" s="29"/>
      <c r="B82" s="30"/>
      <c r="C82" s="31"/>
      <c r="D82" s="31"/>
      <c r="E82" s="31"/>
      <c r="F82" s="32"/>
      <c r="G82" s="32"/>
    </row>
    <row r="83" ht="22.5" customHeight="1">
      <c r="A83" s="29"/>
      <c r="B83" s="30"/>
      <c r="C83" s="31"/>
      <c r="D83" s="31"/>
      <c r="E83" s="31"/>
      <c r="F83" s="32"/>
      <c r="G83" s="32"/>
    </row>
    <row r="84" ht="22.5" customHeight="1">
      <c r="A84" s="29"/>
      <c r="B84" s="30"/>
      <c r="C84" s="31"/>
      <c r="D84" s="31"/>
      <c r="E84" s="31"/>
      <c r="F84" s="32"/>
      <c r="G84" s="32"/>
    </row>
    <row r="85" ht="22.5" customHeight="1">
      <c r="A85" s="29"/>
      <c r="B85" s="30"/>
      <c r="C85" s="31"/>
      <c r="D85" s="31"/>
      <c r="E85" s="31"/>
      <c r="F85" s="32"/>
      <c r="G85" s="32"/>
    </row>
    <row r="86" ht="22.5" customHeight="1">
      <c r="A86" s="29"/>
      <c r="B86" s="30"/>
      <c r="C86" s="31"/>
      <c r="D86" s="31"/>
      <c r="E86" s="31"/>
      <c r="F86" s="32"/>
      <c r="G86" s="32"/>
    </row>
    <row r="87" ht="22.5" customHeight="1">
      <c r="A87" s="29"/>
      <c r="B87" s="30"/>
      <c r="C87" s="31"/>
      <c r="D87" s="31"/>
      <c r="E87" s="31"/>
      <c r="F87" s="32"/>
      <c r="G87" s="32"/>
    </row>
    <row r="88" ht="22.5" customHeight="1">
      <c r="A88" s="29"/>
      <c r="B88" s="30"/>
      <c r="C88" s="31"/>
      <c r="D88" s="31"/>
      <c r="E88" s="31"/>
      <c r="F88" s="32"/>
      <c r="G88" s="32"/>
    </row>
    <row r="89" ht="22.5" customHeight="1">
      <c r="A89" s="29"/>
      <c r="B89" s="30"/>
      <c r="C89" s="31"/>
      <c r="D89" s="31"/>
      <c r="E89" s="31"/>
      <c r="F89" s="32"/>
      <c r="G89" s="32"/>
    </row>
    <row r="90" ht="22.5" customHeight="1">
      <c r="A90" s="29"/>
      <c r="B90" s="30"/>
      <c r="C90" s="31"/>
      <c r="D90" s="31"/>
      <c r="E90" s="31"/>
      <c r="F90" s="32"/>
      <c r="G90" s="32"/>
    </row>
    <row r="91" ht="22.5" customHeight="1">
      <c r="A91" s="29"/>
      <c r="B91" s="30"/>
      <c r="C91" s="31"/>
      <c r="D91" s="31"/>
      <c r="E91" s="31"/>
      <c r="F91" s="32"/>
      <c r="G91" s="32"/>
    </row>
    <row r="92" ht="22.5" customHeight="1">
      <c r="A92" s="29"/>
      <c r="B92" s="30"/>
      <c r="C92" s="31"/>
      <c r="D92" s="31"/>
      <c r="E92" s="31"/>
      <c r="F92" s="32"/>
      <c r="G92" s="32"/>
    </row>
    <row r="93" ht="22.5" customHeight="1">
      <c r="A93" s="29"/>
      <c r="B93" s="30"/>
      <c r="C93" s="31"/>
      <c r="D93" s="31"/>
      <c r="E93" s="31"/>
      <c r="F93" s="32"/>
      <c r="G93" s="32"/>
    </row>
    <row r="94" ht="22.5" customHeight="1">
      <c r="A94" s="29"/>
      <c r="B94" s="30"/>
      <c r="C94" s="31"/>
      <c r="D94" s="31"/>
      <c r="E94" s="31"/>
      <c r="F94" s="32"/>
      <c r="G94" s="32"/>
    </row>
    <row r="95" ht="22.5" customHeight="1">
      <c r="A95" s="29"/>
      <c r="B95" s="30"/>
      <c r="C95" s="31"/>
      <c r="D95" s="31"/>
      <c r="E95" s="31"/>
      <c r="F95" s="32"/>
      <c r="G95" s="32"/>
    </row>
    <row r="96" ht="22.5" customHeight="1">
      <c r="A96" s="29"/>
      <c r="B96" s="30"/>
      <c r="C96" s="31"/>
      <c r="D96" s="31"/>
      <c r="E96" s="31"/>
      <c r="F96" s="32"/>
      <c r="G96" s="32"/>
    </row>
    <row r="97" ht="22.5" customHeight="1">
      <c r="A97" s="29"/>
      <c r="B97" s="30"/>
      <c r="C97" s="31"/>
      <c r="D97" s="31"/>
      <c r="E97" s="31"/>
      <c r="F97" s="32"/>
      <c r="G97" s="32"/>
    </row>
    <row r="98" ht="22.5" customHeight="1">
      <c r="A98" s="29"/>
      <c r="B98" s="30"/>
      <c r="C98" s="31"/>
      <c r="D98" s="31"/>
      <c r="E98" s="31"/>
      <c r="F98" s="32"/>
      <c r="G98" s="32"/>
    </row>
    <row r="99" ht="22.5" customHeight="1">
      <c r="A99" s="29"/>
      <c r="B99" s="30"/>
      <c r="C99" s="31"/>
      <c r="D99" s="31"/>
      <c r="E99" s="31"/>
      <c r="F99" s="32"/>
      <c r="G99" s="32"/>
    </row>
    <row r="100" ht="22.5" customHeight="1">
      <c r="A100" s="29"/>
      <c r="B100" s="30"/>
      <c r="C100" s="31"/>
      <c r="D100" s="31"/>
      <c r="E100" s="31"/>
      <c r="F100" s="32"/>
      <c r="G100" s="32"/>
    </row>
    <row r="101" ht="22.5" customHeight="1">
      <c r="A101" s="29"/>
      <c r="B101" s="30"/>
      <c r="C101" s="31"/>
      <c r="D101" s="31"/>
      <c r="E101" s="31"/>
      <c r="F101" s="31"/>
      <c r="G101" s="31"/>
    </row>
    <row r="102" ht="22.5" customHeight="1">
      <c r="A102" s="114"/>
      <c r="B102" s="115"/>
      <c r="C102" s="116"/>
      <c r="D102" s="117"/>
      <c r="E102" s="117"/>
      <c r="F102" s="44"/>
      <c r="G102" s="44"/>
    </row>
    <row r="103" ht="22.5" customHeight="1">
      <c r="A103" s="118"/>
      <c r="B103" s="119"/>
      <c r="C103" s="106"/>
      <c r="D103" s="120"/>
      <c r="E103" s="120"/>
      <c r="F103" s="60"/>
      <c r="G103" s="60"/>
    </row>
    <row r="104" ht="22.5" customHeight="1">
      <c r="A104" s="114"/>
      <c r="B104" s="115"/>
      <c r="C104" s="116"/>
      <c r="D104" s="117"/>
      <c r="E104" s="117"/>
      <c r="F104" s="44"/>
      <c r="G104" s="44"/>
    </row>
    <row r="105" ht="22.5" customHeight="1">
      <c r="A105" s="118"/>
      <c r="B105" s="119"/>
      <c r="C105" s="106"/>
      <c r="D105" s="120"/>
      <c r="E105" s="120"/>
      <c r="F105" s="60"/>
      <c r="G105" s="60"/>
    </row>
    <row r="106" ht="22.5" customHeight="1">
      <c r="A106" s="114"/>
      <c r="B106" s="115"/>
      <c r="C106" s="116"/>
      <c r="D106" s="117"/>
      <c r="E106" s="117"/>
      <c r="F106" s="44"/>
      <c r="G106" s="44"/>
    </row>
    <row r="107" ht="22.5" customHeight="1">
      <c r="A107" s="118"/>
      <c r="B107" s="119"/>
      <c r="C107" s="106"/>
      <c r="D107" s="120"/>
      <c r="E107" s="120"/>
      <c r="F107" s="60"/>
      <c r="G107" s="60"/>
    </row>
    <row r="108" ht="22.5" customHeight="1">
      <c r="A108" s="114"/>
      <c r="B108" s="115"/>
      <c r="C108" s="116"/>
      <c r="D108" s="117"/>
      <c r="E108" s="117"/>
      <c r="F108" s="44"/>
      <c r="G108" s="44"/>
    </row>
    <row r="109" ht="22.5" customHeight="1">
      <c r="A109" s="118"/>
      <c r="B109" s="119"/>
      <c r="C109" s="106"/>
      <c r="D109" s="120"/>
      <c r="E109" s="120"/>
      <c r="F109" s="60"/>
      <c r="G109" s="60"/>
    </row>
    <row r="110" ht="22.5" customHeight="1">
      <c r="A110" s="114"/>
      <c r="B110" s="115"/>
      <c r="C110" s="116"/>
      <c r="D110" s="117"/>
      <c r="E110" s="117"/>
      <c r="F110" s="44"/>
      <c r="G110" s="44"/>
    </row>
    <row r="111" ht="22.5" customHeight="1">
      <c r="A111" s="118"/>
      <c r="B111" s="119"/>
      <c r="C111" s="106"/>
      <c r="D111" s="120"/>
      <c r="E111" s="120"/>
      <c r="F111" s="60"/>
      <c r="G111" s="60"/>
    </row>
    <row r="112" ht="22.5" customHeight="1">
      <c r="A112" s="114"/>
      <c r="B112" s="115"/>
      <c r="C112" s="116"/>
      <c r="D112" s="117"/>
      <c r="E112" s="117"/>
      <c r="F112" s="44"/>
      <c r="G112" s="44"/>
    </row>
    <row r="113" ht="22.5" customHeight="1">
      <c r="A113" s="118"/>
      <c r="B113" s="119"/>
      <c r="C113" s="106"/>
      <c r="D113" s="120"/>
      <c r="E113" s="120"/>
      <c r="F113" s="60"/>
      <c r="G113" s="60"/>
    </row>
    <row r="114" ht="22.5" customHeight="1">
      <c r="A114" s="114"/>
      <c r="B114" s="115"/>
      <c r="C114" s="116"/>
      <c r="D114" s="117"/>
      <c r="E114" s="117"/>
      <c r="F114" s="44"/>
      <c r="G114" s="44"/>
    </row>
    <row r="115" ht="22.5" customHeight="1">
      <c r="A115" s="118"/>
      <c r="B115" s="119"/>
      <c r="C115" s="106"/>
      <c r="D115" s="120"/>
      <c r="E115" s="120"/>
      <c r="F115" s="60"/>
      <c r="G115" s="60"/>
    </row>
    <row r="116" ht="22.5" customHeight="1">
      <c r="A116" s="114"/>
      <c r="B116" s="115"/>
      <c r="C116" s="116"/>
      <c r="D116" s="117"/>
      <c r="E116" s="117"/>
      <c r="F116" s="44"/>
      <c r="G116" s="44"/>
    </row>
    <row r="117" ht="22.5" customHeight="1">
      <c r="A117" s="118"/>
      <c r="B117" s="119"/>
      <c r="C117" s="106"/>
      <c r="D117" s="120"/>
      <c r="E117" s="120"/>
      <c r="F117" s="60"/>
      <c r="G117" s="60"/>
    </row>
    <row r="118" ht="22.5" customHeight="1">
      <c r="A118" s="114"/>
      <c r="B118" s="115"/>
      <c r="C118" s="116"/>
      <c r="D118" s="117"/>
      <c r="E118" s="117"/>
      <c r="F118" s="44"/>
      <c r="G118" s="44"/>
    </row>
    <row r="119" ht="22.5" customHeight="1">
      <c r="A119" s="118"/>
      <c r="B119" s="119"/>
      <c r="C119" s="106"/>
      <c r="D119" s="120"/>
      <c r="E119" s="120"/>
      <c r="F119" s="60"/>
      <c r="G119" s="60"/>
    </row>
    <row r="120" ht="22.5" customHeight="1">
      <c r="A120" s="114"/>
      <c r="B120" s="115"/>
      <c r="C120" s="116"/>
      <c r="D120" s="117"/>
      <c r="E120" s="117"/>
      <c r="F120" s="44"/>
      <c r="G120" s="44"/>
    </row>
    <row r="121" ht="22.5" customHeight="1">
      <c r="A121" s="118"/>
      <c r="B121" s="119"/>
      <c r="C121" s="106"/>
      <c r="D121" s="120"/>
      <c r="E121" s="120"/>
      <c r="F121" s="60"/>
      <c r="G121" s="60"/>
    </row>
    <row r="122" ht="22.5" customHeight="1">
      <c r="A122" s="114"/>
      <c r="B122" s="115"/>
      <c r="C122" s="116"/>
      <c r="D122" s="117"/>
      <c r="E122" s="117"/>
      <c r="F122" s="44"/>
      <c r="G122" s="44"/>
    </row>
    <row r="123" ht="22.5" customHeight="1">
      <c r="A123" s="118"/>
      <c r="B123" s="119"/>
      <c r="C123" s="106"/>
      <c r="D123" s="120"/>
      <c r="E123" s="120"/>
      <c r="F123" s="60"/>
      <c r="G123" s="60"/>
    </row>
    <row r="124" ht="22.5" customHeight="1">
      <c r="A124" s="114"/>
      <c r="B124" s="115"/>
      <c r="C124" s="116"/>
      <c r="D124" s="117"/>
      <c r="E124" s="117"/>
      <c r="F124" s="44"/>
      <c r="G124" s="44"/>
    </row>
    <row r="125" ht="22.5" customHeight="1">
      <c r="A125" s="118"/>
      <c r="B125" s="119"/>
      <c r="C125" s="106"/>
      <c r="D125" s="120"/>
      <c r="E125" s="120"/>
      <c r="F125" s="60"/>
      <c r="G125" s="60"/>
    </row>
    <row r="126" ht="22.5" customHeight="1">
      <c r="A126" s="114"/>
      <c r="B126" s="115"/>
      <c r="C126" s="116"/>
      <c r="D126" s="117"/>
      <c r="E126" s="117"/>
      <c r="F126" s="44"/>
      <c r="G126" s="44"/>
    </row>
    <row r="127" ht="22.5" customHeight="1">
      <c r="A127" s="118"/>
      <c r="B127" s="119"/>
      <c r="C127" s="106"/>
      <c r="D127" s="120"/>
      <c r="E127" s="120"/>
      <c r="F127" s="60"/>
      <c r="G127" s="60"/>
    </row>
    <row r="128" ht="22.5" customHeight="1">
      <c r="A128" s="114"/>
      <c r="B128" s="115"/>
      <c r="C128" s="116"/>
      <c r="D128" s="117"/>
      <c r="E128" s="117"/>
      <c r="F128" s="44"/>
      <c r="G128" s="44"/>
    </row>
    <row r="129" ht="22.5" customHeight="1">
      <c r="A129" s="118"/>
      <c r="B129" s="119"/>
      <c r="C129" s="106"/>
      <c r="D129" s="120"/>
      <c r="E129" s="120"/>
      <c r="F129" s="60"/>
      <c r="G129" s="60"/>
    </row>
    <row r="130" ht="22.5" customHeight="1">
      <c r="A130" s="114"/>
      <c r="B130" s="115"/>
      <c r="C130" s="116"/>
      <c r="D130" s="117"/>
      <c r="E130" s="117"/>
      <c r="F130" s="44"/>
      <c r="G130" s="44"/>
    </row>
    <row r="131" ht="22.5" customHeight="1">
      <c r="A131" s="118"/>
      <c r="B131" s="119"/>
      <c r="C131" s="106"/>
      <c r="D131" s="120"/>
      <c r="E131" s="120"/>
      <c r="F131" s="60"/>
      <c r="G131" s="60"/>
    </row>
    <row r="132" ht="22.5" customHeight="1">
      <c r="A132" s="114"/>
      <c r="B132" s="115"/>
      <c r="C132" s="116"/>
      <c r="D132" s="117"/>
      <c r="E132" s="117"/>
      <c r="F132" s="44"/>
      <c r="G132" s="44"/>
    </row>
    <row r="133" ht="22.5" customHeight="1">
      <c r="A133" s="118"/>
      <c r="B133" s="119"/>
      <c r="C133" s="106"/>
      <c r="D133" s="120"/>
      <c r="E133" s="120"/>
      <c r="F133" s="77"/>
      <c r="G133" s="77"/>
    </row>
    <row r="134" ht="22.5" customHeight="1">
      <c r="A134" s="114"/>
      <c r="B134" s="115"/>
      <c r="C134" s="116"/>
      <c r="D134" s="117"/>
      <c r="E134" s="117"/>
      <c r="F134" s="44"/>
      <c r="G134" s="44"/>
    </row>
    <row r="135" ht="22.5" customHeight="1">
      <c r="A135" s="118"/>
      <c r="B135" s="119"/>
      <c r="C135" s="106"/>
      <c r="D135" s="120"/>
      <c r="E135" s="120"/>
      <c r="F135" s="60"/>
      <c r="G135" s="60"/>
    </row>
    <row r="136" ht="22.5" customHeight="1">
      <c r="A136" s="114"/>
      <c r="B136" s="115"/>
      <c r="C136" s="116"/>
      <c r="D136" s="117"/>
      <c r="E136" s="117"/>
      <c r="F136" s="44"/>
      <c r="G136" s="44"/>
    </row>
    <row r="137" ht="22.5" customHeight="1">
      <c r="A137" s="118"/>
      <c r="B137" s="119"/>
      <c r="C137" s="106"/>
      <c r="D137" s="120"/>
      <c r="E137" s="120"/>
      <c r="F137" s="60"/>
      <c r="G137" s="60"/>
    </row>
    <row r="138" ht="22.5" customHeight="1">
      <c r="A138" s="114"/>
      <c r="B138" s="115"/>
      <c r="C138" s="116"/>
      <c r="D138" s="117"/>
      <c r="E138" s="117"/>
      <c r="F138" s="44"/>
      <c r="G138" s="44"/>
    </row>
    <row r="139" ht="22.5" customHeight="1">
      <c r="A139" s="118"/>
      <c r="B139" s="119"/>
      <c r="C139" s="106"/>
      <c r="D139" s="120"/>
      <c r="E139" s="120"/>
      <c r="F139" s="60"/>
      <c r="G139" s="60"/>
    </row>
    <row r="140" ht="22.5" customHeight="1">
      <c r="A140" s="114"/>
      <c r="B140" s="115"/>
      <c r="C140" s="116"/>
      <c r="D140" s="117"/>
      <c r="E140" s="117"/>
      <c r="F140" s="44"/>
      <c r="G140" s="44"/>
    </row>
    <row r="141" ht="22.5" customHeight="1">
      <c r="A141" s="118"/>
      <c r="B141" s="119"/>
      <c r="C141" s="106"/>
      <c r="D141" s="120"/>
      <c r="E141" s="120"/>
      <c r="F141" s="60"/>
      <c r="G141" s="60"/>
    </row>
    <row r="142" ht="22.5" customHeight="1">
      <c r="A142" s="114"/>
      <c r="B142" s="115"/>
      <c r="C142" s="116"/>
      <c r="D142" s="117"/>
      <c r="E142" s="117"/>
      <c r="F142" s="44"/>
      <c r="G142" s="44"/>
    </row>
    <row r="143" ht="22.5" customHeight="1">
      <c r="A143" s="118"/>
      <c r="B143" s="119"/>
      <c r="C143" s="106"/>
      <c r="D143" s="120"/>
      <c r="E143" s="120"/>
      <c r="F143" s="60"/>
      <c r="G143" s="60"/>
    </row>
    <row r="144" ht="22.5" customHeight="1">
      <c r="A144" s="114"/>
      <c r="B144" s="115"/>
      <c r="C144" s="116"/>
      <c r="D144" s="117"/>
      <c r="E144" s="117"/>
      <c r="F144" s="44"/>
      <c r="G144" s="44"/>
    </row>
    <row r="145" ht="22.5" customHeight="1">
      <c r="A145" s="118"/>
      <c r="B145" s="119"/>
      <c r="C145" s="106"/>
      <c r="D145" s="120"/>
      <c r="E145" s="120"/>
      <c r="F145" s="60"/>
      <c r="G145" s="60"/>
    </row>
    <row r="146" ht="22.5" customHeight="1">
      <c r="A146" s="114"/>
      <c r="B146" s="115"/>
      <c r="C146" s="116"/>
      <c r="D146" s="117"/>
      <c r="E146" s="117"/>
      <c r="F146" s="44"/>
      <c r="G146" s="44"/>
    </row>
    <row r="147" ht="22.5" customHeight="1">
      <c r="A147" s="118"/>
      <c r="B147" s="119"/>
      <c r="C147" s="106"/>
      <c r="D147" s="120"/>
      <c r="E147" s="120"/>
      <c r="F147" s="60"/>
      <c r="G147" s="60"/>
    </row>
    <row r="148" ht="22.5" customHeight="1">
      <c r="A148" s="114"/>
      <c r="B148" s="115"/>
      <c r="C148" s="116"/>
      <c r="D148" s="117"/>
      <c r="E148" s="117"/>
      <c r="F148" s="44"/>
      <c r="G148" s="44"/>
    </row>
    <row r="149" ht="22.5" customHeight="1">
      <c r="A149" s="118"/>
      <c r="B149" s="119"/>
      <c r="C149" s="106"/>
      <c r="D149" s="120"/>
      <c r="E149" s="120"/>
      <c r="F149" s="60"/>
      <c r="G149" s="60"/>
    </row>
    <row r="150" ht="22.5" customHeight="1">
      <c r="A150" s="114"/>
      <c r="B150" s="115"/>
      <c r="C150" s="116"/>
      <c r="D150" s="117"/>
      <c r="E150" s="117"/>
      <c r="F150" s="44"/>
      <c r="G150" s="44"/>
    </row>
    <row r="151" ht="22.5" customHeight="1">
      <c r="A151" s="118"/>
      <c r="B151" s="119"/>
      <c r="C151" s="106"/>
      <c r="D151" s="120"/>
      <c r="E151" s="120"/>
      <c r="F151" s="60"/>
      <c r="G151" s="60"/>
    </row>
    <row r="152" ht="22.5" customHeight="1">
      <c r="A152" s="114"/>
      <c r="B152" s="115"/>
      <c r="C152" s="116"/>
      <c r="D152" s="117"/>
      <c r="E152" s="117"/>
      <c r="F152" s="44"/>
      <c r="G152" s="44"/>
    </row>
    <row r="153" ht="22.5" customHeight="1">
      <c r="A153" s="118"/>
      <c r="B153" s="119"/>
      <c r="C153" s="106"/>
      <c r="D153" s="120"/>
      <c r="E153" s="120"/>
      <c r="F153" s="60"/>
      <c r="G153" s="60"/>
    </row>
    <row r="154" ht="22.5" customHeight="1">
      <c r="A154" s="114"/>
      <c r="B154" s="115"/>
      <c r="C154" s="116"/>
      <c r="D154" s="117"/>
      <c r="E154" s="117"/>
      <c r="F154" s="44"/>
      <c r="G154" s="44"/>
    </row>
    <row r="155" ht="22.5" customHeight="1">
      <c r="A155" s="118"/>
      <c r="B155" s="119"/>
      <c r="C155" s="106"/>
      <c r="D155" s="120"/>
      <c r="E155" s="120"/>
      <c r="F155" s="60"/>
      <c r="G155" s="60"/>
    </row>
    <row r="156" ht="22.5" customHeight="1">
      <c r="A156" s="114"/>
      <c r="B156" s="115"/>
      <c r="C156" s="116"/>
      <c r="D156" s="117"/>
      <c r="E156" s="117"/>
      <c r="F156" s="44"/>
      <c r="G156" s="44"/>
    </row>
    <row r="157" ht="22.5" customHeight="1">
      <c r="A157" s="118"/>
      <c r="B157" s="119"/>
      <c r="C157" s="106"/>
      <c r="D157" s="120"/>
      <c r="E157" s="120"/>
      <c r="F157" s="60"/>
      <c r="G157" s="60"/>
    </row>
    <row r="158" ht="22.5" customHeight="1">
      <c r="A158" s="114"/>
      <c r="B158" s="115"/>
      <c r="C158" s="116"/>
      <c r="D158" s="117"/>
      <c r="E158" s="117"/>
      <c r="F158" s="44"/>
      <c r="G158" s="44"/>
    </row>
    <row r="159" ht="22.5" customHeight="1">
      <c r="A159" s="118"/>
      <c r="B159" s="119"/>
      <c r="C159" s="106"/>
      <c r="D159" s="120"/>
      <c r="E159" s="120"/>
      <c r="F159" s="60"/>
      <c r="G159" s="60"/>
    </row>
    <row r="160" ht="22.5" customHeight="1">
      <c r="A160" s="114"/>
      <c r="B160" s="115"/>
      <c r="C160" s="116"/>
      <c r="D160" s="117"/>
      <c r="E160" s="117"/>
      <c r="F160" s="44"/>
      <c r="G160" s="44"/>
    </row>
    <row r="161" ht="22.5" customHeight="1">
      <c r="A161" s="118"/>
      <c r="B161" s="119"/>
      <c r="C161" s="106"/>
      <c r="D161" s="120"/>
      <c r="E161" s="120"/>
      <c r="F161" s="60"/>
      <c r="G161" s="60"/>
    </row>
    <row r="162" ht="22.5" customHeight="1">
      <c r="A162" s="114"/>
      <c r="B162" s="115"/>
      <c r="C162" s="116"/>
      <c r="D162" s="117"/>
      <c r="E162" s="117"/>
      <c r="F162" s="44"/>
      <c r="G162" s="44"/>
    </row>
    <row r="163" ht="22.5" customHeight="1">
      <c r="A163" s="118"/>
      <c r="B163" s="119"/>
      <c r="C163" s="106"/>
      <c r="D163" s="120"/>
      <c r="E163" s="120"/>
      <c r="F163" s="60"/>
      <c r="G163" s="60"/>
    </row>
    <row r="164" ht="22.5" customHeight="1">
      <c r="A164" s="114"/>
      <c r="B164" s="115"/>
      <c r="C164" s="116"/>
      <c r="D164" s="117"/>
      <c r="E164" s="117"/>
      <c r="F164" s="44"/>
      <c r="G164" s="44"/>
    </row>
    <row r="165" ht="22.5" customHeight="1">
      <c r="A165" s="118"/>
      <c r="B165" s="119"/>
      <c r="C165" s="106"/>
      <c r="D165" s="120"/>
      <c r="E165" s="120"/>
      <c r="F165" s="60"/>
      <c r="G165" s="60"/>
    </row>
    <row r="166" ht="22.5" customHeight="1">
      <c r="A166" s="114"/>
      <c r="B166" s="115"/>
      <c r="C166" s="116"/>
      <c r="D166" s="117"/>
      <c r="E166" s="117"/>
      <c r="F166" s="44"/>
      <c r="G166" s="44"/>
    </row>
    <row r="167" ht="22.5" customHeight="1">
      <c r="A167" s="118"/>
      <c r="B167" s="119"/>
      <c r="C167" s="106"/>
      <c r="D167" s="120"/>
      <c r="E167" s="120"/>
      <c r="F167" s="60"/>
      <c r="G167" s="60"/>
    </row>
    <row r="168" ht="22.5" customHeight="1">
      <c r="A168" s="114"/>
      <c r="B168" s="115"/>
      <c r="C168" s="116"/>
      <c r="D168" s="117"/>
      <c r="E168" s="117"/>
      <c r="F168" s="44"/>
      <c r="G168" s="44"/>
    </row>
    <row r="169" ht="22.5" customHeight="1">
      <c r="A169" s="118"/>
      <c r="B169" s="119"/>
      <c r="C169" s="106"/>
      <c r="D169" s="120"/>
      <c r="E169" s="120"/>
      <c r="F169" s="60"/>
      <c r="G169" s="60"/>
    </row>
    <row r="170" ht="22.5" customHeight="1">
      <c r="A170" s="114"/>
      <c r="B170" s="115"/>
      <c r="C170" s="116"/>
      <c r="D170" s="117"/>
      <c r="E170" s="117"/>
      <c r="F170" s="44"/>
      <c r="G170" s="44"/>
    </row>
    <row r="171" ht="22.5" customHeight="1">
      <c r="A171" s="118"/>
      <c r="B171" s="119"/>
      <c r="C171" s="106"/>
      <c r="D171" s="120"/>
      <c r="E171" s="120"/>
      <c r="F171" s="60"/>
      <c r="G171" s="60"/>
    </row>
    <row r="172" ht="22.5" customHeight="1">
      <c r="A172" s="114"/>
      <c r="B172" s="115"/>
      <c r="C172" s="116"/>
      <c r="D172" s="117"/>
      <c r="E172" s="117"/>
      <c r="F172" s="44"/>
      <c r="G172" s="44"/>
    </row>
    <row r="173" ht="22.5" customHeight="1">
      <c r="A173" s="118"/>
      <c r="B173" s="119"/>
      <c r="C173" s="106"/>
      <c r="D173" s="120"/>
      <c r="E173" s="120"/>
      <c r="F173" s="60"/>
      <c r="G173" s="60"/>
    </row>
    <row r="174" ht="22.5" customHeight="1">
      <c r="A174" s="114"/>
      <c r="B174" s="115"/>
      <c r="C174" s="116"/>
      <c r="D174" s="117"/>
      <c r="E174" s="117"/>
      <c r="F174" s="44"/>
      <c r="G174" s="44"/>
    </row>
    <row r="175" ht="22.5" customHeight="1">
      <c r="A175" s="118"/>
      <c r="B175" s="119"/>
      <c r="C175" s="106"/>
      <c r="D175" s="120"/>
      <c r="E175" s="120"/>
      <c r="F175" s="60"/>
      <c r="G175" s="60"/>
    </row>
    <row r="176" ht="22.5" customHeight="1">
      <c r="A176" s="114"/>
      <c r="B176" s="115"/>
      <c r="C176" s="116"/>
      <c r="D176" s="117"/>
      <c r="E176" s="117"/>
      <c r="F176" s="44"/>
      <c r="G176" s="44"/>
    </row>
    <row r="177" ht="22.5" customHeight="1">
      <c r="A177" s="118"/>
      <c r="B177" s="119"/>
      <c r="C177" s="106"/>
      <c r="D177" s="120"/>
      <c r="E177" s="120"/>
      <c r="F177" s="60"/>
      <c r="G177" s="60"/>
    </row>
    <row r="178" ht="22.5" customHeight="1">
      <c r="A178" s="114"/>
      <c r="B178" s="115"/>
      <c r="C178" s="116"/>
      <c r="D178" s="117"/>
      <c r="E178" s="117"/>
      <c r="F178" s="44"/>
      <c r="G178" s="44"/>
    </row>
    <row r="179" ht="22.5" customHeight="1">
      <c r="A179" s="118"/>
      <c r="B179" s="119"/>
      <c r="C179" s="106"/>
      <c r="D179" s="120"/>
      <c r="E179" s="120"/>
      <c r="F179" s="60"/>
      <c r="G179" s="60"/>
    </row>
    <row r="180" ht="22.5" customHeight="1">
      <c r="A180" s="114"/>
      <c r="B180" s="115"/>
      <c r="C180" s="116"/>
      <c r="D180" s="117"/>
      <c r="E180" s="117"/>
      <c r="F180" s="44"/>
      <c r="G180" s="44"/>
    </row>
    <row r="181" ht="22.5" customHeight="1">
      <c r="A181" s="118"/>
      <c r="B181" s="119"/>
      <c r="C181" s="106"/>
      <c r="D181" s="120"/>
      <c r="E181" s="120"/>
      <c r="F181" s="60"/>
      <c r="G181" s="60"/>
    </row>
    <row r="182" ht="22.5" customHeight="1">
      <c r="A182" s="114"/>
      <c r="B182" s="42"/>
      <c r="C182" s="116"/>
      <c r="D182" s="117"/>
      <c r="E182" s="117"/>
      <c r="F182" s="44"/>
      <c r="G182" s="44"/>
    </row>
    <row r="183" ht="22.5" customHeight="1">
      <c r="A183" s="118"/>
      <c r="B183" s="119"/>
      <c r="C183" s="106"/>
      <c r="D183" s="120"/>
      <c r="E183" s="120"/>
      <c r="F183" s="60"/>
      <c r="G183" s="60"/>
    </row>
    <row r="184" ht="22.5" customHeight="1">
      <c r="A184" s="114"/>
      <c r="B184" s="115"/>
      <c r="C184" s="116"/>
      <c r="D184" s="117"/>
      <c r="E184" s="117"/>
      <c r="F184" s="44"/>
      <c r="G184" s="44"/>
    </row>
    <row r="185" ht="22.5" customHeight="1">
      <c r="A185" s="118"/>
      <c r="B185" s="119"/>
      <c r="C185" s="106"/>
      <c r="D185" s="120"/>
      <c r="E185" s="120"/>
      <c r="F185" s="60"/>
      <c r="G185" s="60"/>
    </row>
    <row r="186" ht="22.5" customHeight="1">
      <c r="A186" s="114"/>
      <c r="B186" s="115"/>
      <c r="C186" s="116"/>
      <c r="D186" s="117"/>
      <c r="E186" s="117"/>
      <c r="F186" s="44"/>
      <c r="G186" s="44"/>
    </row>
    <row r="187" ht="22.5" customHeight="1">
      <c r="A187" s="118"/>
      <c r="B187" s="119"/>
      <c r="C187" s="106"/>
      <c r="D187" s="120"/>
      <c r="E187" s="120"/>
      <c r="F187" s="60"/>
      <c r="G187" s="60"/>
    </row>
    <row r="188" ht="22.5" customHeight="1">
      <c r="A188" s="114"/>
      <c r="B188" s="115"/>
      <c r="C188" s="116"/>
      <c r="D188" s="117"/>
      <c r="E188" s="117"/>
      <c r="F188" s="44"/>
      <c r="G188" s="44"/>
    </row>
    <row r="189" ht="22.5" customHeight="1">
      <c r="A189" s="118"/>
      <c r="B189" s="119"/>
      <c r="C189" s="106"/>
      <c r="D189" s="120"/>
      <c r="E189" s="120"/>
      <c r="F189" s="60"/>
      <c r="G189" s="60"/>
    </row>
    <row r="190" ht="22.5" customHeight="1">
      <c r="A190" s="114"/>
      <c r="B190" s="115"/>
      <c r="C190" s="116"/>
      <c r="D190" s="117"/>
      <c r="E190" s="117"/>
      <c r="F190" s="44"/>
      <c r="G190" s="44"/>
    </row>
    <row r="191" ht="22.5" customHeight="1">
      <c r="A191" s="118"/>
      <c r="B191" s="119"/>
      <c r="C191" s="106"/>
      <c r="D191" s="120"/>
      <c r="E191" s="120"/>
      <c r="F191" s="60"/>
      <c r="G191" s="60"/>
    </row>
    <row r="192" ht="22.5" customHeight="1">
      <c r="A192" s="114"/>
      <c r="B192" s="115"/>
      <c r="C192" s="116"/>
      <c r="D192" s="117"/>
      <c r="E192" s="117"/>
      <c r="F192" s="44"/>
      <c r="G192" s="44"/>
    </row>
    <row r="193" ht="22.5" customHeight="1">
      <c r="A193" s="118"/>
      <c r="B193" s="119"/>
      <c r="C193" s="106"/>
      <c r="D193" s="120"/>
      <c r="E193" s="120"/>
      <c r="F193" s="60"/>
      <c r="G193" s="60"/>
    </row>
    <row r="194" ht="22.5" customHeight="1">
      <c r="A194" s="114"/>
      <c r="B194" s="115"/>
      <c r="C194" s="116"/>
      <c r="D194" s="117"/>
      <c r="E194" s="117"/>
      <c r="F194" s="44"/>
      <c r="G194" s="44"/>
    </row>
    <row r="195" ht="22.5" customHeight="1">
      <c r="A195" s="118"/>
      <c r="B195" s="119"/>
      <c r="C195" s="106"/>
      <c r="D195" s="120"/>
      <c r="E195" s="120"/>
      <c r="F195" s="60"/>
      <c r="G195" s="60"/>
    </row>
    <row r="196" ht="22.5" customHeight="1">
      <c r="A196" s="114"/>
      <c r="B196" s="115"/>
      <c r="C196" s="116"/>
      <c r="D196" s="117"/>
      <c r="E196" s="117"/>
      <c r="F196" s="44"/>
      <c r="G196" s="44"/>
    </row>
    <row r="197" ht="22.5" customHeight="1">
      <c r="A197" s="118"/>
      <c r="B197" s="119"/>
      <c r="C197" s="106"/>
      <c r="D197" s="120"/>
      <c r="E197" s="120"/>
      <c r="F197" s="60"/>
      <c r="G197" s="60"/>
    </row>
    <row r="198" ht="22.5" customHeight="1">
      <c r="A198" s="114"/>
      <c r="B198" s="115"/>
      <c r="C198" s="116"/>
      <c r="D198" s="117"/>
      <c r="E198" s="117"/>
      <c r="F198" s="44"/>
      <c r="G198" s="44"/>
    </row>
    <row r="199" ht="22.5" customHeight="1">
      <c r="A199" s="118"/>
      <c r="B199" s="119"/>
      <c r="C199" s="106"/>
      <c r="D199" s="120"/>
      <c r="E199" s="120"/>
      <c r="F199" s="60"/>
      <c r="G199" s="60"/>
    </row>
    <row r="200" ht="22.5" customHeight="1">
      <c r="A200" s="114"/>
      <c r="B200" s="115"/>
      <c r="C200" s="116"/>
      <c r="D200" s="117"/>
      <c r="E200" s="117"/>
      <c r="F200" s="44"/>
      <c r="G200" s="44"/>
    </row>
    <row r="201" ht="22.5" customHeight="1">
      <c r="A201" s="118"/>
      <c r="B201" s="119"/>
      <c r="C201" s="106"/>
      <c r="D201" s="120"/>
      <c r="E201" s="120"/>
      <c r="F201" s="60"/>
      <c r="G201" s="60"/>
    </row>
    <row r="202" ht="22.5" customHeight="1">
      <c r="A202" s="114"/>
      <c r="B202" s="115"/>
      <c r="C202" s="116"/>
      <c r="D202" s="117"/>
      <c r="E202" s="117"/>
      <c r="F202" s="44"/>
      <c r="G202" s="44"/>
    </row>
    <row r="203" ht="22.5" customHeight="1">
      <c r="A203" s="118"/>
      <c r="B203" s="119"/>
      <c r="C203" s="106"/>
      <c r="D203" s="120"/>
      <c r="E203" s="120"/>
      <c r="F203" s="60"/>
      <c r="G203" s="60"/>
    </row>
    <row r="204" ht="22.5" customHeight="1">
      <c r="A204" s="114"/>
      <c r="B204" s="115"/>
      <c r="C204" s="116"/>
      <c r="D204" s="117"/>
      <c r="E204" s="117"/>
      <c r="F204" s="44"/>
      <c r="G204" s="44"/>
    </row>
    <row r="205" ht="22.5" customHeight="1">
      <c r="A205" s="118"/>
      <c r="B205" s="119"/>
      <c r="C205" s="106"/>
      <c r="D205" s="120"/>
      <c r="E205" s="120"/>
      <c r="F205" s="60"/>
      <c r="G205" s="60"/>
    </row>
    <row r="206" ht="22.5" customHeight="1">
      <c r="A206" s="114"/>
      <c r="B206" s="115"/>
      <c r="C206" s="116"/>
      <c r="D206" s="117"/>
      <c r="E206" s="117"/>
      <c r="F206" s="44"/>
      <c r="G206" s="44"/>
    </row>
    <row r="207" ht="22.5" customHeight="1">
      <c r="A207" s="118"/>
      <c r="B207" s="91"/>
      <c r="C207" s="106"/>
      <c r="D207" s="120"/>
      <c r="E207" s="120"/>
      <c r="F207" s="60"/>
      <c r="G207" s="60"/>
    </row>
    <row r="208" ht="22.5" customHeight="1">
      <c r="A208" s="114"/>
      <c r="B208" s="115"/>
      <c r="C208" s="116"/>
      <c r="D208" s="117"/>
      <c r="E208" s="117"/>
      <c r="F208" s="44"/>
      <c r="G208" s="44"/>
    </row>
    <row r="209" ht="22.5" customHeight="1">
      <c r="A209" s="118"/>
      <c r="B209" s="91"/>
      <c r="C209" s="106"/>
      <c r="D209" s="120"/>
      <c r="E209" s="120"/>
      <c r="F209" s="60"/>
      <c r="G209" s="60"/>
    </row>
    <row r="210" ht="22.5" customHeight="1">
      <c r="A210" s="114"/>
      <c r="B210" s="115"/>
      <c r="C210" s="116"/>
      <c r="D210" s="117"/>
      <c r="E210" s="117"/>
      <c r="F210" s="44"/>
      <c r="G210" s="44"/>
    </row>
    <row r="211" ht="22.5" customHeight="1">
      <c r="A211" s="118"/>
      <c r="B211" s="91"/>
      <c r="C211" s="106"/>
      <c r="D211" s="120"/>
      <c r="E211" s="120"/>
      <c r="F211" s="60"/>
      <c r="G211" s="60"/>
    </row>
    <row r="212" ht="22.5" customHeight="1">
      <c r="A212" s="114"/>
      <c r="B212" s="115"/>
      <c r="C212" s="116"/>
      <c r="D212" s="117"/>
      <c r="E212" s="117"/>
      <c r="F212" s="44"/>
      <c r="G212" s="44"/>
    </row>
    <row r="213" ht="22.5" customHeight="1">
      <c r="A213" s="118"/>
      <c r="B213" s="119"/>
      <c r="C213" s="106"/>
      <c r="D213" s="120"/>
      <c r="E213" s="120"/>
      <c r="F213" s="60"/>
      <c r="G213" s="60"/>
    </row>
    <row r="214" ht="22.5" customHeight="1">
      <c r="A214" s="114"/>
      <c r="B214" s="115"/>
      <c r="C214" s="116"/>
      <c r="D214" s="117"/>
      <c r="E214" s="117"/>
      <c r="F214" s="44"/>
      <c r="G214" s="44"/>
    </row>
    <row r="215" ht="22.5" customHeight="1">
      <c r="A215" s="118"/>
      <c r="B215" s="119"/>
      <c r="C215" s="106"/>
      <c r="D215" s="120"/>
      <c r="E215" s="120"/>
      <c r="F215" s="60"/>
      <c r="G215" s="60"/>
    </row>
    <row r="216" ht="22.5" customHeight="1">
      <c r="A216" s="114"/>
      <c r="B216" s="115"/>
      <c r="C216" s="116"/>
      <c r="D216" s="117"/>
      <c r="E216" s="117"/>
      <c r="F216" s="44"/>
      <c r="G216" s="44"/>
    </row>
    <row r="217" ht="22.5" customHeight="1">
      <c r="A217" s="118"/>
      <c r="B217" s="119"/>
      <c r="C217" s="106"/>
      <c r="D217" s="120"/>
      <c r="E217" s="120"/>
      <c r="F217" s="60"/>
      <c r="G217" s="60"/>
    </row>
    <row r="218" ht="22.5" customHeight="1">
      <c r="A218" s="114"/>
      <c r="B218" s="115"/>
      <c r="C218" s="116"/>
      <c r="D218" s="117"/>
      <c r="E218" s="117"/>
      <c r="F218" s="44"/>
      <c r="G218" s="44"/>
    </row>
    <row r="219" ht="22.5" customHeight="1">
      <c r="A219" s="118"/>
      <c r="B219" s="119"/>
      <c r="C219" s="106"/>
      <c r="D219" s="120"/>
      <c r="E219" s="120"/>
      <c r="F219" s="60"/>
      <c r="G219" s="60"/>
    </row>
    <row r="220" ht="22.5" customHeight="1">
      <c r="A220" s="114"/>
      <c r="B220" s="115"/>
      <c r="C220" s="116"/>
      <c r="D220" s="117"/>
      <c r="E220" s="117"/>
      <c r="F220" s="44"/>
      <c r="G220" s="44"/>
    </row>
    <row r="221" ht="22.5" customHeight="1">
      <c r="A221" s="118"/>
      <c r="B221" s="119"/>
      <c r="C221" s="106"/>
      <c r="D221" s="120"/>
      <c r="E221" s="120"/>
      <c r="F221" s="60"/>
      <c r="G221" s="60"/>
    </row>
    <row r="222" ht="22.5" customHeight="1">
      <c r="A222" s="114"/>
      <c r="B222" s="115"/>
      <c r="C222" s="116"/>
      <c r="D222" s="117"/>
      <c r="E222" s="117"/>
      <c r="F222" s="44"/>
      <c r="G222" s="44"/>
    </row>
    <row r="223" ht="22.5" customHeight="1">
      <c r="A223" s="118"/>
      <c r="B223" s="119"/>
      <c r="C223" s="106"/>
      <c r="D223" s="120"/>
      <c r="E223" s="120"/>
      <c r="F223" s="60"/>
      <c r="G223" s="60"/>
    </row>
    <row r="224" ht="22.5" customHeight="1">
      <c r="A224" s="114"/>
      <c r="B224" s="115"/>
      <c r="C224" s="116"/>
      <c r="D224" s="117"/>
      <c r="E224" s="117"/>
      <c r="F224" s="85"/>
      <c r="G224" s="85"/>
    </row>
    <row r="225" ht="22.5" customHeight="1">
      <c r="A225" s="118"/>
      <c r="B225" s="119"/>
      <c r="C225" s="106"/>
      <c r="D225" s="120"/>
      <c r="E225" s="120"/>
      <c r="F225" s="60"/>
      <c r="G225" s="60">
        <f t="shared" ref="G225:G314" si="2">D225-E225</f>
        <v>0</v>
      </c>
    </row>
    <row r="226" ht="22.5" customHeight="1">
      <c r="A226" s="114"/>
      <c r="B226" s="115"/>
      <c r="C226" s="116"/>
      <c r="D226" s="117"/>
      <c r="E226" s="117"/>
      <c r="F226" s="44"/>
      <c r="G226" s="44">
        <f t="shared" si="2"/>
        <v>0</v>
      </c>
    </row>
    <row r="227" ht="22.5" customHeight="1">
      <c r="A227" s="118"/>
      <c r="B227" s="119"/>
      <c r="C227" s="106"/>
      <c r="D227" s="120"/>
      <c r="E227" s="120"/>
      <c r="F227" s="60"/>
      <c r="G227" s="60">
        <f t="shared" si="2"/>
        <v>0</v>
      </c>
    </row>
    <row r="228" ht="22.5" customHeight="1">
      <c r="A228" s="114"/>
      <c r="B228" s="115"/>
      <c r="C228" s="116"/>
      <c r="D228" s="117"/>
      <c r="E228" s="117"/>
      <c r="F228" s="44"/>
      <c r="G228" s="44">
        <f t="shared" si="2"/>
        <v>0</v>
      </c>
    </row>
    <row r="229" ht="22.5" customHeight="1">
      <c r="A229" s="118"/>
      <c r="B229" s="119"/>
      <c r="C229" s="106"/>
      <c r="D229" s="120"/>
      <c r="E229" s="120"/>
      <c r="F229" s="60"/>
      <c r="G229" s="60">
        <f t="shared" si="2"/>
        <v>0</v>
      </c>
    </row>
    <row r="230" ht="22.5" customHeight="1">
      <c r="A230" s="114"/>
      <c r="B230" s="115"/>
      <c r="C230" s="116"/>
      <c r="D230" s="117"/>
      <c r="E230" s="117"/>
      <c r="F230" s="44"/>
      <c r="G230" s="44">
        <f t="shared" si="2"/>
        <v>0</v>
      </c>
    </row>
    <row r="231" ht="22.5" customHeight="1">
      <c r="A231" s="118"/>
      <c r="B231" s="119"/>
      <c r="C231" s="106"/>
      <c r="D231" s="120"/>
      <c r="E231" s="120"/>
      <c r="F231" s="60"/>
      <c r="G231" s="60">
        <f t="shared" si="2"/>
        <v>0</v>
      </c>
    </row>
    <row r="232" ht="22.5" customHeight="1">
      <c r="A232" s="114"/>
      <c r="B232" s="115"/>
      <c r="C232" s="116"/>
      <c r="D232" s="117"/>
      <c r="E232" s="117"/>
      <c r="F232" s="44"/>
      <c r="G232" s="44">
        <f t="shared" si="2"/>
        <v>0</v>
      </c>
    </row>
    <row r="233" ht="22.5" customHeight="1">
      <c r="A233" s="118"/>
      <c r="B233" s="119"/>
      <c r="C233" s="106"/>
      <c r="D233" s="120"/>
      <c r="E233" s="120"/>
      <c r="F233" s="60"/>
      <c r="G233" s="60">
        <f t="shared" si="2"/>
        <v>0</v>
      </c>
    </row>
    <row r="234" ht="22.5" customHeight="1">
      <c r="A234" s="114"/>
      <c r="B234" s="115"/>
      <c r="C234" s="116"/>
      <c r="D234" s="117"/>
      <c r="E234" s="117"/>
      <c r="F234" s="44"/>
      <c r="G234" s="44">
        <f t="shared" si="2"/>
        <v>0</v>
      </c>
    </row>
    <row r="235" ht="22.5" customHeight="1">
      <c r="A235" s="118"/>
      <c r="B235" s="119"/>
      <c r="C235" s="106"/>
      <c r="D235" s="120"/>
      <c r="E235" s="120"/>
      <c r="F235" s="60"/>
      <c r="G235" s="60">
        <f t="shared" si="2"/>
        <v>0</v>
      </c>
    </row>
    <row r="236" ht="22.5" customHeight="1">
      <c r="A236" s="114"/>
      <c r="B236" s="115"/>
      <c r="C236" s="116"/>
      <c r="D236" s="117"/>
      <c r="E236" s="117"/>
      <c r="F236" s="44"/>
      <c r="G236" s="44">
        <f t="shared" si="2"/>
        <v>0</v>
      </c>
    </row>
    <row r="237" ht="22.5" customHeight="1">
      <c r="A237" s="118"/>
      <c r="B237" s="119"/>
      <c r="C237" s="106"/>
      <c r="D237" s="120"/>
      <c r="E237" s="120"/>
      <c r="F237" s="60"/>
      <c r="G237" s="60">
        <f t="shared" si="2"/>
        <v>0</v>
      </c>
    </row>
    <row r="238" ht="22.5" customHeight="1">
      <c r="A238" s="114"/>
      <c r="B238" s="115"/>
      <c r="C238" s="116"/>
      <c r="D238" s="117"/>
      <c r="E238" s="117"/>
      <c r="F238" s="44"/>
      <c r="G238" s="44">
        <f t="shared" si="2"/>
        <v>0</v>
      </c>
    </row>
    <row r="239" ht="22.5" customHeight="1">
      <c r="A239" s="118"/>
      <c r="B239" s="119"/>
      <c r="C239" s="106"/>
      <c r="D239" s="120"/>
      <c r="E239" s="120"/>
      <c r="F239" s="60"/>
      <c r="G239" s="60">
        <f t="shared" si="2"/>
        <v>0</v>
      </c>
    </row>
    <row r="240" ht="22.5" customHeight="1">
      <c r="A240" s="114"/>
      <c r="B240" s="115"/>
      <c r="C240" s="116"/>
      <c r="D240" s="117"/>
      <c r="E240" s="117"/>
      <c r="F240" s="44"/>
      <c r="G240" s="44">
        <f t="shared" si="2"/>
        <v>0</v>
      </c>
    </row>
    <row r="241" ht="22.5" customHeight="1">
      <c r="A241" s="118"/>
      <c r="B241" s="119"/>
      <c r="C241" s="106"/>
      <c r="D241" s="120"/>
      <c r="E241" s="120"/>
      <c r="F241" s="60"/>
      <c r="G241" s="60">
        <f t="shared" si="2"/>
        <v>0</v>
      </c>
    </row>
    <row r="242" ht="22.5" customHeight="1">
      <c r="A242" s="114"/>
      <c r="B242" s="115"/>
      <c r="C242" s="116"/>
      <c r="D242" s="117"/>
      <c r="E242" s="117"/>
      <c r="F242" s="44"/>
      <c r="G242" s="44">
        <f t="shared" si="2"/>
        <v>0</v>
      </c>
    </row>
    <row r="243" ht="22.5" customHeight="1">
      <c r="A243" s="118"/>
      <c r="B243" s="119"/>
      <c r="C243" s="106"/>
      <c r="D243" s="120"/>
      <c r="E243" s="120"/>
      <c r="F243" s="60"/>
      <c r="G243" s="60">
        <f t="shared" si="2"/>
        <v>0</v>
      </c>
    </row>
    <row r="244" ht="22.5" customHeight="1">
      <c r="A244" s="114"/>
      <c r="B244" s="115"/>
      <c r="C244" s="116"/>
      <c r="D244" s="117"/>
      <c r="E244" s="117"/>
      <c r="F244" s="44"/>
      <c r="G244" s="44">
        <f t="shared" si="2"/>
        <v>0</v>
      </c>
    </row>
    <row r="245" ht="22.5" customHeight="1">
      <c r="A245" s="118"/>
      <c r="B245" s="119"/>
      <c r="C245" s="106"/>
      <c r="D245" s="120"/>
      <c r="E245" s="120"/>
      <c r="F245" s="60"/>
      <c r="G245" s="60">
        <f t="shared" si="2"/>
        <v>0</v>
      </c>
    </row>
    <row r="246" ht="22.5" customHeight="1">
      <c r="A246" s="114"/>
      <c r="B246" s="115"/>
      <c r="C246" s="116"/>
      <c r="D246" s="117"/>
      <c r="E246" s="117"/>
      <c r="F246" s="44"/>
      <c r="G246" s="44">
        <f t="shared" si="2"/>
        <v>0</v>
      </c>
    </row>
    <row r="247" ht="22.5" customHeight="1">
      <c r="A247" s="118"/>
      <c r="B247" s="119"/>
      <c r="C247" s="106"/>
      <c r="D247" s="120"/>
      <c r="E247" s="120"/>
      <c r="F247" s="60"/>
      <c r="G247" s="60">
        <f t="shared" si="2"/>
        <v>0</v>
      </c>
    </row>
    <row r="248" ht="22.5" customHeight="1">
      <c r="A248" s="114"/>
      <c r="B248" s="115"/>
      <c r="C248" s="116"/>
      <c r="D248" s="117"/>
      <c r="E248" s="117"/>
      <c r="F248" s="44"/>
      <c r="G248" s="44">
        <f t="shared" si="2"/>
        <v>0</v>
      </c>
    </row>
    <row r="249" ht="22.5" customHeight="1">
      <c r="A249" s="112"/>
      <c r="B249" s="113"/>
      <c r="C249" s="32"/>
      <c r="D249" s="32"/>
      <c r="E249" s="32"/>
      <c r="F249" s="32"/>
      <c r="G249" s="32">
        <f t="shared" si="2"/>
        <v>0</v>
      </c>
    </row>
    <row r="250" ht="22.5" customHeight="1">
      <c r="A250" s="112"/>
      <c r="B250" s="113"/>
      <c r="C250" s="32"/>
      <c r="D250" s="32"/>
      <c r="E250" s="32"/>
      <c r="F250" s="32"/>
      <c r="G250" s="32">
        <f t="shared" si="2"/>
        <v>0</v>
      </c>
    </row>
    <row r="251" ht="22.5" customHeight="1">
      <c r="A251" s="112"/>
      <c r="B251" s="113"/>
      <c r="C251" s="32"/>
      <c r="D251" s="32"/>
      <c r="E251" s="32"/>
      <c r="F251" s="32"/>
      <c r="G251" s="32">
        <f t="shared" si="2"/>
        <v>0</v>
      </c>
    </row>
    <row r="252" ht="22.5" customHeight="1">
      <c r="A252" s="112"/>
      <c r="B252" s="113"/>
      <c r="C252" s="32"/>
      <c r="D252" s="32"/>
      <c r="E252" s="32"/>
      <c r="F252" s="32"/>
      <c r="G252" s="32">
        <f t="shared" si="2"/>
        <v>0</v>
      </c>
    </row>
    <row r="253" ht="22.5" customHeight="1">
      <c r="A253" s="112"/>
      <c r="B253" s="113"/>
      <c r="C253" s="32"/>
      <c r="D253" s="32"/>
      <c r="E253" s="32"/>
      <c r="F253" s="32"/>
      <c r="G253" s="32">
        <f t="shared" si="2"/>
        <v>0</v>
      </c>
    </row>
    <row r="254" ht="22.5" customHeight="1">
      <c r="A254" s="112"/>
      <c r="B254" s="113"/>
      <c r="C254" s="32"/>
      <c r="D254" s="32"/>
      <c r="E254" s="32"/>
      <c r="F254" s="32"/>
      <c r="G254" s="32">
        <f t="shared" si="2"/>
        <v>0</v>
      </c>
    </row>
    <row r="255" ht="22.5" customHeight="1">
      <c r="A255" s="112"/>
      <c r="B255" s="113"/>
      <c r="C255" s="32"/>
      <c r="D255" s="32"/>
      <c r="E255" s="32"/>
      <c r="F255" s="32"/>
      <c r="G255" s="32">
        <f t="shared" si="2"/>
        <v>0</v>
      </c>
    </row>
    <row r="256" ht="22.5" customHeight="1">
      <c r="A256" s="112"/>
      <c r="B256" s="113"/>
      <c r="C256" s="32"/>
      <c r="D256" s="32"/>
      <c r="E256" s="32"/>
      <c r="F256" s="32"/>
      <c r="G256" s="32">
        <f t="shared" si="2"/>
        <v>0</v>
      </c>
    </row>
    <row r="257" ht="22.5" customHeight="1">
      <c r="A257" s="112"/>
      <c r="B257" s="113"/>
      <c r="C257" s="32"/>
      <c r="D257" s="32"/>
      <c r="E257" s="32"/>
      <c r="F257" s="32"/>
      <c r="G257" s="32">
        <f t="shared" si="2"/>
        <v>0</v>
      </c>
    </row>
    <row r="258" ht="22.5" customHeight="1">
      <c r="A258" s="112"/>
      <c r="B258" s="113"/>
      <c r="C258" s="32"/>
      <c r="D258" s="32"/>
      <c r="E258" s="32"/>
      <c r="F258" s="32"/>
      <c r="G258" s="32">
        <f t="shared" si="2"/>
        <v>0</v>
      </c>
    </row>
    <row r="259" ht="22.5" customHeight="1">
      <c r="A259" s="112"/>
      <c r="B259" s="113"/>
      <c r="C259" s="32"/>
      <c r="D259" s="32"/>
      <c r="E259" s="32"/>
      <c r="F259" s="32"/>
      <c r="G259" s="32">
        <f t="shared" si="2"/>
        <v>0</v>
      </c>
    </row>
    <row r="260" ht="22.5" customHeight="1">
      <c r="A260" s="112"/>
      <c r="B260" s="113"/>
      <c r="C260" s="32"/>
      <c r="D260" s="32"/>
      <c r="E260" s="32"/>
      <c r="F260" s="32"/>
      <c r="G260" s="32">
        <f t="shared" si="2"/>
        <v>0</v>
      </c>
    </row>
    <row r="261" ht="22.5" customHeight="1">
      <c r="A261" s="112"/>
      <c r="B261" s="113"/>
      <c r="C261" s="32"/>
      <c r="D261" s="32"/>
      <c r="E261" s="32"/>
      <c r="F261" s="32"/>
      <c r="G261" s="32">
        <f t="shared" si="2"/>
        <v>0</v>
      </c>
    </row>
    <row r="262" ht="22.5" customHeight="1">
      <c r="A262" s="112"/>
      <c r="B262" s="113"/>
      <c r="C262" s="32"/>
      <c r="D262" s="32"/>
      <c r="E262" s="32"/>
      <c r="F262" s="32"/>
      <c r="G262" s="32">
        <f t="shared" si="2"/>
        <v>0</v>
      </c>
    </row>
    <row r="263" ht="22.5" customHeight="1">
      <c r="A263" s="112"/>
      <c r="B263" s="113"/>
      <c r="C263" s="32"/>
      <c r="D263" s="32"/>
      <c r="E263" s="32"/>
      <c r="F263" s="32"/>
      <c r="G263" s="32">
        <f t="shared" si="2"/>
        <v>0</v>
      </c>
    </row>
    <row r="264" ht="22.5" customHeight="1">
      <c r="A264" s="112"/>
      <c r="B264" s="113"/>
      <c r="C264" s="32"/>
      <c r="D264" s="32"/>
      <c r="E264" s="32"/>
      <c r="F264" s="32"/>
      <c r="G264" s="32">
        <f t="shared" si="2"/>
        <v>0</v>
      </c>
    </row>
    <row r="265" ht="22.5" customHeight="1">
      <c r="A265" s="112"/>
      <c r="B265" s="113"/>
      <c r="C265" s="32"/>
      <c r="D265" s="32"/>
      <c r="E265" s="32"/>
      <c r="F265" s="32"/>
      <c r="G265" s="32">
        <f t="shared" si="2"/>
        <v>0</v>
      </c>
    </row>
    <row r="266" ht="22.5" customHeight="1">
      <c r="A266" s="112"/>
      <c r="B266" s="113"/>
      <c r="C266" s="32"/>
      <c r="D266" s="32"/>
      <c r="E266" s="32"/>
      <c r="F266" s="32"/>
      <c r="G266" s="32">
        <f t="shared" si="2"/>
        <v>0</v>
      </c>
    </row>
    <row r="267" ht="22.5" customHeight="1">
      <c r="A267" s="112"/>
      <c r="B267" s="113"/>
      <c r="C267" s="32"/>
      <c r="D267" s="32"/>
      <c r="E267" s="32"/>
      <c r="F267" s="32"/>
      <c r="G267" s="32">
        <f t="shared" si="2"/>
        <v>0</v>
      </c>
    </row>
    <row r="268" ht="22.5" customHeight="1">
      <c r="A268" s="112"/>
      <c r="B268" s="113"/>
      <c r="C268" s="32"/>
      <c r="D268" s="32"/>
      <c r="E268" s="32"/>
      <c r="F268" s="32"/>
      <c r="G268" s="32">
        <f t="shared" si="2"/>
        <v>0</v>
      </c>
    </row>
    <row r="269" ht="22.5" customHeight="1">
      <c r="A269" s="112"/>
      <c r="B269" s="113"/>
      <c r="C269" s="32"/>
      <c r="D269" s="32"/>
      <c r="E269" s="32"/>
      <c r="F269" s="32"/>
      <c r="G269" s="32">
        <f t="shared" si="2"/>
        <v>0</v>
      </c>
    </row>
    <row r="270" ht="22.5" customHeight="1">
      <c r="A270" s="112"/>
      <c r="B270" s="113"/>
      <c r="C270" s="32"/>
      <c r="D270" s="32"/>
      <c r="E270" s="32"/>
      <c r="F270" s="32"/>
      <c r="G270" s="32">
        <f t="shared" si="2"/>
        <v>0</v>
      </c>
    </row>
    <row r="271" ht="22.5" customHeight="1">
      <c r="A271" s="112"/>
      <c r="B271" s="113"/>
      <c r="C271" s="32"/>
      <c r="D271" s="32"/>
      <c r="E271" s="32"/>
      <c r="F271" s="32"/>
      <c r="G271" s="32">
        <f t="shared" si="2"/>
        <v>0</v>
      </c>
    </row>
    <row r="272" ht="22.5" customHeight="1">
      <c r="A272" s="112"/>
      <c r="B272" s="113"/>
      <c r="C272" s="32"/>
      <c r="D272" s="32"/>
      <c r="E272" s="32"/>
      <c r="F272" s="32"/>
      <c r="G272" s="32">
        <f t="shared" si="2"/>
        <v>0</v>
      </c>
    </row>
    <row r="273" ht="22.5" customHeight="1">
      <c r="A273" s="112"/>
      <c r="B273" s="113"/>
      <c r="C273" s="32"/>
      <c r="D273" s="32"/>
      <c r="E273" s="32"/>
      <c r="F273" s="32"/>
      <c r="G273" s="32">
        <f t="shared" si="2"/>
        <v>0</v>
      </c>
    </row>
    <row r="274" ht="22.5" customHeight="1">
      <c r="A274" s="112"/>
      <c r="B274" s="113"/>
      <c r="C274" s="32"/>
      <c r="D274" s="32"/>
      <c r="E274" s="32"/>
      <c r="F274" s="32"/>
      <c r="G274" s="32">
        <f t="shared" si="2"/>
        <v>0</v>
      </c>
    </row>
    <row r="275" ht="22.5" customHeight="1">
      <c r="A275" s="112"/>
      <c r="B275" s="113"/>
      <c r="C275" s="32"/>
      <c r="D275" s="32"/>
      <c r="E275" s="32"/>
      <c r="F275" s="32"/>
      <c r="G275" s="32">
        <f t="shared" si="2"/>
        <v>0</v>
      </c>
    </row>
    <row r="276" ht="22.5" customHeight="1">
      <c r="A276" s="112"/>
      <c r="B276" s="113"/>
      <c r="C276" s="32"/>
      <c r="D276" s="32"/>
      <c r="E276" s="32"/>
      <c r="F276" s="32"/>
      <c r="G276" s="32">
        <f t="shared" si="2"/>
        <v>0</v>
      </c>
    </row>
    <row r="277" ht="22.5" customHeight="1">
      <c r="A277" s="112"/>
      <c r="B277" s="113"/>
      <c r="C277" s="32"/>
      <c r="D277" s="32"/>
      <c r="E277" s="32"/>
      <c r="F277" s="32"/>
      <c r="G277" s="32">
        <f t="shared" si="2"/>
        <v>0</v>
      </c>
    </row>
    <row r="278" ht="22.5" customHeight="1">
      <c r="A278" s="112"/>
      <c r="B278" s="113"/>
      <c r="C278" s="32"/>
      <c r="D278" s="32"/>
      <c r="E278" s="32"/>
      <c r="F278" s="32"/>
      <c r="G278" s="32">
        <f t="shared" si="2"/>
        <v>0</v>
      </c>
    </row>
    <row r="279" ht="22.5" customHeight="1">
      <c r="A279" s="112"/>
      <c r="B279" s="113"/>
      <c r="C279" s="32"/>
      <c r="D279" s="32"/>
      <c r="E279" s="32"/>
      <c r="F279" s="32"/>
      <c r="G279" s="32">
        <f t="shared" si="2"/>
        <v>0</v>
      </c>
    </row>
    <row r="280" ht="22.5" customHeight="1">
      <c r="A280" s="112"/>
      <c r="B280" s="113"/>
      <c r="C280" s="32"/>
      <c r="D280" s="32"/>
      <c r="E280" s="32"/>
      <c r="F280" s="32"/>
      <c r="G280" s="32">
        <f t="shared" si="2"/>
        <v>0</v>
      </c>
    </row>
    <row r="281" ht="22.5" customHeight="1">
      <c r="A281" s="112"/>
      <c r="B281" s="113"/>
      <c r="C281" s="32"/>
      <c r="D281" s="32"/>
      <c r="E281" s="32"/>
      <c r="F281" s="32"/>
      <c r="G281" s="32">
        <f t="shared" si="2"/>
        <v>0</v>
      </c>
    </row>
    <row r="282" ht="22.5" customHeight="1">
      <c r="A282" s="112"/>
      <c r="B282" s="113"/>
      <c r="C282" s="32"/>
      <c r="D282" s="32"/>
      <c r="E282" s="32"/>
      <c r="F282" s="32"/>
      <c r="G282" s="32">
        <f t="shared" si="2"/>
        <v>0</v>
      </c>
    </row>
    <row r="283" ht="22.5" customHeight="1">
      <c r="A283" s="112"/>
      <c r="B283" s="113"/>
      <c r="C283" s="32"/>
      <c r="D283" s="32"/>
      <c r="E283" s="32"/>
      <c r="F283" s="32"/>
      <c r="G283" s="32">
        <f t="shared" si="2"/>
        <v>0</v>
      </c>
    </row>
    <row r="284" ht="22.5" customHeight="1">
      <c r="A284" s="112"/>
      <c r="B284" s="113"/>
      <c r="C284" s="32"/>
      <c r="D284" s="32"/>
      <c r="E284" s="32"/>
      <c r="F284" s="32"/>
      <c r="G284" s="32">
        <f t="shared" si="2"/>
        <v>0</v>
      </c>
    </row>
    <row r="285" ht="22.5" customHeight="1">
      <c r="A285" s="112"/>
      <c r="B285" s="113"/>
      <c r="C285" s="32"/>
      <c r="D285" s="32"/>
      <c r="E285" s="32"/>
      <c r="F285" s="32"/>
      <c r="G285" s="32">
        <f t="shared" si="2"/>
        <v>0</v>
      </c>
    </row>
    <row r="286" ht="22.5" customHeight="1">
      <c r="A286" s="112"/>
      <c r="B286" s="113"/>
      <c r="C286" s="32"/>
      <c r="D286" s="32"/>
      <c r="E286" s="32"/>
      <c r="F286" s="32"/>
      <c r="G286" s="32">
        <f t="shared" si="2"/>
        <v>0</v>
      </c>
    </row>
    <row r="287" ht="22.5" customHeight="1">
      <c r="A287" s="112"/>
      <c r="B287" s="113"/>
      <c r="C287" s="32"/>
      <c r="D287" s="32"/>
      <c r="E287" s="32"/>
      <c r="F287" s="32"/>
      <c r="G287" s="32">
        <f t="shared" si="2"/>
        <v>0</v>
      </c>
    </row>
    <row r="288" ht="22.5" customHeight="1">
      <c r="A288" s="112"/>
      <c r="B288" s="113"/>
      <c r="C288" s="32"/>
      <c r="D288" s="32"/>
      <c r="E288" s="32"/>
      <c r="F288" s="32"/>
      <c r="G288" s="32">
        <f t="shared" si="2"/>
        <v>0</v>
      </c>
    </row>
    <row r="289" ht="22.5" customHeight="1">
      <c r="A289" s="112"/>
      <c r="B289" s="113"/>
      <c r="C289" s="32"/>
      <c r="D289" s="32"/>
      <c r="E289" s="32"/>
      <c r="F289" s="32"/>
      <c r="G289" s="32">
        <f t="shared" si="2"/>
        <v>0</v>
      </c>
    </row>
    <row r="290" ht="22.5" customHeight="1">
      <c r="A290" s="112"/>
      <c r="B290" s="113"/>
      <c r="C290" s="32"/>
      <c r="D290" s="32"/>
      <c r="E290" s="32"/>
      <c r="F290" s="32"/>
      <c r="G290" s="32">
        <f t="shared" si="2"/>
        <v>0</v>
      </c>
    </row>
    <row r="291" ht="22.5" customHeight="1">
      <c r="A291" s="112"/>
      <c r="B291" s="113"/>
      <c r="C291" s="32"/>
      <c r="D291" s="32"/>
      <c r="E291" s="32"/>
      <c r="F291" s="32"/>
      <c r="G291" s="32">
        <f t="shared" si="2"/>
        <v>0</v>
      </c>
    </row>
    <row r="292" ht="22.5" customHeight="1">
      <c r="A292" s="112"/>
      <c r="B292" s="113"/>
      <c r="C292" s="32"/>
      <c r="D292" s="32"/>
      <c r="E292" s="32"/>
      <c r="F292" s="32"/>
      <c r="G292" s="32">
        <f t="shared" si="2"/>
        <v>0</v>
      </c>
    </row>
    <row r="293" ht="22.5" customHeight="1">
      <c r="A293" s="112"/>
      <c r="B293" s="113"/>
      <c r="C293" s="32"/>
      <c r="D293" s="32"/>
      <c r="E293" s="32"/>
      <c r="F293" s="32"/>
      <c r="G293" s="32">
        <f t="shared" si="2"/>
        <v>0</v>
      </c>
    </row>
    <row r="294" ht="22.5" customHeight="1">
      <c r="A294" s="112"/>
      <c r="B294" s="113"/>
      <c r="C294" s="32"/>
      <c r="D294" s="32"/>
      <c r="E294" s="32"/>
      <c r="F294" s="32"/>
      <c r="G294" s="32">
        <f t="shared" si="2"/>
        <v>0</v>
      </c>
    </row>
    <row r="295" ht="22.5" customHeight="1">
      <c r="A295" s="112"/>
      <c r="B295" s="113"/>
      <c r="C295" s="32"/>
      <c r="D295" s="32"/>
      <c r="E295" s="32"/>
      <c r="F295" s="32"/>
      <c r="G295" s="32">
        <f t="shared" si="2"/>
        <v>0</v>
      </c>
    </row>
    <row r="296" ht="22.5" customHeight="1">
      <c r="A296" s="112"/>
      <c r="B296" s="113"/>
      <c r="C296" s="32"/>
      <c r="D296" s="32"/>
      <c r="E296" s="32"/>
      <c r="F296" s="32"/>
      <c r="G296" s="32">
        <f t="shared" si="2"/>
        <v>0</v>
      </c>
    </row>
    <row r="297" ht="22.5" customHeight="1">
      <c r="A297" s="112"/>
      <c r="B297" s="113"/>
      <c r="C297" s="32"/>
      <c r="D297" s="32"/>
      <c r="E297" s="32"/>
      <c r="F297" s="32"/>
      <c r="G297" s="32">
        <f t="shared" si="2"/>
        <v>0</v>
      </c>
    </row>
    <row r="298" ht="22.5" customHeight="1">
      <c r="A298" s="112"/>
      <c r="B298" s="113"/>
      <c r="C298" s="32"/>
      <c r="D298" s="32"/>
      <c r="E298" s="32"/>
      <c r="F298" s="32"/>
      <c r="G298" s="32">
        <f t="shared" si="2"/>
        <v>0</v>
      </c>
    </row>
    <row r="299" ht="22.5" customHeight="1">
      <c r="A299" s="112"/>
      <c r="B299" s="113"/>
      <c r="C299" s="32"/>
      <c r="D299" s="32"/>
      <c r="E299" s="32"/>
      <c r="F299" s="32"/>
      <c r="G299" s="32">
        <f t="shared" si="2"/>
        <v>0</v>
      </c>
    </row>
    <row r="300" ht="22.5" customHeight="1">
      <c r="A300" s="112"/>
      <c r="B300" s="113"/>
      <c r="C300" s="32"/>
      <c r="D300" s="32"/>
      <c r="E300" s="32"/>
      <c r="F300" s="32"/>
      <c r="G300" s="32">
        <f t="shared" si="2"/>
        <v>0</v>
      </c>
    </row>
    <row r="301" ht="22.5" customHeight="1">
      <c r="A301" s="112"/>
      <c r="B301" s="113"/>
      <c r="C301" s="32"/>
      <c r="D301" s="32"/>
      <c r="E301" s="32"/>
      <c r="F301" s="32"/>
      <c r="G301" s="32">
        <f t="shared" si="2"/>
        <v>0</v>
      </c>
    </row>
    <row r="302" ht="22.5" customHeight="1">
      <c r="A302" s="112"/>
      <c r="B302" s="113"/>
      <c r="C302" s="32"/>
      <c r="D302" s="32"/>
      <c r="E302" s="32"/>
      <c r="F302" s="32"/>
      <c r="G302" s="32">
        <f t="shared" si="2"/>
        <v>0</v>
      </c>
    </row>
    <row r="303" ht="22.5" customHeight="1">
      <c r="A303" s="112"/>
      <c r="B303" s="113"/>
      <c r="C303" s="32"/>
      <c r="D303" s="32"/>
      <c r="E303" s="32"/>
      <c r="F303" s="32"/>
      <c r="G303" s="32">
        <f t="shared" si="2"/>
        <v>0</v>
      </c>
    </row>
    <row r="304" ht="22.5" customHeight="1">
      <c r="A304" s="112"/>
      <c r="B304" s="113"/>
      <c r="C304" s="32"/>
      <c r="D304" s="32"/>
      <c r="E304" s="32"/>
      <c r="F304" s="32"/>
      <c r="G304" s="32">
        <f t="shared" si="2"/>
        <v>0</v>
      </c>
    </row>
    <row r="305" ht="22.5" customHeight="1">
      <c r="A305" s="112"/>
      <c r="B305" s="113"/>
      <c r="C305" s="32"/>
      <c r="D305" s="32"/>
      <c r="E305" s="32"/>
      <c r="F305" s="32"/>
      <c r="G305" s="32">
        <f t="shared" si="2"/>
        <v>0</v>
      </c>
    </row>
    <row r="306" ht="22.5" customHeight="1">
      <c r="A306" s="112"/>
      <c r="B306" s="113"/>
      <c r="C306" s="32"/>
      <c r="D306" s="32"/>
      <c r="E306" s="32"/>
      <c r="F306" s="32"/>
      <c r="G306" s="32">
        <f t="shared" si="2"/>
        <v>0</v>
      </c>
    </row>
    <row r="307" ht="22.5" customHeight="1">
      <c r="A307" s="112"/>
      <c r="B307" s="113"/>
      <c r="C307" s="32"/>
      <c r="D307" s="32"/>
      <c r="E307" s="32"/>
      <c r="F307" s="32"/>
      <c r="G307" s="32">
        <f t="shared" si="2"/>
        <v>0</v>
      </c>
    </row>
    <row r="308" ht="22.5" customHeight="1">
      <c r="A308" s="112"/>
      <c r="B308" s="113"/>
      <c r="C308" s="32"/>
      <c r="D308" s="32"/>
      <c r="E308" s="32"/>
      <c r="F308" s="32"/>
      <c r="G308" s="32">
        <f t="shared" si="2"/>
        <v>0</v>
      </c>
    </row>
    <row r="309" ht="22.5" customHeight="1">
      <c r="A309" s="112"/>
      <c r="B309" s="113"/>
      <c r="C309" s="32"/>
      <c r="D309" s="32"/>
      <c r="E309" s="32"/>
      <c r="F309" s="32"/>
      <c r="G309" s="32">
        <f t="shared" si="2"/>
        <v>0</v>
      </c>
    </row>
    <row r="310" ht="22.5" customHeight="1">
      <c r="A310" s="112"/>
      <c r="B310" s="113"/>
      <c r="C310" s="32"/>
      <c r="D310" s="32"/>
      <c r="E310" s="32"/>
      <c r="F310" s="32"/>
      <c r="G310" s="32">
        <f t="shared" si="2"/>
        <v>0</v>
      </c>
    </row>
    <row r="311" ht="22.5" customHeight="1">
      <c r="A311" s="112"/>
      <c r="B311" s="113"/>
      <c r="C311" s="32"/>
      <c r="D311" s="32"/>
      <c r="E311" s="32"/>
      <c r="F311" s="32"/>
      <c r="G311" s="32">
        <f t="shared" si="2"/>
        <v>0</v>
      </c>
    </row>
    <row r="312" ht="22.5" customHeight="1">
      <c r="A312" s="112"/>
      <c r="B312" s="113"/>
      <c r="C312" s="32"/>
      <c r="D312" s="32"/>
      <c r="E312" s="32"/>
      <c r="F312" s="32"/>
      <c r="G312" s="32">
        <f t="shared" si="2"/>
        <v>0</v>
      </c>
    </row>
    <row r="313" ht="22.5" customHeight="1">
      <c r="A313" s="112"/>
      <c r="B313" s="113"/>
      <c r="C313" s="32"/>
      <c r="D313" s="32"/>
      <c r="E313" s="32"/>
      <c r="F313" s="32"/>
      <c r="G313" s="32">
        <f t="shared" si="2"/>
        <v>0</v>
      </c>
    </row>
    <row r="314" ht="22.5" customHeight="1">
      <c r="A314" s="112"/>
      <c r="B314" s="113"/>
      <c r="C314" s="32"/>
      <c r="D314" s="32"/>
      <c r="E314" s="32"/>
      <c r="F314" s="32"/>
      <c r="G314" s="32">
        <f t="shared" si="2"/>
        <v>0</v>
      </c>
    </row>
  </sheetData>
  <conditionalFormatting sqref="B2:B314 I9">
    <cfRule type="expression" dxfId="7" priority="1">
      <formula>AND($B2&lt;&gt;"", COUNTIF($B:$B, $B2)&gt;1)</formula>
    </cfRule>
  </conditionalFormatting>
  <dataValidations>
    <dataValidation type="custom" allowBlank="1" showDropDown="1" sqref="B2:B314">
      <formula1>OR(NOT(ISERROR(DATEVALUE(B2))), AND(ISNUMBER(B2), LEFT(CELL("format", B2))="D"))</formula1>
    </dataValidation>
    <dataValidation allowBlank="1" showDropDown="1" sqref="A2:A314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</cols>
  <sheetData>
    <row r="1">
      <c r="A1" s="121" t="s">
        <v>6463</v>
      </c>
      <c r="B1" s="121" t="s">
        <v>6464</v>
      </c>
    </row>
    <row r="2">
      <c r="A2" s="121">
        <v>44235.0</v>
      </c>
      <c r="B2" s="122">
        <v>44105.0</v>
      </c>
    </row>
    <row r="3">
      <c r="A3" s="121">
        <v>44236.0</v>
      </c>
      <c r="B3" s="122">
        <v>44052.0</v>
      </c>
    </row>
    <row r="4">
      <c r="A4" s="121">
        <v>44237.0</v>
      </c>
      <c r="B4" s="122">
        <v>44076.0</v>
      </c>
    </row>
    <row r="5">
      <c r="A5" s="121">
        <v>44238.0</v>
      </c>
      <c r="B5" s="122">
        <v>44858.0</v>
      </c>
    </row>
    <row r="6">
      <c r="A6" s="121">
        <v>44239.0</v>
      </c>
      <c r="B6" s="122">
        <v>44075.0</v>
      </c>
    </row>
    <row r="7">
      <c r="A7" s="121">
        <v>44240.0</v>
      </c>
      <c r="B7" s="122">
        <v>44296.0</v>
      </c>
    </row>
    <row r="8">
      <c r="A8" s="121">
        <v>44241.0</v>
      </c>
      <c r="B8" s="122">
        <v>44100.0</v>
      </c>
    </row>
    <row r="9">
      <c r="A9" s="121">
        <v>44242.0</v>
      </c>
      <c r="B9" s="122">
        <v>44064.0</v>
      </c>
    </row>
    <row r="10">
      <c r="A10" s="121">
        <v>44243.0</v>
      </c>
      <c r="B10" s="122">
        <v>44117.0</v>
      </c>
    </row>
    <row r="11">
      <c r="A11" s="121">
        <v>44244.0</v>
      </c>
      <c r="B11" s="122">
        <v>44117.0</v>
      </c>
    </row>
    <row r="12">
      <c r="A12" s="121">
        <v>44245.0</v>
      </c>
      <c r="B12" s="122">
        <v>44096.0</v>
      </c>
    </row>
    <row r="13">
      <c r="A13" s="121">
        <v>44246.0</v>
      </c>
      <c r="B13" s="122">
        <v>43881.0</v>
      </c>
    </row>
    <row r="14">
      <c r="A14" s="121">
        <v>44247.0</v>
      </c>
      <c r="B14" s="122">
        <v>44072.0</v>
      </c>
    </row>
    <row r="15">
      <c r="A15" s="121">
        <v>44248.0</v>
      </c>
      <c r="B15" s="122">
        <v>44076.0</v>
      </c>
    </row>
    <row r="16">
      <c r="A16" s="121">
        <v>44249.0</v>
      </c>
      <c r="B16" s="122">
        <v>44771.0</v>
      </c>
    </row>
    <row r="17">
      <c r="A17" s="121">
        <v>44250.0</v>
      </c>
      <c r="B17" s="122">
        <v>44089.0</v>
      </c>
    </row>
    <row r="18">
      <c r="A18" s="121">
        <v>44251.0</v>
      </c>
      <c r="B18" s="122">
        <v>44090.0</v>
      </c>
    </row>
    <row r="19">
      <c r="A19" s="121">
        <v>44252.0</v>
      </c>
      <c r="B19" s="122">
        <v>44857.0</v>
      </c>
    </row>
    <row r="20">
      <c r="A20" s="121">
        <v>44253.0</v>
      </c>
      <c r="B20" s="122">
        <v>44092.0</v>
      </c>
    </row>
    <row r="21">
      <c r="A21" s="121">
        <v>44254.0</v>
      </c>
      <c r="B21" s="122">
        <v>44086.0</v>
      </c>
    </row>
    <row r="22">
      <c r="A22" s="121">
        <v>44255.0</v>
      </c>
      <c r="B22" s="122">
        <v>44064.0</v>
      </c>
    </row>
    <row r="23">
      <c r="A23" s="121">
        <v>44256.0</v>
      </c>
      <c r="B23" s="122">
        <v>44090.0</v>
      </c>
    </row>
    <row r="24">
      <c r="A24" s="121">
        <v>44257.0</v>
      </c>
      <c r="B24" s="122">
        <v>44588.0</v>
      </c>
    </row>
    <row r="25">
      <c r="A25" s="121">
        <v>44258.0</v>
      </c>
      <c r="B25" s="122">
        <v>44079.0</v>
      </c>
    </row>
    <row r="26">
      <c r="A26" s="121">
        <v>44259.0</v>
      </c>
      <c r="B26" s="122">
        <v>44117.0</v>
      </c>
    </row>
    <row r="27">
      <c r="A27" s="121">
        <v>44260.0</v>
      </c>
      <c r="B27" s="122">
        <v>44078.0</v>
      </c>
    </row>
    <row r="28">
      <c r="A28" s="121">
        <v>44261.0</v>
      </c>
      <c r="B28" s="122">
        <v>44079.0</v>
      </c>
    </row>
    <row r="29">
      <c r="A29" s="121">
        <v>44262.0</v>
      </c>
      <c r="B29" s="122">
        <v>44103.0</v>
      </c>
    </row>
    <row r="30">
      <c r="A30" s="121">
        <v>44263.0</v>
      </c>
      <c r="B30" s="122">
        <v>44120.0</v>
      </c>
    </row>
    <row r="31">
      <c r="A31" s="121">
        <v>44264.0</v>
      </c>
      <c r="B31" s="122">
        <v>44090.0</v>
      </c>
    </row>
    <row r="32">
      <c r="A32" s="121">
        <v>44265.0</v>
      </c>
      <c r="B32" s="122">
        <v>44117.0</v>
      </c>
    </row>
    <row r="33">
      <c r="A33" s="121">
        <v>44266.0</v>
      </c>
      <c r="B33" s="122">
        <v>44089.0</v>
      </c>
    </row>
    <row r="34">
      <c r="A34" s="121">
        <v>44267.0</v>
      </c>
      <c r="B34" s="122">
        <v>44090.0</v>
      </c>
    </row>
    <row r="35">
      <c r="A35" s="121">
        <v>44268.0</v>
      </c>
      <c r="B35" s="122">
        <v>44264.0</v>
      </c>
    </row>
    <row r="36">
      <c r="A36" s="121">
        <v>44269.0</v>
      </c>
      <c r="B36" s="122">
        <v>44092.0</v>
      </c>
    </row>
    <row r="37">
      <c r="A37" s="121">
        <v>44270.0</v>
      </c>
      <c r="B37" s="122">
        <v>44066.0</v>
      </c>
    </row>
    <row r="38">
      <c r="A38" s="121">
        <v>44271.0</v>
      </c>
      <c r="B38" s="122">
        <v>44119.0</v>
      </c>
    </row>
    <row r="39">
      <c r="A39" s="121">
        <v>44272.0</v>
      </c>
      <c r="B39" s="122">
        <v>44076.0</v>
      </c>
    </row>
    <row r="40">
      <c r="A40" s="121">
        <v>44273.0</v>
      </c>
      <c r="B40" s="122">
        <v>44191.0</v>
      </c>
    </row>
    <row r="41">
      <c r="A41" s="121">
        <v>44274.0</v>
      </c>
      <c r="B41" s="122">
        <v>44071.0</v>
      </c>
    </row>
    <row r="42">
      <c r="A42" s="121">
        <v>44275.0</v>
      </c>
      <c r="B42" s="122">
        <v>44337.0</v>
      </c>
    </row>
    <row r="43">
      <c r="A43" s="121">
        <v>44276.0</v>
      </c>
      <c r="B43" s="122">
        <v>44125.0</v>
      </c>
    </row>
    <row r="44">
      <c r="A44" s="121">
        <v>44277.0</v>
      </c>
      <c r="B44" s="122">
        <v>44052.0</v>
      </c>
    </row>
    <row r="45">
      <c r="A45" s="121">
        <v>44278.0</v>
      </c>
      <c r="B45" s="122">
        <v>43978.0</v>
      </c>
    </row>
    <row r="46">
      <c r="A46" s="121">
        <v>44279.0</v>
      </c>
      <c r="B46" s="122">
        <v>44373.0</v>
      </c>
    </row>
    <row r="47">
      <c r="A47" s="121">
        <v>44280.0</v>
      </c>
      <c r="B47" s="122">
        <v>44080.0</v>
      </c>
    </row>
    <row r="48">
      <c r="A48" s="121">
        <v>44281.0</v>
      </c>
      <c r="B48" s="122">
        <v>44472.0</v>
      </c>
    </row>
    <row r="49">
      <c r="A49" s="121">
        <v>44282.0</v>
      </c>
      <c r="B49" s="122">
        <v>44685.0</v>
      </c>
    </row>
    <row r="50">
      <c r="A50" s="121">
        <v>44283.0</v>
      </c>
      <c r="B50" s="122">
        <v>44084.0</v>
      </c>
    </row>
    <row r="51">
      <c r="A51" s="121">
        <v>44284.0</v>
      </c>
      <c r="B51" s="122">
        <v>44102.0</v>
      </c>
    </row>
    <row r="52">
      <c r="A52" s="121">
        <v>44285.0</v>
      </c>
      <c r="B52" s="122">
        <v>44091.0</v>
      </c>
    </row>
    <row r="53">
      <c r="A53" s="121">
        <v>44286.0</v>
      </c>
      <c r="B53" s="122">
        <v>44283.0</v>
      </c>
    </row>
    <row r="54">
      <c r="A54" s="121">
        <v>44287.0</v>
      </c>
      <c r="B54" s="122">
        <v>44465.0</v>
      </c>
    </row>
    <row r="55">
      <c r="A55" s="121">
        <v>44288.0</v>
      </c>
      <c r="B55" s="122">
        <v>44107.0</v>
      </c>
    </row>
    <row r="56">
      <c r="A56" s="121">
        <v>44289.0</v>
      </c>
      <c r="B56" s="122">
        <v>44304.0</v>
      </c>
    </row>
    <row r="57">
      <c r="A57" s="121">
        <v>44290.0</v>
      </c>
      <c r="B57" s="122">
        <v>44090.0</v>
      </c>
    </row>
    <row r="58">
      <c r="A58" s="121">
        <v>44291.0</v>
      </c>
      <c r="B58" s="122">
        <v>44106.0</v>
      </c>
    </row>
    <row r="59">
      <c r="A59" s="121">
        <v>44292.0</v>
      </c>
      <c r="B59" s="122">
        <v>44108.0</v>
      </c>
    </row>
    <row r="60">
      <c r="A60" s="121">
        <v>44293.0</v>
      </c>
      <c r="B60" s="122">
        <v>44103.0</v>
      </c>
    </row>
    <row r="61">
      <c r="A61" s="121">
        <v>44294.0</v>
      </c>
      <c r="B61" s="122">
        <v>44100.0</v>
      </c>
    </row>
    <row r="62">
      <c r="A62" s="121">
        <v>44713.0</v>
      </c>
      <c r="B62" s="122">
        <v>45567.0</v>
      </c>
    </row>
    <row r="63">
      <c r="A63" s="121">
        <v>44714.0</v>
      </c>
    </row>
    <row r="64">
      <c r="A64" s="121">
        <v>44715.0</v>
      </c>
      <c r="B64" s="122">
        <v>45709.0</v>
      </c>
    </row>
    <row r="65">
      <c r="A65" s="121">
        <v>44716.0</v>
      </c>
      <c r="B65" s="122">
        <v>45976.0</v>
      </c>
    </row>
    <row r="66">
      <c r="A66" s="121">
        <v>44717.0</v>
      </c>
      <c r="B66" s="122">
        <v>45997.0</v>
      </c>
    </row>
    <row r="67">
      <c r="A67" s="121">
        <v>44718.0</v>
      </c>
    </row>
    <row r="68">
      <c r="A68" s="121">
        <v>44719.0</v>
      </c>
      <c r="B68" s="122">
        <v>45901.0</v>
      </c>
    </row>
    <row r="69">
      <c r="A69" s="121">
        <v>44720.0</v>
      </c>
      <c r="B69" s="122">
        <v>45853.0</v>
      </c>
    </row>
    <row r="70">
      <c r="A70" s="121">
        <v>44721.0</v>
      </c>
      <c r="B70" s="122">
        <v>45934.0</v>
      </c>
    </row>
    <row r="71">
      <c r="A71" s="121">
        <v>44722.0</v>
      </c>
      <c r="B71" s="122">
        <v>44966.0</v>
      </c>
    </row>
    <row r="72">
      <c r="A72" s="121">
        <v>44723.0</v>
      </c>
    </row>
    <row r="73">
      <c r="A73" s="121">
        <v>44724.0</v>
      </c>
    </row>
    <row r="74">
      <c r="A74" s="121">
        <v>44725.0</v>
      </c>
    </row>
    <row r="75">
      <c r="A75" s="121">
        <v>44726.0</v>
      </c>
      <c r="B75" s="122">
        <v>45941.0</v>
      </c>
    </row>
    <row r="76">
      <c r="A76" s="121">
        <v>44727.0</v>
      </c>
      <c r="B76" s="122">
        <v>45136.0</v>
      </c>
    </row>
    <row r="77">
      <c r="A77" s="121">
        <v>44728.0</v>
      </c>
      <c r="B77" s="122">
        <v>44550.0</v>
      </c>
    </row>
    <row r="78">
      <c r="A78" s="121">
        <v>44729.0</v>
      </c>
      <c r="B78" s="122">
        <v>45379.0</v>
      </c>
    </row>
    <row r="79">
      <c r="A79" s="121">
        <v>44730.0</v>
      </c>
      <c r="B79" s="122">
        <v>44424.0</v>
      </c>
    </row>
    <row r="80">
      <c r="A80" s="121">
        <v>44731.0</v>
      </c>
      <c r="B80" s="122">
        <v>45191.0</v>
      </c>
    </row>
    <row r="81">
      <c r="A81" s="121">
        <v>44732.0</v>
      </c>
      <c r="B81" s="122">
        <v>45774.0</v>
      </c>
    </row>
    <row r="82">
      <c r="A82" s="121">
        <v>44733.0</v>
      </c>
      <c r="B82" s="122">
        <v>45702.0</v>
      </c>
    </row>
    <row r="83">
      <c r="A83" s="121">
        <v>44734.0</v>
      </c>
      <c r="B83" s="122">
        <v>45948.0</v>
      </c>
    </row>
    <row r="84">
      <c r="A84" s="121">
        <v>44735.0</v>
      </c>
      <c r="B84" s="122">
        <v>45919.0</v>
      </c>
    </row>
    <row r="85">
      <c r="A85" s="121">
        <v>44736.0</v>
      </c>
    </row>
    <row r="86">
      <c r="A86" s="121">
        <v>44737.0</v>
      </c>
      <c r="B86" s="122">
        <v>45742.0</v>
      </c>
    </row>
    <row r="87">
      <c r="A87" s="121">
        <v>44738.0</v>
      </c>
      <c r="B87" s="122">
        <v>45207.0</v>
      </c>
    </row>
    <row r="88">
      <c r="A88" s="121">
        <v>44739.0</v>
      </c>
      <c r="B88" s="122">
        <v>45180.0</v>
      </c>
    </row>
    <row r="89">
      <c r="A89" s="121">
        <v>44740.0</v>
      </c>
      <c r="B89" s="122">
        <v>45759.0</v>
      </c>
    </row>
    <row r="90">
      <c r="A90" s="121">
        <v>44741.0</v>
      </c>
    </row>
    <row r="91">
      <c r="A91" s="121">
        <v>44742.0</v>
      </c>
      <c r="B91" s="122">
        <v>45058.0</v>
      </c>
    </row>
    <row r="92">
      <c r="A92" s="121">
        <v>44743.0</v>
      </c>
      <c r="B92" s="122">
        <v>45695.0</v>
      </c>
    </row>
    <row r="93">
      <c r="A93" s="121">
        <v>44744.0</v>
      </c>
    </row>
    <row r="94">
      <c r="A94" s="121">
        <v>44745.0</v>
      </c>
      <c r="B94" s="122">
        <v>44077.0</v>
      </c>
    </row>
    <row r="95">
      <c r="A95" s="121">
        <v>44746.0</v>
      </c>
      <c r="B95" s="122">
        <v>45542.0</v>
      </c>
    </row>
    <row r="96">
      <c r="A96" s="121">
        <v>44747.0</v>
      </c>
    </row>
    <row r="97">
      <c r="A97" s="121">
        <v>44748.0</v>
      </c>
    </row>
    <row r="98">
      <c r="A98" s="121">
        <v>44749.0</v>
      </c>
      <c r="B98" s="122">
        <v>44484.0</v>
      </c>
    </row>
    <row r="99">
      <c r="A99" s="121">
        <v>44750.0</v>
      </c>
      <c r="B99" s="122">
        <v>44309.0</v>
      </c>
    </row>
    <row r="100">
      <c r="A100" s="121">
        <v>44751.0</v>
      </c>
    </row>
    <row r="101">
      <c r="A101" s="121">
        <v>44752.0</v>
      </c>
    </row>
    <row r="102">
      <c r="A102" s="121">
        <v>44753.0</v>
      </c>
    </row>
    <row r="103">
      <c r="A103" s="121">
        <v>44754.0</v>
      </c>
      <c r="B103" s="122">
        <v>45226.0</v>
      </c>
    </row>
    <row r="104">
      <c r="A104" s="121">
        <v>44755.0</v>
      </c>
      <c r="B104" s="122">
        <v>44647.0</v>
      </c>
    </row>
    <row r="105">
      <c r="A105" s="121">
        <v>44756.0</v>
      </c>
      <c r="B105" s="122">
        <v>44550.0</v>
      </c>
    </row>
    <row r="106">
      <c r="A106" s="121">
        <v>44757.0</v>
      </c>
      <c r="B106" s="122">
        <v>45732.0</v>
      </c>
    </row>
    <row r="107">
      <c r="A107" s="121">
        <v>44758.0</v>
      </c>
    </row>
    <row r="108">
      <c r="A108" s="121">
        <v>44759.0</v>
      </c>
      <c r="B108" s="122">
        <v>45981.0</v>
      </c>
    </row>
    <row r="109">
      <c r="A109" s="121">
        <v>44760.0</v>
      </c>
      <c r="B109" s="122">
        <v>45669.0</v>
      </c>
    </row>
    <row r="110">
      <c r="A110" s="121">
        <v>44761.0</v>
      </c>
      <c r="B110" s="122">
        <v>45969.0</v>
      </c>
    </row>
    <row r="111">
      <c r="A111" s="121">
        <v>44762.0</v>
      </c>
      <c r="B111" s="122">
        <v>45934.0</v>
      </c>
    </row>
    <row r="112">
      <c r="A112" s="121">
        <v>44763.0</v>
      </c>
      <c r="B112" s="122">
        <v>45751.0</v>
      </c>
    </row>
    <row r="113">
      <c r="A113" s="121">
        <v>44764.0</v>
      </c>
      <c r="B113" s="122">
        <v>45634.0</v>
      </c>
    </row>
    <row r="114">
      <c r="A114" s="121">
        <v>44765.0</v>
      </c>
    </row>
    <row r="115">
      <c r="A115" s="121">
        <v>44766.0</v>
      </c>
      <c r="B115" s="122">
        <v>45694.0</v>
      </c>
    </row>
    <row r="116">
      <c r="A116" s="121">
        <v>44767.0</v>
      </c>
      <c r="B116" s="122">
        <v>45745.0</v>
      </c>
    </row>
    <row r="117">
      <c r="A117" s="121">
        <v>44768.0</v>
      </c>
    </row>
    <row r="118">
      <c r="A118" s="121">
        <v>44769.0</v>
      </c>
      <c r="B118" s="122">
        <v>44603.0</v>
      </c>
    </row>
    <row r="119">
      <c r="A119" s="121">
        <v>44770.0</v>
      </c>
      <c r="B119" s="122">
        <v>45036.0</v>
      </c>
    </row>
    <row r="120">
      <c r="A120" s="121">
        <v>44771.0</v>
      </c>
    </row>
    <row r="121">
      <c r="A121" s="121">
        <v>44772.0</v>
      </c>
    </row>
    <row r="122">
      <c r="A122" s="121">
        <v>44914.0</v>
      </c>
      <c r="B122" s="122">
        <v>45769.0</v>
      </c>
    </row>
    <row r="123">
      <c r="A123" s="121">
        <v>44915.0</v>
      </c>
      <c r="B123" s="122">
        <v>45702.0</v>
      </c>
    </row>
    <row r="124">
      <c r="A124" s="121">
        <v>44916.0</v>
      </c>
      <c r="B124" s="122">
        <v>44543.0</v>
      </c>
    </row>
    <row r="125">
      <c r="A125" s="121">
        <v>44917.0</v>
      </c>
      <c r="B125" s="122">
        <v>45913.0</v>
      </c>
    </row>
    <row r="126">
      <c r="A126" s="121">
        <v>44918.0</v>
      </c>
      <c r="B126" s="122">
        <v>45521.0</v>
      </c>
    </row>
    <row r="127">
      <c r="A127" s="121">
        <v>44919.0</v>
      </c>
      <c r="B127" s="122">
        <v>44523.0</v>
      </c>
    </row>
    <row r="128">
      <c r="A128" s="121">
        <v>44920.0</v>
      </c>
      <c r="B128" s="122">
        <v>45732.0</v>
      </c>
    </row>
    <row r="129">
      <c r="A129" s="121">
        <v>44921.0</v>
      </c>
      <c r="B129" s="122">
        <v>45777.0</v>
      </c>
    </row>
    <row r="130">
      <c r="A130" s="121">
        <v>44922.0</v>
      </c>
      <c r="B130" s="122">
        <v>45912.0</v>
      </c>
    </row>
    <row r="131">
      <c r="A131" s="121">
        <v>44923.0</v>
      </c>
      <c r="B131" s="122">
        <v>45781.0</v>
      </c>
    </row>
    <row r="132">
      <c r="A132" s="121">
        <v>44924.0</v>
      </c>
      <c r="B132" s="122">
        <v>45500.0</v>
      </c>
    </row>
    <row r="133">
      <c r="A133" s="121">
        <v>44925.0</v>
      </c>
    </row>
    <row r="134">
      <c r="A134" s="121">
        <v>44926.0</v>
      </c>
      <c r="B134" s="122">
        <v>45556.0</v>
      </c>
    </row>
    <row r="135">
      <c r="A135" s="121">
        <v>44927.0</v>
      </c>
    </row>
    <row r="136">
      <c r="A136" s="121">
        <v>44928.0</v>
      </c>
      <c r="B136" s="122">
        <v>45427.0</v>
      </c>
    </row>
    <row r="137">
      <c r="A137" s="121">
        <v>44929.0</v>
      </c>
      <c r="B137" s="122">
        <v>45358.0</v>
      </c>
    </row>
    <row r="138">
      <c r="A138" s="121">
        <v>44930.0</v>
      </c>
    </row>
    <row r="139">
      <c r="A139" s="121">
        <v>44931.0</v>
      </c>
      <c r="B139" s="122">
        <v>45513.0</v>
      </c>
    </row>
    <row r="140">
      <c r="A140" s="121">
        <v>44932.0</v>
      </c>
      <c r="B140" s="122">
        <v>45858.0</v>
      </c>
    </row>
    <row r="141">
      <c r="A141" s="121">
        <v>44933.0</v>
      </c>
    </row>
    <row r="142">
      <c r="A142" s="121">
        <v>44934.0</v>
      </c>
      <c r="B142" s="122">
        <v>45916.0</v>
      </c>
    </row>
    <row r="143">
      <c r="A143" s="121">
        <v>44935.0</v>
      </c>
      <c r="B143" s="122">
        <v>44523.0</v>
      </c>
    </row>
    <row r="144">
      <c r="A144" s="121">
        <v>44936.0</v>
      </c>
      <c r="B144" s="122">
        <v>44487.0</v>
      </c>
    </row>
    <row r="145">
      <c r="A145" s="121">
        <v>44937.0</v>
      </c>
      <c r="B145" s="122">
        <v>45880.0</v>
      </c>
    </row>
    <row r="146">
      <c r="A146" s="121">
        <v>44938.0</v>
      </c>
      <c r="B146" s="122">
        <v>45525.0</v>
      </c>
    </row>
    <row r="147">
      <c r="A147" s="121">
        <v>44939.0</v>
      </c>
      <c r="B147" s="122">
        <v>45531.0</v>
      </c>
    </row>
    <row r="148">
      <c r="A148" s="121">
        <v>44940.0</v>
      </c>
      <c r="B148" s="122">
        <v>45970.0</v>
      </c>
    </row>
    <row r="149">
      <c r="A149" s="121">
        <v>44941.0</v>
      </c>
    </row>
    <row r="150">
      <c r="A150" s="121">
        <v>44942.0</v>
      </c>
      <c r="B150" s="122">
        <v>45988.0</v>
      </c>
    </row>
    <row r="151">
      <c r="A151" s="121">
        <v>44943.0</v>
      </c>
      <c r="B151" s="122">
        <v>45520.0</v>
      </c>
    </row>
    <row r="152">
      <c r="A152" s="121">
        <v>44944.0</v>
      </c>
      <c r="B152" s="122">
        <v>45581.0</v>
      </c>
    </row>
    <row r="153">
      <c r="A153" s="121">
        <v>44945.0</v>
      </c>
      <c r="B153" s="122">
        <v>45805.0</v>
      </c>
    </row>
    <row r="154">
      <c r="A154" s="121">
        <v>44946.0</v>
      </c>
      <c r="B154" s="122">
        <v>45393.0</v>
      </c>
    </row>
    <row r="155">
      <c r="A155" s="121">
        <v>44947.0</v>
      </c>
      <c r="B155" s="122">
        <v>45085.0</v>
      </c>
    </row>
    <row r="156">
      <c r="A156" s="121">
        <v>44948.0</v>
      </c>
      <c r="B156" s="122">
        <v>43923.0</v>
      </c>
    </row>
    <row r="157">
      <c r="A157" s="121">
        <v>44949.0</v>
      </c>
    </row>
    <row r="158">
      <c r="A158" s="121">
        <v>44950.0</v>
      </c>
      <c r="B158" s="122">
        <v>45116.0</v>
      </c>
    </row>
    <row r="159">
      <c r="A159" s="121">
        <v>44951.0</v>
      </c>
      <c r="B159" s="122">
        <v>45427.0</v>
      </c>
    </row>
    <row r="160">
      <c r="A160" s="121">
        <v>44952.0</v>
      </c>
      <c r="B160" s="122">
        <v>45808.0</v>
      </c>
    </row>
    <row r="161">
      <c r="A161" s="121">
        <v>44953.0</v>
      </c>
      <c r="B161" s="122">
        <v>45290.0</v>
      </c>
    </row>
    <row r="162">
      <c r="A162" s="121">
        <v>44954.0</v>
      </c>
      <c r="B162" s="122">
        <v>45923.0</v>
      </c>
    </row>
    <row r="163">
      <c r="A163" s="121">
        <v>44955.0</v>
      </c>
      <c r="B163" s="122">
        <v>45275.0</v>
      </c>
    </row>
    <row r="164">
      <c r="A164" s="121">
        <v>44956.0</v>
      </c>
      <c r="B164" s="122">
        <v>45282.0</v>
      </c>
    </row>
    <row r="165">
      <c r="A165" s="121">
        <v>44957.0</v>
      </c>
      <c r="B165" s="122">
        <v>45198.0</v>
      </c>
    </row>
    <row r="166">
      <c r="A166" s="121">
        <v>44958.0</v>
      </c>
      <c r="B166" s="122">
        <v>44406.0</v>
      </c>
    </row>
    <row r="167">
      <c r="A167" s="121">
        <v>44959.0</v>
      </c>
      <c r="B167" s="122">
        <v>45738.0</v>
      </c>
    </row>
    <row r="168">
      <c r="A168" s="121">
        <v>44960.0</v>
      </c>
      <c r="B168" s="122">
        <v>44144.0</v>
      </c>
    </row>
    <row r="169">
      <c r="A169" s="121">
        <v>44961.0</v>
      </c>
    </row>
    <row r="170">
      <c r="A170" s="121">
        <v>44962.0</v>
      </c>
      <c r="B170" s="122">
        <v>44469.0</v>
      </c>
    </row>
    <row r="171">
      <c r="A171" s="121">
        <v>44963.0</v>
      </c>
      <c r="B171" s="122">
        <v>45020.0</v>
      </c>
    </row>
    <row r="172">
      <c r="A172" s="121">
        <v>44964.0</v>
      </c>
      <c r="B172" s="122">
        <v>45324.0</v>
      </c>
    </row>
    <row r="173">
      <c r="A173" s="121">
        <v>44965.0</v>
      </c>
      <c r="B173" s="122">
        <v>43980.0</v>
      </c>
    </row>
    <row r="174">
      <c r="A174" s="121">
        <v>44966.0</v>
      </c>
      <c r="B174" s="122">
        <v>45768.0</v>
      </c>
    </row>
    <row r="175">
      <c r="A175" s="121">
        <v>44967.0</v>
      </c>
      <c r="B175" s="122">
        <v>45577.0</v>
      </c>
    </row>
    <row r="176">
      <c r="A176" s="121">
        <v>44968.0</v>
      </c>
    </row>
    <row r="177">
      <c r="A177" s="121">
        <v>44969.0</v>
      </c>
      <c r="B177" s="122">
        <v>45857.0</v>
      </c>
    </row>
    <row r="178">
      <c r="A178" s="121">
        <v>44970.0</v>
      </c>
      <c r="B178" s="122">
        <v>45880.0</v>
      </c>
    </row>
    <row r="179">
      <c r="A179" s="121">
        <v>44971.0</v>
      </c>
      <c r="B179" s="122">
        <v>44459.0</v>
      </c>
    </row>
    <row r="180">
      <c r="A180" s="121">
        <v>44972.0</v>
      </c>
      <c r="B180" s="122">
        <v>46004.0</v>
      </c>
    </row>
    <row r="181">
      <c r="A181" s="121">
        <v>44973.0</v>
      </c>
      <c r="B181" s="122">
        <v>45910.0</v>
      </c>
    </row>
    <row r="182">
      <c r="A182" s="121">
        <v>45044.0</v>
      </c>
    </row>
    <row r="183">
      <c r="A183" s="121">
        <v>45045.0</v>
      </c>
      <c r="B183" s="122">
        <v>45468.0</v>
      </c>
    </row>
    <row r="184">
      <c r="A184" s="121">
        <v>45046.0</v>
      </c>
      <c r="B184" s="122">
        <v>45043.0</v>
      </c>
    </row>
    <row r="185">
      <c r="A185" s="121">
        <v>45047.0</v>
      </c>
    </row>
    <row r="186">
      <c r="A186" s="121">
        <v>45048.0</v>
      </c>
    </row>
    <row r="187">
      <c r="A187" s="121">
        <v>45049.0</v>
      </c>
      <c r="B187" s="122">
        <v>45641.0</v>
      </c>
    </row>
    <row r="188">
      <c r="A188" s="121">
        <v>45050.0</v>
      </c>
      <c r="B188" s="122">
        <v>45518.0</v>
      </c>
    </row>
    <row r="189">
      <c r="A189" s="121">
        <v>45051.0</v>
      </c>
      <c r="B189" s="122">
        <v>45076.0</v>
      </c>
    </row>
    <row r="190">
      <c r="A190" s="121">
        <v>45052.0</v>
      </c>
      <c r="B190" s="122">
        <v>45866.0</v>
      </c>
    </row>
    <row r="191">
      <c r="A191" s="121">
        <v>45053.0</v>
      </c>
      <c r="B191" s="122">
        <v>45547.0</v>
      </c>
    </row>
    <row r="192">
      <c r="A192" s="121">
        <v>45054.0</v>
      </c>
    </row>
    <row r="193">
      <c r="A193" s="121">
        <v>45055.0</v>
      </c>
      <c r="B193" s="122">
        <v>44126.0</v>
      </c>
    </row>
    <row r="194">
      <c r="A194" s="121">
        <v>45056.0</v>
      </c>
      <c r="B194" s="122">
        <v>44170.0</v>
      </c>
    </row>
    <row r="195">
      <c r="A195" s="121">
        <v>45057.0</v>
      </c>
    </row>
    <row r="196">
      <c r="A196" s="121">
        <v>45058.0</v>
      </c>
      <c r="B196" s="122">
        <v>45774.0</v>
      </c>
    </row>
    <row r="197">
      <c r="A197" s="121">
        <v>45059.0</v>
      </c>
      <c r="B197" s="122">
        <v>45513.0</v>
      </c>
    </row>
    <row r="198">
      <c r="A198" s="121">
        <v>45060.0</v>
      </c>
    </row>
    <row r="199">
      <c r="A199" s="121">
        <v>45061.0</v>
      </c>
    </row>
    <row r="200">
      <c r="A200" s="121">
        <v>45062.0</v>
      </c>
    </row>
    <row r="201">
      <c r="A201" s="121">
        <v>45063.0</v>
      </c>
      <c r="B201" s="122">
        <v>44500.0</v>
      </c>
    </row>
    <row r="202">
      <c r="A202" s="121">
        <v>45064.0</v>
      </c>
    </row>
    <row r="203">
      <c r="A203" s="121">
        <v>45065.0</v>
      </c>
      <c r="B203" s="122">
        <v>45630.0</v>
      </c>
    </row>
    <row r="204">
      <c r="A204" s="121">
        <v>45066.0</v>
      </c>
      <c r="B204" s="122">
        <v>45686.0</v>
      </c>
    </row>
    <row r="205">
      <c r="A205" s="121">
        <v>45067.0</v>
      </c>
      <c r="B205" s="122">
        <v>45936.0</v>
      </c>
    </row>
    <row r="206">
      <c r="A206" s="121">
        <v>45068.0</v>
      </c>
      <c r="B206" s="122">
        <v>45855.0</v>
      </c>
    </row>
    <row r="207">
      <c r="A207" s="121">
        <v>45069.0</v>
      </c>
      <c r="B207" s="122">
        <v>44427.0</v>
      </c>
    </row>
    <row r="208">
      <c r="A208" s="121">
        <v>45070.0</v>
      </c>
      <c r="B208" s="122">
        <v>44407.0</v>
      </c>
    </row>
    <row r="209">
      <c r="A209" s="121">
        <v>45071.0</v>
      </c>
    </row>
    <row r="210">
      <c r="A210" s="121">
        <v>45072.0</v>
      </c>
    </row>
    <row r="211">
      <c r="A211" s="121">
        <v>45073.0</v>
      </c>
      <c r="B211" s="122">
        <v>45824.0</v>
      </c>
    </row>
    <row r="212">
      <c r="A212" s="121">
        <v>45074.0</v>
      </c>
    </row>
    <row r="213">
      <c r="A213" s="121">
        <v>45075.0</v>
      </c>
      <c r="B213" s="122">
        <v>45790.0</v>
      </c>
    </row>
    <row r="214">
      <c r="A214" s="121">
        <v>45076.0</v>
      </c>
      <c r="B214" s="122">
        <v>45521.0</v>
      </c>
    </row>
    <row r="215">
      <c r="A215" s="121">
        <v>45077.0</v>
      </c>
      <c r="B215" s="122">
        <v>44659.0</v>
      </c>
    </row>
    <row r="216">
      <c r="A216" s="121">
        <v>45078.0</v>
      </c>
      <c r="B216" s="122">
        <v>45711.0</v>
      </c>
    </row>
    <row r="217">
      <c r="A217" s="121">
        <v>45079.0</v>
      </c>
      <c r="B217" s="122">
        <v>45472.0</v>
      </c>
    </row>
    <row r="218">
      <c r="A218" s="121">
        <v>45080.0</v>
      </c>
    </row>
    <row r="219">
      <c r="A219" s="121">
        <v>45081.0</v>
      </c>
    </row>
    <row r="220">
      <c r="A220" s="121">
        <v>45082.0</v>
      </c>
      <c r="B220" s="122">
        <v>45547.0</v>
      </c>
    </row>
    <row r="221">
      <c r="A221" s="121">
        <v>45083.0</v>
      </c>
      <c r="B221" s="122">
        <v>45987.0</v>
      </c>
    </row>
    <row r="222">
      <c r="A222" s="121">
        <v>45084.0</v>
      </c>
      <c r="B222" s="122">
        <v>45959.0</v>
      </c>
    </row>
    <row r="223">
      <c r="A223" s="121">
        <v>45085.0</v>
      </c>
      <c r="B223" s="122">
        <v>45935.0</v>
      </c>
    </row>
    <row r="224">
      <c r="A224" s="121">
        <v>45086.0</v>
      </c>
      <c r="B224" s="122">
        <v>45064.0</v>
      </c>
    </row>
    <row r="225">
      <c r="A225" s="121">
        <v>45087.0</v>
      </c>
    </row>
    <row r="226">
      <c r="A226" s="121">
        <v>45088.0</v>
      </c>
    </row>
    <row r="227">
      <c r="A227" s="121">
        <v>45089.0</v>
      </c>
      <c r="B227" s="122">
        <v>45673.0</v>
      </c>
    </row>
    <row r="228">
      <c r="A228" s="121">
        <v>45090.0</v>
      </c>
      <c r="B228" s="122">
        <v>45963.0</v>
      </c>
    </row>
    <row r="229">
      <c r="A229" s="121">
        <v>45091.0</v>
      </c>
      <c r="B229" s="122">
        <v>44434.0</v>
      </c>
    </row>
    <row r="230">
      <c r="A230" s="121">
        <v>45092.0</v>
      </c>
      <c r="B230" s="122">
        <v>45764.0</v>
      </c>
    </row>
    <row r="231">
      <c r="A231" s="121">
        <v>45093.0</v>
      </c>
      <c r="B231" s="122">
        <v>46017.0</v>
      </c>
    </row>
    <row r="232">
      <c r="A232" s="121">
        <v>45094.0</v>
      </c>
      <c r="B232" s="122">
        <v>45934.0</v>
      </c>
    </row>
    <row r="233">
      <c r="A233" s="121">
        <v>45095.0</v>
      </c>
      <c r="B233" s="122">
        <v>45945.0</v>
      </c>
    </row>
    <row r="234">
      <c r="A234" s="121">
        <v>45096.0</v>
      </c>
    </row>
    <row r="235">
      <c r="A235" s="121">
        <v>45097.0</v>
      </c>
      <c r="B235" s="122">
        <v>44274.0</v>
      </c>
    </row>
    <row r="236">
      <c r="A236" s="121">
        <v>45098.0</v>
      </c>
    </row>
    <row r="237">
      <c r="A237" s="121">
        <v>45099.0</v>
      </c>
      <c r="B237" s="122">
        <v>45700.0</v>
      </c>
    </row>
    <row r="238">
      <c r="A238" s="121">
        <v>45100.0</v>
      </c>
    </row>
    <row r="239">
      <c r="A239" s="121">
        <v>45101.0</v>
      </c>
      <c r="B239" s="122">
        <v>45502.0</v>
      </c>
    </row>
    <row r="240">
      <c r="A240" s="121">
        <v>45102.0</v>
      </c>
      <c r="B240" s="122">
        <v>45336.0</v>
      </c>
    </row>
    <row r="241">
      <c r="A241" s="121">
        <v>45103.0</v>
      </c>
      <c r="B241" s="122">
        <v>45529.0</v>
      </c>
    </row>
    <row r="242">
      <c r="A242" s="121">
        <v>45178.0</v>
      </c>
      <c r="B242" s="122">
        <v>45681.0</v>
      </c>
    </row>
    <row r="243">
      <c r="A243" s="121">
        <v>45179.0</v>
      </c>
    </row>
    <row r="244">
      <c r="A244" s="121">
        <v>45180.0</v>
      </c>
      <c r="B244" s="122">
        <v>45205.0</v>
      </c>
    </row>
    <row r="245">
      <c r="A245" s="121">
        <v>45181.0</v>
      </c>
      <c r="B245" s="122">
        <v>45910.0</v>
      </c>
    </row>
    <row r="246">
      <c r="A246" s="121">
        <v>45182.0</v>
      </c>
      <c r="B246" s="122">
        <v>45926.0</v>
      </c>
    </row>
    <row r="247">
      <c r="A247" s="121">
        <v>45183.0</v>
      </c>
    </row>
    <row r="248">
      <c r="A248" s="121">
        <v>45184.0</v>
      </c>
      <c r="B248" s="122">
        <v>45741.0</v>
      </c>
    </row>
    <row r="249">
      <c r="A249" s="121">
        <v>45185.0</v>
      </c>
    </row>
    <row r="250">
      <c r="A250" s="121">
        <v>45186.0</v>
      </c>
      <c r="B250" s="122">
        <v>45923.0</v>
      </c>
    </row>
    <row r="251">
      <c r="A251" s="121">
        <v>45187.0</v>
      </c>
    </row>
    <row r="252">
      <c r="A252" s="121">
        <v>45188.0</v>
      </c>
      <c r="B252" s="122">
        <v>45915.0</v>
      </c>
    </row>
    <row r="253">
      <c r="A253" s="121">
        <v>45189.0</v>
      </c>
    </row>
    <row r="254">
      <c r="A254" s="121">
        <v>45190.0</v>
      </c>
    </row>
    <row r="255">
      <c r="A255" s="121">
        <v>45191.0</v>
      </c>
      <c r="B255" s="122">
        <v>45694.0</v>
      </c>
    </row>
    <row r="256">
      <c r="A256" s="121">
        <v>45192.0</v>
      </c>
      <c r="B256" s="122">
        <v>45917.0</v>
      </c>
    </row>
    <row r="257">
      <c r="A257" s="121">
        <v>45193.0</v>
      </c>
      <c r="B257" s="122">
        <v>45514.0</v>
      </c>
    </row>
    <row r="258">
      <c r="A258" s="121">
        <v>45194.0</v>
      </c>
      <c r="B258" s="122">
        <v>45931.0</v>
      </c>
    </row>
    <row r="259">
      <c r="A259" s="121">
        <v>45195.0</v>
      </c>
      <c r="B259" s="122">
        <v>45123.0</v>
      </c>
    </row>
    <row r="260">
      <c r="A260" s="121">
        <v>45196.0</v>
      </c>
      <c r="B260" s="122">
        <v>45927.0</v>
      </c>
    </row>
    <row r="261">
      <c r="A261" s="121">
        <v>45197.0</v>
      </c>
    </row>
    <row r="262">
      <c r="A262" s="121">
        <v>45198.0</v>
      </c>
    </row>
    <row r="263">
      <c r="A263" s="121">
        <v>45199.0</v>
      </c>
      <c r="B263" s="122">
        <v>45542.0</v>
      </c>
    </row>
    <row r="264">
      <c r="A264" s="121">
        <v>45200.0</v>
      </c>
      <c r="B264" s="122">
        <v>44408.0</v>
      </c>
    </row>
    <row r="265">
      <c r="A265" s="121">
        <v>45201.0</v>
      </c>
    </row>
    <row r="266">
      <c r="A266" s="121">
        <v>45202.0</v>
      </c>
      <c r="B266" s="122">
        <v>45036.0</v>
      </c>
    </row>
    <row r="267">
      <c r="A267" s="121">
        <v>45203.0</v>
      </c>
      <c r="B267" s="122">
        <v>44582.0</v>
      </c>
    </row>
    <row r="268">
      <c r="A268" s="121">
        <v>45204.0</v>
      </c>
      <c r="B268" s="122">
        <v>45925.0</v>
      </c>
    </row>
    <row r="269">
      <c r="A269" s="121">
        <v>45205.0</v>
      </c>
      <c r="B269" s="122">
        <v>45932.0</v>
      </c>
    </row>
    <row r="270">
      <c r="A270" s="121">
        <v>45206.0</v>
      </c>
    </row>
    <row r="271">
      <c r="A271" s="121">
        <v>45207.0</v>
      </c>
    </row>
    <row r="272">
      <c r="A272" s="121">
        <v>45208.0</v>
      </c>
      <c r="B272" s="122">
        <v>45265.0</v>
      </c>
    </row>
    <row r="273">
      <c r="A273" s="121">
        <v>45209.0</v>
      </c>
      <c r="B273" s="122">
        <v>44849.0</v>
      </c>
    </row>
    <row r="274">
      <c r="A274" s="121">
        <v>45210.0</v>
      </c>
      <c r="B274" s="122">
        <v>45904.0</v>
      </c>
    </row>
    <row r="275">
      <c r="A275" s="121">
        <v>45211.0</v>
      </c>
      <c r="B275" s="122">
        <v>43890.0</v>
      </c>
    </row>
    <row r="276">
      <c r="A276" s="121">
        <v>45212.0</v>
      </c>
    </row>
    <row r="277">
      <c r="A277" s="121">
        <v>45213.0</v>
      </c>
      <c r="B277" s="122">
        <v>45272.0</v>
      </c>
    </row>
    <row r="278">
      <c r="A278" s="121">
        <v>45214.0</v>
      </c>
      <c r="B278" s="122">
        <v>45543.0</v>
      </c>
    </row>
    <row r="279">
      <c r="A279" s="121">
        <v>45215.0</v>
      </c>
      <c r="B279" s="122">
        <v>45468.0</v>
      </c>
    </row>
    <row r="280">
      <c r="A280" s="121">
        <v>45216.0</v>
      </c>
      <c r="B280" s="122">
        <v>44527.0</v>
      </c>
    </row>
    <row r="281">
      <c r="A281" s="121">
        <v>45217.0</v>
      </c>
    </row>
    <row r="282">
      <c r="A282" s="121">
        <v>45218.0</v>
      </c>
      <c r="B282" s="122">
        <v>44363.0</v>
      </c>
    </row>
    <row r="283">
      <c r="A283" s="121">
        <v>45219.0</v>
      </c>
      <c r="B283" s="122">
        <v>45835.0</v>
      </c>
    </row>
    <row r="284">
      <c r="A284" s="121">
        <v>45220.0</v>
      </c>
      <c r="B284" s="122">
        <v>44555.0</v>
      </c>
    </row>
    <row r="285">
      <c r="A285" s="121">
        <v>45221.0</v>
      </c>
      <c r="B285" s="122">
        <v>45748.0</v>
      </c>
    </row>
    <row r="286">
      <c r="A286" s="121">
        <v>45222.0</v>
      </c>
    </row>
    <row r="287">
      <c r="A287" s="121">
        <v>45223.0</v>
      </c>
    </row>
    <row r="288">
      <c r="A288" s="121">
        <v>45224.0</v>
      </c>
      <c r="B288" s="122">
        <v>44719.0</v>
      </c>
    </row>
    <row r="289">
      <c r="A289" s="121">
        <v>45225.0</v>
      </c>
    </row>
    <row r="290">
      <c r="A290" s="121">
        <v>45226.0</v>
      </c>
      <c r="B290" s="122">
        <v>45950.0</v>
      </c>
    </row>
    <row r="291">
      <c r="A291" s="121">
        <v>45227.0</v>
      </c>
    </row>
    <row r="292">
      <c r="A292" s="121">
        <v>45228.0</v>
      </c>
    </row>
    <row r="293">
      <c r="A293" s="121">
        <v>45229.0</v>
      </c>
    </row>
    <row r="294">
      <c r="A294" s="121">
        <v>45230.0</v>
      </c>
    </row>
    <row r="295">
      <c r="A295" s="121">
        <v>45231.0</v>
      </c>
      <c r="B295" s="122">
        <v>44857.0</v>
      </c>
    </row>
    <row r="296">
      <c r="A296" s="121">
        <v>45232.0</v>
      </c>
      <c r="B296" s="122">
        <v>45757.0</v>
      </c>
    </row>
    <row r="297">
      <c r="A297" s="121">
        <v>45233.0</v>
      </c>
      <c r="B297" s="122">
        <v>45935.0</v>
      </c>
    </row>
    <row r="298">
      <c r="A298" s="121">
        <v>45234.0</v>
      </c>
      <c r="B298" s="122">
        <v>45536.0</v>
      </c>
    </row>
    <row r="299">
      <c r="A299" s="121">
        <v>45235.0</v>
      </c>
    </row>
    <row r="300">
      <c r="A300" s="121">
        <v>45236.0</v>
      </c>
      <c r="B300" s="122">
        <v>45938.0</v>
      </c>
    </row>
    <row r="301">
      <c r="A301" s="121">
        <v>45237.0</v>
      </c>
    </row>
    <row r="302">
      <c r="A302" s="121">
        <v>45360.0</v>
      </c>
    </row>
    <row r="303">
      <c r="A303" s="121">
        <v>45361.0</v>
      </c>
    </row>
    <row r="304">
      <c r="A304" s="121">
        <v>45362.0</v>
      </c>
      <c r="B304" s="122">
        <v>46036.0</v>
      </c>
    </row>
    <row r="305">
      <c r="A305" s="121">
        <v>45363.0</v>
      </c>
      <c r="B305" s="122">
        <v>44099.0</v>
      </c>
    </row>
    <row r="306">
      <c r="A306" s="121">
        <v>45364.0</v>
      </c>
      <c r="B306" s="122">
        <v>45625.0</v>
      </c>
    </row>
    <row r="307">
      <c r="A307" s="121">
        <v>45365.0</v>
      </c>
      <c r="B307" s="122">
        <v>45244.0</v>
      </c>
    </row>
    <row r="308">
      <c r="A308" s="121">
        <v>45366.0</v>
      </c>
    </row>
    <row r="309">
      <c r="A309" s="121">
        <v>45367.0</v>
      </c>
    </row>
    <row r="310">
      <c r="A310" s="121">
        <v>45368.0</v>
      </c>
    </row>
    <row r="311">
      <c r="A311" s="121">
        <v>45369.0</v>
      </c>
    </row>
    <row r="312">
      <c r="A312" s="121">
        <v>45370.0</v>
      </c>
    </row>
    <row r="313">
      <c r="A313" s="121">
        <v>45371.0</v>
      </c>
      <c r="B313" s="122">
        <v>45521.0</v>
      </c>
    </row>
    <row r="314">
      <c r="A314" s="121">
        <v>45372.0</v>
      </c>
      <c r="B314" s="122">
        <v>45542.0</v>
      </c>
    </row>
    <row r="315">
      <c r="A315" s="121">
        <v>45373.0</v>
      </c>
      <c r="B315" s="122">
        <v>45766.0</v>
      </c>
    </row>
    <row r="316">
      <c r="A316" s="121">
        <v>45374.0</v>
      </c>
    </row>
    <row r="317">
      <c r="A317" s="121">
        <v>45375.0</v>
      </c>
    </row>
    <row r="318">
      <c r="A318" s="121">
        <v>45376.0</v>
      </c>
    </row>
    <row r="319">
      <c r="A319" s="121">
        <v>45377.0</v>
      </c>
    </row>
    <row r="320">
      <c r="A320" s="121">
        <v>45378.0</v>
      </c>
      <c r="B320" s="122">
        <v>45500.0</v>
      </c>
    </row>
    <row r="321">
      <c r="A321" s="121">
        <v>45379.0</v>
      </c>
    </row>
    <row r="322">
      <c r="A322" s="121">
        <v>45380.0</v>
      </c>
      <c r="B322" s="122">
        <v>45699.0</v>
      </c>
    </row>
    <row r="323">
      <c r="A323" s="121">
        <v>45381.0</v>
      </c>
      <c r="B323" s="122">
        <v>45932.0</v>
      </c>
    </row>
    <row r="324">
      <c r="A324" s="121">
        <v>45382.0</v>
      </c>
      <c r="B324" s="122">
        <v>45267.0</v>
      </c>
    </row>
    <row r="325">
      <c r="A325" s="121">
        <v>45383.0</v>
      </c>
    </row>
    <row r="326">
      <c r="A326" s="121">
        <v>45384.0</v>
      </c>
    </row>
    <row r="327">
      <c r="A327" s="121">
        <v>45385.0</v>
      </c>
      <c r="B327" s="122">
        <v>44154.0</v>
      </c>
    </row>
    <row r="328">
      <c r="A328" s="121">
        <v>45386.0</v>
      </c>
    </row>
    <row r="329">
      <c r="A329" s="121">
        <v>45387.0</v>
      </c>
    </row>
    <row r="330">
      <c r="A330" s="121">
        <v>45388.0</v>
      </c>
    </row>
    <row r="331">
      <c r="A331" s="121">
        <v>45389.0</v>
      </c>
    </row>
    <row r="332">
      <c r="A332" s="121">
        <v>45390.0</v>
      </c>
    </row>
    <row r="333">
      <c r="A333" s="121">
        <v>45391.0</v>
      </c>
      <c r="B333" s="122">
        <v>45561.0</v>
      </c>
    </row>
    <row r="334">
      <c r="A334" s="121">
        <v>45392.0</v>
      </c>
      <c r="B334" s="122">
        <v>45414.0</v>
      </c>
    </row>
    <row r="335">
      <c r="A335" s="121">
        <v>45393.0</v>
      </c>
      <c r="B335" s="122">
        <v>45711.0</v>
      </c>
    </row>
    <row r="336">
      <c r="A336" s="121">
        <v>45394.0</v>
      </c>
      <c r="B336" s="122">
        <v>45979.0</v>
      </c>
    </row>
    <row r="337">
      <c r="A337" s="121">
        <v>45395.0</v>
      </c>
    </row>
    <row r="338">
      <c r="A338" s="121">
        <v>45396.0</v>
      </c>
      <c r="B338" s="122">
        <v>45758.0</v>
      </c>
    </row>
    <row r="339">
      <c r="A339" s="121">
        <v>45397.0</v>
      </c>
    </row>
    <row r="340">
      <c r="A340" s="121">
        <v>45398.0</v>
      </c>
      <c r="B340" s="122">
        <v>45971.0</v>
      </c>
    </row>
    <row r="341">
      <c r="A341" s="121">
        <v>45399.0</v>
      </c>
    </row>
    <row r="342">
      <c r="A342" s="121">
        <v>45400.0</v>
      </c>
      <c r="B342" s="122">
        <v>45715.0</v>
      </c>
    </row>
    <row r="343">
      <c r="A343" s="121">
        <v>45401.0</v>
      </c>
      <c r="B343" s="122">
        <v>45826.0</v>
      </c>
    </row>
    <row r="344">
      <c r="A344" s="121">
        <v>45402.0</v>
      </c>
      <c r="B344" s="122">
        <v>45528.0</v>
      </c>
    </row>
    <row r="345">
      <c r="A345" s="121">
        <v>45403.0</v>
      </c>
      <c r="B345" s="122">
        <v>45958.0</v>
      </c>
    </row>
    <row r="346">
      <c r="A346" s="121">
        <v>45404.0</v>
      </c>
    </row>
    <row r="347">
      <c r="A347" s="121">
        <v>45405.0</v>
      </c>
    </row>
    <row r="348">
      <c r="A348" s="121">
        <v>45406.0</v>
      </c>
    </row>
    <row r="349">
      <c r="A349" s="121">
        <v>45407.0</v>
      </c>
      <c r="B349" s="122">
        <v>45782.0</v>
      </c>
    </row>
    <row r="350">
      <c r="A350" s="121">
        <v>45408.0</v>
      </c>
    </row>
    <row r="351">
      <c r="A351" s="121">
        <v>45409.0</v>
      </c>
      <c r="B351" s="122">
        <v>45774.0</v>
      </c>
    </row>
    <row r="352">
      <c r="A352" s="121">
        <v>45410.0</v>
      </c>
      <c r="B352" s="122">
        <v>44690.0</v>
      </c>
    </row>
    <row r="353">
      <c r="A353" s="121">
        <v>45411.0</v>
      </c>
      <c r="B353" s="122">
        <v>45751.0</v>
      </c>
    </row>
    <row r="354">
      <c r="A354" s="121">
        <v>45412.0</v>
      </c>
    </row>
    <row r="355">
      <c r="A355" s="121">
        <v>45413.0</v>
      </c>
    </row>
    <row r="356">
      <c r="A356" s="121">
        <v>45414.0</v>
      </c>
    </row>
    <row r="357">
      <c r="A357" s="121">
        <v>45415.0</v>
      </c>
    </row>
    <row r="358">
      <c r="A358" s="121">
        <v>45416.0</v>
      </c>
    </row>
    <row r="359">
      <c r="A359" s="121">
        <v>45417.0</v>
      </c>
    </row>
    <row r="360">
      <c r="A360" s="121">
        <v>45418.0</v>
      </c>
      <c r="B360" s="122">
        <v>45162.0</v>
      </c>
    </row>
    <row r="361">
      <c r="A361" s="121">
        <v>45419.0</v>
      </c>
    </row>
    <row r="362">
      <c r="A362" s="121">
        <v>45531.0</v>
      </c>
    </row>
    <row r="363">
      <c r="A363" s="121">
        <v>45532.0</v>
      </c>
    </row>
    <row r="364">
      <c r="A364" s="121">
        <v>45533.0</v>
      </c>
      <c r="B364" s="122">
        <v>44815.0</v>
      </c>
    </row>
    <row r="365">
      <c r="A365" s="121">
        <v>45534.0</v>
      </c>
      <c r="B365" s="122">
        <v>45712.0</v>
      </c>
    </row>
    <row r="366">
      <c r="A366" s="121">
        <v>45535.0</v>
      </c>
    </row>
    <row r="367">
      <c r="A367" s="121">
        <v>45536.0</v>
      </c>
      <c r="B367" s="122">
        <v>45834.0</v>
      </c>
    </row>
    <row r="368">
      <c r="A368" s="121">
        <v>45537.0</v>
      </c>
      <c r="B368" s="122">
        <v>44978.0</v>
      </c>
    </row>
    <row r="369">
      <c r="A369" s="121">
        <v>45538.0</v>
      </c>
    </row>
    <row r="370">
      <c r="A370" s="121">
        <v>45539.0</v>
      </c>
      <c r="B370" s="122">
        <v>44788.0</v>
      </c>
    </row>
    <row r="371">
      <c r="A371" s="121">
        <v>45540.0</v>
      </c>
    </row>
    <row r="372">
      <c r="A372" s="121">
        <v>45541.0</v>
      </c>
      <c r="B372" s="122">
        <v>45752.0</v>
      </c>
    </row>
    <row r="373">
      <c r="A373" s="121">
        <v>45542.0</v>
      </c>
    </row>
    <row r="374">
      <c r="A374" s="121">
        <v>45543.0</v>
      </c>
    </row>
    <row r="375">
      <c r="A375" s="121">
        <v>45544.0</v>
      </c>
    </row>
    <row r="376">
      <c r="A376" s="121">
        <v>45545.0</v>
      </c>
      <c r="B376" s="122">
        <v>45710.0</v>
      </c>
    </row>
    <row r="377">
      <c r="A377" s="121">
        <v>45546.0</v>
      </c>
      <c r="B377" s="122">
        <v>45728.0</v>
      </c>
    </row>
    <row r="378">
      <c r="A378" s="121">
        <v>45547.0</v>
      </c>
      <c r="B378" s="122">
        <v>45543.0</v>
      </c>
    </row>
    <row r="379">
      <c r="A379" s="121">
        <v>45548.0</v>
      </c>
      <c r="B379" s="122">
        <v>45714.0</v>
      </c>
    </row>
    <row r="380">
      <c r="A380" s="121">
        <v>45549.0</v>
      </c>
      <c r="B380" s="122">
        <v>44608.0</v>
      </c>
    </row>
    <row r="381">
      <c r="A381" s="121">
        <v>45550.0</v>
      </c>
      <c r="B381" s="122">
        <v>45737.0</v>
      </c>
    </row>
    <row r="382">
      <c r="A382" s="121">
        <v>45551.0</v>
      </c>
    </row>
    <row r="383">
      <c r="A383" s="121">
        <v>45552.0</v>
      </c>
      <c r="B383" s="122">
        <v>44795.0</v>
      </c>
    </row>
    <row r="384">
      <c r="A384" s="121">
        <v>45553.0</v>
      </c>
      <c r="B384" s="122">
        <v>45949.0</v>
      </c>
    </row>
    <row r="385">
      <c r="A385" s="121">
        <v>45554.0</v>
      </c>
      <c r="B385" s="122">
        <v>46051.0</v>
      </c>
    </row>
    <row r="386">
      <c r="A386" s="121">
        <v>45555.0</v>
      </c>
    </row>
    <row r="387">
      <c r="A387" s="121">
        <v>45556.0</v>
      </c>
      <c r="B387" s="122">
        <v>45814.0</v>
      </c>
    </row>
    <row r="388">
      <c r="A388" s="121">
        <v>45557.0</v>
      </c>
      <c r="B388" s="122">
        <v>45955.0</v>
      </c>
    </row>
    <row r="389">
      <c r="A389" s="121">
        <v>45558.0</v>
      </c>
      <c r="B389" s="122">
        <v>45935.0</v>
      </c>
    </row>
    <row r="390">
      <c r="A390" s="121">
        <v>45559.0</v>
      </c>
      <c r="B390" s="122">
        <v>45554.0</v>
      </c>
    </row>
    <row r="391">
      <c r="A391" s="121">
        <v>45560.0</v>
      </c>
      <c r="B391" s="122">
        <v>45759.0</v>
      </c>
    </row>
    <row r="392">
      <c r="A392" s="121">
        <v>45561.0</v>
      </c>
      <c r="B392" s="122">
        <v>45142.0</v>
      </c>
    </row>
    <row r="393">
      <c r="A393" s="121">
        <v>45562.0</v>
      </c>
      <c r="B393" s="122">
        <v>45657.0</v>
      </c>
    </row>
    <row r="394">
      <c r="A394" s="121">
        <v>45563.0</v>
      </c>
      <c r="B394" s="122">
        <v>45925.0</v>
      </c>
    </row>
    <row r="395">
      <c r="A395" s="121">
        <v>45564.0</v>
      </c>
    </row>
    <row r="396">
      <c r="A396" s="121">
        <v>45565.0</v>
      </c>
    </row>
    <row r="397">
      <c r="A397" s="121">
        <v>45566.0</v>
      </c>
      <c r="B397" s="122">
        <v>45790.0</v>
      </c>
    </row>
    <row r="398">
      <c r="A398" s="121">
        <v>45567.0</v>
      </c>
    </row>
    <row r="399">
      <c r="A399" s="121">
        <v>45568.0</v>
      </c>
    </row>
    <row r="400">
      <c r="A400" s="121">
        <v>45569.0</v>
      </c>
    </row>
    <row r="401">
      <c r="A401" s="121">
        <v>45570.0</v>
      </c>
    </row>
    <row r="402">
      <c r="A402" s="121">
        <v>45571.0</v>
      </c>
      <c r="B402" s="122">
        <v>45303.0</v>
      </c>
    </row>
    <row r="403">
      <c r="A403" s="121">
        <v>45572.0</v>
      </c>
    </row>
    <row r="404">
      <c r="A404" s="121">
        <v>45573.0</v>
      </c>
    </row>
    <row r="405">
      <c r="A405" s="121">
        <v>45574.0</v>
      </c>
      <c r="B405" s="122">
        <v>45493.0</v>
      </c>
    </row>
    <row r="406">
      <c r="A406" s="121">
        <v>45575.0</v>
      </c>
      <c r="B406" s="122">
        <v>45080.0</v>
      </c>
    </row>
    <row r="407">
      <c r="A407" s="121">
        <v>45576.0</v>
      </c>
      <c r="B407" s="122">
        <v>46037.0</v>
      </c>
    </row>
    <row r="408">
      <c r="A408" s="121">
        <v>45577.0</v>
      </c>
      <c r="B408" s="122">
        <v>45251.0</v>
      </c>
    </row>
    <row r="409">
      <c r="A409" s="121">
        <v>45578.0</v>
      </c>
    </row>
    <row r="410">
      <c r="A410" s="121">
        <v>45579.0</v>
      </c>
      <c r="B410" s="122">
        <v>45783.0</v>
      </c>
    </row>
    <row r="411">
      <c r="A411" s="121">
        <v>45580.0</v>
      </c>
    </row>
    <row r="412">
      <c r="A412" s="121">
        <v>45581.0</v>
      </c>
    </row>
    <row r="413">
      <c r="A413" s="121">
        <v>45582.0</v>
      </c>
    </row>
    <row r="414">
      <c r="A414" s="121">
        <v>45583.0</v>
      </c>
      <c r="B414" s="122">
        <v>45512.0</v>
      </c>
    </row>
    <row r="415">
      <c r="A415" s="121">
        <v>45584.0</v>
      </c>
      <c r="B415" s="122">
        <v>45242.0</v>
      </c>
    </row>
    <row r="416">
      <c r="A416" s="121">
        <v>45585.0</v>
      </c>
      <c r="B416" s="122">
        <v>44570.0</v>
      </c>
    </row>
    <row r="417">
      <c r="A417" s="121">
        <v>45586.0</v>
      </c>
    </row>
    <row r="418">
      <c r="A418" s="121">
        <v>45587.0</v>
      </c>
      <c r="B418" s="122">
        <v>45918.0</v>
      </c>
    </row>
    <row r="419">
      <c r="A419" s="121">
        <v>45588.0</v>
      </c>
      <c r="B419" s="122">
        <v>46022.0</v>
      </c>
    </row>
    <row r="420">
      <c r="A420" s="121">
        <v>45589.0</v>
      </c>
    </row>
    <row r="421">
      <c r="A421" s="121">
        <v>45590.0</v>
      </c>
    </row>
    <row r="422">
      <c r="A422" s="121">
        <v>45657.0</v>
      </c>
      <c r="B422" s="122">
        <v>44026.0</v>
      </c>
    </row>
    <row r="423">
      <c r="A423" s="121">
        <v>45658.0</v>
      </c>
      <c r="B423" s="122">
        <v>45511.0</v>
      </c>
    </row>
    <row r="424">
      <c r="A424" s="121">
        <v>45659.0</v>
      </c>
      <c r="B424" s="122">
        <v>45452.0</v>
      </c>
    </row>
    <row r="425">
      <c r="A425" s="121">
        <v>45660.0</v>
      </c>
    </row>
    <row r="426">
      <c r="A426" s="121">
        <v>45661.0</v>
      </c>
      <c r="B426" s="122">
        <v>45766.0</v>
      </c>
    </row>
    <row r="427">
      <c r="A427" s="121">
        <v>45662.0</v>
      </c>
      <c r="B427" s="122">
        <v>45644.0</v>
      </c>
    </row>
    <row r="428">
      <c r="A428" s="121">
        <v>45663.0</v>
      </c>
    </row>
    <row r="429">
      <c r="A429" s="121">
        <v>45664.0</v>
      </c>
      <c r="B429" s="122">
        <v>44204.0</v>
      </c>
    </row>
    <row r="430">
      <c r="A430" s="121">
        <v>45665.0</v>
      </c>
    </row>
    <row r="431">
      <c r="A431" s="121">
        <v>45666.0</v>
      </c>
      <c r="B431" s="122">
        <v>45784.0</v>
      </c>
    </row>
    <row r="432">
      <c r="A432" s="121">
        <v>45667.0</v>
      </c>
      <c r="B432" s="122">
        <v>45521.0</v>
      </c>
    </row>
    <row r="433">
      <c r="A433" s="121">
        <v>45668.0</v>
      </c>
    </row>
    <row r="434">
      <c r="A434" s="121">
        <v>45669.0</v>
      </c>
    </row>
    <row r="435">
      <c r="A435" s="121">
        <v>45670.0</v>
      </c>
    </row>
    <row r="436">
      <c r="A436" s="121">
        <v>45671.0</v>
      </c>
    </row>
    <row r="437">
      <c r="A437" s="121">
        <v>45672.0</v>
      </c>
      <c r="B437" s="122">
        <v>45570.0</v>
      </c>
    </row>
    <row r="438">
      <c r="A438" s="121">
        <v>45673.0</v>
      </c>
    </row>
    <row r="439">
      <c r="A439" s="121">
        <v>45674.0</v>
      </c>
    </row>
    <row r="440">
      <c r="A440" s="121">
        <v>45675.0</v>
      </c>
    </row>
    <row r="441">
      <c r="A441" s="121">
        <v>45676.0</v>
      </c>
    </row>
    <row r="442">
      <c r="A442" s="121">
        <v>45677.0</v>
      </c>
    </row>
    <row r="443">
      <c r="A443" s="121">
        <v>45678.0</v>
      </c>
      <c r="B443" s="122">
        <v>45723.0</v>
      </c>
    </row>
    <row r="444">
      <c r="A444" s="121">
        <v>45679.0</v>
      </c>
    </row>
    <row r="445">
      <c r="A445" s="121">
        <v>45680.0</v>
      </c>
      <c r="B445" s="122">
        <v>45773.0</v>
      </c>
    </row>
    <row r="446">
      <c r="A446" s="121">
        <v>45681.0</v>
      </c>
      <c r="B446" s="122">
        <v>45479.0</v>
      </c>
    </row>
    <row r="447">
      <c r="A447" s="121">
        <v>45682.0</v>
      </c>
      <c r="B447" s="122">
        <v>45782.0</v>
      </c>
    </row>
    <row r="448">
      <c r="A448" s="121">
        <v>45683.0</v>
      </c>
      <c r="B448" s="122">
        <v>45739.0</v>
      </c>
    </row>
    <row r="449">
      <c r="A449" s="121">
        <v>45684.0</v>
      </c>
      <c r="B449" s="122">
        <v>45695.0</v>
      </c>
    </row>
    <row r="450">
      <c r="A450" s="121">
        <v>45685.0</v>
      </c>
    </row>
    <row r="451">
      <c r="A451" s="121">
        <v>45686.0</v>
      </c>
    </row>
    <row r="452">
      <c r="A452" s="121">
        <v>45687.0</v>
      </c>
      <c r="B452" s="122">
        <v>44627.0</v>
      </c>
    </row>
    <row r="453">
      <c r="A453" s="121">
        <v>45688.0</v>
      </c>
      <c r="B453" s="122">
        <v>45718.0</v>
      </c>
    </row>
    <row r="454">
      <c r="A454" s="121">
        <v>45689.0</v>
      </c>
    </row>
    <row r="455">
      <c r="A455" s="121">
        <v>45690.0</v>
      </c>
      <c r="B455" s="122">
        <v>45755.0</v>
      </c>
    </row>
    <row r="456">
      <c r="A456" s="121">
        <v>45691.0</v>
      </c>
      <c r="B456" s="122">
        <v>45514.0</v>
      </c>
    </row>
    <row r="457">
      <c r="A457" s="121">
        <v>45692.0</v>
      </c>
      <c r="B457" s="122">
        <v>45558.0</v>
      </c>
    </row>
    <row r="458">
      <c r="A458" s="121">
        <v>45693.0</v>
      </c>
    </row>
    <row r="459">
      <c r="A459" s="121">
        <v>45694.0</v>
      </c>
      <c r="B459" s="122">
        <v>45193.0</v>
      </c>
    </row>
    <row r="460">
      <c r="A460" s="121">
        <v>45695.0</v>
      </c>
    </row>
    <row r="461">
      <c r="A461" s="121">
        <v>45696.0</v>
      </c>
    </row>
    <row r="462">
      <c r="A462" s="121">
        <v>45697.0</v>
      </c>
    </row>
    <row r="463">
      <c r="A463" s="121">
        <v>45698.0</v>
      </c>
      <c r="B463" s="122">
        <v>45500.0</v>
      </c>
    </row>
    <row r="464">
      <c r="A464" s="121">
        <v>45699.0</v>
      </c>
    </row>
    <row r="465">
      <c r="A465" s="121">
        <v>45700.0</v>
      </c>
    </row>
    <row r="466">
      <c r="A466" s="121">
        <v>45701.0</v>
      </c>
    </row>
    <row r="467">
      <c r="A467" s="121">
        <v>45702.0</v>
      </c>
      <c r="B467" s="122">
        <v>45890.0</v>
      </c>
    </row>
    <row r="468">
      <c r="A468" s="121">
        <v>45703.0</v>
      </c>
    </row>
    <row r="469">
      <c r="A469" s="121">
        <v>45704.0</v>
      </c>
      <c r="B469" s="122">
        <v>45506.0</v>
      </c>
    </row>
    <row r="470">
      <c r="A470" s="121">
        <v>45705.0</v>
      </c>
      <c r="B470" s="122">
        <v>45311.0</v>
      </c>
    </row>
    <row r="471">
      <c r="A471" s="121">
        <v>45706.0</v>
      </c>
    </row>
    <row r="472">
      <c r="A472" s="121">
        <v>45707.0</v>
      </c>
      <c r="B472" s="122">
        <v>45823.0</v>
      </c>
    </row>
    <row r="473">
      <c r="A473" s="121">
        <v>45708.0</v>
      </c>
      <c r="B473" s="122">
        <v>45759.0</v>
      </c>
    </row>
    <row r="474">
      <c r="A474" s="121">
        <v>45709.0</v>
      </c>
      <c r="B474" s="122">
        <v>45533.0</v>
      </c>
    </row>
    <row r="475">
      <c r="A475" s="121">
        <v>45710.0</v>
      </c>
    </row>
    <row r="476">
      <c r="A476" s="121">
        <v>45711.0</v>
      </c>
    </row>
    <row r="477">
      <c r="A477" s="121">
        <v>45712.0</v>
      </c>
    </row>
    <row r="478">
      <c r="A478" s="121">
        <v>45713.0</v>
      </c>
      <c r="B478" s="122">
        <v>45465.0</v>
      </c>
    </row>
    <row r="479">
      <c r="A479" s="121">
        <v>45714.0</v>
      </c>
      <c r="B479" s="122">
        <v>45525.0</v>
      </c>
    </row>
    <row r="480">
      <c r="A480" s="121">
        <v>45715.0</v>
      </c>
      <c r="B480" s="122">
        <v>44374.0</v>
      </c>
    </row>
    <row r="481">
      <c r="A481" s="121">
        <v>45716.0</v>
      </c>
      <c r="B481" s="122">
        <v>44633.0</v>
      </c>
    </row>
    <row r="482">
      <c r="A482" s="121">
        <v>45730.0</v>
      </c>
      <c r="B482" s="122">
        <v>45527.0</v>
      </c>
    </row>
    <row r="483">
      <c r="A483" s="121">
        <v>45731.0</v>
      </c>
    </row>
    <row r="484">
      <c r="A484" s="121">
        <v>45732.0</v>
      </c>
      <c r="B484" s="122">
        <v>45537.0</v>
      </c>
    </row>
    <row r="485">
      <c r="A485" s="121">
        <v>45733.0</v>
      </c>
      <c r="B485" s="122">
        <v>45619.0</v>
      </c>
    </row>
    <row r="486">
      <c r="A486" s="121">
        <v>45734.0</v>
      </c>
      <c r="B486" s="122">
        <v>45654.0</v>
      </c>
    </row>
    <row r="487">
      <c r="A487" s="121">
        <v>45735.0</v>
      </c>
    </row>
    <row r="488">
      <c r="A488" s="121">
        <v>45736.0</v>
      </c>
      <c r="B488" s="122">
        <v>45269.0</v>
      </c>
    </row>
    <row r="489">
      <c r="A489" s="121">
        <v>45737.0</v>
      </c>
      <c r="B489" s="122">
        <v>44375.0</v>
      </c>
    </row>
    <row r="490">
      <c r="A490" s="121">
        <v>45738.0</v>
      </c>
    </row>
    <row r="491">
      <c r="A491" s="121">
        <v>45739.0</v>
      </c>
      <c r="B491" s="122">
        <v>46004.0</v>
      </c>
    </row>
    <row r="492">
      <c r="A492" s="121">
        <v>45740.0</v>
      </c>
      <c r="B492" s="122">
        <v>45679.0</v>
      </c>
    </row>
    <row r="493">
      <c r="A493" s="121">
        <v>45741.0</v>
      </c>
    </row>
    <row r="494">
      <c r="A494" s="121">
        <v>45742.0</v>
      </c>
      <c r="B494" s="122">
        <v>45893.0</v>
      </c>
    </row>
    <row r="495">
      <c r="A495" s="121">
        <v>45743.0</v>
      </c>
      <c r="B495" s="122">
        <v>45647.0</v>
      </c>
    </row>
    <row r="496">
      <c r="A496" s="121">
        <v>45744.0</v>
      </c>
    </row>
    <row r="497">
      <c r="A497" s="121">
        <v>45745.0</v>
      </c>
      <c r="B497" s="122">
        <v>45792.0</v>
      </c>
    </row>
    <row r="498">
      <c r="A498" s="121">
        <v>45746.0</v>
      </c>
    </row>
    <row r="499">
      <c r="A499" s="121">
        <v>45747.0</v>
      </c>
    </row>
    <row r="500">
      <c r="A500" s="121">
        <v>45748.0</v>
      </c>
      <c r="B500" s="122">
        <v>45824.0</v>
      </c>
    </row>
    <row r="501">
      <c r="A501" s="121">
        <v>45749.0</v>
      </c>
      <c r="B501" s="122">
        <v>44366.0</v>
      </c>
    </row>
    <row r="502">
      <c r="A502" s="121">
        <v>45750.0</v>
      </c>
      <c r="B502" s="122">
        <v>45712.0</v>
      </c>
    </row>
    <row r="503">
      <c r="A503" s="121">
        <v>45751.0</v>
      </c>
    </row>
    <row r="504">
      <c r="A504" s="121">
        <v>45752.0</v>
      </c>
      <c r="B504" s="122">
        <v>44795.0</v>
      </c>
    </row>
    <row r="505">
      <c r="A505" s="121">
        <v>45753.0</v>
      </c>
      <c r="B505" s="122">
        <v>45910.0</v>
      </c>
    </row>
    <row r="506">
      <c r="A506" s="121">
        <v>45754.0</v>
      </c>
    </row>
    <row r="507">
      <c r="A507" s="121">
        <v>45755.0</v>
      </c>
    </row>
    <row r="508">
      <c r="A508" s="121">
        <v>45756.0</v>
      </c>
    </row>
    <row r="509">
      <c r="A509" s="121">
        <v>45757.0</v>
      </c>
      <c r="B509" s="122">
        <v>45661.0</v>
      </c>
    </row>
    <row r="510">
      <c r="A510" s="121">
        <v>45758.0</v>
      </c>
      <c r="B510" s="122">
        <v>45896.0</v>
      </c>
    </row>
    <row r="511">
      <c r="A511" s="121">
        <v>45759.0</v>
      </c>
    </row>
    <row r="512">
      <c r="A512" s="121">
        <v>45760.0</v>
      </c>
    </row>
    <row r="513">
      <c r="A513" s="121">
        <v>45761.0</v>
      </c>
      <c r="B513" s="122">
        <v>44893.0</v>
      </c>
    </row>
    <row r="514">
      <c r="A514" s="121">
        <v>45762.0</v>
      </c>
      <c r="B514" s="122">
        <v>45644.0</v>
      </c>
    </row>
    <row r="515">
      <c r="A515" s="121">
        <v>45763.0</v>
      </c>
      <c r="B515" s="122">
        <v>44767.0</v>
      </c>
    </row>
    <row r="516">
      <c r="A516" s="121">
        <v>45764.0</v>
      </c>
    </row>
    <row r="517">
      <c r="A517" s="121">
        <v>45765.0</v>
      </c>
      <c r="B517" s="122">
        <v>44494.0</v>
      </c>
    </row>
    <row r="518">
      <c r="A518" s="121">
        <v>45766.0</v>
      </c>
      <c r="B518" s="122">
        <v>45620.0</v>
      </c>
    </row>
    <row r="519">
      <c r="A519" s="121">
        <v>45767.0</v>
      </c>
      <c r="B519" s="122">
        <v>45655.0</v>
      </c>
    </row>
    <row r="520">
      <c r="A520" s="121">
        <v>45768.0</v>
      </c>
      <c r="B520" s="122">
        <v>45360.0</v>
      </c>
    </row>
    <row r="521">
      <c r="A521" s="121">
        <v>45769.0</v>
      </c>
      <c r="B521" s="122">
        <v>45601.0</v>
      </c>
    </row>
    <row r="522">
      <c r="A522" s="121">
        <v>45770.0</v>
      </c>
      <c r="B522" s="122">
        <v>45582.0</v>
      </c>
    </row>
    <row r="523">
      <c r="A523" s="121">
        <v>45771.0</v>
      </c>
      <c r="B523" s="122">
        <v>45738.0</v>
      </c>
    </row>
    <row r="524">
      <c r="A524" s="121">
        <v>45772.0</v>
      </c>
    </row>
    <row r="525">
      <c r="A525" s="121">
        <v>45773.0</v>
      </c>
    </row>
    <row r="526">
      <c r="A526" s="121">
        <v>45774.0</v>
      </c>
      <c r="B526" s="122">
        <v>45964.0</v>
      </c>
    </row>
    <row r="527">
      <c r="A527" s="121">
        <v>45775.0</v>
      </c>
      <c r="B527" s="122">
        <v>45608.0</v>
      </c>
    </row>
    <row r="528">
      <c r="A528" s="121">
        <v>45776.0</v>
      </c>
      <c r="B528" s="122">
        <v>45828.0</v>
      </c>
    </row>
    <row r="529">
      <c r="A529" s="121">
        <v>45777.0</v>
      </c>
      <c r="B529" s="122">
        <v>45685.0</v>
      </c>
    </row>
    <row r="530">
      <c r="A530" s="121">
        <v>45778.0</v>
      </c>
      <c r="B530" s="122">
        <v>45890.0</v>
      </c>
    </row>
    <row r="531">
      <c r="A531" s="121">
        <v>45779.0</v>
      </c>
      <c r="B531" s="122">
        <v>45684.0</v>
      </c>
    </row>
    <row r="532">
      <c r="A532" s="121">
        <v>45780.0</v>
      </c>
    </row>
    <row r="533">
      <c r="A533" s="121">
        <v>45781.0</v>
      </c>
    </row>
    <row r="534">
      <c r="A534" s="121">
        <v>45782.0</v>
      </c>
      <c r="B534" s="122">
        <v>45630.0</v>
      </c>
    </row>
    <row r="535">
      <c r="A535" s="121">
        <v>45783.0</v>
      </c>
      <c r="B535" s="122">
        <v>45598.0</v>
      </c>
    </row>
    <row r="536">
      <c r="A536" s="121">
        <v>45784.0</v>
      </c>
      <c r="B536" s="122">
        <v>46028.0</v>
      </c>
    </row>
    <row r="537">
      <c r="A537" s="121">
        <v>45785.0</v>
      </c>
      <c r="B537" s="122">
        <v>45636.0</v>
      </c>
    </row>
    <row r="538">
      <c r="A538" s="121">
        <v>45786.0</v>
      </c>
    </row>
    <row r="539">
      <c r="A539" s="121">
        <v>45787.0</v>
      </c>
      <c r="B539" s="122">
        <v>45814.0</v>
      </c>
    </row>
    <row r="540">
      <c r="A540" s="121">
        <v>46027.0</v>
      </c>
    </row>
    <row r="541">
      <c r="A541" s="121">
        <v>46028.0</v>
      </c>
    </row>
    <row r="542">
      <c r="A542" s="121">
        <v>46029.0</v>
      </c>
    </row>
    <row r="543">
      <c r="A543" s="121">
        <v>46030.0</v>
      </c>
      <c r="B543" s="122">
        <v>45650.0</v>
      </c>
    </row>
    <row r="544">
      <c r="A544" s="121">
        <v>46031.0</v>
      </c>
      <c r="B544" s="122">
        <v>45652.0</v>
      </c>
    </row>
    <row r="545">
      <c r="A545" s="121">
        <v>46032.0</v>
      </c>
    </row>
    <row r="546">
      <c r="A546" s="121">
        <v>46033.0</v>
      </c>
    </row>
    <row r="547">
      <c r="A547" s="121">
        <v>46034.0</v>
      </c>
    </row>
    <row r="548">
      <c r="A548" s="121">
        <v>46035.0</v>
      </c>
    </row>
    <row r="549">
      <c r="A549" s="121">
        <v>46036.0</v>
      </c>
    </row>
    <row r="550">
      <c r="A550" s="121">
        <v>46037.0</v>
      </c>
      <c r="B550" s="122">
        <v>45777.0</v>
      </c>
    </row>
    <row r="551">
      <c r="A551" s="121">
        <v>46038.0</v>
      </c>
    </row>
    <row r="552">
      <c r="A552" s="121">
        <v>46039.0</v>
      </c>
    </row>
    <row r="553">
      <c r="A553" s="121">
        <v>46040.0</v>
      </c>
      <c r="B553" s="122">
        <v>45432.0</v>
      </c>
    </row>
    <row r="554">
      <c r="A554" s="121">
        <v>46041.0</v>
      </c>
      <c r="B554" s="122">
        <v>45749.0</v>
      </c>
    </row>
    <row r="555">
      <c r="A555" s="121">
        <v>46042.0</v>
      </c>
      <c r="B555" s="122">
        <v>45742.0</v>
      </c>
    </row>
    <row r="556">
      <c r="A556" s="121">
        <v>46043.0</v>
      </c>
    </row>
    <row r="557">
      <c r="A557" s="121">
        <v>46044.0</v>
      </c>
      <c r="B557" s="122">
        <v>45436.0</v>
      </c>
    </row>
    <row r="558">
      <c r="A558" s="121">
        <v>46045.0</v>
      </c>
    </row>
    <row r="559">
      <c r="A559" s="121">
        <v>46046.0</v>
      </c>
      <c r="B559" s="122">
        <v>44759.0</v>
      </c>
    </row>
    <row r="560">
      <c r="A560" s="121">
        <v>46047.0</v>
      </c>
    </row>
    <row r="561">
      <c r="A561" s="121">
        <v>46048.0</v>
      </c>
    </row>
    <row r="562">
      <c r="A562" s="121">
        <v>46049.0</v>
      </c>
      <c r="B562" s="122">
        <v>45465.0</v>
      </c>
    </row>
    <row r="563">
      <c r="A563" s="121">
        <v>46050.0</v>
      </c>
      <c r="B563" s="122">
        <v>44569.0</v>
      </c>
    </row>
    <row r="564">
      <c r="A564" s="121">
        <v>46051.0</v>
      </c>
    </row>
    <row r="565">
      <c r="A565" s="121">
        <v>46052.0</v>
      </c>
    </row>
    <row r="566">
      <c r="A566" s="121">
        <v>46053.0</v>
      </c>
    </row>
    <row r="567">
      <c r="A567" s="121">
        <v>46054.0</v>
      </c>
    </row>
    <row r="568">
      <c r="A568" s="121">
        <v>46055.0</v>
      </c>
    </row>
    <row r="569">
      <c r="A569" s="121">
        <v>46056.0</v>
      </c>
      <c r="B569" s="122">
        <v>45244.0</v>
      </c>
    </row>
    <row r="570">
      <c r="A570" s="121">
        <v>46057.0</v>
      </c>
      <c r="B570" s="122">
        <v>44426.0</v>
      </c>
    </row>
    <row r="571">
      <c r="A571" s="121">
        <v>46058.0</v>
      </c>
    </row>
    <row r="572">
      <c r="A572" s="121">
        <v>46059.0</v>
      </c>
    </row>
    <row r="573">
      <c r="A573" s="121">
        <v>46060.0</v>
      </c>
    </row>
    <row r="574">
      <c r="A574" s="121">
        <v>46061.0</v>
      </c>
    </row>
    <row r="575">
      <c r="A575" s="121">
        <v>46062.0</v>
      </c>
      <c r="B575" s="122">
        <v>45667.0</v>
      </c>
    </row>
    <row r="576">
      <c r="A576" s="121">
        <v>46063.0</v>
      </c>
    </row>
    <row r="577">
      <c r="A577" s="121">
        <v>46064.0</v>
      </c>
    </row>
    <row r="578">
      <c r="A578" s="121">
        <v>46065.0</v>
      </c>
      <c r="B578" s="122">
        <v>45259.0</v>
      </c>
    </row>
    <row r="579">
      <c r="A579" s="121">
        <v>46066.0</v>
      </c>
    </row>
    <row r="580">
      <c r="A580" s="121">
        <v>46067.0</v>
      </c>
      <c r="B580" s="122">
        <v>45404.0</v>
      </c>
    </row>
    <row r="581">
      <c r="A581" s="121">
        <v>46068.0</v>
      </c>
      <c r="B581" s="122">
        <v>45520.0</v>
      </c>
    </row>
    <row r="582">
      <c r="A582" s="121">
        <v>46069.0</v>
      </c>
      <c r="B582" s="122">
        <v>45758.0</v>
      </c>
    </row>
    <row r="583">
      <c r="A583" s="121">
        <v>46070.0</v>
      </c>
    </row>
    <row r="584">
      <c r="A584" s="121">
        <v>46071.0</v>
      </c>
      <c r="B584" s="122">
        <v>45656.0</v>
      </c>
    </row>
    <row r="585">
      <c r="A585" s="121">
        <v>46072.0</v>
      </c>
      <c r="B585" s="122">
        <v>45469.0</v>
      </c>
    </row>
    <row r="586">
      <c r="A586" s="121">
        <v>46073.0</v>
      </c>
    </row>
    <row r="587">
      <c r="A587" s="121">
        <v>46074.0</v>
      </c>
    </row>
    <row r="588">
      <c r="A588" s="121">
        <v>46075.0</v>
      </c>
    </row>
    <row r="589">
      <c r="A589" s="121">
        <v>46076.0</v>
      </c>
    </row>
    <row r="590">
      <c r="A590" s="121">
        <v>46077.0</v>
      </c>
    </row>
    <row r="591">
      <c r="A591" s="121">
        <v>46078.0</v>
      </c>
      <c r="B591" s="122">
        <v>45753.0</v>
      </c>
    </row>
    <row r="592">
      <c r="A592" s="121">
        <v>46079.0</v>
      </c>
    </row>
    <row r="593">
      <c r="A593" s="121">
        <v>46080.0</v>
      </c>
    </row>
    <row r="594">
      <c r="A594" s="121">
        <v>46081.0</v>
      </c>
      <c r="B594" s="122">
        <v>45710.0</v>
      </c>
    </row>
    <row r="595">
      <c r="A595" s="121">
        <v>46082.0</v>
      </c>
    </row>
    <row r="596">
      <c r="A596" s="121">
        <v>46083.0</v>
      </c>
    </row>
    <row r="597">
      <c r="A597" s="121">
        <v>46117.0</v>
      </c>
    </row>
    <row r="598">
      <c r="A598" s="121">
        <v>46118.0</v>
      </c>
      <c r="B598" s="122">
        <v>45808.0</v>
      </c>
    </row>
    <row r="599">
      <c r="A599" s="121">
        <v>46119.0</v>
      </c>
    </row>
    <row r="600">
      <c r="A600" s="121">
        <v>46120.0</v>
      </c>
    </row>
    <row r="601">
      <c r="A601" s="121">
        <v>46121.0</v>
      </c>
      <c r="B601" s="122">
        <v>45664.0</v>
      </c>
    </row>
    <row r="602">
      <c r="A602" s="121">
        <v>46122.0</v>
      </c>
      <c r="B602" s="122">
        <v>45717.0</v>
      </c>
    </row>
    <row r="603">
      <c r="A603" s="121">
        <v>46123.0</v>
      </c>
    </row>
    <row r="604">
      <c r="A604" s="121">
        <v>46124.0</v>
      </c>
    </row>
    <row r="605">
      <c r="A605" s="121">
        <v>46125.0</v>
      </c>
      <c r="B605" s="122">
        <v>45917.0</v>
      </c>
    </row>
    <row r="606">
      <c r="A606" s="121">
        <v>46126.0</v>
      </c>
      <c r="B606" s="122">
        <v>45760.0</v>
      </c>
    </row>
    <row r="607">
      <c r="A607" s="121">
        <v>46127.0</v>
      </c>
    </row>
    <row r="608">
      <c r="A608" s="121">
        <v>46128.0</v>
      </c>
    </row>
    <row r="609">
      <c r="A609" s="121">
        <v>46129.0</v>
      </c>
    </row>
    <row r="610">
      <c r="A610" s="121">
        <v>46130.0</v>
      </c>
    </row>
    <row r="611">
      <c r="A611" s="121">
        <v>46131.0</v>
      </c>
    </row>
    <row r="612">
      <c r="A612" s="121">
        <v>46132.0</v>
      </c>
      <c r="B612" s="122">
        <v>45682.0</v>
      </c>
    </row>
    <row r="613">
      <c r="A613" s="121">
        <v>46133.0</v>
      </c>
      <c r="B613" s="122">
        <v>45713.0</v>
      </c>
    </row>
    <row r="614">
      <c r="A614" s="121">
        <v>46134.0</v>
      </c>
      <c r="B614" s="122">
        <v>45259.0</v>
      </c>
    </row>
    <row r="615">
      <c r="A615" s="121">
        <v>46135.0</v>
      </c>
      <c r="B615" s="122">
        <v>45878.0</v>
      </c>
    </row>
    <row r="616">
      <c r="A616" s="121">
        <v>46136.0</v>
      </c>
      <c r="B616" s="122">
        <v>45993.0</v>
      </c>
    </row>
    <row r="617">
      <c r="A617" s="121">
        <v>46137.0</v>
      </c>
      <c r="B617" s="122">
        <v>45925.0</v>
      </c>
    </row>
    <row r="618">
      <c r="A618" s="121">
        <v>46138.0</v>
      </c>
      <c r="B618" s="122">
        <v>45751.0</v>
      </c>
    </row>
    <row r="619">
      <c r="A619" s="121">
        <v>46139.0</v>
      </c>
      <c r="B619" s="122">
        <v>44409.0</v>
      </c>
    </row>
    <row r="620">
      <c r="A620" s="121">
        <v>46140.0</v>
      </c>
      <c r="B620" s="122">
        <v>45693.0</v>
      </c>
    </row>
    <row r="621">
      <c r="A621" s="121">
        <v>46141.0</v>
      </c>
    </row>
    <row r="622">
      <c r="A622" s="121">
        <v>46142.0</v>
      </c>
    </row>
    <row r="623">
      <c r="A623" s="121">
        <v>46143.0</v>
      </c>
      <c r="B623" s="122">
        <v>44596.0</v>
      </c>
    </row>
    <row r="624">
      <c r="A624" s="121">
        <v>46144.0</v>
      </c>
    </row>
    <row r="625">
      <c r="A625" s="121">
        <v>46145.0</v>
      </c>
      <c r="B625" s="122">
        <v>44469.0</v>
      </c>
    </row>
    <row r="626">
      <c r="A626" s="121">
        <v>46146.0</v>
      </c>
    </row>
    <row r="627">
      <c r="A627" s="121">
        <v>46147.0</v>
      </c>
      <c r="B627" s="122">
        <v>45687.0</v>
      </c>
    </row>
    <row r="628">
      <c r="A628" s="121">
        <v>46148.0</v>
      </c>
      <c r="B628" s="122">
        <v>45787.0</v>
      </c>
    </row>
    <row r="629">
      <c r="A629" s="121">
        <v>46149.0</v>
      </c>
      <c r="B629" s="122">
        <v>45601.0</v>
      </c>
    </row>
    <row r="630">
      <c r="A630" s="121">
        <v>46150.0</v>
      </c>
    </row>
    <row r="631">
      <c r="A631" s="121">
        <v>46151.0</v>
      </c>
      <c r="B631" s="122">
        <v>45813.0</v>
      </c>
    </row>
    <row r="632">
      <c r="A632" s="121">
        <v>46152.0</v>
      </c>
      <c r="B632" s="122">
        <v>45540.0</v>
      </c>
    </row>
    <row r="633">
      <c r="A633" s="121">
        <v>46153.0</v>
      </c>
      <c r="B633" s="122">
        <v>45922.0</v>
      </c>
    </row>
    <row r="634">
      <c r="A634" s="121">
        <v>46154.0</v>
      </c>
    </row>
    <row r="635">
      <c r="A635" s="121">
        <v>46155.0</v>
      </c>
    </row>
    <row r="636">
      <c r="A636" s="121">
        <v>46156.0</v>
      </c>
    </row>
    <row r="637">
      <c r="A637" s="121">
        <v>46157.0</v>
      </c>
    </row>
    <row r="638">
      <c r="A638" s="121">
        <v>46158.0</v>
      </c>
      <c r="B638" s="122">
        <v>45467.0</v>
      </c>
    </row>
    <row r="639">
      <c r="A639" s="121">
        <v>46159.0</v>
      </c>
    </row>
    <row r="640">
      <c r="A640" s="121">
        <v>46160.0</v>
      </c>
    </row>
    <row r="641">
      <c r="A641" s="121">
        <v>46161.0</v>
      </c>
      <c r="B641" s="122">
        <v>45822.0</v>
      </c>
    </row>
    <row r="642">
      <c r="A642" s="121">
        <v>46162.0</v>
      </c>
      <c r="B642" s="122">
        <v>45715.0</v>
      </c>
    </row>
    <row r="643">
      <c r="A643" s="121">
        <v>46163.0</v>
      </c>
      <c r="B643" s="122">
        <v>45785.0</v>
      </c>
    </row>
    <row r="644">
      <c r="A644" s="121">
        <v>46164.0</v>
      </c>
    </row>
    <row r="645">
      <c r="A645" s="121">
        <v>46165.0</v>
      </c>
      <c r="B645" s="122">
        <v>45432.0</v>
      </c>
    </row>
    <row r="646">
      <c r="A646" s="121">
        <v>46166.0</v>
      </c>
      <c r="B646" s="122">
        <v>45477.0</v>
      </c>
    </row>
    <row r="647">
      <c r="A647" s="121">
        <v>46167.0</v>
      </c>
    </row>
    <row r="648">
      <c r="A648" s="121">
        <v>46168.0</v>
      </c>
    </row>
    <row r="649">
      <c r="A649" s="121">
        <v>46169.0</v>
      </c>
      <c r="B649" s="122">
        <v>45959.0</v>
      </c>
    </row>
    <row r="650">
      <c r="A650" s="121">
        <v>46170.0</v>
      </c>
      <c r="B650" s="122">
        <v>44451.0</v>
      </c>
    </row>
    <row r="651">
      <c r="A651" s="121">
        <v>46171.0</v>
      </c>
    </row>
    <row r="652">
      <c r="A652" s="121">
        <v>46172.0</v>
      </c>
    </row>
    <row r="653">
      <c r="A653" s="121">
        <v>46173.0</v>
      </c>
    </row>
    <row r="654">
      <c r="A654" s="121">
        <v>46174.0</v>
      </c>
    </row>
    <row r="655">
      <c r="A655" s="121">
        <v>46325.0</v>
      </c>
      <c r="B655" s="122">
        <v>46016.0</v>
      </c>
    </row>
    <row r="656">
      <c r="A656" s="121">
        <v>46326.0</v>
      </c>
    </row>
    <row r="657">
      <c r="A657" s="121">
        <v>46327.0</v>
      </c>
      <c r="B657" s="122">
        <v>45851.0</v>
      </c>
    </row>
    <row r="658">
      <c r="A658" s="121">
        <v>46328.0</v>
      </c>
    </row>
    <row r="659">
      <c r="A659" s="121">
        <v>46329.0</v>
      </c>
    </row>
    <row r="660">
      <c r="A660" s="121">
        <v>46330.0</v>
      </c>
    </row>
    <row r="661">
      <c r="A661" s="121">
        <v>46331.0</v>
      </c>
    </row>
    <row r="662">
      <c r="A662" s="121">
        <v>46332.0</v>
      </c>
      <c r="B662" s="122">
        <v>45580.0</v>
      </c>
    </row>
    <row r="663">
      <c r="A663" s="121">
        <v>46333.0</v>
      </c>
    </row>
    <row r="664">
      <c r="A664" s="121">
        <v>46334.0</v>
      </c>
      <c r="B664" s="122">
        <v>45701.0</v>
      </c>
    </row>
    <row r="665">
      <c r="A665" s="121">
        <v>46335.0</v>
      </c>
    </row>
    <row r="666">
      <c r="A666" s="121">
        <v>46336.0</v>
      </c>
    </row>
    <row r="667">
      <c r="A667" s="121">
        <v>46337.0</v>
      </c>
    </row>
    <row r="668">
      <c r="A668" s="121">
        <v>46338.0</v>
      </c>
    </row>
    <row r="669">
      <c r="A669" s="121">
        <v>46339.0</v>
      </c>
      <c r="B669" s="122">
        <v>44534.0</v>
      </c>
    </row>
    <row r="670">
      <c r="A670" s="121">
        <v>46340.0</v>
      </c>
    </row>
    <row r="671">
      <c r="A671" s="121">
        <v>46341.0</v>
      </c>
      <c r="B671" s="122">
        <v>45700.0</v>
      </c>
    </row>
    <row r="672">
      <c r="A672" s="121">
        <v>46342.0</v>
      </c>
    </row>
    <row r="673">
      <c r="A673" s="121">
        <v>46343.0</v>
      </c>
    </row>
    <row r="674">
      <c r="A674" s="121">
        <v>46344.0</v>
      </c>
    </row>
    <row r="675">
      <c r="A675" s="121">
        <v>46345.0</v>
      </c>
    </row>
    <row r="676">
      <c r="A676" s="121">
        <v>46346.0</v>
      </c>
      <c r="B676" s="122">
        <v>45087.0</v>
      </c>
    </row>
    <row r="677">
      <c r="A677" s="121">
        <v>46347.0</v>
      </c>
    </row>
    <row r="678">
      <c r="A678" s="121">
        <v>46348.0</v>
      </c>
    </row>
    <row r="679">
      <c r="A679" s="121">
        <v>46349.0</v>
      </c>
    </row>
    <row r="680">
      <c r="A680" s="121">
        <v>46350.0</v>
      </c>
      <c r="B680" s="122">
        <v>45450.0</v>
      </c>
    </row>
    <row r="681">
      <c r="A681" s="121">
        <v>46351.0</v>
      </c>
    </row>
    <row r="682">
      <c r="A682" s="121">
        <v>46352.0</v>
      </c>
    </row>
    <row r="683">
      <c r="A683" s="121">
        <v>46353.0</v>
      </c>
    </row>
    <row r="684">
      <c r="A684" s="121">
        <v>46354.0</v>
      </c>
    </row>
    <row r="685">
      <c r="A685" s="121">
        <v>46355.0</v>
      </c>
    </row>
    <row r="686">
      <c r="A686" s="121">
        <v>46356.0</v>
      </c>
    </row>
    <row r="687">
      <c r="A687" s="121">
        <v>46357.0</v>
      </c>
    </row>
    <row r="688">
      <c r="A688" s="121">
        <v>46358.0</v>
      </c>
      <c r="B688" s="122">
        <v>45594.0</v>
      </c>
    </row>
    <row r="689">
      <c r="A689" s="121">
        <v>46359.0</v>
      </c>
    </row>
    <row r="690">
      <c r="A690" s="121">
        <v>46360.0</v>
      </c>
      <c r="B690" s="122">
        <v>45940.0</v>
      </c>
    </row>
    <row r="691">
      <c r="A691" s="121">
        <v>46361.0</v>
      </c>
      <c r="B691" s="122">
        <v>45703.0</v>
      </c>
    </row>
    <row r="692">
      <c r="A692" s="121">
        <v>46362.0</v>
      </c>
    </row>
    <row r="693">
      <c r="A693" s="121">
        <v>46363.0</v>
      </c>
      <c r="B693" s="122">
        <v>45802.0</v>
      </c>
    </row>
    <row r="694">
      <c r="A694" s="121">
        <v>46364.0</v>
      </c>
      <c r="B694" s="122">
        <v>45718.0</v>
      </c>
    </row>
    <row r="695">
      <c r="A695" s="121">
        <v>46365.0</v>
      </c>
      <c r="B695" s="122">
        <v>45378.0</v>
      </c>
    </row>
    <row r="696">
      <c r="A696" s="121">
        <v>46366.0</v>
      </c>
    </row>
    <row r="697">
      <c r="A697" s="121">
        <v>46367.0</v>
      </c>
      <c r="B697" s="122">
        <v>44402.0</v>
      </c>
    </row>
    <row r="698">
      <c r="A698" s="121">
        <v>46368.0</v>
      </c>
      <c r="B698" s="122">
        <v>45514.0</v>
      </c>
    </row>
    <row r="699">
      <c r="A699" s="121">
        <v>46369.0</v>
      </c>
      <c r="B699" s="122">
        <v>44523.0</v>
      </c>
    </row>
    <row r="700">
      <c r="A700" s="121">
        <v>46370.0</v>
      </c>
      <c r="B700" s="122">
        <v>45696.0</v>
      </c>
    </row>
    <row r="701">
      <c r="A701" s="121">
        <v>46371.0</v>
      </c>
      <c r="B701" s="122">
        <v>45508.0</v>
      </c>
    </row>
    <row r="702">
      <c r="A702" s="121">
        <v>46372.0</v>
      </c>
      <c r="B702" s="122">
        <v>45907.0</v>
      </c>
    </row>
    <row r="703">
      <c r="A703" s="121">
        <v>46373.0</v>
      </c>
      <c r="B703" s="122">
        <v>44425.0</v>
      </c>
    </row>
    <row r="704">
      <c r="A704" s="121">
        <v>46374.0</v>
      </c>
      <c r="B704" s="122">
        <v>45709.0</v>
      </c>
    </row>
    <row r="705">
      <c r="A705" s="121">
        <v>46375.0</v>
      </c>
    </row>
    <row r="706">
      <c r="A706" s="121">
        <v>46376.0</v>
      </c>
    </row>
    <row r="707">
      <c r="A707" s="121">
        <v>46377.0</v>
      </c>
      <c r="B707" s="122">
        <v>44428.0</v>
      </c>
    </row>
    <row r="708">
      <c r="A708" s="121">
        <v>46378.0</v>
      </c>
      <c r="B708" s="122">
        <v>44601.0</v>
      </c>
    </row>
    <row r="709">
      <c r="A709" s="121">
        <v>46379.0</v>
      </c>
      <c r="B709" s="122">
        <v>44492.0</v>
      </c>
    </row>
    <row r="710">
      <c r="A710" s="121">
        <v>46380.0</v>
      </c>
      <c r="B710" s="122">
        <v>45697.0</v>
      </c>
    </row>
    <row r="711">
      <c r="A711" s="121">
        <v>46381.0</v>
      </c>
      <c r="B711" s="122">
        <v>44451.0</v>
      </c>
    </row>
    <row r="712">
      <c r="A712" s="121">
        <v>46382.0</v>
      </c>
    </row>
    <row r="713">
      <c r="A713" s="121">
        <v>46383.0</v>
      </c>
    </row>
    <row r="714">
      <c r="A714" s="121">
        <v>46384.0</v>
      </c>
    </row>
    <row r="715">
      <c r="A715" s="121">
        <v>46532.0</v>
      </c>
      <c r="B715" s="122">
        <v>45700.0</v>
      </c>
    </row>
    <row r="716">
      <c r="A716" s="121">
        <v>46533.0</v>
      </c>
    </row>
    <row r="717">
      <c r="A717" s="121">
        <v>46534.0</v>
      </c>
      <c r="B717" s="122">
        <v>45783.0</v>
      </c>
    </row>
    <row r="718">
      <c r="A718" s="121">
        <v>46535.0</v>
      </c>
    </row>
    <row r="719">
      <c r="A719" s="121">
        <v>46536.0</v>
      </c>
      <c r="B719" s="122">
        <v>44602.0</v>
      </c>
    </row>
    <row r="720">
      <c r="A720" s="121">
        <v>46537.0</v>
      </c>
    </row>
    <row r="721">
      <c r="A721" s="121">
        <v>46538.0</v>
      </c>
    </row>
    <row r="722">
      <c r="A722" s="121">
        <v>46539.0</v>
      </c>
      <c r="B722" s="122">
        <v>44647.0</v>
      </c>
    </row>
    <row r="723">
      <c r="A723" s="121">
        <v>46540.0</v>
      </c>
      <c r="B723" s="122">
        <v>44437.0</v>
      </c>
    </row>
    <row r="724">
      <c r="A724" s="121">
        <v>46541.0</v>
      </c>
    </row>
    <row r="725">
      <c r="A725" s="121">
        <v>46542.0</v>
      </c>
      <c r="B725" s="122">
        <v>45999.0</v>
      </c>
    </row>
    <row r="726">
      <c r="A726" s="121">
        <v>46543.0</v>
      </c>
      <c r="B726" s="122">
        <v>45885.0</v>
      </c>
    </row>
    <row r="727">
      <c r="A727" s="121">
        <v>46544.0</v>
      </c>
      <c r="B727" s="122">
        <v>45785.0</v>
      </c>
    </row>
    <row r="728">
      <c r="A728" s="121">
        <v>46545.0</v>
      </c>
      <c r="B728" s="122">
        <v>45776.0</v>
      </c>
    </row>
    <row r="729">
      <c r="A729" s="121">
        <v>46546.0</v>
      </c>
      <c r="B729" s="122">
        <v>45753.0</v>
      </c>
    </row>
    <row r="730">
      <c r="A730" s="121">
        <v>46547.0</v>
      </c>
      <c r="B730" s="122">
        <v>45542.0</v>
      </c>
    </row>
    <row r="731">
      <c r="A731" s="121">
        <v>46548.0</v>
      </c>
      <c r="B731" s="122">
        <v>45584.0</v>
      </c>
    </row>
    <row r="732">
      <c r="A732" s="121">
        <v>46549.0</v>
      </c>
      <c r="B732" s="122">
        <v>46048.0</v>
      </c>
    </row>
    <row r="733">
      <c r="A733" s="121">
        <v>46550.0</v>
      </c>
      <c r="B733" s="122">
        <v>45716.0</v>
      </c>
    </row>
    <row r="734">
      <c r="A734" s="121">
        <v>46551.0</v>
      </c>
      <c r="B734" s="122">
        <v>44261.0</v>
      </c>
    </row>
    <row r="735">
      <c r="A735" s="121">
        <v>46552.0</v>
      </c>
      <c r="B735" s="122">
        <v>45009.0</v>
      </c>
    </row>
    <row r="736">
      <c r="A736" s="121">
        <v>46553.0</v>
      </c>
    </row>
    <row r="737">
      <c r="A737" s="121">
        <v>46554.0</v>
      </c>
      <c r="B737" s="122">
        <v>45708.0</v>
      </c>
    </row>
    <row r="738">
      <c r="A738" s="121">
        <v>46555.0</v>
      </c>
      <c r="B738" s="122">
        <v>44542.0</v>
      </c>
    </row>
    <row r="739">
      <c r="A739" s="121">
        <v>46556.0</v>
      </c>
    </row>
    <row r="740">
      <c r="A740" s="121">
        <v>46557.0</v>
      </c>
    </row>
    <row r="741">
      <c r="A741" s="121">
        <v>46558.0</v>
      </c>
    </row>
    <row r="742">
      <c r="A742" s="121">
        <v>46559.0</v>
      </c>
    </row>
    <row r="743">
      <c r="A743" s="121">
        <v>46560.0</v>
      </c>
      <c r="B743" s="122">
        <v>45093.0</v>
      </c>
    </row>
    <row r="744">
      <c r="A744" s="121">
        <v>46561.0</v>
      </c>
      <c r="B744" s="122">
        <v>45697.0</v>
      </c>
    </row>
    <row r="745">
      <c r="A745" s="121">
        <v>46562.0</v>
      </c>
    </row>
    <row r="746">
      <c r="A746" s="121">
        <v>46563.0</v>
      </c>
    </row>
    <row r="747">
      <c r="A747" s="121">
        <v>46564.0</v>
      </c>
    </row>
    <row r="748">
      <c r="A748" s="121">
        <v>46565.0</v>
      </c>
    </row>
    <row r="749">
      <c r="A749" s="121">
        <v>46566.0</v>
      </c>
      <c r="B749" s="122">
        <v>46051.0</v>
      </c>
    </row>
    <row r="750">
      <c r="A750" s="121">
        <v>46567.0</v>
      </c>
    </row>
    <row r="751">
      <c r="A751" s="121">
        <v>46568.0</v>
      </c>
      <c r="B751" s="122">
        <v>44661.0</v>
      </c>
    </row>
    <row r="752">
      <c r="A752" s="121">
        <v>46569.0</v>
      </c>
      <c r="B752" s="122">
        <v>45358.0</v>
      </c>
    </row>
    <row r="753">
      <c r="A753" s="121">
        <v>46570.0</v>
      </c>
      <c r="B753" s="122">
        <v>45583.0</v>
      </c>
    </row>
    <row r="754">
      <c r="A754" s="121">
        <v>46571.0</v>
      </c>
      <c r="B754" s="122">
        <v>44681.0</v>
      </c>
    </row>
    <row r="755">
      <c r="A755" s="121">
        <v>46572.0</v>
      </c>
    </row>
    <row r="756">
      <c r="A756" s="121">
        <v>46573.0</v>
      </c>
      <c r="B756" s="122">
        <v>45104.0</v>
      </c>
    </row>
    <row r="757">
      <c r="A757" s="121">
        <v>46574.0</v>
      </c>
      <c r="B757" s="122">
        <v>45916.0</v>
      </c>
    </row>
    <row r="758">
      <c r="A758" s="121">
        <v>46575.0</v>
      </c>
      <c r="B758" s="122">
        <v>45988.0</v>
      </c>
    </row>
    <row r="759">
      <c r="A759" s="121">
        <v>46576.0</v>
      </c>
    </row>
    <row r="760">
      <c r="A760" s="121">
        <v>46577.0</v>
      </c>
      <c r="B760" s="122">
        <v>45718.0</v>
      </c>
    </row>
    <row r="761">
      <c r="A761" s="121">
        <v>46578.0</v>
      </c>
    </row>
    <row r="762">
      <c r="A762" s="121">
        <v>46579.0</v>
      </c>
      <c r="B762" s="122">
        <v>46045.0</v>
      </c>
    </row>
    <row r="763">
      <c r="A763" s="121">
        <v>46580.0</v>
      </c>
      <c r="B763" s="122">
        <v>45820.0</v>
      </c>
    </row>
    <row r="764">
      <c r="A764" s="121">
        <v>46581.0</v>
      </c>
    </row>
    <row r="765">
      <c r="A765" s="121">
        <v>46582.0</v>
      </c>
    </row>
    <row r="766">
      <c r="A766" s="121">
        <v>46583.0</v>
      </c>
      <c r="B766" s="122">
        <v>45688.0</v>
      </c>
    </row>
    <row r="767">
      <c r="A767" s="121">
        <v>46584.0</v>
      </c>
      <c r="B767" s="122">
        <v>45714.0</v>
      </c>
    </row>
    <row r="768">
      <c r="A768" s="121">
        <v>46585.0</v>
      </c>
    </row>
    <row r="769">
      <c r="A769" s="121">
        <v>46586.0</v>
      </c>
      <c r="B769" s="122">
        <v>45696.0</v>
      </c>
    </row>
    <row r="770">
      <c r="A770" s="121">
        <v>46587.0</v>
      </c>
      <c r="B770" s="122">
        <v>44395.0</v>
      </c>
    </row>
    <row r="771">
      <c r="A771" s="121">
        <v>46588.0</v>
      </c>
    </row>
    <row r="772">
      <c r="A772" s="121">
        <v>46589.0</v>
      </c>
      <c r="B772" s="122">
        <v>45735.0</v>
      </c>
    </row>
    <row r="773">
      <c r="A773" s="121">
        <v>46590.0</v>
      </c>
      <c r="B773" s="122">
        <v>44668.0</v>
      </c>
    </row>
    <row r="774">
      <c r="A774" s="121">
        <v>46591.0</v>
      </c>
      <c r="B774" s="122">
        <v>45711.0</v>
      </c>
    </row>
    <row r="775">
      <c r="A775" s="121">
        <v>46670.0</v>
      </c>
      <c r="B775" s="122">
        <v>44129.0</v>
      </c>
    </row>
    <row r="776">
      <c r="A776" s="121">
        <v>46671.0</v>
      </c>
      <c r="B776" s="122">
        <v>45723.0</v>
      </c>
    </row>
    <row r="777">
      <c r="A777" s="121">
        <v>46672.0</v>
      </c>
    </row>
    <row r="778">
      <c r="A778" s="121">
        <v>46673.0</v>
      </c>
      <c r="B778" s="122">
        <v>45527.0</v>
      </c>
    </row>
    <row r="779">
      <c r="A779" s="121">
        <v>46674.0</v>
      </c>
    </row>
    <row r="780">
      <c r="A780" s="121">
        <v>46675.0</v>
      </c>
      <c r="B780" s="122">
        <v>45663.0</v>
      </c>
    </row>
    <row r="781">
      <c r="A781" s="121">
        <v>46676.0</v>
      </c>
      <c r="B781" s="122">
        <v>44513.0</v>
      </c>
    </row>
    <row r="782">
      <c r="A782" s="121">
        <v>46677.0</v>
      </c>
      <c r="B782" s="122">
        <v>45549.0</v>
      </c>
    </row>
    <row r="783">
      <c r="A783" s="121">
        <v>46678.0</v>
      </c>
      <c r="B783" s="122">
        <v>44192.0</v>
      </c>
    </row>
    <row r="784">
      <c r="A784" s="121">
        <v>46679.0</v>
      </c>
      <c r="B784" s="122">
        <v>45881.0</v>
      </c>
    </row>
    <row r="785">
      <c r="A785" s="121">
        <v>46680.0</v>
      </c>
      <c r="B785" s="122">
        <v>45319.0</v>
      </c>
    </row>
    <row r="786">
      <c r="A786" s="121">
        <v>46681.0</v>
      </c>
    </row>
    <row r="787">
      <c r="A787" s="121">
        <v>46682.0</v>
      </c>
      <c r="B787" s="122">
        <v>45695.0</v>
      </c>
    </row>
    <row r="788">
      <c r="A788" s="121">
        <v>46683.0</v>
      </c>
      <c r="B788" s="122">
        <v>44443.0</v>
      </c>
    </row>
    <row r="789">
      <c r="A789" s="121">
        <v>46684.0</v>
      </c>
      <c r="B789" s="122">
        <v>45705.0</v>
      </c>
    </row>
    <row r="790">
      <c r="A790" s="121">
        <v>46685.0</v>
      </c>
    </row>
    <row r="791">
      <c r="A791" s="121">
        <v>46686.0</v>
      </c>
      <c r="B791" s="122">
        <v>45452.0</v>
      </c>
    </row>
    <row r="792">
      <c r="A792" s="121">
        <v>46687.0</v>
      </c>
    </row>
    <row r="793">
      <c r="A793" s="121">
        <v>46688.0</v>
      </c>
      <c r="B793" s="122">
        <v>44590.0</v>
      </c>
    </row>
    <row r="794">
      <c r="A794" s="121">
        <v>46689.0</v>
      </c>
    </row>
    <row r="795">
      <c r="A795" s="121">
        <v>46690.0</v>
      </c>
    </row>
    <row r="796">
      <c r="A796" s="121">
        <v>46691.0</v>
      </c>
    </row>
    <row r="797">
      <c r="A797" s="121">
        <v>46692.0</v>
      </c>
      <c r="B797" s="122">
        <v>45686.0</v>
      </c>
    </row>
    <row r="798">
      <c r="A798" s="121">
        <v>46693.0</v>
      </c>
      <c r="B798" s="122">
        <v>45907.0</v>
      </c>
    </row>
    <row r="799">
      <c r="A799" s="121">
        <v>46694.0</v>
      </c>
      <c r="B799" s="122">
        <v>45767.0</v>
      </c>
    </row>
    <row r="800">
      <c r="A800" s="121">
        <v>46695.0</v>
      </c>
      <c r="B800" s="122">
        <v>44468.0</v>
      </c>
    </row>
    <row r="801">
      <c r="A801" s="121">
        <v>46696.0</v>
      </c>
    </row>
    <row r="802">
      <c r="A802" s="121">
        <v>46697.0</v>
      </c>
      <c r="B802" s="122">
        <v>44445.0</v>
      </c>
    </row>
    <row r="803">
      <c r="A803" s="121">
        <v>46698.0</v>
      </c>
    </row>
    <row r="804">
      <c r="A804" s="121">
        <v>46699.0</v>
      </c>
    </row>
    <row r="805">
      <c r="A805" s="121">
        <v>46700.0</v>
      </c>
    </row>
    <row r="806">
      <c r="A806" s="121">
        <v>46701.0</v>
      </c>
    </row>
    <row r="807">
      <c r="A807" s="121">
        <v>46702.0</v>
      </c>
    </row>
    <row r="808">
      <c r="A808" s="121">
        <v>46703.0</v>
      </c>
      <c r="B808" s="122">
        <v>45771.0</v>
      </c>
    </row>
    <row r="809">
      <c r="A809" s="121">
        <v>46704.0</v>
      </c>
      <c r="B809" s="122">
        <v>45452.0</v>
      </c>
    </row>
    <row r="810">
      <c r="A810" s="121">
        <v>46705.0</v>
      </c>
    </row>
    <row r="811">
      <c r="A811" s="121">
        <v>46706.0</v>
      </c>
    </row>
    <row r="812">
      <c r="A812" s="121">
        <v>46707.0</v>
      </c>
      <c r="B812" s="122">
        <v>45771.0</v>
      </c>
    </row>
    <row r="813">
      <c r="A813" s="121">
        <v>46708.0</v>
      </c>
      <c r="B813" s="122">
        <v>44717.0</v>
      </c>
    </row>
    <row r="814">
      <c r="A814" s="121">
        <v>46709.0</v>
      </c>
    </row>
    <row r="815">
      <c r="A815" s="121">
        <v>46710.0</v>
      </c>
      <c r="B815" s="122">
        <v>45248.0</v>
      </c>
    </row>
    <row r="816">
      <c r="A816" s="121">
        <v>46711.0</v>
      </c>
      <c r="B816" s="122">
        <v>45670.0</v>
      </c>
    </row>
    <row r="817">
      <c r="A817" s="121">
        <v>46712.0</v>
      </c>
    </row>
    <row r="818">
      <c r="A818" s="121">
        <v>46713.0</v>
      </c>
    </row>
    <row r="819">
      <c r="A819" s="121">
        <v>46714.0</v>
      </c>
    </row>
    <row r="820">
      <c r="A820" s="121">
        <v>46715.0</v>
      </c>
    </row>
    <row r="821">
      <c r="A821" s="121">
        <v>46716.0</v>
      </c>
      <c r="B821" s="122">
        <v>45832.0</v>
      </c>
    </row>
    <row r="822">
      <c r="A822" s="121">
        <v>46717.0</v>
      </c>
    </row>
    <row r="823">
      <c r="A823" s="121">
        <v>46718.0</v>
      </c>
    </row>
    <row r="824">
      <c r="A824" s="121">
        <v>46719.0</v>
      </c>
      <c r="B824" s="122">
        <v>45903.0</v>
      </c>
    </row>
    <row r="825">
      <c r="A825" s="121">
        <v>46720.0</v>
      </c>
      <c r="B825" s="122">
        <v>44804.0</v>
      </c>
    </row>
    <row r="826">
      <c r="A826" s="121">
        <v>46721.0</v>
      </c>
      <c r="B826" s="122">
        <v>44472.0</v>
      </c>
    </row>
    <row r="827">
      <c r="A827" s="121">
        <v>46722.0</v>
      </c>
      <c r="B827" s="122">
        <v>45443.0</v>
      </c>
    </row>
    <row r="828">
      <c r="A828" s="121">
        <v>46723.0</v>
      </c>
    </row>
    <row r="829">
      <c r="A829" s="121">
        <v>46724.0</v>
      </c>
      <c r="B829" s="122">
        <v>44511.0</v>
      </c>
    </row>
    <row r="830">
      <c r="A830" s="121">
        <v>46725.0</v>
      </c>
    </row>
    <row r="831">
      <c r="A831" s="121">
        <v>46726.0</v>
      </c>
      <c r="B831" s="122">
        <v>45692.0</v>
      </c>
    </row>
    <row r="832">
      <c r="A832" s="121">
        <v>46727.0</v>
      </c>
    </row>
    <row r="833">
      <c r="A833" s="121">
        <v>46728.0</v>
      </c>
      <c r="B833" s="122">
        <v>44653.0</v>
      </c>
    </row>
    <row r="834">
      <c r="A834" s="121">
        <v>46729.0</v>
      </c>
      <c r="B834" s="122">
        <v>44344.0</v>
      </c>
    </row>
    <row r="835">
      <c r="A835" s="121">
        <v>46739.0</v>
      </c>
      <c r="B835" s="122">
        <v>44391.0</v>
      </c>
    </row>
    <row r="836">
      <c r="A836" s="121">
        <v>46740.0</v>
      </c>
    </row>
    <row r="837">
      <c r="A837" s="121">
        <v>46741.0</v>
      </c>
      <c r="B837" s="122">
        <v>45715.0</v>
      </c>
    </row>
    <row r="838">
      <c r="A838" s="121">
        <v>46742.0</v>
      </c>
      <c r="B838" s="122">
        <v>45031.0</v>
      </c>
    </row>
    <row r="839">
      <c r="A839" s="121">
        <v>46743.0</v>
      </c>
    </row>
    <row r="840">
      <c r="A840" s="121">
        <v>46744.0</v>
      </c>
    </row>
    <row r="841">
      <c r="A841" s="121">
        <v>46745.0</v>
      </c>
      <c r="B841" s="122">
        <v>44892.0</v>
      </c>
    </row>
    <row r="842">
      <c r="A842" s="121">
        <v>46746.0</v>
      </c>
    </row>
    <row r="843">
      <c r="A843" s="121">
        <v>46747.0</v>
      </c>
      <c r="B843" s="122">
        <v>45694.0</v>
      </c>
    </row>
    <row r="844">
      <c r="A844" s="121">
        <v>46748.0</v>
      </c>
      <c r="B844" s="122">
        <v>45691.0</v>
      </c>
    </row>
    <row r="845">
      <c r="A845" s="121">
        <v>46749.0</v>
      </c>
    </row>
    <row r="846">
      <c r="A846" s="121">
        <v>46750.0</v>
      </c>
      <c r="B846" s="122">
        <v>44141.0</v>
      </c>
    </row>
    <row r="847">
      <c r="A847" s="121">
        <v>46751.0</v>
      </c>
      <c r="B847" s="122">
        <v>45777.0</v>
      </c>
    </row>
    <row r="848">
      <c r="A848" s="121">
        <v>46752.0</v>
      </c>
      <c r="B848" s="122">
        <v>45695.0</v>
      </c>
    </row>
    <row r="849">
      <c r="A849" s="121">
        <v>46753.0</v>
      </c>
    </row>
    <row r="850">
      <c r="A850" s="121">
        <v>46754.0</v>
      </c>
      <c r="B850" s="122">
        <v>45628.0</v>
      </c>
    </row>
    <row r="851">
      <c r="A851" s="121">
        <v>46755.0</v>
      </c>
      <c r="B851" s="122">
        <v>45853.0</v>
      </c>
    </row>
    <row r="852">
      <c r="A852" s="121">
        <v>46756.0</v>
      </c>
      <c r="B852" s="122">
        <v>45740.0</v>
      </c>
    </row>
    <row r="853">
      <c r="A853" s="121">
        <v>46757.0</v>
      </c>
      <c r="B853" s="122">
        <v>45598.0</v>
      </c>
    </row>
    <row r="854">
      <c r="A854" s="121">
        <v>46758.0</v>
      </c>
    </row>
    <row r="855">
      <c r="A855" s="121">
        <v>46759.0</v>
      </c>
      <c r="B855" s="122">
        <v>45794.0</v>
      </c>
    </row>
    <row r="856">
      <c r="A856" s="121">
        <v>46760.0</v>
      </c>
      <c r="B856" s="122">
        <v>45682.0</v>
      </c>
    </row>
    <row r="857">
      <c r="A857" s="121">
        <v>46761.0</v>
      </c>
      <c r="B857" s="122">
        <v>44431.0</v>
      </c>
    </row>
    <row r="858">
      <c r="A858" s="121">
        <v>46762.0</v>
      </c>
      <c r="B858" s="122">
        <v>44514.0</v>
      </c>
    </row>
    <row r="859">
      <c r="A859" s="121">
        <v>46763.0</v>
      </c>
      <c r="B859" s="122">
        <v>44961.0</v>
      </c>
    </row>
    <row r="860">
      <c r="A860" s="121">
        <v>46764.0</v>
      </c>
      <c r="B860" s="122">
        <v>45975.0</v>
      </c>
    </row>
    <row r="861">
      <c r="A861" s="121">
        <v>46765.0</v>
      </c>
      <c r="B861" s="122">
        <v>45714.0</v>
      </c>
    </row>
    <row r="862">
      <c r="A862" s="121">
        <v>46766.0</v>
      </c>
      <c r="B862" s="122">
        <v>45765.0</v>
      </c>
    </row>
    <row r="863">
      <c r="A863" s="121">
        <v>46767.0</v>
      </c>
      <c r="B863" s="122">
        <v>45708.0</v>
      </c>
    </row>
    <row r="864">
      <c r="A864" s="121">
        <v>46768.0</v>
      </c>
      <c r="B864" s="122">
        <v>45665.0</v>
      </c>
    </row>
    <row r="865">
      <c r="A865" s="121">
        <v>46769.0</v>
      </c>
      <c r="B865" s="122">
        <v>44659.0</v>
      </c>
    </row>
    <row r="866">
      <c r="A866" s="121">
        <v>46770.0</v>
      </c>
      <c r="B866" s="122">
        <v>45741.0</v>
      </c>
    </row>
    <row r="867">
      <c r="A867" s="121">
        <v>46771.0</v>
      </c>
      <c r="B867" s="122">
        <v>44432.0</v>
      </c>
    </row>
    <row r="868">
      <c r="A868" s="121">
        <v>46772.0</v>
      </c>
      <c r="B868" s="122">
        <v>45686.0</v>
      </c>
    </row>
    <row r="869">
      <c r="A869" s="121">
        <v>46773.0</v>
      </c>
      <c r="B869" s="122">
        <v>44450.0</v>
      </c>
    </row>
    <row r="870">
      <c r="A870" s="121">
        <v>46774.0</v>
      </c>
      <c r="B870" s="122">
        <v>45032.0</v>
      </c>
    </row>
    <row r="871">
      <c r="A871" s="121">
        <v>46775.0</v>
      </c>
      <c r="B871" s="122">
        <v>44590.0</v>
      </c>
    </row>
    <row r="872">
      <c r="A872" s="121">
        <v>46776.0</v>
      </c>
      <c r="B872" s="122">
        <v>44962.0</v>
      </c>
    </row>
    <row r="873">
      <c r="A873" s="121">
        <v>46777.0</v>
      </c>
      <c r="B873" s="122">
        <v>44471.0</v>
      </c>
    </row>
    <row r="874">
      <c r="A874" s="121">
        <v>46778.0</v>
      </c>
      <c r="B874" s="122">
        <v>44141.0</v>
      </c>
    </row>
    <row r="875">
      <c r="A875" s="121">
        <v>46779.0</v>
      </c>
      <c r="B875" s="122">
        <v>45724.0</v>
      </c>
    </row>
    <row r="876">
      <c r="A876" s="121">
        <v>46780.0</v>
      </c>
    </row>
    <row r="877">
      <c r="A877" s="121">
        <v>46781.0</v>
      </c>
      <c r="B877" s="122">
        <v>45707.0</v>
      </c>
    </row>
    <row r="878">
      <c r="A878" s="121">
        <v>46782.0</v>
      </c>
    </row>
    <row r="879">
      <c r="A879" s="121">
        <v>46783.0</v>
      </c>
      <c r="B879" s="122">
        <v>45433.0</v>
      </c>
    </row>
    <row r="880">
      <c r="A880" s="121">
        <v>46784.0</v>
      </c>
    </row>
    <row r="881">
      <c r="A881" s="121">
        <v>46785.0</v>
      </c>
      <c r="B881" s="122">
        <v>45709.0</v>
      </c>
    </row>
    <row r="882">
      <c r="A882" s="121">
        <v>46786.0</v>
      </c>
    </row>
    <row r="883">
      <c r="A883" s="121">
        <v>46787.0</v>
      </c>
      <c r="B883" s="122">
        <v>45580.0</v>
      </c>
    </row>
    <row r="884">
      <c r="A884" s="121">
        <v>46788.0</v>
      </c>
      <c r="B884" s="122">
        <v>45688.0</v>
      </c>
    </row>
    <row r="885">
      <c r="A885" s="121">
        <v>46789.0</v>
      </c>
      <c r="B885" s="122">
        <v>45692.0</v>
      </c>
    </row>
    <row r="886">
      <c r="A886" s="121">
        <v>46790.0</v>
      </c>
    </row>
    <row r="887">
      <c r="A887" s="121">
        <v>46791.0</v>
      </c>
      <c r="B887" s="122">
        <v>45700.0</v>
      </c>
    </row>
    <row r="888">
      <c r="A888" s="121">
        <v>46792.0</v>
      </c>
    </row>
    <row r="889">
      <c r="A889" s="121">
        <v>46793.0</v>
      </c>
      <c r="B889" s="122">
        <v>45735.0</v>
      </c>
    </row>
    <row r="890">
      <c r="A890" s="121">
        <v>46794.0</v>
      </c>
    </row>
    <row r="891">
      <c r="A891" s="121">
        <v>46795.0</v>
      </c>
      <c r="B891" s="122">
        <v>44550.0</v>
      </c>
    </row>
    <row r="892">
      <c r="A892" s="121">
        <v>46796.0</v>
      </c>
    </row>
    <row r="893">
      <c r="A893" s="121">
        <v>46797.0</v>
      </c>
      <c r="B893" s="122">
        <v>44681.0</v>
      </c>
    </row>
    <row r="894">
      <c r="A894" s="121">
        <v>46798.0</v>
      </c>
      <c r="B894" s="122">
        <v>45697.0</v>
      </c>
    </row>
    <row r="895">
      <c r="A895" s="121">
        <v>47122.0</v>
      </c>
    </row>
    <row r="896">
      <c r="A896" s="121">
        <v>47123.0</v>
      </c>
      <c r="B896" s="122">
        <v>44434.0</v>
      </c>
    </row>
    <row r="897">
      <c r="A897" s="121">
        <v>47124.0</v>
      </c>
      <c r="B897" s="122">
        <v>45696.0</v>
      </c>
    </row>
    <row r="898">
      <c r="A898" s="121">
        <v>47125.0</v>
      </c>
      <c r="B898" s="122">
        <v>44452.0</v>
      </c>
    </row>
    <row r="899">
      <c r="A899" s="121">
        <v>47126.0</v>
      </c>
    </row>
    <row r="900">
      <c r="A900" s="121">
        <v>47127.0</v>
      </c>
      <c r="B900" s="122">
        <v>44472.0</v>
      </c>
    </row>
    <row r="901">
      <c r="A901" s="121">
        <v>47128.0</v>
      </c>
      <c r="B901" s="122">
        <v>45653.0</v>
      </c>
    </row>
    <row r="902">
      <c r="A902" s="121">
        <v>47129.0</v>
      </c>
      <c r="B902" s="122">
        <v>45785.0</v>
      </c>
    </row>
    <row r="903">
      <c r="A903" s="121">
        <v>47130.0</v>
      </c>
      <c r="B903" s="122">
        <v>45049.0</v>
      </c>
    </row>
    <row r="904">
      <c r="A904" s="121">
        <v>47131.0</v>
      </c>
      <c r="B904" s="122">
        <v>44590.0</v>
      </c>
    </row>
    <row r="905">
      <c r="A905" s="121">
        <v>47132.0</v>
      </c>
      <c r="B905" s="122">
        <v>44382.0</v>
      </c>
    </row>
    <row r="906">
      <c r="A906" s="121">
        <v>47133.0</v>
      </c>
    </row>
    <row r="907">
      <c r="A907" s="121">
        <v>47134.0</v>
      </c>
      <c r="B907" s="122">
        <v>45644.0</v>
      </c>
    </row>
    <row r="908">
      <c r="A908" s="121">
        <v>47135.0</v>
      </c>
    </row>
    <row r="909">
      <c r="A909" s="121">
        <v>47136.0</v>
      </c>
      <c r="B909" s="122">
        <v>45710.0</v>
      </c>
    </row>
    <row r="910">
      <c r="A910" s="121">
        <v>47137.0</v>
      </c>
      <c r="B910" s="122">
        <v>45811.0</v>
      </c>
    </row>
    <row r="911">
      <c r="A911" s="121">
        <v>47138.0</v>
      </c>
      <c r="B911" s="122">
        <v>45735.0</v>
      </c>
    </row>
    <row r="912">
      <c r="A912" s="121">
        <v>47139.0</v>
      </c>
      <c r="B912" s="122">
        <v>45700.0</v>
      </c>
    </row>
    <row r="913">
      <c r="A913" s="121">
        <v>47140.0</v>
      </c>
      <c r="B913" s="122">
        <v>44589.0</v>
      </c>
    </row>
    <row r="914">
      <c r="A914" s="121">
        <v>47141.0</v>
      </c>
      <c r="B914" s="122">
        <v>45697.0</v>
      </c>
    </row>
    <row r="915">
      <c r="A915" s="121">
        <v>47142.0</v>
      </c>
      <c r="B915" s="122">
        <v>44450.0</v>
      </c>
    </row>
    <row r="916">
      <c r="A916" s="121">
        <v>47143.0</v>
      </c>
    </row>
    <row r="917">
      <c r="A917" s="121">
        <v>47144.0</v>
      </c>
      <c r="B917" s="122">
        <v>45709.0</v>
      </c>
    </row>
    <row r="918">
      <c r="A918" s="121">
        <v>47145.0</v>
      </c>
      <c r="B918" s="122">
        <v>44782.0</v>
      </c>
    </row>
    <row r="919">
      <c r="A919" s="121">
        <v>47146.0</v>
      </c>
      <c r="B919" s="122">
        <v>44654.0</v>
      </c>
    </row>
    <row r="920">
      <c r="A920" s="121">
        <v>47147.0</v>
      </c>
      <c r="B920" s="122">
        <v>45839.0</v>
      </c>
    </row>
    <row r="921">
      <c r="A921" s="121">
        <v>47148.0</v>
      </c>
      <c r="B921" s="122">
        <v>45863.0</v>
      </c>
    </row>
    <row r="922">
      <c r="A922" s="121">
        <v>47149.0</v>
      </c>
      <c r="B922" s="122">
        <v>45822.0</v>
      </c>
    </row>
    <row r="923">
      <c r="A923" s="121">
        <v>47150.0</v>
      </c>
      <c r="B923" s="122">
        <v>45962.0</v>
      </c>
    </row>
    <row r="924">
      <c r="A924" s="121">
        <v>47151.0</v>
      </c>
      <c r="B924" s="122">
        <v>45698.0</v>
      </c>
    </row>
    <row r="925">
      <c r="A925" s="121">
        <v>47152.0</v>
      </c>
      <c r="B925" s="122">
        <v>45859.0</v>
      </c>
    </row>
    <row r="926">
      <c r="A926" s="121">
        <v>47153.0</v>
      </c>
      <c r="B926" s="122">
        <v>45747.0</v>
      </c>
    </row>
    <row r="927">
      <c r="A927" s="121">
        <v>47154.0</v>
      </c>
      <c r="B927" s="122">
        <v>45200.0</v>
      </c>
    </row>
    <row r="928">
      <c r="A928" s="121">
        <v>47155.0</v>
      </c>
      <c r="B928" s="122">
        <v>45728.0</v>
      </c>
    </row>
    <row r="929">
      <c r="A929" s="121">
        <v>47156.0</v>
      </c>
      <c r="B929" s="122">
        <v>44675.0</v>
      </c>
    </row>
    <row r="930">
      <c r="A930" s="121">
        <v>47157.0</v>
      </c>
    </row>
    <row r="931">
      <c r="A931" s="121">
        <v>47158.0</v>
      </c>
    </row>
    <row r="932">
      <c r="A932" s="121">
        <v>47159.0</v>
      </c>
      <c r="B932" s="122">
        <v>44740.0</v>
      </c>
    </row>
    <row r="933">
      <c r="A933" s="121">
        <v>47160.0</v>
      </c>
      <c r="B933" s="122">
        <v>44529.0</v>
      </c>
    </row>
    <row r="934">
      <c r="A934" s="121">
        <v>47161.0</v>
      </c>
    </row>
    <row r="935">
      <c r="A935" s="121">
        <v>47162.0</v>
      </c>
      <c r="B935" s="122">
        <v>45829.0</v>
      </c>
    </row>
    <row r="936">
      <c r="A936" s="121">
        <v>47163.0</v>
      </c>
      <c r="B936" s="122">
        <v>45680.0</v>
      </c>
    </row>
    <row r="937">
      <c r="A937" s="121">
        <v>47164.0</v>
      </c>
      <c r="B937" s="122">
        <v>45752.0</v>
      </c>
    </row>
    <row r="938">
      <c r="A938" s="121">
        <v>47165.0</v>
      </c>
      <c r="B938" s="122">
        <v>45693.0</v>
      </c>
    </row>
    <row r="939">
      <c r="A939" s="121">
        <v>47166.0</v>
      </c>
      <c r="B939" s="122">
        <v>44985.0</v>
      </c>
    </row>
    <row r="940">
      <c r="A940" s="121">
        <v>47167.0</v>
      </c>
      <c r="B940" s="122">
        <v>45671.0</v>
      </c>
    </row>
    <row r="941">
      <c r="A941" s="121">
        <v>47168.0</v>
      </c>
      <c r="B941" s="122">
        <v>44787.0</v>
      </c>
    </row>
    <row r="942">
      <c r="A942" s="121">
        <v>47169.0</v>
      </c>
      <c r="B942" s="122">
        <v>44491.0</v>
      </c>
    </row>
    <row r="943">
      <c r="A943" s="121">
        <v>47170.0</v>
      </c>
      <c r="B943" s="122">
        <v>45685.0</v>
      </c>
    </row>
    <row r="944">
      <c r="A944" s="121">
        <v>47171.0</v>
      </c>
    </row>
    <row r="945">
      <c r="A945" s="121">
        <v>47172.0</v>
      </c>
      <c r="B945" s="122">
        <v>44660.0</v>
      </c>
    </row>
    <row r="946">
      <c r="A946" s="121">
        <v>47173.0</v>
      </c>
      <c r="B946" s="122">
        <v>45838.0</v>
      </c>
    </row>
    <row r="947">
      <c r="A947" s="121">
        <v>47174.0</v>
      </c>
      <c r="B947" s="122">
        <v>45666.0</v>
      </c>
    </row>
    <row r="948">
      <c r="A948" s="121">
        <v>47175.0</v>
      </c>
      <c r="B948" s="122">
        <v>45699.0</v>
      </c>
    </row>
    <row r="949">
      <c r="A949" s="121">
        <v>47176.0</v>
      </c>
      <c r="B949" s="122">
        <v>44303.0</v>
      </c>
    </row>
    <row r="950">
      <c r="A950" s="121">
        <v>47177.0</v>
      </c>
      <c r="B950" s="122">
        <v>45721.0</v>
      </c>
    </row>
    <row r="951">
      <c r="A951" s="121">
        <v>47178.0</v>
      </c>
    </row>
    <row r="952">
      <c r="A952" s="121">
        <v>47179.0</v>
      </c>
    </row>
    <row r="953">
      <c r="A953" s="121">
        <v>47180.0</v>
      </c>
      <c r="B953" s="122">
        <v>44499.0</v>
      </c>
    </row>
    <row r="954">
      <c r="A954" s="121">
        <v>47181.0</v>
      </c>
      <c r="B954" s="122">
        <v>45492.0</v>
      </c>
    </row>
    <row r="955">
      <c r="A955" s="121">
        <v>47349.0</v>
      </c>
      <c r="B955" s="122">
        <v>44821.0</v>
      </c>
    </row>
    <row r="956">
      <c r="A956" s="121">
        <v>47350.0</v>
      </c>
      <c r="B956" s="122">
        <v>45432.0</v>
      </c>
    </row>
    <row r="957">
      <c r="A957" s="121">
        <v>47351.0</v>
      </c>
    </row>
    <row r="958">
      <c r="A958" s="121">
        <v>47352.0</v>
      </c>
    </row>
    <row r="959">
      <c r="A959" s="121">
        <v>47353.0</v>
      </c>
    </row>
    <row r="960">
      <c r="A960" s="121">
        <v>47354.0</v>
      </c>
    </row>
    <row r="961">
      <c r="A961" s="121">
        <v>47355.0</v>
      </c>
    </row>
    <row r="962">
      <c r="A962" s="121">
        <v>47356.0</v>
      </c>
    </row>
    <row r="963">
      <c r="A963" s="121">
        <v>47357.0</v>
      </c>
    </row>
    <row r="964">
      <c r="A964" s="121">
        <v>47358.0</v>
      </c>
    </row>
    <row r="965">
      <c r="A965" s="121">
        <v>47359.0</v>
      </c>
      <c r="B965" s="122">
        <v>46018.0</v>
      </c>
    </row>
    <row r="966">
      <c r="A966" s="121">
        <v>47360.0</v>
      </c>
      <c r="B966" s="122">
        <v>45517.0</v>
      </c>
    </row>
    <row r="967">
      <c r="A967" s="121">
        <v>47361.0</v>
      </c>
    </row>
    <row r="968">
      <c r="A968" s="121">
        <v>47362.0</v>
      </c>
    </row>
    <row r="969">
      <c r="A969" s="121">
        <v>47363.0</v>
      </c>
      <c r="B969" s="122">
        <v>45667.0</v>
      </c>
    </row>
    <row r="970">
      <c r="A970" s="121">
        <v>47364.0</v>
      </c>
      <c r="B970" s="122">
        <v>44544.0</v>
      </c>
    </row>
    <row r="971">
      <c r="A971" s="121">
        <v>47365.0</v>
      </c>
      <c r="B971" s="122">
        <v>44764.0</v>
      </c>
    </row>
    <row r="972">
      <c r="A972" s="121">
        <v>47366.0</v>
      </c>
    </row>
    <row r="973">
      <c r="A973" s="121">
        <v>47367.0</v>
      </c>
    </row>
    <row r="974">
      <c r="A974" s="121">
        <v>47368.0</v>
      </c>
    </row>
    <row r="975">
      <c r="A975" s="121">
        <v>47369.0</v>
      </c>
      <c r="B975" s="122">
        <v>45499.0</v>
      </c>
    </row>
    <row r="976">
      <c r="A976" s="121">
        <v>47370.0</v>
      </c>
      <c r="B976" s="122">
        <v>46036.0</v>
      </c>
    </row>
    <row r="977">
      <c r="A977" s="121">
        <v>47371.0</v>
      </c>
    </row>
    <row r="978">
      <c r="A978" s="121">
        <v>47372.0</v>
      </c>
      <c r="B978" s="122">
        <v>45660.0</v>
      </c>
    </row>
    <row r="979">
      <c r="A979" s="121">
        <v>47373.0</v>
      </c>
    </row>
    <row r="980">
      <c r="A980" s="121">
        <v>47374.0</v>
      </c>
    </row>
    <row r="981">
      <c r="A981" s="121">
        <v>47375.0</v>
      </c>
    </row>
    <row r="982">
      <c r="A982" s="121">
        <v>47376.0</v>
      </c>
    </row>
    <row r="983">
      <c r="A983" s="121">
        <v>47377.0</v>
      </c>
    </row>
    <row r="984">
      <c r="A984" s="121">
        <v>47378.0</v>
      </c>
    </row>
    <row r="985">
      <c r="A985" s="121">
        <v>47379.0</v>
      </c>
    </row>
    <row r="986">
      <c r="A986" s="121">
        <v>47380.0</v>
      </c>
    </row>
    <row r="987">
      <c r="A987" s="121">
        <v>47381.0</v>
      </c>
    </row>
    <row r="988">
      <c r="A988" s="121">
        <v>47382.0</v>
      </c>
    </row>
    <row r="989">
      <c r="A989" s="121">
        <v>47383.0</v>
      </c>
    </row>
    <row r="990">
      <c r="A990" s="121">
        <v>47384.0</v>
      </c>
    </row>
    <row r="991">
      <c r="A991" s="121">
        <v>47385.0</v>
      </c>
    </row>
    <row r="992">
      <c r="A992" s="121">
        <v>47386.0</v>
      </c>
    </row>
    <row r="993">
      <c r="A993" s="121">
        <v>47387.0</v>
      </c>
      <c r="B993" s="122">
        <v>45561.0</v>
      </c>
    </row>
    <row r="994">
      <c r="A994" s="121">
        <v>47388.0</v>
      </c>
    </row>
    <row r="995">
      <c r="A995" s="121">
        <v>47389.0</v>
      </c>
    </row>
    <row r="996">
      <c r="A996" s="121">
        <v>47390.0</v>
      </c>
    </row>
    <row r="997">
      <c r="A997" s="121">
        <v>47391.0</v>
      </c>
    </row>
    <row r="998">
      <c r="A998" s="121">
        <v>47392.0</v>
      </c>
    </row>
    <row r="999">
      <c r="A999" s="121">
        <v>47393.0</v>
      </c>
    </row>
    <row r="1000">
      <c r="A1000" s="121">
        <v>47394.0</v>
      </c>
      <c r="B1000" s="122">
        <v>45656.0</v>
      </c>
    </row>
    <row r="1001">
      <c r="A1001" s="121">
        <v>47395.0</v>
      </c>
      <c r="B1001" s="122">
        <v>46051.0</v>
      </c>
    </row>
    <row r="1002">
      <c r="A1002" s="121">
        <v>47396.0</v>
      </c>
      <c r="B1002" s="122">
        <v>45484.0</v>
      </c>
    </row>
    <row r="1003">
      <c r="A1003" s="121">
        <v>47397.0</v>
      </c>
    </row>
    <row r="1004">
      <c r="A1004" s="121">
        <v>47398.0</v>
      </c>
      <c r="B1004" s="122">
        <v>45635.0</v>
      </c>
    </row>
    <row r="1005">
      <c r="A1005" s="121">
        <v>47399.0</v>
      </c>
    </row>
    <row r="1006">
      <c r="A1006" s="121">
        <v>47400.0</v>
      </c>
    </row>
    <row r="1007">
      <c r="A1007" s="121">
        <v>47401.0</v>
      </c>
    </row>
    <row r="1008">
      <c r="A1008" s="121">
        <v>47402.0</v>
      </c>
      <c r="B1008" s="122">
        <v>45670.0</v>
      </c>
    </row>
    <row r="1009">
      <c r="A1009" s="121">
        <v>47403.0</v>
      </c>
      <c r="B1009" s="122">
        <v>45731.0</v>
      </c>
    </row>
    <row r="1010">
      <c r="A1010" s="121">
        <v>47404.0</v>
      </c>
    </row>
    <row r="1011">
      <c r="A1011" s="121">
        <v>47405.0</v>
      </c>
    </row>
    <row r="1012">
      <c r="A1012" s="121">
        <v>47406.0</v>
      </c>
      <c r="B1012" s="122">
        <v>46052.0</v>
      </c>
    </row>
    <row r="1013">
      <c r="A1013" s="121">
        <v>47407.0</v>
      </c>
    </row>
    <row r="1014">
      <c r="A1014" s="121">
        <v>47408.0</v>
      </c>
    </row>
    <row r="1015">
      <c r="A1015" s="121">
        <v>47413.0</v>
      </c>
      <c r="B1015" s="122">
        <v>44547.0</v>
      </c>
    </row>
    <row r="1016">
      <c r="A1016" s="121">
        <v>47414.0</v>
      </c>
      <c r="B1016" s="122">
        <v>44584.0</v>
      </c>
    </row>
    <row r="1017">
      <c r="A1017" s="121">
        <v>47415.0</v>
      </c>
      <c r="B1017" s="122">
        <v>44585.0</v>
      </c>
    </row>
    <row r="1018">
      <c r="A1018" s="121">
        <v>47416.0</v>
      </c>
      <c r="B1018" s="122">
        <v>44585.0</v>
      </c>
    </row>
    <row r="1019">
      <c r="A1019" s="121">
        <v>47417.0</v>
      </c>
      <c r="B1019" s="122">
        <v>44547.0</v>
      </c>
    </row>
    <row r="1020">
      <c r="A1020" s="121">
        <v>47418.0</v>
      </c>
      <c r="B1020" s="122">
        <v>44556.0</v>
      </c>
    </row>
    <row r="1021">
      <c r="A1021" s="121">
        <v>47419.0</v>
      </c>
      <c r="B1021" s="122">
        <v>44560.0</v>
      </c>
    </row>
    <row r="1022">
      <c r="A1022" s="121">
        <v>47420.0</v>
      </c>
      <c r="B1022" s="122">
        <v>44557.0</v>
      </c>
    </row>
    <row r="1023">
      <c r="A1023" s="121">
        <v>47421.0</v>
      </c>
      <c r="B1023" s="122">
        <v>44560.0</v>
      </c>
    </row>
    <row r="1024">
      <c r="A1024" s="121">
        <v>47422.0</v>
      </c>
      <c r="B1024" s="122">
        <v>44584.0</v>
      </c>
    </row>
    <row r="1025">
      <c r="A1025" s="121">
        <v>47548.0</v>
      </c>
      <c r="B1025" s="122">
        <v>45693.0</v>
      </c>
    </row>
    <row r="1026">
      <c r="A1026" s="121">
        <v>47549.0</v>
      </c>
      <c r="B1026" s="122">
        <v>45797.0</v>
      </c>
    </row>
    <row r="1027">
      <c r="A1027" s="121">
        <v>47550.0</v>
      </c>
      <c r="B1027" s="122">
        <v>45752.0</v>
      </c>
    </row>
    <row r="1028">
      <c r="A1028" s="121">
        <v>47551.0</v>
      </c>
      <c r="B1028" s="122">
        <v>45684.0</v>
      </c>
    </row>
    <row r="1029">
      <c r="A1029" s="121">
        <v>47552.0</v>
      </c>
      <c r="B1029" s="122">
        <v>45868.0</v>
      </c>
    </row>
    <row r="1030">
      <c r="A1030" s="121">
        <v>47553.0</v>
      </c>
      <c r="B1030" s="122">
        <v>44673.0</v>
      </c>
    </row>
    <row r="1031">
      <c r="A1031" s="121">
        <v>47554.0</v>
      </c>
      <c r="B1031" s="122">
        <v>45725.0</v>
      </c>
    </row>
    <row r="1032">
      <c r="A1032" s="121">
        <v>47555.0</v>
      </c>
    </row>
    <row r="1033">
      <c r="A1033" s="121">
        <v>47556.0</v>
      </c>
    </row>
    <row r="1034">
      <c r="A1034" s="121">
        <v>47557.0</v>
      </c>
      <c r="B1034" s="122">
        <v>45689.0</v>
      </c>
    </row>
    <row r="1035">
      <c r="A1035" s="121">
        <v>47558.0</v>
      </c>
      <c r="B1035" s="122">
        <v>45818.0</v>
      </c>
    </row>
    <row r="1036">
      <c r="A1036" s="121">
        <v>47559.0</v>
      </c>
    </row>
    <row r="1037">
      <c r="A1037" s="121">
        <v>47560.0</v>
      </c>
      <c r="B1037" s="122">
        <v>45844.0</v>
      </c>
    </row>
    <row r="1038">
      <c r="A1038" s="121">
        <v>47561.0</v>
      </c>
      <c r="B1038" s="122">
        <v>45792.0</v>
      </c>
    </row>
    <row r="1039">
      <c r="A1039" s="121">
        <v>47562.0</v>
      </c>
      <c r="B1039" s="122">
        <v>45700.0</v>
      </c>
    </row>
    <row r="1040">
      <c r="A1040" s="121">
        <v>47563.0</v>
      </c>
    </row>
    <row r="1041">
      <c r="A1041" s="121">
        <v>47564.0</v>
      </c>
      <c r="B1041" s="122">
        <v>45808.0</v>
      </c>
    </row>
    <row r="1042">
      <c r="A1042" s="121">
        <v>47565.0</v>
      </c>
    </row>
    <row r="1043">
      <c r="A1043" s="121">
        <v>47566.0</v>
      </c>
    </row>
    <row r="1044">
      <c r="A1044" s="121">
        <v>47567.0</v>
      </c>
      <c r="B1044" s="122">
        <v>45892.0</v>
      </c>
    </row>
    <row r="1045">
      <c r="A1045" s="121">
        <v>47568.0</v>
      </c>
    </row>
    <row r="1046">
      <c r="A1046" s="121">
        <v>47569.0</v>
      </c>
      <c r="B1046" s="122">
        <v>44905.0</v>
      </c>
    </row>
    <row r="1047">
      <c r="A1047" s="121">
        <v>47570.0</v>
      </c>
      <c r="B1047" s="122">
        <v>45553.0</v>
      </c>
    </row>
    <row r="1048">
      <c r="A1048" s="121">
        <v>47571.0</v>
      </c>
      <c r="B1048" s="122">
        <v>45772.0</v>
      </c>
    </row>
    <row r="1049">
      <c r="A1049" s="121">
        <v>47572.0</v>
      </c>
    </row>
    <row r="1050">
      <c r="A1050" s="121">
        <v>47573.0</v>
      </c>
    </row>
    <row r="1051">
      <c r="A1051" s="121">
        <v>47574.0</v>
      </c>
      <c r="B1051" s="122">
        <v>45776.0</v>
      </c>
    </row>
    <row r="1052">
      <c r="A1052" s="121">
        <v>47575.0</v>
      </c>
      <c r="B1052" s="122">
        <v>45713.0</v>
      </c>
    </row>
    <row r="1053">
      <c r="A1053" s="121">
        <v>47576.0</v>
      </c>
    </row>
    <row r="1054">
      <c r="A1054" s="121">
        <v>47577.0</v>
      </c>
      <c r="B1054" s="122">
        <v>46055.0</v>
      </c>
    </row>
    <row r="1055">
      <c r="A1055" s="121">
        <v>47578.0</v>
      </c>
      <c r="B1055" s="122">
        <v>45730.0</v>
      </c>
    </row>
    <row r="1056">
      <c r="A1056" s="121">
        <v>47579.0</v>
      </c>
      <c r="B1056" s="122">
        <v>45690.0</v>
      </c>
    </row>
    <row r="1057">
      <c r="A1057" s="121">
        <v>47580.0</v>
      </c>
      <c r="B1057" s="122">
        <v>45836.0</v>
      </c>
    </row>
    <row r="1058">
      <c r="A1058" s="121">
        <v>47581.0</v>
      </c>
      <c r="B1058" s="122">
        <v>45606.0</v>
      </c>
    </row>
    <row r="1059">
      <c r="A1059" s="121">
        <v>47582.0</v>
      </c>
    </row>
    <row r="1060">
      <c r="A1060" s="121">
        <v>47583.0</v>
      </c>
      <c r="B1060" s="122">
        <v>45689.0</v>
      </c>
    </row>
    <row r="1061">
      <c r="A1061" s="121">
        <v>47584.0</v>
      </c>
      <c r="B1061" s="122">
        <v>44590.0</v>
      </c>
    </row>
    <row r="1062">
      <c r="A1062" s="121">
        <v>47585.0</v>
      </c>
      <c r="B1062" s="122">
        <v>45747.0</v>
      </c>
    </row>
    <row r="1063">
      <c r="A1063" s="121">
        <v>47586.0</v>
      </c>
      <c r="B1063" s="122">
        <v>45723.0</v>
      </c>
    </row>
    <row r="1064">
      <c r="A1064" s="121">
        <v>47587.0</v>
      </c>
    </row>
    <row r="1065">
      <c r="A1065" s="121">
        <v>47588.0</v>
      </c>
    </row>
    <row r="1066">
      <c r="A1066" s="121">
        <v>47589.0</v>
      </c>
    </row>
    <row r="1067">
      <c r="A1067" s="121">
        <v>47590.0</v>
      </c>
    </row>
    <row r="1068">
      <c r="A1068" s="121">
        <v>47591.0</v>
      </c>
      <c r="B1068" s="122">
        <v>45683.0</v>
      </c>
    </row>
    <row r="1069">
      <c r="A1069" s="121">
        <v>47592.0</v>
      </c>
    </row>
    <row r="1070">
      <c r="A1070" s="121">
        <v>47593.0</v>
      </c>
      <c r="B1070" s="122">
        <v>45678.0</v>
      </c>
    </row>
    <row r="1071">
      <c r="A1071" s="121">
        <v>47594.0</v>
      </c>
      <c r="B1071" s="122">
        <v>45643.0</v>
      </c>
    </row>
    <row r="1072">
      <c r="A1072" s="121">
        <v>47595.0</v>
      </c>
      <c r="B1072" s="122">
        <v>45703.0</v>
      </c>
    </row>
    <row r="1073">
      <c r="A1073" s="121">
        <v>47596.0</v>
      </c>
    </row>
    <row r="1074">
      <c r="A1074" s="121">
        <v>47597.0</v>
      </c>
      <c r="B1074" s="122">
        <v>45745.0</v>
      </c>
    </row>
    <row r="1075">
      <c r="A1075" s="121">
        <v>47598.0</v>
      </c>
      <c r="B1075" s="122">
        <v>45738.0</v>
      </c>
    </row>
    <row r="1076">
      <c r="A1076" s="121">
        <v>47599.0</v>
      </c>
      <c r="B1076" s="122">
        <v>45532.0</v>
      </c>
    </row>
    <row r="1077">
      <c r="A1077" s="121">
        <v>47600.0</v>
      </c>
      <c r="B1077" s="122">
        <v>45731.0</v>
      </c>
    </row>
    <row r="1078">
      <c r="A1078" s="121">
        <v>47601.0</v>
      </c>
      <c r="B1078" s="122">
        <v>45710.0</v>
      </c>
    </row>
    <row r="1079">
      <c r="A1079" s="121">
        <v>47602.0</v>
      </c>
      <c r="B1079" s="122">
        <v>45774.0</v>
      </c>
    </row>
    <row r="1080">
      <c r="A1080" s="121">
        <v>47603.0</v>
      </c>
      <c r="B1080" s="122">
        <v>45718.0</v>
      </c>
    </row>
    <row r="1081">
      <c r="A1081" s="121">
        <v>47604.0</v>
      </c>
    </row>
    <row r="1082">
      <c r="A1082" s="121">
        <v>47605.0</v>
      </c>
      <c r="B1082" s="122">
        <v>44739.0</v>
      </c>
    </row>
    <row r="1083">
      <c r="A1083" s="121">
        <v>47606.0</v>
      </c>
    </row>
    <row r="1084">
      <c r="A1084" s="121">
        <v>47607.0</v>
      </c>
      <c r="B1084" s="122">
        <v>45741.0</v>
      </c>
    </row>
    <row r="1085">
      <c r="A1085" s="121">
        <v>47620.0</v>
      </c>
      <c r="B1085" s="122">
        <v>45662.0</v>
      </c>
    </row>
    <row r="1086">
      <c r="A1086" s="121">
        <v>47621.0</v>
      </c>
    </row>
    <row r="1087">
      <c r="A1087" s="121">
        <v>47622.0</v>
      </c>
    </row>
    <row r="1088">
      <c r="A1088" s="121">
        <v>47623.0</v>
      </c>
    </row>
    <row r="1089">
      <c r="A1089" s="121">
        <v>47624.0</v>
      </c>
    </row>
    <row r="1090">
      <c r="A1090" s="121">
        <v>47625.0</v>
      </c>
    </row>
    <row r="1091">
      <c r="A1091" s="121">
        <v>47626.0</v>
      </c>
      <c r="B1091" s="122">
        <v>45844.0</v>
      </c>
    </row>
    <row r="1092">
      <c r="A1092" s="121">
        <v>47627.0</v>
      </c>
    </row>
    <row r="1093">
      <c r="A1093" s="121">
        <v>47628.0</v>
      </c>
    </row>
    <row r="1094">
      <c r="A1094" s="121">
        <v>47629.0</v>
      </c>
      <c r="B1094" s="122">
        <v>45799.0</v>
      </c>
    </row>
    <row r="1095">
      <c r="A1095" s="121">
        <v>47630.0</v>
      </c>
    </row>
    <row r="1096">
      <c r="A1096" s="121">
        <v>47631.0</v>
      </c>
      <c r="B1096" s="122">
        <v>44627.0</v>
      </c>
    </row>
    <row r="1097">
      <c r="A1097" s="121">
        <v>47632.0</v>
      </c>
    </row>
    <row r="1098">
      <c r="A1098" s="121">
        <v>47633.0</v>
      </c>
      <c r="B1098" s="122">
        <v>45753.0</v>
      </c>
    </row>
    <row r="1099">
      <c r="A1099" s="121">
        <v>47634.0</v>
      </c>
      <c r="B1099" s="122">
        <v>45823.0</v>
      </c>
    </row>
    <row r="1100">
      <c r="A1100" s="121">
        <v>47635.0</v>
      </c>
      <c r="B1100" s="122">
        <v>45684.0</v>
      </c>
    </row>
    <row r="1101">
      <c r="A1101" s="121">
        <v>47636.0</v>
      </c>
      <c r="B1101" s="122">
        <v>45739.0</v>
      </c>
    </row>
    <row r="1102">
      <c r="A1102" s="121">
        <v>47637.0</v>
      </c>
      <c r="B1102" s="122">
        <v>45697.0</v>
      </c>
    </row>
    <row r="1103">
      <c r="A1103" s="121">
        <v>47638.0</v>
      </c>
    </row>
    <row r="1104">
      <c r="A1104" s="121">
        <v>47639.0</v>
      </c>
      <c r="B1104" s="122">
        <v>45680.0</v>
      </c>
    </row>
    <row r="1105">
      <c r="A1105" s="121">
        <v>47640.0</v>
      </c>
      <c r="B1105" s="122">
        <v>45697.0</v>
      </c>
    </row>
    <row r="1106">
      <c r="A1106" s="121">
        <v>47641.0</v>
      </c>
    </row>
    <row r="1107">
      <c r="A1107" s="121">
        <v>47642.0</v>
      </c>
      <c r="B1107" s="122">
        <v>45660.0</v>
      </c>
    </row>
    <row r="1108">
      <c r="A1108" s="121">
        <v>47643.0</v>
      </c>
    </row>
    <row r="1109">
      <c r="A1109" s="121">
        <v>47644.0</v>
      </c>
      <c r="B1109" s="122">
        <v>45569.0</v>
      </c>
    </row>
    <row r="1110">
      <c r="A1110" s="121">
        <v>47645.0</v>
      </c>
      <c r="B1110" s="122">
        <v>45675.0</v>
      </c>
    </row>
    <row r="1111">
      <c r="A1111" s="121">
        <v>47646.0</v>
      </c>
      <c r="B1111" s="122">
        <v>45670.0</v>
      </c>
    </row>
    <row r="1112">
      <c r="A1112" s="121">
        <v>47647.0</v>
      </c>
      <c r="B1112" s="122">
        <v>45841.0</v>
      </c>
    </row>
    <row r="1113">
      <c r="A1113" s="121">
        <v>47648.0</v>
      </c>
    </row>
    <row r="1114">
      <c r="A1114" s="121">
        <v>47649.0</v>
      </c>
    </row>
    <row r="1115">
      <c r="A1115" s="121">
        <v>47650.0</v>
      </c>
    </row>
    <row r="1116">
      <c r="A1116" s="121">
        <v>47651.0</v>
      </c>
      <c r="B1116" s="122">
        <v>45746.0</v>
      </c>
    </row>
    <row r="1117">
      <c r="A1117" s="121">
        <v>47652.0</v>
      </c>
    </row>
    <row r="1118">
      <c r="A1118" s="121">
        <v>47653.0</v>
      </c>
      <c r="B1118" s="122">
        <v>45678.0</v>
      </c>
    </row>
    <row r="1119">
      <c r="A1119" s="121">
        <v>47654.0</v>
      </c>
      <c r="B1119" s="122">
        <v>45868.0</v>
      </c>
    </row>
    <row r="1120">
      <c r="A1120" s="121">
        <v>47655.0</v>
      </c>
    </row>
    <row r="1121">
      <c r="A1121" s="121">
        <v>47656.0</v>
      </c>
    </row>
    <row r="1122">
      <c r="A1122" s="121">
        <v>47657.0</v>
      </c>
    </row>
    <row r="1123">
      <c r="A1123" s="121">
        <v>47658.0</v>
      </c>
      <c r="B1123" s="122">
        <v>45700.0</v>
      </c>
    </row>
    <row r="1124">
      <c r="A1124" s="121">
        <v>47659.0</v>
      </c>
      <c r="B1124" s="122">
        <v>45874.0</v>
      </c>
    </row>
    <row r="1125">
      <c r="A1125" s="121">
        <v>47660.0</v>
      </c>
      <c r="B1125" s="122">
        <v>45728.0</v>
      </c>
    </row>
    <row r="1126">
      <c r="A1126" s="121">
        <v>47661.0</v>
      </c>
      <c r="B1126" s="122">
        <v>45688.0</v>
      </c>
    </row>
    <row r="1127">
      <c r="A1127" s="121">
        <v>47662.0</v>
      </c>
    </row>
    <row r="1128">
      <c r="A1128" s="121">
        <v>47663.0</v>
      </c>
      <c r="B1128" s="122">
        <v>45803.0</v>
      </c>
    </row>
    <row r="1129">
      <c r="A1129" s="121">
        <v>47664.0</v>
      </c>
      <c r="B1129" s="122">
        <v>45689.0</v>
      </c>
    </row>
    <row r="1130">
      <c r="A1130" s="121">
        <v>47665.0</v>
      </c>
      <c r="B1130" s="122">
        <v>45719.0</v>
      </c>
    </row>
    <row r="1131">
      <c r="A1131" s="121">
        <v>47666.0</v>
      </c>
      <c r="B1131" s="122">
        <v>45650.0</v>
      </c>
    </row>
    <row r="1132">
      <c r="A1132" s="121">
        <v>47667.0</v>
      </c>
    </row>
    <row r="1133">
      <c r="A1133" s="121">
        <v>47668.0</v>
      </c>
      <c r="B1133" s="122">
        <v>45770.0</v>
      </c>
    </row>
    <row r="1134">
      <c r="A1134" s="121">
        <v>47669.0</v>
      </c>
      <c r="B1134" s="122">
        <v>45121.0</v>
      </c>
    </row>
    <row r="1135">
      <c r="A1135" s="121">
        <v>47670.0</v>
      </c>
      <c r="B1135" s="122">
        <v>45741.0</v>
      </c>
    </row>
    <row r="1136">
      <c r="A1136" s="121">
        <v>47671.0</v>
      </c>
      <c r="B1136" s="122">
        <v>45678.0</v>
      </c>
    </row>
    <row r="1137">
      <c r="A1137" s="121">
        <v>47672.0</v>
      </c>
    </row>
    <row r="1138">
      <c r="A1138" s="121">
        <v>47673.0</v>
      </c>
      <c r="B1138" s="122">
        <v>45701.0</v>
      </c>
    </row>
    <row r="1139">
      <c r="A1139" s="121">
        <v>47674.0</v>
      </c>
      <c r="B1139" s="122">
        <v>45674.0</v>
      </c>
    </row>
    <row r="1140">
      <c r="A1140" s="121">
        <v>47675.0</v>
      </c>
      <c r="B1140" s="122">
        <v>45733.0</v>
      </c>
    </row>
    <row r="1141">
      <c r="A1141" s="121">
        <v>47676.0</v>
      </c>
    </row>
    <row r="1142">
      <c r="A1142" s="121">
        <v>47677.0</v>
      </c>
      <c r="B1142" s="122">
        <v>45703.0</v>
      </c>
    </row>
    <row r="1143">
      <c r="A1143" s="121">
        <v>47678.0</v>
      </c>
      <c r="B1143" s="122">
        <v>44500.0</v>
      </c>
    </row>
    <row r="1144">
      <c r="A1144" s="121">
        <v>47679.0</v>
      </c>
    </row>
    <row r="1145">
      <c r="A1145" s="121">
        <v>47722.0</v>
      </c>
    </row>
    <row r="1146">
      <c r="A1146" s="121">
        <v>47723.0</v>
      </c>
    </row>
    <row r="1147">
      <c r="A1147" s="121">
        <v>47724.0</v>
      </c>
    </row>
    <row r="1148">
      <c r="A1148" s="121">
        <v>47725.0</v>
      </c>
      <c r="B1148" s="122">
        <v>45672.0</v>
      </c>
    </row>
    <row r="1149">
      <c r="A1149" s="121">
        <v>47726.0</v>
      </c>
      <c r="B1149" s="122">
        <v>45657.0</v>
      </c>
    </row>
    <row r="1150">
      <c r="A1150" s="121">
        <v>47727.0</v>
      </c>
      <c r="B1150" s="122">
        <v>45691.0</v>
      </c>
    </row>
    <row r="1151">
      <c r="A1151" s="121">
        <v>47728.0</v>
      </c>
    </row>
    <row r="1152">
      <c r="A1152" s="121">
        <v>47729.0</v>
      </c>
      <c r="B1152" s="122">
        <v>45555.0</v>
      </c>
    </row>
    <row r="1153">
      <c r="A1153" s="121">
        <v>47730.0</v>
      </c>
    </row>
    <row r="1154">
      <c r="A1154" s="121">
        <v>47731.0</v>
      </c>
    </row>
    <row r="1155">
      <c r="A1155" s="121">
        <v>47732.0</v>
      </c>
      <c r="B1155" s="122">
        <v>45907.0</v>
      </c>
    </row>
    <row r="1156">
      <c r="A1156" s="121">
        <v>47733.0</v>
      </c>
    </row>
    <row r="1157">
      <c r="A1157" s="121">
        <v>47734.0</v>
      </c>
    </row>
    <row r="1158">
      <c r="A1158" s="121">
        <v>47735.0</v>
      </c>
      <c r="B1158" s="122">
        <v>45864.0</v>
      </c>
    </row>
    <row r="1159">
      <c r="A1159" s="121">
        <v>47736.0</v>
      </c>
    </row>
    <row r="1160">
      <c r="A1160" s="121">
        <v>47737.0</v>
      </c>
      <c r="B1160" s="122">
        <v>45499.0</v>
      </c>
    </row>
    <row r="1161">
      <c r="A1161" s="121">
        <v>47738.0</v>
      </c>
      <c r="B1161" s="122">
        <v>45395.0</v>
      </c>
    </row>
    <row r="1162">
      <c r="A1162" s="121">
        <v>47739.0</v>
      </c>
    </row>
    <row r="1163">
      <c r="A1163" s="121">
        <v>47740.0</v>
      </c>
      <c r="B1163" s="122">
        <v>45661.0</v>
      </c>
    </row>
    <row r="1164">
      <c r="A1164" s="121">
        <v>47741.0</v>
      </c>
      <c r="B1164" s="122">
        <v>45427.0</v>
      </c>
    </row>
    <row r="1165">
      <c r="A1165" s="121">
        <v>47742.0</v>
      </c>
    </row>
    <row r="1166">
      <c r="A1166" s="121">
        <v>47743.0</v>
      </c>
      <c r="B1166" s="122">
        <v>45669.0</v>
      </c>
    </row>
    <row r="1167">
      <c r="A1167" s="121">
        <v>47744.0</v>
      </c>
      <c r="B1167" s="122">
        <v>45476.0</v>
      </c>
    </row>
    <row r="1168">
      <c r="A1168" s="121">
        <v>47745.0</v>
      </c>
    </row>
    <row r="1169">
      <c r="A1169" s="121">
        <v>47746.0</v>
      </c>
    </row>
    <row r="1170">
      <c r="A1170" s="121">
        <v>47747.0</v>
      </c>
    </row>
    <row r="1171">
      <c r="A1171" s="121">
        <v>47748.0</v>
      </c>
    </row>
    <row r="1172">
      <c r="A1172" s="121">
        <v>47749.0</v>
      </c>
    </row>
    <row r="1173">
      <c r="A1173" s="121">
        <v>47750.0</v>
      </c>
    </row>
    <row r="1174">
      <c r="A1174" s="121">
        <v>47751.0</v>
      </c>
      <c r="B1174" s="122">
        <v>45508.0</v>
      </c>
    </row>
    <row r="1175">
      <c r="A1175" s="121">
        <v>47752.0</v>
      </c>
    </row>
    <row r="1176">
      <c r="A1176" s="121">
        <v>47753.0</v>
      </c>
    </row>
    <row r="1177">
      <c r="A1177" s="121">
        <v>47754.0</v>
      </c>
    </row>
    <row r="1178">
      <c r="A1178" s="121">
        <v>47755.0</v>
      </c>
      <c r="B1178" s="122">
        <v>44681.0</v>
      </c>
    </row>
    <row r="1179">
      <c r="A1179" s="121">
        <v>47756.0</v>
      </c>
      <c r="B1179" s="122">
        <v>45698.0</v>
      </c>
    </row>
    <row r="1180">
      <c r="A1180" s="121">
        <v>47757.0</v>
      </c>
      <c r="B1180" s="122">
        <v>45706.0</v>
      </c>
    </row>
    <row r="1181">
      <c r="A1181" s="121">
        <v>47758.0</v>
      </c>
      <c r="B1181" s="122">
        <v>44674.0</v>
      </c>
    </row>
    <row r="1182">
      <c r="A1182" s="121">
        <v>47759.0</v>
      </c>
      <c r="B1182" s="122">
        <v>44633.0</v>
      </c>
    </row>
    <row r="1183">
      <c r="A1183" s="121">
        <v>47760.0</v>
      </c>
    </row>
    <row r="1184">
      <c r="A1184" s="121">
        <v>47761.0</v>
      </c>
      <c r="B1184" s="122">
        <v>45677.0</v>
      </c>
    </row>
    <row r="1185">
      <c r="A1185" s="121">
        <v>47762.0</v>
      </c>
    </row>
    <row r="1186">
      <c r="A1186" s="121">
        <v>47763.0</v>
      </c>
      <c r="B1186" s="122">
        <v>45664.0</v>
      </c>
    </row>
    <row r="1187">
      <c r="A1187" s="121">
        <v>47764.0</v>
      </c>
      <c r="B1187" s="122">
        <v>45689.0</v>
      </c>
    </row>
    <row r="1188">
      <c r="A1188" s="121">
        <v>47765.0</v>
      </c>
      <c r="B1188" s="122">
        <v>44681.0</v>
      </c>
    </row>
    <row r="1189">
      <c r="A1189" s="121">
        <v>47766.0</v>
      </c>
      <c r="B1189" s="122">
        <v>45861.0</v>
      </c>
    </row>
    <row r="1190">
      <c r="A1190" s="121">
        <v>47767.0</v>
      </c>
    </row>
    <row r="1191">
      <c r="A1191" s="121">
        <v>47768.0</v>
      </c>
      <c r="B1191" s="122">
        <v>45656.0</v>
      </c>
    </row>
    <row r="1192">
      <c r="A1192" s="121">
        <v>47769.0</v>
      </c>
      <c r="B1192" s="122">
        <v>45675.0</v>
      </c>
    </row>
    <row r="1193">
      <c r="A1193" s="121">
        <v>47770.0</v>
      </c>
    </row>
    <row r="1194">
      <c r="A1194" s="121">
        <v>47771.0</v>
      </c>
    </row>
    <row r="1195">
      <c r="A1195" s="121">
        <v>47772.0</v>
      </c>
    </row>
    <row r="1196">
      <c r="A1196" s="121">
        <v>47773.0</v>
      </c>
    </row>
    <row r="1197">
      <c r="A1197" s="121">
        <v>47774.0</v>
      </c>
      <c r="B1197" s="122">
        <v>45700.0</v>
      </c>
    </row>
    <row r="1198">
      <c r="A1198" s="121">
        <v>47775.0</v>
      </c>
      <c r="B1198" s="122">
        <v>45677.0</v>
      </c>
    </row>
    <row r="1199">
      <c r="A1199" s="121">
        <v>47776.0</v>
      </c>
    </row>
    <row r="1200">
      <c r="A1200" s="121">
        <v>47777.0</v>
      </c>
      <c r="B1200" s="122">
        <v>45847.0</v>
      </c>
    </row>
    <row r="1201">
      <c r="A1201" s="121">
        <v>47778.0</v>
      </c>
    </row>
    <row r="1202">
      <c r="A1202" s="121">
        <v>47779.0</v>
      </c>
      <c r="B1202" s="122">
        <v>45194.0</v>
      </c>
    </row>
    <row r="1203">
      <c r="A1203" s="121">
        <v>47780.0</v>
      </c>
    </row>
    <row r="1204">
      <c r="A1204" s="121">
        <v>47781.0</v>
      </c>
      <c r="B1204" s="122">
        <v>45693.0</v>
      </c>
    </row>
    <row r="1205">
      <c r="A1205" s="121">
        <v>47787.0</v>
      </c>
    </row>
    <row r="1206">
      <c r="A1206" s="121">
        <v>47788.0</v>
      </c>
    </row>
    <row r="1207">
      <c r="A1207" s="121">
        <v>47789.0</v>
      </c>
    </row>
    <row r="1208">
      <c r="A1208" s="121">
        <v>47790.0</v>
      </c>
    </row>
    <row r="1209">
      <c r="A1209" s="121">
        <v>47791.0</v>
      </c>
    </row>
    <row r="1210">
      <c r="A1210" s="121">
        <v>47792.0</v>
      </c>
    </row>
    <row r="1211">
      <c r="A1211" s="121">
        <v>47793.0</v>
      </c>
    </row>
    <row r="1212">
      <c r="A1212" s="121">
        <v>47794.0</v>
      </c>
      <c r="B1212" s="122">
        <v>45436.0</v>
      </c>
    </row>
    <row r="1213">
      <c r="A1213" s="121">
        <v>47795.0</v>
      </c>
      <c r="B1213" s="122">
        <v>45663.0</v>
      </c>
    </row>
    <row r="1214">
      <c r="A1214" s="121">
        <v>47796.0</v>
      </c>
    </row>
    <row r="1215">
      <c r="A1215" s="121">
        <v>47797.0</v>
      </c>
    </row>
    <row r="1216">
      <c r="A1216" s="121">
        <v>47798.0</v>
      </c>
    </row>
    <row r="1217">
      <c r="A1217" s="121">
        <v>47799.0</v>
      </c>
    </row>
    <row r="1218">
      <c r="A1218" s="121">
        <v>47800.0</v>
      </c>
    </row>
    <row r="1219">
      <c r="A1219" s="121">
        <v>47801.0</v>
      </c>
      <c r="B1219" s="122">
        <v>45532.0</v>
      </c>
    </row>
    <row r="1220">
      <c r="A1220" s="121">
        <v>47802.0</v>
      </c>
    </row>
    <row r="1221">
      <c r="A1221" s="121">
        <v>47803.0</v>
      </c>
      <c r="B1221" s="122">
        <v>45772.0</v>
      </c>
    </row>
    <row r="1222">
      <c r="A1222" s="121">
        <v>47804.0</v>
      </c>
    </row>
    <row r="1223">
      <c r="A1223" s="121">
        <v>47805.0</v>
      </c>
    </row>
    <row r="1224">
      <c r="A1224" s="121">
        <v>47806.0</v>
      </c>
    </row>
    <row r="1225">
      <c r="A1225" s="121">
        <v>47807.0</v>
      </c>
    </row>
    <row r="1226">
      <c r="A1226" s="121">
        <v>47808.0</v>
      </c>
    </row>
    <row r="1227">
      <c r="A1227" s="121">
        <v>47809.0</v>
      </c>
      <c r="B1227" s="122">
        <v>45302.0</v>
      </c>
    </row>
    <row r="1228">
      <c r="A1228" s="121">
        <v>47810.0</v>
      </c>
    </row>
    <row r="1229">
      <c r="A1229" s="121">
        <v>47811.0</v>
      </c>
      <c r="B1229" s="122">
        <v>45664.0</v>
      </c>
    </row>
    <row r="1230">
      <c r="A1230" s="121">
        <v>47812.0</v>
      </c>
      <c r="B1230" s="122">
        <v>46026.0</v>
      </c>
    </row>
    <row r="1231">
      <c r="A1231" s="121">
        <v>47813.0</v>
      </c>
      <c r="B1231" s="122">
        <v>45467.0</v>
      </c>
    </row>
    <row r="1232">
      <c r="A1232" s="121">
        <v>47814.0</v>
      </c>
    </row>
    <row r="1233">
      <c r="A1233" s="121">
        <v>47815.0</v>
      </c>
    </row>
    <row r="1234">
      <c r="A1234" s="121">
        <v>47816.0</v>
      </c>
    </row>
    <row r="1235">
      <c r="A1235" s="121">
        <v>47817.0</v>
      </c>
    </row>
    <row r="1236">
      <c r="A1236" s="121">
        <v>47818.0</v>
      </c>
    </row>
    <row r="1237">
      <c r="A1237" s="121">
        <v>47819.0</v>
      </c>
    </row>
    <row r="1238">
      <c r="A1238" s="121">
        <v>47820.0</v>
      </c>
      <c r="B1238" s="122">
        <v>45763.0</v>
      </c>
    </row>
    <row r="1239">
      <c r="A1239" s="121">
        <v>47821.0</v>
      </c>
    </row>
    <row r="1240">
      <c r="A1240" s="121">
        <v>47822.0</v>
      </c>
    </row>
    <row r="1241">
      <c r="A1241" s="121">
        <v>47823.0</v>
      </c>
    </row>
    <row r="1242">
      <c r="A1242" s="121">
        <v>47824.0</v>
      </c>
    </row>
    <row r="1243">
      <c r="A1243" s="121">
        <v>47825.0</v>
      </c>
    </row>
    <row r="1244">
      <c r="A1244" s="121">
        <v>47826.0</v>
      </c>
    </row>
    <row r="1245">
      <c r="A1245" s="121">
        <v>47827.0</v>
      </c>
    </row>
    <row r="1246">
      <c r="A1246" s="121">
        <v>47828.0</v>
      </c>
    </row>
    <row r="1247">
      <c r="A1247" s="121">
        <v>47829.0</v>
      </c>
      <c r="B1247" s="122">
        <v>45855.0</v>
      </c>
    </row>
    <row r="1248">
      <c r="A1248" s="121">
        <v>47830.0</v>
      </c>
    </row>
    <row r="1249">
      <c r="A1249" s="121">
        <v>47831.0</v>
      </c>
    </row>
    <row r="1250">
      <c r="A1250" s="121">
        <v>47832.0</v>
      </c>
    </row>
    <row r="1251">
      <c r="A1251" s="121">
        <v>47833.0</v>
      </c>
    </row>
    <row r="1252">
      <c r="A1252" s="121">
        <v>47834.0</v>
      </c>
    </row>
    <row r="1253">
      <c r="A1253" s="121">
        <v>47835.0</v>
      </c>
      <c r="B1253" s="122">
        <v>45535.0</v>
      </c>
    </row>
    <row r="1254">
      <c r="A1254" s="121">
        <v>47836.0</v>
      </c>
    </row>
    <row r="1255">
      <c r="A1255" s="121">
        <v>47837.0</v>
      </c>
    </row>
    <row r="1256">
      <c r="A1256" s="121">
        <v>47838.0</v>
      </c>
    </row>
    <row r="1257">
      <c r="A1257" s="121">
        <v>47839.0</v>
      </c>
    </row>
    <row r="1258">
      <c r="A1258" s="121">
        <v>47840.0</v>
      </c>
    </row>
    <row r="1259">
      <c r="A1259" s="121">
        <v>47841.0</v>
      </c>
    </row>
    <row r="1260">
      <c r="A1260" s="121">
        <v>47842.0</v>
      </c>
      <c r="B1260" s="122">
        <v>45669.0</v>
      </c>
    </row>
    <row r="1261">
      <c r="A1261" s="121">
        <v>47843.0</v>
      </c>
    </row>
    <row r="1262">
      <c r="A1262" s="121">
        <v>47844.0</v>
      </c>
    </row>
    <row r="1263">
      <c r="A1263" s="121">
        <v>47845.0</v>
      </c>
    </row>
    <row r="1264">
      <c r="A1264" s="121">
        <v>47846.0</v>
      </c>
      <c r="B1264" s="122">
        <v>45500.0</v>
      </c>
    </row>
    <row r="1265">
      <c r="A1265" s="121">
        <v>47860.0</v>
      </c>
      <c r="B1265" s="122">
        <v>45687.0</v>
      </c>
    </row>
    <row r="1266">
      <c r="A1266" s="121">
        <v>47861.0</v>
      </c>
    </row>
    <row r="1267">
      <c r="A1267" s="121">
        <v>47862.0</v>
      </c>
    </row>
    <row r="1268">
      <c r="A1268" s="121">
        <v>47863.0</v>
      </c>
      <c r="B1268" s="122">
        <v>45774.0</v>
      </c>
    </row>
    <row r="1269">
      <c r="A1269" s="121">
        <v>47864.0</v>
      </c>
      <c r="B1269" s="122">
        <v>45693.0</v>
      </c>
    </row>
    <row r="1270">
      <c r="A1270" s="121">
        <v>47865.0</v>
      </c>
      <c r="B1270" s="122">
        <v>45719.0</v>
      </c>
    </row>
    <row r="1271">
      <c r="A1271" s="121">
        <v>47866.0</v>
      </c>
      <c r="B1271" s="122">
        <v>45708.0</v>
      </c>
    </row>
    <row r="1272">
      <c r="A1272" s="121">
        <v>47867.0</v>
      </c>
      <c r="B1272" s="122">
        <v>45708.0</v>
      </c>
    </row>
    <row r="1273">
      <c r="A1273" s="121">
        <v>47868.0</v>
      </c>
      <c r="B1273" s="122">
        <v>45787.0</v>
      </c>
    </row>
    <row r="1274">
      <c r="A1274" s="121">
        <v>47869.0</v>
      </c>
      <c r="B1274" s="122">
        <v>45655.0</v>
      </c>
    </row>
    <row r="1275">
      <c r="A1275" s="121">
        <v>47870.0</v>
      </c>
    </row>
    <row r="1276">
      <c r="A1276" s="121">
        <v>47871.0</v>
      </c>
      <c r="B1276" s="122">
        <v>45681.0</v>
      </c>
    </row>
    <row r="1277">
      <c r="A1277" s="121">
        <v>47872.0</v>
      </c>
      <c r="B1277" s="122">
        <v>45000.0</v>
      </c>
    </row>
    <row r="1278">
      <c r="A1278" s="121">
        <v>47873.0</v>
      </c>
    </row>
    <row r="1279">
      <c r="A1279" s="121">
        <v>47874.0</v>
      </c>
    </row>
    <row r="1280">
      <c r="A1280" s="121">
        <v>47875.0</v>
      </c>
      <c r="B1280" s="122">
        <v>45681.0</v>
      </c>
    </row>
    <row r="1281">
      <c r="A1281" s="121">
        <v>47876.0</v>
      </c>
      <c r="B1281" s="122">
        <v>45705.0</v>
      </c>
    </row>
    <row r="1282">
      <c r="A1282" s="121">
        <v>47877.0</v>
      </c>
      <c r="B1282" s="122">
        <v>45714.0</v>
      </c>
    </row>
    <row r="1283">
      <c r="A1283" s="121">
        <v>47878.0</v>
      </c>
      <c r="B1283" s="122">
        <v>45712.0</v>
      </c>
    </row>
    <row r="1284">
      <c r="A1284" s="121">
        <v>47879.0</v>
      </c>
    </row>
    <row r="1285">
      <c r="A1285" s="121">
        <v>47880.0</v>
      </c>
      <c r="B1285" s="122">
        <v>45708.0</v>
      </c>
    </row>
    <row r="1286">
      <c r="A1286" s="121">
        <v>47881.0</v>
      </c>
      <c r="B1286" s="122">
        <v>45671.0</v>
      </c>
    </row>
    <row r="1287">
      <c r="A1287" s="121">
        <v>47882.0</v>
      </c>
      <c r="B1287" s="122">
        <v>46004.0</v>
      </c>
    </row>
    <row r="1288">
      <c r="A1288" s="121">
        <v>47883.0</v>
      </c>
    </row>
    <row r="1289">
      <c r="A1289" s="121">
        <v>47884.0</v>
      </c>
    </row>
    <row r="1290">
      <c r="A1290" s="121">
        <v>47885.0</v>
      </c>
      <c r="B1290" s="122">
        <v>45719.0</v>
      </c>
    </row>
    <row r="1291">
      <c r="A1291" s="121">
        <v>47886.0</v>
      </c>
      <c r="B1291" s="122">
        <v>45196.0</v>
      </c>
    </row>
    <row r="1292">
      <c r="A1292" s="121">
        <v>47887.0</v>
      </c>
    </row>
    <row r="1293">
      <c r="A1293" s="121">
        <v>47888.0</v>
      </c>
      <c r="B1293" s="122">
        <v>45769.0</v>
      </c>
    </row>
    <row r="1294">
      <c r="A1294" s="121">
        <v>47889.0</v>
      </c>
      <c r="B1294" s="122">
        <v>45670.0</v>
      </c>
    </row>
    <row r="1295">
      <c r="A1295" s="121">
        <v>47890.0</v>
      </c>
      <c r="B1295" s="122">
        <v>44996.0</v>
      </c>
    </row>
    <row r="1296">
      <c r="A1296" s="121">
        <v>47891.0</v>
      </c>
      <c r="B1296" s="122">
        <v>45656.0</v>
      </c>
    </row>
    <row r="1297">
      <c r="A1297" s="121">
        <v>47892.0</v>
      </c>
      <c r="B1297" s="122">
        <v>45727.0</v>
      </c>
    </row>
    <row r="1298">
      <c r="A1298" s="121">
        <v>47893.0</v>
      </c>
      <c r="B1298" s="122">
        <v>44388.0</v>
      </c>
    </row>
    <row r="1299">
      <c r="A1299" s="121">
        <v>47894.0</v>
      </c>
    </row>
    <row r="1300">
      <c r="A1300" s="121">
        <v>47895.0</v>
      </c>
    </row>
    <row r="1301">
      <c r="A1301" s="121">
        <v>47896.0</v>
      </c>
    </row>
    <row r="1302">
      <c r="A1302" s="121">
        <v>47897.0</v>
      </c>
      <c r="B1302" s="122">
        <v>45538.0</v>
      </c>
    </row>
    <row r="1303">
      <c r="A1303" s="121">
        <v>47898.0</v>
      </c>
    </row>
    <row r="1304">
      <c r="A1304" s="121">
        <v>47899.0</v>
      </c>
      <c r="B1304" s="122">
        <v>45217.0</v>
      </c>
    </row>
    <row r="1305">
      <c r="A1305" s="121">
        <v>47900.0</v>
      </c>
      <c r="B1305" s="122">
        <v>45505.0</v>
      </c>
    </row>
    <row r="1306">
      <c r="A1306" s="121">
        <v>47901.0</v>
      </c>
    </row>
    <row r="1307">
      <c r="A1307" s="121">
        <v>47902.0</v>
      </c>
      <c r="B1307" s="122">
        <v>45677.0</v>
      </c>
    </row>
    <row r="1308">
      <c r="A1308" s="121">
        <v>47903.0</v>
      </c>
    </row>
    <row r="1309">
      <c r="A1309" s="121">
        <v>47904.0</v>
      </c>
    </row>
    <row r="1310">
      <c r="A1310" s="121">
        <v>47905.0</v>
      </c>
      <c r="B1310" s="122">
        <v>45692.0</v>
      </c>
    </row>
    <row r="1311">
      <c r="A1311" s="121">
        <v>47906.0</v>
      </c>
      <c r="B1311" s="122">
        <v>45104.0</v>
      </c>
    </row>
    <row r="1312">
      <c r="A1312" s="121">
        <v>47907.0</v>
      </c>
    </row>
    <row r="1313">
      <c r="A1313" s="121">
        <v>47908.0</v>
      </c>
      <c r="B1313" s="122">
        <v>46014.0</v>
      </c>
    </row>
    <row r="1314">
      <c r="A1314" s="121">
        <v>47909.0</v>
      </c>
      <c r="B1314" s="122">
        <v>45684.0</v>
      </c>
    </row>
    <row r="1315">
      <c r="A1315" s="121">
        <v>47910.0</v>
      </c>
    </row>
    <row r="1316">
      <c r="A1316" s="121">
        <v>47911.0</v>
      </c>
    </row>
    <row r="1317">
      <c r="A1317" s="121">
        <v>47912.0</v>
      </c>
      <c r="B1317" s="122">
        <v>45723.0</v>
      </c>
    </row>
    <row r="1318">
      <c r="A1318" s="121">
        <v>47913.0</v>
      </c>
      <c r="B1318" s="122">
        <v>45683.0</v>
      </c>
    </row>
    <row r="1319">
      <c r="A1319" s="121">
        <v>47914.0</v>
      </c>
      <c r="B1319" s="122">
        <v>45678.0</v>
      </c>
    </row>
    <row r="1320">
      <c r="A1320" s="121">
        <v>47915.0</v>
      </c>
      <c r="B1320" s="122">
        <v>45427.0</v>
      </c>
    </row>
    <row r="1321">
      <c r="A1321" s="121">
        <v>47916.0</v>
      </c>
    </row>
    <row r="1322">
      <c r="A1322" s="121">
        <v>47917.0</v>
      </c>
      <c r="B1322" s="122">
        <v>45730.0</v>
      </c>
    </row>
    <row r="1323">
      <c r="A1323" s="121">
        <v>47918.0</v>
      </c>
      <c r="B1323" s="122">
        <v>45700.0</v>
      </c>
    </row>
    <row r="1324">
      <c r="A1324" s="121">
        <v>47919.0</v>
      </c>
    </row>
    <row r="1325">
      <c r="A1325" s="121">
        <v>47977.0</v>
      </c>
      <c r="B1325" s="122">
        <v>45719.0</v>
      </c>
    </row>
    <row r="1326">
      <c r="A1326" s="121">
        <v>47978.0</v>
      </c>
    </row>
    <row r="1327">
      <c r="A1327" s="121">
        <v>47979.0</v>
      </c>
      <c r="B1327" s="122">
        <v>45709.0</v>
      </c>
    </row>
    <row r="1328">
      <c r="A1328" s="121">
        <v>47980.0</v>
      </c>
      <c r="B1328" s="122">
        <v>45707.0</v>
      </c>
    </row>
    <row r="1329">
      <c r="A1329" s="121">
        <v>47981.0</v>
      </c>
    </row>
    <row r="1330">
      <c r="A1330" s="121">
        <v>47982.0</v>
      </c>
      <c r="B1330" s="122">
        <v>45688.0</v>
      </c>
    </row>
    <row r="1331">
      <c r="A1331" s="121">
        <v>47983.0</v>
      </c>
      <c r="B1331" s="122">
        <v>44577.0</v>
      </c>
    </row>
    <row r="1332">
      <c r="A1332" s="121">
        <v>47984.0</v>
      </c>
      <c r="B1332" s="122">
        <v>44571.0</v>
      </c>
    </row>
    <row r="1333">
      <c r="A1333" s="121">
        <v>47985.0</v>
      </c>
      <c r="B1333" s="122">
        <v>45702.0</v>
      </c>
    </row>
    <row r="1334">
      <c r="A1334" s="121">
        <v>47986.0</v>
      </c>
      <c r="B1334" s="122">
        <v>44622.0</v>
      </c>
    </row>
    <row r="1335">
      <c r="A1335" s="121">
        <v>47987.0</v>
      </c>
      <c r="B1335" s="122">
        <v>44550.0</v>
      </c>
    </row>
    <row r="1336">
      <c r="A1336" s="121">
        <v>47988.0</v>
      </c>
      <c r="B1336" s="122">
        <v>44794.0</v>
      </c>
    </row>
    <row r="1337">
      <c r="A1337" s="121">
        <v>47989.0</v>
      </c>
      <c r="B1337" s="122">
        <v>45700.0</v>
      </c>
    </row>
    <row r="1338">
      <c r="A1338" s="121">
        <v>47990.0</v>
      </c>
      <c r="B1338" s="122">
        <v>45683.0</v>
      </c>
    </row>
    <row r="1339">
      <c r="A1339" s="121">
        <v>47991.0</v>
      </c>
      <c r="B1339" s="122">
        <v>45687.0</v>
      </c>
    </row>
    <row r="1340">
      <c r="A1340" s="121">
        <v>47992.0</v>
      </c>
      <c r="B1340" s="122">
        <v>45713.0</v>
      </c>
    </row>
    <row r="1341">
      <c r="A1341" s="121">
        <v>47993.0</v>
      </c>
    </row>
    <row r="1342">
      <c r="A1342" s="121">
        <v>47994.0</v>
      </c>
      <c r="B1342" s="122">
        <v>45689.0</v>
      </c>
    </row>
    <row r="1343">
      <c r="A1343" s="121">
        <v>47995.0</v>
      </c>
      <c r="B1343" s="122">
        <v>45876.0</v>
      </c>
    </row>
    <row r="1344">
      <c r="A1344" s="121">
        <v>47996.0</v>
      </c>
      <c r="B1344" s="122">
        <v>45722.0</v>
      </c>
    </row>
    <row r="1345">
      <c r="A1345" s="121">
        <v>47997.0</v>
      </c>
    </row>
    <row r="1346">
      <c r="A1346" s="121">
        <v>47998.0</v>
      </c>
      <c r="B1346" s="122">
        <v>45681.0</v>
      </c>
    </row>
    <row r="1347">
      <c r="A1347" s="121">
        <v>47999.0</v>
      </c>
      <c r="B1347" s="122">
        <v>45531.0</v>
      </c>
    </row>
    <row r="1348">
      <c r="A1348" s="121">
        <v>48000.0</v>
      </c>
    </row>
    <row r="1349">
      <c r="A1349" s="121">
        <v>48001.0</v>
      </c>
      <c r="B1349" s="122">
        <v>44529.0</v>
      </c>
    </row>
    <row r="1350">
      <c r="A1350" s="121">
        <v>48002.0</v>
      </c>
      <c r="B1350" s="122">
        <v>45712.0</v>
      </c>
    </row>
    <row r="1351">
      <c r="A1351" s="121">
        <v>48003.0</v>
      </c>
      <c r="B1351" s="122">
        <v>45808.0</v>
      </c>
    </row>
    <row r="1352">
      <c r="A1352" s="121">
        <v>48004.0</v>
      </c>
      <c r="B1352" s="122">
        <v>44577.0</v>
      </c>
    </row>
    <row r="1353">
      <c r="A1353" s="121">
        <v>48005.0</v>
      </c>
      <c r="B1353" s="122">
        <v>45528.0</v>
      </c>
    </row>
    <row r="1354">
      <c r="A1354" s="121">
        <v>48006.0</v>
      </c>
      <c r="B1354" s="122">
        <v>44529.0</v>
      </c>
    </row>
    <row r="1355">
      <c r="A1355" s="121">
        <v>48007.0</v>
      </c>
      <c r="B1355" s="122">
        <v>44550.0</v>
      </c>
    </row>
    <row r="1356">
      <c r="A1356" s="121">
        <v>48008.0</v>
      </c>
      <c r="B1356" s="122">
        <v>45788.0</v>
      </c>
    </row>
    <row r="1357">
      <c r="A1357" s="121">
        <v>48009.0</v>
      </c>
    </row>
    <row r="1358">
      <c r="A1358" s="121">
        <v>48010.0</v>
      </c>
    </row>
    <row r="1359">
      <c r="A1359" s="121">
        <v>48011.0</v>
      </c>
      <c r="B1359" s="122">
        <v>45466.0</v>
      </c>
    </row>
    <row r="1360">
      <c r="A1360" s="121">
        <v>48012.0</v>
      </c>
      <c r="B1360" s="122">
        <v>45023.0</v>
      </c>
    </row>
    <row r="1361">
      <c r="A1361" s="121">
        <v>48013.0</v>
      </c>
      <c r="B1361" s="122">
        <v>45697.0</v>
      </c>
    </row>
    <row r="1362">
      <c r="A1362" s="121">
        <v>48014.0</v>
      </c>
      <c r="B1362" s="122">
        <v>45774.0</v>
      </c>
    </row>
    <row r="1363">
      <c r="A1363" s="121">
        <v>48015.0</v>
      </c>
      <c r="B1363" s="122">
        <v>44577.0</v>
      </c>
    </row>
    <row r="1364">
      <c r="A1364" s="121">
        <v>48016.0</v>
      </c>
      <c r="B1364" s="122">
        <v>45823.0</v>
      </c>
    </row>
    <row r="1365">
      <c r="A1365" s="121">
        <v>48017.0</v>
      </c>
      <c r="B1365" s="122">
        <v>44753.0</v>
      </c>
    </row>
    <row r="1366">
      <c r="A1366" s="121">
        <v>48018.0</v>
      </c>
      <c r="B1366" s="122">
        <v>45936.0</v>
      </c>
    </row>
    <row r="1367">
      <c r="A1367" s="121">
        <v>48019.0</v>
      </c>
    </row>
    <row r="1368">
      <c r="A1368" s="121">
        <v>48020.0</v>
      </c>
      <c r="B1368" s="122">
        <v>45691.0</v>
      </c>
    </row>
    <row r="1369">
      <c r="A1369" s="121">
        <v>48021.0</v>
      </c>
      <c r="B1369" s="122">
        <v>45884.0</v>
      </c>
    </row>
    <row r="1370">
      <c r="A1370" s="121">
        <v>48022.0</v>
      </c>
    </row>
    <row r="1371">
      <c r="A1371" s="121">
        <v>48023.0</v>
      </c>
    </row>
    <row r="1372">
      <c r="A1372" s="121">
        <v>48024.0</v>
      </c>
      <c r="B1372" s="122">
        <v>44577.0</v>
      </c>
    </row>
    <row r="1373">
      <c r="A1373" s="121">
        <v>48025.0</v>
      </c>
      <c r="B1373" s="122">
        <v>44571.0</v>
      </c>
    </row>
    <row r="1374">
      <c r="A1374" s="121">
        <v>48026.0</v>
      </c>
      <c r="B1374" s="122">
        <v>45647.0</v>
      </c>
    </row>
    <row r="1375">
      <c r="A1375" s="121">
        <v>48027.0</v>
      </c>
      <c r="B1375" s="122">
        <v>45393.0</v>
      </c>
    </row>
    <row r="1376">
      <c r="A1376" s="121">
        <v>48028.0</v>
      </c>
      <c r="B1376" s="122">
        <v>45779.0</v>
      </c>
    </row>
    <row r="1377">
      <c r="A1377" s="121">
        <v>48029.0</v>
      </c>
    </row>
    <row r="1378">
      <c r="A1378" s="121">
        <v>48030.0</v>
      </c>
      <c r="B1378" s="122">
        <v>45674.0</v>
      </c>
    </row>
    <row r="1379">
      <c r="A1379" s="121">
        <v>48031.0</v>
      </c>
      <c r="B1379" s="122">
        <v>45705.0</v>
      </c>
    </row>
    <row r="1380">
      <c r="A1380" s="121">
        <v>48032.0</v>
      </c>
      <c r="B1380" s="122">
        <v>44572.0</v>
      </c>
    </row>
    <row r="1381">
      <c r="A1381" s="121">
        <v>48033.0</v>
      </c>
      <c r="B1381" s="122">
        <v>45761.0</v>
      </c>
    </row>
    <row r="1382">
      <c r="A1382" s="121">
        <v>48034.0</v>
      </c>
      <c r="B1382" s="122">
        <v>45769.0</v>
      </c>
    </row>
    <row r="1383">
      <c r="A1383" s="121">
        <v>48035.0</v>
      </c>
      <c r="B1383" s="122">
        <v>44577.0</v>
      </c>
    </row>
    <row r="1384">
      <c r="A1384" s="121">
        <v>48036.0</v>
      </c>
      <c r="B1384" s="122">
        <v>45756.0</v>
      </c>
    </row>
    <row r="1385">
      <c r="A1385" s="121">
        <v>48092.0</v>
      </c>
      <c r="B1385" s="122">
        <v>45693.0</v>
      </c>
    </row>
    <row r="1386">
      <c r="A1386" s="121">
        <v>48093.0</v>
      </c>
    </row>
    <row r="1387">
      <c r="A1387" s="121">
        <v>48094.0</v>
      </c>
    </row>
    <row r="1388">
      <c r="A1388" s="121">
        <v>48095.0</v>
      </c>
    </row>
    <row r="1389">
      <c r="A1389" s="121">
        <v>48096.0</v>
      </c>
    </row>
    <row r="1390">
      <c r="A1390" s="121">
        <v>48097.0</v>
      </c>
    </row>
    <row r="1391">
      <c r="A1391" s="121">
        <v>48098.0</v>
      </c>
    </row>
    <row r="1392">
      <c r="A1392" s="121">
        <v>48099.0</v>
      </c>
    </row>
    <row r="1393">
      <c r="A1393" s="121">
        <v>48100.0</v>
      </c>
    </row>
    <row r="1394">
      <c r="A1394" s="121">
        <v>48101.0</v>
      </c>
    </row>
    <row r="1395">
      <c r="A1395" s="121">
        <v>48102.0</v>
      </c>
      <c r="B1395" s="122">
        <v>45933.0</v>
      </c>
    </row>
    <row r="1396">
      <c r="A1396" s="121">
        <v>48103.0</v>
      </c>
      <c r="B1396" s="122">
        <v>45490.0</v>
      </c>
    </row>
    <row r="1397">
      <c r="A1397" s="121">
        <v>48104.0</v>
      </c>
    </row>
    <row r="1398">
      <c r="A1398" s="121">
        <v>48105.0</v>
      </c>
    </row>
    <row r="1399">
      <c r="A1399" s="121">
        <v>48106.0</v>
      </c>
    </row>
    <row r="1400">
      <c r="A1400" s="121">
        <v>48107.0</v>
      </c>
    </row>
    <row r="1401">
      <c r="A1401" s="121">
        <v>48108.0</v>
      </c>
      <c r="B1401" s="122">
        <v>45467.0</v>
      </c>
    </row>
    <row r="1402">
      <c r="A1402" s="121">
        <v>48109.0</v>
      </c>
      <c r="B1402" s="122">
        <v>45378.0</v>
      </c>
    </row>
    <row r="1403">
      <c r="A1403" s="121">
        <v>48110.0</v>
      </c>
      <c r="B1403" s="122">
        <v>45746.0</v>
      </c>
    </row>
    <row r="1404">
      <c r="A1404" s="121">
        <v>48111.0</v>
      </c>
    </row>
    <row r="1405">
      <c r="A1405" s="121">
        <v>48112.0</v>
      </c>
    </row>
    <row r="1406">
      <c r="A1406" s="121">
        <v>48113.0</v>
      </c>
    </row>
    <row r="1407">
      <c r="A1407" s="121">
        <v>48114.0</v>
      </c>
      <c r="B1407" s="122">
        <v>45302.0</v>
      </c>
    </row>
    <row r="1408">
      <c r="A1408" s="121">
        <v>48115.0</v>
      </c>
    </row>
    <row r="1409">
      <c r="A1409" s="121">
        <v>48116.0</v>
      </c>
    </row>
    <row r="1410">
      <c r="A1410" s="121">
        <v>48117.0</v>
      </c>
    </row>
    <row r="1411">
      <c r="A1411" s="121">
        <v>48118.0</v>
      </c>
      <c r="B1411" s="122">
        <v>45588.0</v>
      </c>
    </row>
    <row r="1412">
      <c r="A1412" s="121">
        <v>48119.0</v>
      </c>
    </row>
    <row r="1413">
      <c r="A1413" s="121">
        <v>48120.0</v>
      </c>
    </row>
    <row r="1414">
      <c r="A1414" s="121">
        <v>48121.0</v>
      </c>
    </row>
    <row r="1415">
      <c r="A1415" s="121">
        <v>48122.0</v>
      </c>
      <c r="B1415" s="122">
        <v>45667.0</v>
      </c>
    </row>
    <row r="1416">
      <c r="A1416" s="121">
        <v>48123.0</v>
      </c>
    </row>
    <row r="1417">
      <c r="A1417" s="121">
        <v>48124.0</v>
      </c>
    </row>
    <row r="1418">
      <c r="A1418" s="121">
        <v>48125.0</v>
      </c>
    </row>
    <row r="1419">
      <c r="A1419" s="121">
        <v>48126.0</v>
      </c>
    </row>
    <row r="1420">
      <c r="A1420" s="121">
        <v>48127.0</v>
      </c>
    </row>
    <row r="1421">
      <c r="A1421" s="121">
        <v>48128.0</v>
      </c>
    </row>
    <row r="1422">
      <c r="A1422" s="121">
        <v>48129.0</v>
      </c>
    </row>
    <row r="1423">
      <c r="A1423" s="121">
        <v>48130.0</v>
      </c>
    </row>
    <row r="1424">
      <c r="A1424" s="121">
        <v>48131.0</v>
      </c>
    </row>
    <row r="1425">
      <c r="A1425" s="121">
        <v>48132.0</v>
      </c>
    </row>
    <row r="1426">
      <c r="A1426" s="121">
        <v>48133.0</v>
      </c>
    </row>
    <row r="1427">
      <c r="A1427" s="121">
        <v>48134.0</v>
      </c>
    </row>
    <row r="1428">
      <c r="A1428" s="121">
        <v>48135.0</v>
      </c>
    </row>
    <row r="1429">
      <c r="A1429" s="121">
        <v>48136.0</v>
      </c>
    </row>
    <row r="1430">
      <c r="A1430" s="121">
        <v>48137.0</v>
      </c>
    </row>
    <row r="1431">
      <c r="A1431" s="121">
        <v>48138.0</v>
      </c>
    </row>
    <row r="1432">
      <c r="A1432" s="121">
        <v>48139.0</v>
      </c>
    </row>
    <row r="1433">
      <c r="A1433" s="121">
        <v>48140.0</v>
      </c>
    </row>
    <row r="1434">
      <c r="A1434" s="121">
        <v>48141.0</v>
      </c>
      <c r="B1434" s="122">
        <v>45705.0</v>
      </c>
    </row>
    <row r="1435">
      <c r="A1435" s="121">
        <v>48142.0</v>
      </c>
    </row>
    <row r="1436">
      <c r="A1436" s="121">
        <v>48143.0</v>
      </c>
    </row>
    <row r="1437">
      <c r="A1437" s="121">
        <v>48144.0</v>
      </c>
    </row>
    <row r="1438">
      <c r="A1438" s="121">
        <v>48145.0</v>
      </c>
    </row>
    <row r="1439">
      <c r="A1439" s="121">
        <v>48146.0</v>
      </c>
      <c r="B1439" s="122">
        <v>45451.0</v>
      </c>
    </row>
    <row r="1440">
      <c r="A1440" s="121">
        <v>48147.0</v>
      </c>
      <c r="B1440" s="122">
        <v>45516.0</v>
      </c>
    </row>
    <row r="1441">
      <c r="A1441" s="121">
        <v>48148.0</v>
      </c>
    </row>
    <row r="1442">
      <c r="A1442" s="121">
        <v>48149.0</v>
      </c>
    </row>
    <row r="1443">
      <c r="A1443" s="121">
        <v>48150.0</v>
      </c>
    </row>
    <row r="1444">
      <c r="A1444" s="121">
        <v>48151.0</v>
      </c>
    </row>
    <row r="1445">
      <c r="A1445" s="121">
        <v>48276.0</v>
      </c>
    </row>
    <row r="1446">
      <c r="A1446" s="121">
        <v>48277.0</v>
      </c>
    </row>
    <row r="1447">
      <c r="A1447" s="121">
        <v>48278.0</v>
      </c>
    </row>
    <row r="1448">
      <c r="A1448" s="121">
        <v>48279.0</v>
      </c>
      <c r="B1448" s="122">
        <v>45764.0</v>
      </c>
    </row>
    <row r="1449">
      <c r="A1449" s="121">
        <v>48280.0</v>
      </c>
    </row>
    <row r="1450">
      <c r="A1450" s="121">
        <v>48281.0</v>
      </c>
      <c r="B1450" s="122">
        <v>45676.0</v>
      </c>
    </row>
    <row r="1451">
      <c r="A1451" s="121">
        <v>48282.0</v>
      </c>
    </row>
    <row r="1452">
      <c r="A1452" s="121">
        <v>48283.0</v>
      </c>
    </row>
    <row r="1453">
      <c r="A1453" s="121">
        <v>48284.0</v>
      </c>
    </row>
    <row r="1454">
      <c r="A1454" s="121">
        <v>48285.0</v>
      </c>
      <c r="B1454" s="122">
        <v>45437.0</v>
      </c>
    </row>
    <row r="1455">
      <c r="A1455" s="121">
        <v>48286.0</v>
      </c>
    </row>
    <row r="1456">
      <c r="A1456" s="121">
        <v>48287.0</v>
      </c>
    </row>
    <row r="1457">
      <c r="A1457" s="121">
        <v>48288.0</v>
      </c>
      <c r="B1457" s="122">
        <v>45929.0</v>
      </c>
    </row>
    <row r="1458">
      <c r="A1458" s="121">
        <v>48289.0</v>
      </c>
    </row>
    <row r="1459">
      <c r="A1459" s="121">
        <v>48290.0</v>
      </c>
      <c r="B1459" s="122">
        <v>46035.0</v>
      </c>
    </row>
    <row r="1460">
      <c r="A1460" s="121">
        <v>48291.0</v>
      </c>
    </row>
    <row r="1461">
      <c r="A1461" s="121">
        <v>48292.0</v>
      </c>
    </row>
    <row r="1462">
      <c r="A1462" s="121">
        <v>48293.0</v>
      </c>
    </row>
    <row r="1463">
      <c r="A1463" s="121">
        <v>48294.0</v>
      </c>
    </row>
    <row r="1464">
      <c r="A1464" s="121">
        <v>48295.0</v>
      </c>
    </row>
    <row r="1465">
      <c r="A1465" s="121">
        <v>48296.0</v>
      </c>
      <c r="B1465" s="122">
        <v>45665.0</v>
      </c>
    </row>
    <row r="1466">
      <c r="A1466" s="121">
        <v>48297.0</v>
      </c>
      <c r="B1466" s="122">
        <v>45434.0</v>
      </c>
    </row>
    <row r="1467">
      <c r="A1467" s="121">
        <v>48298.0</v>
      </c>
    </row>
    <row r="1468">
      <c r="A1468" s="121">
        <v>48299.0</v>
      </c>
    </row>
    <row r="1469">
      <c r="A1469" s="121">
        <v>48300.0</v>
      </c>
    </row>
    <row r="1470">
      <c r="A1470" s="121">
        <v>48301.0</v>
      </c>
    </row>
    <row r="1471">
      <c r="A1471" s="121">
        <v>48302.0</v>
      </c>
      <c r="B1471" s="122">
        <v>45646.0</v>
      </c>
    </row>
    <row r="1472">
      <c r="A1472" s="121">
        <v>48303.0</v>
      </c>
    </row>
    <row r="1473">
      <c r="A1473" s="121">
        <v>48304.0</v>
      </c>
    </row>
    <row r="1474">
      <c r="A1474" s="121">
        <v>48305.0</v>
      </c>
    </row>
    <row r="1475">
      <c r="A1475" s="121">
        <v>48306.0</v>
      </c>
    </row>
    <row r="1476">
      <c r="A1476" s="121">
        <v>48307.0</v>
      </c>
      <c r="B1476" s="122">
        <v>45494.0</v>
      </c>
    </row>
    <row r="1477">
      <c r="A1477" s="121">
        <v>48308.0</v>
      </c>
      <c r="B1477" s="122">
        <v>45427.0</v>
      </c>
    </row>
    <row r="1478">
      <c r="A1478" s="121">
        <v>48309.0</v>
      </c>
    </row>
    <row r="1479">
      <c r="A1479" s="121">
        <v>48310.0</v>
      </c>
    </row>
    <row r="1480">
      <c r="A1480" s="121">
        <v>48311.0</v>
      </c>
    </row>
    <row r="1481">
      <c r="A1481" s="121">
        <v>48312.0</v>
      </c>
    </row>
    <row r="1482">
      <c r="A1482" s="121">
        <v>48313.0</v>
      </c>
      <c r="B1482" s="122">
        <v>45665.0</v>
      </c>
    </row>
    <row r="1483">
      <c r="A1483" s="121">
        <v>48314.0</v>
      </c>
    </row>
    <row r="1484">
      <c r="A1484" s="121">
        <v>48315.0</v>
      </c>
    </row>
    <row r="1485">
      <c r="A1485" s="121">
        <v>48316.0</v>
      </c>
    </row>
    <row r="1486">
      <c r="A1486" s="121">
        <v>48317.0</v>
      </c>
    </row>
    <row r="1487">
      <c r="A1487" s="121">
        <v>48318.0</v>
      </c>
    </row>
    <row r="1488">
      <c r="A1488" s="121">
        <v>48319.0</v>
      </c>
    </row>
    <row r="1489">
      <c r="A1489" s="121">
        <v>48320.0</v>
      </c>
    </row>
    <row r="1490">
      <c r="A1490" s="121">
        <v>48321.0</v>
      </c>
    </row>
    <row r="1491">
      <c r="A1491" s="121">
        <v>48322.0</v>
      </c>
      <c r="B1491" s="122">
        <v>45665.0</v>
      </c>
    </row>
    <row r="1492">
      <c r="A1492" s="121">
        <v>48323.0</v>
      </c>
    </row>
    <row r="1493">
      <c r="A1493" s="121">
        <v>48324.0</v>
      </c>
      <c r="B1493" s="122">
        <v>45426.0</v>
      </c>
    </row>
    <row r="1494">
      <c r="A1494" s="121">
        <v>48325.0</v>
      </c>
    </row>
    <row r="1495">
      <c r="A1495" s="121">
        <v>48326.0</v>
      </c>
    </row>
    <row r="1496">
      <c r="A1496" s="121">
        <v>48327.0</v>
      </c>
    </row>
    <row r="1497">
      <c r="A1497" s="121">
        <v>48328.0</v>
      </c>
    </row>
    <row r="1498">
      <c r="A1498" s="121">
        <v>48329.0</v>
      </c>
    </row>
    <row r="1499">
      <c r="A1499" s="121">
        <v>48330.0</v>
      </c>
    </row>
    <row r="1500">
      <c r="A1500" s="121">
        <v>48331.0</v>
      </c>
    </row>
    <row r="1501">
      <c r="A1501" s="121">
        <v>48332.0</v>
      </c>
      <c r="B1501" s="122">
        <v>46034.0</v>
      </c>
    </row>
    <row r="1502">
      <c r="A1502" s="121">
        <v>48333.0</v>
      </c>
    </row>
    <row r="1503">
      <c r="A1503" s="121">
        <v>48334.0</v>
      </c>
    </row>
    <row r="1504">
      <c r="A1504" s="121">
        <v>48335.0</v>
      </c>
      <c r="B1504" s="122">
        <v>45664.0</v>
      </c>
    </row>
    <row r="1505">
      <c r="A1505" s="121">
        <v>48353.0</v>
      </c>
    </row>
    <row r="1506">
      <c r="A1506" s="121">
        <v>48354.0</v>
      </c>
    </row>
    <row r="1507">
      <c r="A1507" s="121">
        <v>48355.0</v>
      </c>
    </row>
    <row r="1508">
      <c r="A1508" s="121">
        <v>48356.0</v>
      </c>
    </row>
    <row r="1509">
      <c r="A1509" s="121">
        <v>48357.0</v>
      </c>
    </row>
    <row r="1510">
      <c r="A1510" s="121">
        <v>48358.0</v>
      </c>
    </row>
    <row r="1511">
      <c r="A1511" s="121">
        <v>48359.0</v>
      </c>
    </row>
    <row r="1512">
      <c r="A1512" s="121">
        <v>48360.0</v>
      </c>
    </row>
    <row r="1513">
      <c r="A1513" s="121">
        <v>48361.0</v>
      </c>
    </row>
    <row r="1514">
      <c r="A1514" s="121">
        <v>48362.0</v>
      </c>
    </row>
    <row r="1515">
      <c r="A1515" s="121">
        <v>48363.0</v>
      </c>
      <c r="B1515" s="122">
        <v>46025.0</v>
      </c>
    </row>
    <row r="1516">
      <c r="A1516" s="121">
        <v>48364.0</v>
      </c>
    </row>
    <row r="1517">
      <c r="A1517" s="121">
        <v>48365.0</v>
      </c>
    </row>
    <row r="1518">
      <c r="A1518" s="121">
        <v>48366.0</v>
      </c>
      <c r="B1518" s="122">
        <v>45888.0</v>
      </c>
    </row>
    <row r="1519">
      <c r="A1519" s="121">
        <v>48367.0</v>
      </c>
    </row>
    <row r="1520">
      <c r="A1520" s="121">
        <v>48368.0</v>
      </c>
    </row>
    <row r="1521">
      <c r="A1521" s="121">
        <v>48369.0</v>
      </c>
      <c r="B1521" s="122">
        <v>45754.0</v>
      </c>
    </row>
    <row r="1522">
      <c r="A1522" s="121">
        <v>48370.0</v>
      </c>
    </row>
    <row r="1523">
      <c r="A1523" s="121">
        <v>48371.0</v>
      </c>
    </row>
    <row r="1524">
      <c r="A1524" s="121">
        <v>48372.0</v>
      </c>
      <c r="B1524" s="122">
        <v>45533.0</v>
      </c>
    </row>
    <row r="1525">
      <c r="A1525" s="121">
        <v>48373.0</v>
      </c>
    </row>
    <row r="1526">
      <c r="A1526" s="121">
        <v>48374.0</v>
      </c>
    </row>
    <row r="1527">
      <c r="A1527" s="121">
        <v>48375.0</v>
      </c>
    </row>
    <row r="1528">
      <c r="A1528" s="121">
        <v>48376.0</v>
      </c>
    </row>
    <row r="1529">
      <c r="A1529" s="121">
        <v>48377.0</v>
      </c>
    </row>
    <row r="1530">
      <c r="A1530" s="121">
        <v>48378.0</v>
      </c>
    </row>
    <row r="1531">
      <c r="A1531" s="121">
        <v>48379.0</v>
      </c>
    </row>
    <row r="1532">
      <c r="A1532" s="121">
        <v>48380.0</v>
      </c>
    </row>
    <row r="1533">
      <c r="A1533" s="121">
        <v>48381.0</v>
      </c>
    </row>
    <row r="1534">
      <c r="A1534" s="121">
        <v>48382.0</v>
      </c>
    </row>
    <row r="1535">
      <c r="A1535" s="121">
        <v>48383.0</v>
      </c>
      <c r="B1535" s="122">
        <v>45511.0</v>
      </c>
    </row>
    <row r="1536">
      <c r="A1536" s="121">
        <v>48384.0</v>
      </c>
      <c r="B1536" s="122">
        <v>45424.0</v>
      </c>
    </row>
    <row r="1537">
      <c r="A1537" s="121">
        <v>48385.0</v>
      </c>
    </row>
    <row r="1538">
      <c r="A1538" s="121">
        <v>48386.0</v>
      </c>
    </row>
    <row r="1539">
      <c r="A1539" s="121">
        <v>48387.0</v>
      </c>
      <c r="B1539" s="122">
        <v>45633.0</v>
      </c>
    </row>
    <row r="1540">
      <c r="A1540" s="121">
        <v>48388.0</v>
      </c>
    </row>
    <row r="1541">
      <c r="A1541" s="121">
        <v>48389.0</v>
      </c>
      <c r="B1541" s="122">
        <v>45533.0</v>
      </c>
    </row>
    <row r="1542">
      <c r="A1542" s="121">
        <v>48390.0</v>
      </c>
    </row>
    <row r="1543">
      <c r="A1543" s="121">
        <v>48391.0</v>
      </c>
    </row>
    <row r="1544">
      <c r="A1544" s="121">
        <v>48392.0</v>
      </c>
    </row>
    <row r="1545">
      <c r="A1545" s="121">
        <v>48393.0</v>
      </c>
      <c r="B1545" s="122">
        <v>45691.0</v>
      </c>
    </row>
    <row r="1546">
      <c r="A1546" s="121">
        <v>48394.0</v>
      </c>
      <c r="B1546" s="122">
        <v>45665.0</v>
      </c>
    </row>
    <row r="1547">
      <c r="A1547" s="121">
        <v>48395.0</v>
      </c>
    </row>
    <row r="1548">
      <c r="A1548" s="121">
        <v>48396.0</v>
      </c>
    </row>
    <row r="1549">
      <c r="A1549" s="121">
        <v>48397.0</v>
      </c>
    </row>
    <row r="1550">
      <c r="A1550" s="121">
        <v>48398.0</v>
      </c>
    </row>
    <row r="1551">
      <c r="A1551" s="121">
        <v>48399.0</v>
      </c>
    </row>
    <row r="1552">
      <c r="A1552" s="121">
        <v>48400.0</v>
      </c>
    </row>
    <row r="1553">
      <c r="A1553" s="121">
        <v>48401.0</v>
      </c>
    </row>
    <row r="1554">
      <c r="A1554" s="121">
        <v>48402.0</v>
      </c>
      <c r="B1554" s="122">
        <v>45534.0</v>
      </c>
    </row>
    <row r="1555">
      <c r="A1555" s="121">
        <v>48403.0</v>
      </c>
      <c r="B1555" s="122">
        <v>45740.0</v>
      </c>
    </row>
    <row r="1556">
      <c r="A1556" s="121">
        <v>48404.0</v>
      </c>
    </row>
    <row r="1557">
      <c r="A1557" s="121">
        <v>48405.0</v>
      </c>
    </row>
    <row r="1558">
      <c r="A1558" s="121">
        <v>48406.0</v>
      </c>
    </row>
    <row r="1559">
      <c r="A1559" s="121">
        <v>48407.0</v>
      </c>
      <c r="B1559" s="122">
        <v>46022.0</v>
      </c>
    </row>
    <row r="1560">
      <c r="A1560" s="121">
        <v>48408.0</v>
      </c>
    </row>
    <row r="1561">
      <c r="A1561" s="121">
        <v>48409.0</v>
      </c>
      <c r="B1561" s="122">
        <v>45530.0</v>
      </c>
    </row>
    <row r="1562">
      <c r="A1562" s="121">
        <v>48410.0</v>
      </c>
    </row>
    <row r="1563">
      <c r="A1563" s="121">
        <v>48411.0</v>
      </c>
    </row>
    <row r="1564">
      <c r="A1564" s="121">
        <v>48412.0</v>
      </c>
    </row>
    <row r="1565">
      <c r="A1565" s="121">
        <v>48428.0</v>
      </c>
    </row>
    <row r="1566">
      <c r="A1566" s="121">
        <v>48429.0</v>
      </c>
      <c r="B1566" s="122">
        <v>45667.0</v>
      </c>
    </row>
    <row r="1567">
      <c r="A1567" s="121">
        <v>48430.0</v>
      </c>
      <c r="B1567" s="122">
        <v>45427.0</v>
      </c>
    </row>
    <row r="1568">
      <c r="A1568" s="121">
        <v>48431.0</v>
      </c>
    </row>
    <row r="1569">
      <c r="A1569" s="121">
        <v>48432.0</v>
      </c>
    </row>
    <row r="1570">
      <c r="A1570" s="121">
        <v>48433.0</v>
      </c>
    </row>
    <row r="1571">
      <c r="A1571" s="121">
        <v>48434.0</v>
      </c>
    </row>
    <row r="1572">
      <c r="A1572" s="121">
        <v>48435.0</v>
      </c>
    </row>
    <row r="1573">
      <c r="A1573" s="121">
        <v>48436.0</v>
      </c>
    </row>
    <row r="1574">
      <c r="A1574" s="121">
        <v>48437.0</v>
      </c>
    </row>
    <row r="1575">
      <c r="A1575" s="121">
        <v>48438.0</v>
      </c>
    </row>
    <row r="1576">
      <c r="A1576" s="121">
        <v>48439.0</v>
      </c>
    </row>
    <row r="1577">
      <c r="A1577" s="121">
        <v>48440.0</v>
      </c>
    </row>
    <row r="1578">
      <c r="A1578" s="121">
        <v>48441.0</v>
      </c>
    </row>
    <row r="1579">
      <c r="A1579" s="121">
        <v>48442.0</v>
      </c>
    </row>
    <row r="1580">
      <c r="A1580" s="121">
        <v>48443.0</v>
      </c>
    </row>
    <row r="1581">
      <c r="A1581" s="121">
        <v>48444.0</v>
      </c>
    </row>
    <row r="1582">
      <c r="A1582" s="121">
        <v>48445.0</v>
      </c>
    </row>
    <row r="1583">
      <c r="A1583" s="121">
        <v>48446.0</v>
      </c>
      <c r="B1583" s="122">
        <v>45549.0</v>
      </c>
    </row>
    <row r="1584">
      <c r="A1584" s="121">
        <v>48447.0</v>
      </c>
      <c r="B1584" s="122">
        <v>45428.0</v>
      </c>
    </row>
    <row r="1585">
      <c r="A1585" s="121">
        <v>48448.0</v>
      </c>
      <c r="B1585" s="122">
        <v>45518.0</v>
      </c>
    </row>
    <row r="1586">
      <c r="A1586" s="121">
        <v>48449.0</v>
      </c>
    </row>
    <row r="1587">
      <c r="A1587" s="121">
        <v>48450.0</v>
      </c>
      <c r="B1587" s="122">
        <v>46012.0</v>
      </c>
    </row>
    <row r="1588">
      <c r="A1588" s="121">
        <v>48451.0</v>
      </c>
      <c r="B1588" s="122">
        <v>45521.0</v>
      </c>
    </row>
    <row r="1589">
      <c r="A1589" s="121">
        <v>48452.0</v>
      </c>
    </row>
    <row r="1590">
      <c r="A1590" s="121">
        <v>48453.0</v>
      </c>
    </row>
    <row r="1591">
      <c r="A1591" s="121">
        <v>48454.0</v>
      </c>
    </row>
    <row r="1592">
      <c r="A1592" s="121">
        <v>48455.0</v>
      </c>
    </row>
    <row r="1593">
      <c r="A1593" s="121">
        <v>48456.0</v>
      </c>
      <c r="B1593" s="122">
        <v>45517.0</v>
      </c>
    </row>
    <row r="1594">
      <c r="A1594" s="121">
        <v>48457.0</v>
      </c>
      <c r="B1594" s="122">
        <v>44405.0</v>
      </c>
    </row>
    <row r="1595">
      <c r="A1595" s="121">
        <v>48458.0</v>
      </c>
    </row>
    <row r="1596">
      <c r="A1596" s="121">
        <v>48459.0</v>
      </c>
    </row>
    <row r="1597">
      <c r="A1597" s="121">
        <v>48460.0</v>
      </c>
    </row>
    <row r="1598">
      <c r="A1598" s="121">
        <v>48461.0</v>
      </c>
      <c r="B1598" s="122">
        <v>45744.0</v>
      </c>
    </row>
    <row r="1599">
      <c r="A1599" s="121">
        <v>48462.0</v>
      </c>
    </row>
    <row r="1600">
      <c r="A1600" s="121">
        <v>48463.0</v>
      </c>
      <c r="B1600" s="122">
        <v>45667.0</v>
      </c>
    </row>
    <row r="1601">
      <c r="A1601" s="121">
        <v>48464.0</v>
      </c>
    </row>
    <row r="1602">
      <c r="A1602" s="121">
        <v>48465.0</v>
      </c>
    </row>
    <row r="1603">
      <c r="A1603" s="121">
        <v>48466.0</v>
      </c>
    </row>
    <row r="1604">
      <c r="A1604" s="121">
        <v>48467.0</v>
      </c>
    </row>
    <row r="1605">
      <c r="A1605" s="121">
        <v>48468.0</v>
      </c>
    </row>
    <row r="1606">
      <c r="A1606" s="121">
        <v>48469.0</v>
      </c>
    </row>
    <row r="1607">
      <c r="A1607" s="121">
        <v>48470.0</v>
      </c>
    </row>
    <row r="1608">
      <c r="A1608" s="121">
        <v>48471.0</v>
      </c>
    </row>
    <row r="1609">
      <c r="A1609" s="121">
        <v>48472.0</v>
      </c>
    </row>
    <row r="1610">
      <c r="A1610" s="121">
        <v>48473.0</v>
      </c>
    </row>
    <row r="1611">
      <c r="A1611" s="121">
        <v>48474.0</v>
      </c>
    </row>
    <row r="1612">
      <c r="A1612" s="121">
        <v>48475.0</v>
      </c>
      <c r="B1612" s="122">
        <v>46045.0</v>
      </c>
    </row>
    <row r="1613">
      <c r="A1613" s="121">
        <v>48476.0</v>
      </c>
      <c r="B1613" s="122">
        <v>45651.0</v>
      </c>
    </row>
    <row r="1614">
      <c r="A1614" s="121">
        <v>48477.0</v>
      </c>
      <c r="B1614" s="122">
        <v>44349.0</v>
      </c>
    </row>
    <row r="1615">
      <c r="A1615" s="121">
        <v>48478.0</v>
      </c>
    </row>
    <row r="1616">
      <c r="A1616" s="121">
        <v>48479.0</v>
      </c>
    </row>
    <row r="1617">
      <c r="A1617" s="121">
        <v>48480.0</v>
      </c>
      <c r="B1617" s="122">
        <v>45520.0</v>
      </c>
    </row>
    <row r="1618">
      <c r="A1618" s="121">
        <v>48481.0</v>
      </c>
    </row>
    <row r="1619">
      <c r="A1619" s="121">
        <v>48482.0</v>
      </c>
    </row>
    <row r="1620">
      <c r="A1620" s="121">
        <v>48483.0</v>
      </c>
    </row>
    <row r="1621">
      <c r="A1621" s="121">
        <v>48484.0</v>
      </c>
      <c r="B1621" s="122">
        <v>45955.0</v>
      </c>
    </row>
    <row r="1622">
      <c r="A1622" s="121">
        <v>48485.0</v>
      </c>
    </row>
    <row r="1623">
      <c r="A1623" s="121">
        <v>48486.0</v>
      </c>
      <c r="B1623" s="122">
        <v>45506.0</v>
      </c>
    </row>
    <row r="1624">
      <c r="A1624" s="121">
        <v>48487.0</v>
      </c>
    </row>
    <row r="1625">
      <c r="A1625" s="121">
        <v>48553.0</v>
      </c>
    </row>
    <row r="1626">
      <c r="A1626" s="121">
        <v>48554.0</v>
      </c>
    </row>
    <row r="1627">
      <c r="A1627" s="121">
        <v>48555.0</v>
      </c>
    </row>
    <row r="1628">
      <c r="A1628" s="121">
        <v>48556.0</v>
      </c>
    </row>
    <row r="1629">
      <c r="A1629" s="121">
        <v>48557.0</v>
      </c>
    </row>
    <row r="1630">
      <c r="A1630" s="121">
        <v>48558.0</v>
      </c>
    </row>
    <row r="1631">
      <c r="A1631" s="121">
        <v>48559.0</v>
      </c>
      <c r="B1631" s="122">
        <v>45436.0</v>
      </c>
    </row>
    <row r="1632">
      <c r="A1632" s="121">
        <v>48560.0</v>
      </c>
      <c r="B1632" s="122">
        <v>44596.0</v>
      </c>
    </row>
    <row r="1633">
      <c r="A1633" s="121">
        <v>48561.0</v>
      </c>
      <c r="B1633" s="122">
        <v>45469.0</v>
      </c>
    </row>
    <row r="1634">
      <c r="A1634" s="121">
        <v>48562.0</v>
      </c>
    </row>
    <row r="1635">
      <c r="A1635" s="121">
        <v>48563.0</v>
      </c>
    </row>
    <row r="1636">
      <c r="A1636" s="121">
        <v>48564.0</v>
      </c>
    </row>
    <row r="1637">
      <c r="A1637" s="121">
        <v>48565.0</v>
      </c>
      <c r="B1637" s="122">
        <v>45868.0</v>
      </c>
    </row>
    <row r="1638">
      <c r="A1638" s="121">
        <v>48566.0</v>
      </c>
    </row>
    <row r="1639">
      <c r="A1639" s="121">
        <v>48567.0</v>
      </c>
      <c r="B1639" s="122">
        <v>45434.0</v>
      </c>
    </row>
    <row r="1640">
      <c r="A1640" s="121">
        <v>48568.0</v>
      </c>
    </row>
    <row r="1641">
      <c r="A1641" s="121">
        <v>48569.0</v>
      </c>
    </row>
    <row r="1642">
      <c r="A1642" s="121">
        <v>48570.0</v>
      </c>
    </row>
    <row r="1643">
      <c r="A1643" s="121">
        <v>48571.0</v>
      </c>
    </row>
    <row r="1644">
      <c r="A1644" s="121">
        <v>48572.0</v>
      </c>
    </row>
    <row r="1645">
      <c r="A1645" s="121">
        <v>48573.0</v>
      </c>
    </row>
    <row r="1646">
      <c r="A1646" s="121">
        <v>48574.0</v>
      </c>
    </row>
    <row r="1647">
      <c r="A1647" s="121">
        <v>48575.0</v>
      </c>
    </row>
    <row r="1648">
      <c r="A1648" s="121">
        <v>48576.0</v>
      </c>
    </row>
    <row r="1649">
      <c r="A1649" s="121">
        <v>48577.0</v>
      </c>
    </row>
    <row r="1650">
      <c r="A1650" s="121">
        <v>48578.0</v>
      </c>
    </row>
    <row r="1651">
      <c r="A1651" s="121">
        <v>48579.0</v>
      </c>
      <c r="B1651" s="122">
        <v>45427.0</v>
      </c>
    </row>
    <row r="1652">
      <c r="A1652" s="121">
        <v>48580.0</v>
      </c>
    </row>
    <row r="1653">
      <c r="A1653" s="121">
        <v>48581.0</v>
      </c>
    </row>
    <row r="1654">
      <c r="A1654" s="121">
        <v>48582.0</v>
      </c>
    </row>
    <row r="1655">
      <c r="A1655" s="121">
        <v>48583.0</v>
      </c>
    </row>
    <row r="1656">
      <c r="A1656" s="121">
        <v>48584.0</v>
      </c>
    </row>
    <row r="1657">
      <c r="A1657" s="121">
        <v>48585.0</v>
      </c>
      <c r="B1657" s="122">
        <v>45658.0</v>
      </c>
    </row>
    <row r="1658">
      <c r="A1658" s="121">
        <v>48586.0</v>
      </c>
    </row>
    <row r="1659">
      <c r="A1659" s="121">
        <v>48587.0</v>
      </c>
      <c r="B1659" s="122">
        <v>45298.0</v>
      </c>
    </row>
    <row r="1660">
      <c r="A1660" s="121">
        <v>48588.0</v>
      </c>
      <c r="B1660" s="122">
        <v>45662.0</v>
      </c>
    </row>
    <row r="1661">
      <c r="A1661" s="121">
        <v>48589.0</v>
      </c>
    </row>
    <row r="1662">
      <c r="A1662" s="121">
        <v>48590.0</v>
      </c>
      <c r="B1662" s="122">
        <v>44674.0</v>
      </c>
    </row>
    <row r="1663">
      <c r="A1663" s="121">
        <v>48591.0</v>
      </c>
      <c r="B1663" s="122">
        <v>45434.0</v>
      </c>
    </row>
    <row r="1664">
      <c r="A1664" s="121">
        <v>48592.0</v>
      </c>
    </row>
    <row r="1665">
      <c r="A1665" s="121">
        <v>48593.0</v>
      </c>
    </row>
    <row r="1666">
      <c r="A1666" s="121">
        <v>48594.0</v>
      </c>
    </row>
    <row r="1667">
      <c r="A1667" s="121">
        <v>48595.0</v>
      </c>
    </row>
    <row r="1668">
      <c r="A1668" s="121">
        <v>48596.0</v>
      </c>
    </row>
    <row r="1669">
      <c r="A1669" s="121">
        <v>48597.0</v>
      </c>
    </row>
    <row r="1670">
      <c r="A1670" s="121">
        <v>48598.0</v>
      </c>
      <c r="B1670" s="122">
        <v>45416.0</v>
      </c>
    </row>
    <row r="1671">
      <c r="A1671" s="121">
        <v>48599.0</v>
      </c>
      <c r="B1671" s="122">
        <v>45426.0</v>
      </c>
    </row>
    <row r="1672">
      <c r="A1672" s="121">
        <v>48600.0</v>
      </c>
      <c r="B1672" s="122">
        <v>45804.0</v>
      </c>
    </row>
    <row r="1673">
      <c r="A1673" s="121">
        <v>48601.0</v>
      </c>
      <c r="B1673" s="122">
        <v>44433.0</v>
      </c>
    </row>
    <row r="1674">
      <c r="A1674" s="121">
        <v>48602.0</v>
      </c>
    </row>
    <row r="1675">
      <c r="A1675" s="121">
        <v>48603.0</v>
      </c>
    </row>
    <row r="1676">
      <c r="A1676" s="121">
        <v>48604.0</v>
      </c>
    </row>
    <row r="1677">
      <c r="A1677" s="121">
        <v>48638.0</v>
      </c>
      <c r="B1677" s="122">
        <v>45437.0</v>
      </c>
    </row>
    <row r="1678">
      <c r="A1678" s="121">
        <v>48639.0</v>
      </c>
    </row>
    <row r="1679">
      <c r="A1679" s="121">
        <v>48640.0</v>
      </c>
    </row>
    <row r="1680">
      <c r="A1680" s="121">
        <v>48641.0</v>
      </c>
    </row>
    <row r="1681">
      <c r="A1681" s="121">
        <v>48642.0</v>
      </c>
    </row>
    <row r="1682">
      <c r="A1682" s="121">
        <v>48643.0</v>
      </c>
    </row>
    <row r="1683">
      <c r="A1683" s="121">
        <v>48644.0</v>
      </c>
    </row>
    <row r="1684">
      <c r="A1684" s="121">
        <v>48645.0</v>
      </c>
      <c r="B1684" s="122">
        <v>45745.0</v>
      </c>
    </row>
    <row r="1685">
      <c r="A1685" s="121">
        <v>48646.0</v>
      </c>
    </row>
    <row r="1686">
      <c r="A1686" s="121">
        <v>48647.0</v>
      </c>
      <c r="B1686" s="122">
        <v>45685.0</v>
      </c>
    </row>
    <row r="1687">
      <c r="A1687" s="121">
        <v>48648.0</v>
      </c>
    </row>
    <row r="1688">
      <c r="A1688" s="121">
        <v>48649.0</v>
      </c>
    </row>
    <row r="1689">
      <c r="A1689" s="121">
        <v>48650.0</v>
      </c>
    </row>
    <row r="1690">
      <c r="A1690" s="121">
        <v>48651.0</v>
      </c>
    </row>
    <row r="1691">
      <c r="A1691" s="121">
        <v>48652.0</v>
      </c>
    </row>
    <row r="1692">
      <c r="A1692" s="121">
        <v>48653.0</v>
      </c>
    </row>
    <row r="1693">
      <c r="A1693" s="121">
        <v>48654.0</v>
      </c>
      <c r="B1693" s="122">
        <v>45979.0</v>
      </c>
    </row>
    <row r="1694">
      <c r="A1694" s="121">
        <v>48655.0</v>
      </c>
    </row>
    <row r="1695">
      <c r="A1695" s="121">
        <v>48656.0</v>
      </c>
    </row>
    <row r="1696">
      <c r="A1696" s="121">
        <v>48657.0</v>
      </c>
    </row>
    <row r="1697">
      <c r="A1697" s="121">
        <v>48658.0</v>
      </c>
    </row>
    <row r="1698">
      <c r="A1698" s="121">
        <v>48659.0</v>
      </c>
    </row>
    <row r="1699">
      <c r="A1699" s="121">
        <v>48660.0</v>
      </c>
      <c r="B1699" s="122">
        <v>45665.0</v>
      </c>
    </row>
    <row r="1700">
      <c r="A1700" s="121">
        <v>48661.0</v>
      </c>
      <c r="B1700" s="122">
        <v>45494.0</v>
      </c>
    </row>
    <row r="1701">
      <c r="A1701" s="121">
        <v>48662.0</v>
      </c>
    </row>
    <row r="1702">
      <c r="A1702" s="121">
        <v>48663.0</v>
      </c>
    </row>
    <row r="1703">
      <c r="A1703" s="121">
        <v>48664.0</v>
      </c>
      <c r="B1703" s="122">
        <v>45743.0</v>
      </c>
    </row>
    <row r="1704">
      <c r="A1704" s="121">
        <v>48665.0</v>
      </c>
      <c r="B1704" s="122">
        <v>45434.0</v>
      </c>
    </row>
    <row r="1705">
      <c r="A1705" s="121">
        <v>48666.0</v>
      </c>
    </row>
    <row r="1706">
      <c r="A1706" s="121">
        <v>48667.0</v>
      </c>
    </row>
    <row r="1707">
      <c r="A1707" s="121">
        <v>48668.0</v>
      </c>
    </row>
    <row r="1708">
      <c r="A1708" s="121">
        <v>48669.0</v>
      </c>
    </row>
    <row r="1709">
      <c r="A1709" s="121">
        <v>48670.0</v>
      </c>
    </row>
    <row r="1710">
      <c r="A1710" s="121">
        <v>48671.0</v>
      </c>
    </row>
    <row r="1711">
      <c r="A1711" s="121">
        <v>48672.0</v>
      </c>
    </row>
    <row r="1712">
      <c r="A1712" s="121">
        <v>48673.0</v>
      </c>
    </row>
    <row r="1713">
      <c r="A1713" s="121">
        <v>48674.0</v>
      </c>
    </row>
    <row r="1714">
      <c r="A1714" s="121">
        <v>48675.0</v>
      </c>
      <c r="B1714" s="122">
        <v>45688.0</v>
      </c>
    </row>
    <row r="1715">
      <c r="A1715" s="121">
        <v>48676.0</v>
      </c>
    </row>
    <row r="1716">
      <c r="A1716" s="121">
        <v>48677.0</v>
      </c>
      <c r="B1716" s="122">
        <v>45526.0</v>
      </c>
    </row>
    <row r="1717">
      <c r="A1717" s="121">
        <v>48678.0</v>
      </c>
    </row>
    <row r="1718">
      <c r="A1718" s="121">
        <v>48679.0</v>
      </c>
    </row>
    <row r="1719">
      <c r="A1719" s="121">
        <v>48680.0</v>
      </c>
      <c r="B1719" s="122">
        <v>45765.0</v>
      </c>
    </row>
    <row r="1720">
      <c r="A1720" s="121">
        <v>48681.0</v>
      </c>
    </row>
    <row r="1721">
      <c r="A1721" s="121">
        <v>48682.0</v>
      </c>
    </row>
    <row r="1722">
      <c r="A1722" s="121">
        <v>48683.0</v>
      </c>
    </row>
    <row r="1723">
      <c r="A1723" s="121">
        <v>48684.0</v>
      </c>
    </row>
    <row r="1724">
      <c r="A1724" s="121">
        <v>48685.0</v>
      </c>
    </row>
    <row r="1725">
      <c r="A1725" s="121">
        <v>48686.0</v>
      </c>
    </row>
    <row r="1726">
      <c r="A1726" s="121">
        <v>48687.0</v>
      </c>
    </row>
    <row r="1727">
      <c r="A1727" s="121">
        <v>48688.0</v>
      </c>
    </row>
    <row r="1728">
      <c r="A1728" s="121">
        <v>48689.0</v>
      </c>
      <c r="B1728" s="122">
        <v>45669.0</v>
      </c>
    </row>
    <row r="1729">
      <c r="A1729" s="121">
        <v>48690.0</v>
      </c>
    </row>
    <row r="1730">
      <c r="A1730" s="121">
        <v>48691.0</v>
      </c>
    </row>
    <row r="1731">
      <c r="A1731" s="121">
        <v>48692.0</v>
      </c>
    </row>
    <row r="1732">
      <c r="A1732" s="121">
        <v>48693.0</v>
      </c>
    </row>
    <row r="1733">
      <c r="A1733" s="121">
        <v>48694.0</v>
      </c>
    </row>
    <row r="1734">
      <c r="A1734" s="121">
        <v>48695.0</v>
      </c>
    </row>
    <row r="1735">
      <c r="A1735" s="121">
        <v>48696.0</v>
      </c>
    </row>
    <row r="1736">
      <c r="A1736" s="121">
        <v>48697.0</v>
      </c>
      <c r="B1736" s="122">
        <v>45515.0</v>
      </c>
    </row>
    <row r="1737">
      <c r="A1737" s="121">
        <v>48879.0</v>
      </c>
      <c r="B1737" s="122">
        <v>45534.0</v>
      </c>
    </row>
    <row r="1738">
      <c r="A1738" s="121">
        <v>48880.0</v>
      </c>
    </row>
    <row r="1739">
      <c r="A1739" s="121">
        <v>48881.0</v>
      </c>
    </row>
    <row r="1740">
      <c r="A1740" s="121">
        <v>49131.0</v>
      </c>
    </row>
    <row r="1741">
      <c r="A1741" s="121">
        <v>49132.0</v>
      </c>
    </row>
    <row r="1742">
      <c r="A1742" s="121">
        <v>49133.0</v>
      </c>
    </row>
    <row r="1743">
      <c r="A1743" s="121">
        <v>49134.0</v>
      </c>
    </row>
    <row r="1744">
      <c r="A1744" s="121">
        <v>49135.0</v>
      </c>
    </row>
    <row r="1745">
      <c r="A1745" s="121">
        <v>49136.0</v>
      </c>
      <c r="B1745" s="122">
        <v>45937.0</v>
      </c>
    </row>
    <row r="1746">
      <c r="A1746" s="121">
        <v>49137.0</v>
      </c>
    </row>
    <row r="1747">
      <c r="A1747" s="121">
        <v>49138.0</v>
      </c>
    </row>
    <row r="1748">
      <c r="A1748" s="121">
        <v>49139.0</v>
      </c>
    </row>
    <row r="1749">
      <c r="A1749" s="121">
        <v>49140.0</v>
      </c>
      <c r="B1749" s="122">
        <v>45572.0</v>
      </c>
    </row>
    <row r="1750">
      <c r="A1750" s="121">
        <v>49141.0</v>
      </c>
    </row>
    <row r="1751">
      <c r="A1751" s="121">
        <v>49142.0</v>
      </c>
      <c r="B1751" s="122">
        <v>45798.0</v>
      </c>
    </row>
    <row r="1752">
      <c r="A1752" s="121">
        <v>49143.0</v>
      </c>
    </row>
    <row r="1753">
      <c r="A1753" s="121">
        <v>49144.0</v>
      </c>
    </row>
    <row r="1754">
      <c r="A1754" s="121">
        <v>49145.0</v>
      </c>
    </row>
    <row r="1755">
      <c r="A1755" s="121">
        <v>49146.0</v>
      </c>
    </row>
    <row r="1756">
      <c r="A1756" s="121">
        <v>49147.0</v>
      </c>
    </row>
    <row r="1757">
      <c r="A1757" s="121">
        <v>49148.0</v>
      </c>
    </row>
    <row r="1758">
      <c r="A1758" s="121">
        <v>49149.0</v>
      </c>
      <c r="B1758" s="122">
        <v>45757.0</v>
      </c>
    </row>
    <row r="1759">
      <c r="A1759" s="121">
        <v>49150.0</v>
      </c>
      <c r="B1759" s="122">
        <v>45766.0</v>
      </c>
    </row>
    <row r="1760">
      <c r="A1760" s="121">
        <v>49151.0</v>
      </c>
    </row>
    <row r="1761">
      <c r="A1761" s="121">
        <v>49152.0</v>
      </c>
      <c r="B1761" s="122">
        <v>45762.0</v>
      </c>
    </row>
    <row r="1762">
      <c r="A1762" s="121">
        <v>49153.0</v>
      </c>
    </row>
    <row r="1763">
      <c r="A1763" s="121">
        <v>49154.0</v>
      </c>
    </row>
    <row r="1764">
      <c r="A1764" s="121">
        <v>49155.0</v>
      </c>
    </row>
    <row r="1765">
      <c r="A1765" s="121">
        <v>49156.0</v>
      </c>
    </row>
    <row r="1766">
      <c r="A1766" s="121">
        <v>49157.0</v>
      </c>
    </row>
    <row r="1767">
      <c r="A1767" s="121">
        <v>49158.0</v>
      </c>
    </row>
    <row r="1768">
      <c r="A1768" s="121">
        <v>49159.0</v>
      </c>
    </row>
    <row r="1769">
      <c r="A1769" s="121">
        <v>49160.0</v>
      </c>
    </row>
    <row r="1770">
      <c r="A1770" s="121">
        <v>49161.0</v>
      </c>
    </row>
    <row r="1771">
      <c r="A1771" s="121">
        <v>49162.0</v>
      </c>
      <c r="B1771" s="122">
        <v>45603.0</v>
      </c>
    </row>
    <row r="1772">
      <c r="A1772" s="121">
        <v>49163.0</v>
      </c>
    </row>
    <row r="1773">
      <c r="A1773" s="121">
        <v>49164.0</v>
      </c>
    </row>
    <row r="1774">
      <c r="A1774" s="121">
        <v>49165.0</v>
      </c>
    </row>
    <row r="1775">
      <c r="A1775" s="121">
        <v>49166.0</v>
      </c>
    </row>
    <row r="1776">
      <c r="A1776" s="121">
        <v>49167.0</v>
      </c>
    </row>
    <row r="1777">
      <c r="A1777" s="121">
        <v>49168.0</v>
      </c>
      <c r="B1777" s="122">
        <v>45760.0</v>
      </c>
    </row>
    <row r="1778">
      <c r="A1778" s="121">
        <v>49169.0</v>
      </c>
    </row>
    <row r="1779">
      <c r="A1779" s="121">
        <v>49170.0</v>
      </c>
      <c r="B1779" s="122">
        <v>45643.0</v>
      </c>
    </row>
    <row r="1780">
      <c r="A1780" s="121">
        <v>49171.0</v>
      </c>
    </row>
    <row r="1781">
      <c r="A1781" s="121">
        <v>49172.0</v>
      </c>
      <c r="B1781" s="122">
        <v>45804.0</v>
      </c>
    </row>
    <row r="1782">
      <c r="A1782" s="121">
        <v>49173.0</v>
      </c>
    </row>
    <row r="1783">
      <c r="A1783" s="121">
        <v>49174.0</v>
      </c>
      <c r="B1783" s="122">
        <v>45960.0</v>
      </c>
    </row>
    <row r="1784">
      <c r="A1784" s="121">
        <v>49175.0</v>
      </c>
    </row>
    <row r="1785">
      <c r="A1785" s="121">
        <v>49176.0</v>
      </c>
    </row>
    <row r="1786">
      <c r="A1786" s="121">
        <v>49177.0</v>
      </c>
    </row>
    <row r="1787">
      <c r="A1787" s="121">
        <v>49178.0</v>
      </c>
    </row>
    <row r="1788">
      <c r="A1788" s="121">
        <v>49179.0</v>
      </c>
    </row>
    <row r="1789">
      <c r="A1789" s="121">
        <v>49180.0</v>
      </c>
    </row>
    <row r="1790">
      <c r="A1790" s="121">
        <v>49181.0</v>
      </c>
    </row>
    <row r="1791">
      <c r="A1791" s="121">
        <v>49408.0</v>
      </c>
    </row>
    <row r="1792">
      <c r="A1792" s="121">
        <v>49409.0</v>
      </c>
    </row>
    <row r="1793">
      <c r="A1793" s="121">
        <v>49410.0</v>
      </c>
    </row>
    <row r="1794">
      <c r="A1794" s="121">
        <v>49411.0</v>
      </c>
    </row>
    <row r="1795">
      <c r="A1795" s="121">
        <v>49412.0</v>
      </c>
      <c r="B1795" s="122">
        <v>45646.0</v>
      </c>
    </row>
    <row r="1796">
      <c r="A1796" s="121">
        <v>49413.0</v>
      </c>
    </row>
    <row r="1797">
      <c r="A1797" s="121">
        <v>49414.0</v>
      </c>
    </row>
    <row r="1798">
      <c r="A1798" s="121">
        <v>49415.0</v>
      </c>
    </row>
    <row r="1799">
      <c r="A1799" s="121">
        <v>49416.0</v>
      </c>
    </row>
    <row r="1800">
      <c r="A1800" s="121">
        <v>49417.0</v>
      </c>
    </row>
    <row r="1801">
      <c r="A1801" s="121">
        <v>49418.0</v>
      </c>
    </row>
    <row r="1802">
      <c r="A1802" s="121">
        <v>49419.0</v>
      </c>
    </row>
    <row r="1803">
      <c r="A1803" s="121">
        <v>49420.0</v>
      </c>
    </row>
    <row r="1804">
      <c r="A1804" s="121">
        <v>49421.0</v>
      </c>
    </row>
    <row r="1805">
      <c r="A1805" s="121">
        <v>49422.0</v>
      </c>
    </row>
    <row r="1806">
      <c r="A1806" s="121">
        <v>49423.0</v>
      </c>
    </row>
    <row r="1807">
      <c r="A1807" s="121">
        <v>49424.0</v>
      </c>
    </row>
    <row r="1808">
      <c r="A1808" s="121">
        <v>49425.0</v>
      </c>
    </row>
    <row r="1809">
      <c r="A1809" s="121">
        <v>49426.0</v>
      </c>
    </row>
    <row r="1810">
      <c r="A1810" s="121">
        <v>49427.0</v>
      </c>
    </row>
    <row r="1811">
      <c r="A1811" s="121">
        <v>49428.0</v>
      </c>
    </row>
    <row r="1812">
      <c r="A1812" s="121">
        <v>49429.0</v>
      </c>
      <c r="B1812" s="122">
        <v>44531.0</v>
      </c>
    </row>
    <row r="1813">
      <c r="A1813" s="121">
        <v>49430.0</v>
      </c>
    </row>
    <row r="1814">
      <c r="A1814" s="121">
        <v>49431.0</v>
      </c>
    </row>
    <row r="1815">
      <c r="A1815" s="121">
        <v>49432.0</v>
      </c>
    </row>
    <row r="1816">
      <c r="A1816" s="121">
        <v>49433.0</v>
      </c>
    </row>
    <row r="1817">
      <c r="A1817" s="121">
        <v>49434.0</v>
      </c>
    </row>
    <row r="1818">
      <c r="A1818" s="121">
        <v>49435.0</v>
      </c>
    </row>
    <row r="1819">
      <c r="A1819" s="121">
        <v>49436.0</v>
      </c>
    </row>
    <row r="1820">
      <c r="A1820" s="121">
        <v>49437.0</v>
      </c>
    </row>
    <row r="1821">
      <c r="A1821" s="121">
        <v>49438.0</v>
      </c>
    </row>
    <row r="1822">
      <c r="A1822" s="121">
        <v>49439.0</v>
      </c>
      <c r="B1822" s="122">
        <v>45428.0</v>
      </c>
    </row>
    <row r="1823">
      <c r="A1823" s="121">
        <v>49440.0</v>
      </c>
    </row>
    <row r="1824">
      <c r="A1824" s="121">
        <v>49441.0</v>
      </c>
    </row>
    <row r="1825">
      <c r="A1825" s="121">
        <v>49442.0</v>
      </c>
    </row>
    <row r="1826">
      <c r="A1826" s="121">
        <v>49443.0</v>
      </c>
    </row>
    <row r="1827">
      <c r="A1827" s="121">
        <v>49444.0</v>
      </c>
    </row>
    <row r="1828">
      <c r="A1828" s="121">
        <v>49445.0</v>
      </c>
    </row>
    <row r="1829">
      <c r="A1829" s="121">
        <v>49446.0</v>
      </c>
    </row>
    <row r="1830">
      <c r="A1830" s="121">
        <v>49447.0</v>
      </c>
    </row>
    <row r="1831">
      <c r="A1831" s="121">
        <v>49448.0</v>
      </c>
      <c r="B1831" s="122">
        <v>45416.0</v>
      </c>
    </row>
    <row r="1832">
      <c r="A1832" s="121">
        <v>49449.0</v>
      </c>
    </row>
    <row r="1833">
      <c r="A1833" s="121">
        <v>49450.0</v>
      </c>
    </row>
    <row r="1834">
      <c r="A1834" s="121">
        <v>49451.0</v>
      </c>
    </row>
    <row r="1835">
      <c r="A1835" s="121">
        <v>49452.0</v>
      </c>
    </row>
    <row r="1836">
      <c r="A1836" s="121">
        <v>49453.0</v>
      </c>
    </row>
    <row r="1837">
      <c r="A1837" s="121">
        <v>49454.0</v>
      </c>
    </row>
    <row r="1838">
      <c r="A1838" s="121">
        <v>49455.0</v>
      </c>
    </row>
    <row r="1839">
      <c r="A1839" s="121">
        <v>49456.0</v>
      </c>
    </row>
    <row r="1840">
      <c r="A1840" s="121">
        <v>49457.0</v>
      </c>
    </row>
    <row r="1841">
      <c r="A1841" s="121">
        <v>49458.0</v>
      </c>
    </row>
    <row r="1842">
      <c r="A1842" s="121">
        <v>49459.0</v>
      </c>
    </row>
    <row r="1843">
      <c r="A1843" s="121">
        <v>49460.0</v>
      </c>
    </row>
    <row r="1844">
      <c r="A1844" s="121">
        <v>49724.0</v>
      </c>
    </row>
    <row r="1845">
      <c r="A1845" s="121">
        <v>49725.0</v>
      </c>
    </row>
    <row r="1846">
      <c r="A1846" s="121">
        <v>49726.0</v>
      </c>
      <c r="B1846" s="122">
        <v>45549.0</v>
      </c>
    </row>
    <row r="1847">
      <c r="A1847" s="121">
        <v>49727.0</v>
      </c>
    </row>
    <row r="1848">
      <c r="A1848" s="121">
        <v>49728.0</v>
      </c>
    </row>
    <row r="1849">
      <c r="A1849" s="121">
        <v>49729.0</v>
      </c>
    </row>
    <row r="1850">
      <c r="A1850" s="121">
        <v>49730.0</v>
      </c>
    </row>
    <row r="1851">
      <c r="A1851" s="121">
        <v>49731.0</v>
      </c>
      <c r="B1851" s="122">
        <v>45409.0</v>
      </c>
    </row>
    <row r="1852">
      <c r="A1852" s="121">
        <v>49732.0</v>
      </c>
    </row>
    <row r="1853">
      <c r="A1853" s="121">
        <v>49733.0</v>
      </c>
    </row>
    <row r="1854">
      <c r="A1854" s="121">
        <v>49734.0</v>
      </c>
    </row>
    <row r="1855">
      <c r="A1855" s="121">
        <v>49735.0</v>
      </c>
    </row>
    <row r="1856">
      <c r="A1856" s="121">
        <v>49736.0</v>
      </c>
    </row>
    <row r="1857">
      <c r="A1857" s="121">
        <v>49737.0</v>
      </c>
    </row>
    <row r="1858">
      <c r="A1858" s="121">
        <v>49738.0</v>
      </c>
    </row>
    <row r="1859">
      <c r="A1859" s="121">
        <v>49739.0</v>
      </c>
    </row>
    <row r="1860">
      <c r="A1860" s="121">
        <v>49740.0</v>
      </c>
    </row>
    <row r="1861">
      <c r="A1861" s="121">
        <v>49741.0</v>
      </c>
    </row>
    <row r="1862">
      <c r="A1862" s="121">
        <v>49742.0</v>
      </c>
    </row>
    <row r="1863">
      <c r="A1863" s="121">
        <v>49743.0</v>
      </c>
    </row>
    <row r="1864">
      <c r="A1864" s="121">
        <v>49744.0</v>
      </c>
    </row>
    <row r="1865">
      <c r="A1865" s="121">
        <v>49745.0</v>
      </c>
    </row>
    <row r="1866">
      <c r="A1866" s="121">
        <v>49746.0</v>
      </c>
    </row>
    <row r="1867">
      <c r="A1867" s="121">
        <v>49747.0</v>
      </c>
    </row>
    <row r="1868">
      <c r="A1868" s="121">
        <v>49748.0</v>
      </c>
    </row>
    <row r="1869">
      <c r="A1869" s="121">
        <v>49749.0</v>
      </c>
    </row>
    <row r="1870">
      <c r="A1870" s="121">
        <v>49750.0</v>
      </c>
    </row>
    <row r="1871">
      <c r="A1871" s="121">
        <v>49751.0</v>
      </c>
    </row>
    <row r="1872">
      <c r="A1872" s="121">
        <v>49752.0</v>
      </c>
    </row>
    <row r="1873">
      <c r="A1873" s="121">
        <v>49753.0</v>
      </c>
    </row>
    <row r="1874">
      <c r="A1874" s="121">
        <v>49754.0</v>
      </c>
    </row>
    <row r="1875">
      <c r="A1875" s="121">
        <v>49755.0</v>
      </c>
    </row>
    <row r="1876">
      <c r="A1876" s="121">
        <v>49756.0</v>
      </c>
    </row>
    <row r="1877">
      <c r="A1877" s="121">
        <v>49757.0</v>
      </c>
    </row>
    <row r="1878">
      <c r="A1878" s="121">
        <v>49758.0</v>
      </c>
    </row>
    <row r="1879">
      <c r="A1879" s="121">
        <v>49759.0</v>
      </c>
    </row>
    <row r="1880">
      <c r="A1880" s="121">
        <v>49760.0</v>
      </c>
    </row>
    <row r="1881">
      <c r="A1881" s="121">
        <v>49761.0</v>
      </c>
    </row>
    <row r="1882">
      <c r="A1882" s="121">
        <v>49762.0</v>
      </c>
    </row>
    <row r="1883">
      <c r="A1883" s="121">
        <v>49763.0</v>
      </c>
    </row>
    <row r="1884">
      <c r="A1884" s="121">
        <v>49764.0</v>
      </c>
      <c r="B1884" s="122">
        <v>45514.0</v>
      </c>
    </row>
    <row r="1885">
      <c r="A1885" s="121">
        <v>49765.0</v>
      </c>
    </row>
    <row r="1886">
      <c r="A1886" s="121">
        <v>49766.0</v>
      </c>
    </row>
    <row r="1887">
      <c r="A1887" s="121">
        <v>49767.0</v>
      </c>
    </row>
    <row r="1888">
      <c r="A1888" s="121">
        <v>49768.0</v>
      </c>
    </row>
    <row r="1889">
      <c r="A1889" s="121">
        <v>49769.0</v>
      </c>
    </row>
    <row r="1890">
      <c r="A1890" s="121">
        <v>49770.0</v>
      </c>
    </row>
    <row r="1891">
      <c r="A1891" s="121">
        <v>49771.0</v>
      </c>
    </row>
    <row r="1892">
      <c r="A1892" s="121">
        <v>50156.0</v>
      </c>
      <c r="B1892" s="122">
        <v>46021.0</v>
      </c>
    </row>
    <row r="1893">
      <c r="A1893" s="121">
        <v>50157.0</v>
      </c>
      <c r="B1893" s="122">
        <v>45968.0</v>
      </c>
    </row>
    <row r="1894">
      <c r="A1894" s="121">
        <v>50158.0</v>
      </c>
      <c r="B1894" s="122">
        <v>45983.0</v>
      </c>
    </row>
    <row r="1895">
      <c r="A1895" s="121">
        <v>50159.0</v>
      </c>
    </row>
    <row r="1896">
      <c r="A1896" s="121">
        <v>50160.0</v>
      </c>
      <c r="B1896" s="122">
        <v>45647.0</v>
      </c>
    </row>
    <row r="1897">
      <c r="A1897" s="121">
        <v>50161.0</v>
      </c>
    </row>
    <row r="1898">
      <c r="A1898" s="121">
        <v>50162.0</v>
      </c>
      <c r="B1898" s="122">
        <v>45340.0</v>
      </c>
    </row>
    <row r="1899">
      <c r="A1899" s="121">
        <v>50163.0</v>
      </c>
    </row>
    <row r="1900">
      <c r="A1900" s="121">
        <v>50164.0</v>
      </c>
      <c r="B1900" s="122">
        <v>44728.0</v>
      </c>
    </row>
    <row r="1901">
      <c r="A1901" s="121">
        <v>50165.0</v>
      </c>
    </row>
    <row r="1902">
      <c r="A1902" s="121">
        <v>50166.0</v>
      </c>
    </row>
    <row r="1903">
      <c r="A1903" s="121">
        <v>50167.0</v>
      </c>
    </row>
    <row r="1904">
      <c r="A1904" s="121">
        <v>50168.0</v>
      </c>
      <c r="B1904" s="122">
        <v>46032.0</v>
      </c>
    </row>
    <row r="1905">
      <c r="A1905" s="121">
        <v>50169.0</v>
      </c>
    </row>
    <row r="1906">
      <c r="A1906" s="121">
        <v>50170.0</v>
      </c>
    </row>
    <row r="1907">
      <c r="A1907" s="121">
        <v>50171.0</v>
      </c>
    </row>
    <row r="1908">
      <c r="A1908" s="121">
        <v>50172.0</v>
      </c>
    </row>
    <row r="1909">
      <c r="A1909" s="121">
        <v>50173.0</v>
      </c>
    </row>
    <row r="1910">
      <c r="A1910" s="121">
        <v>50174.0</v>
      </c>
    </row>
    <row r="1911">
      <c r="A1911" s="121">
        <v>50175.0</v>
      </c>
    </row>
    <row r="1912">
      <c r="A1912" s="121">
        <v>50176.0</v>
      </c>
    </row>
    <row r="1913">
      <c r="A1913" s="121">
        <v>50177.0</v>
      </c>
    </row>
    <row r="1914">
      <c r="A1914" s="121">
        <v>50178.0</v>
      </c>
    </row>
    <row r="1915">
      <c r="A1915" s="121">
        <v>50179.0</v>
      </c>
    </row>
    <row r="1916">
      <c r="A1916" s="121">
        <v>50180.0</v>
      </c>
    </row>
    <row r="1917">
      <c r="A1917" s="121">
        <v>50181.0</v>
      </c>
    </row>
    <row r="1918">
      <c r="A1918" s="121">
        <v>50182.0</v>
      </c>
    </row>
    <row r="1919">
      <c r="A1919" s="121">
        <v>50183.0</v>
      </c>
    </row>
    <row r="1920">
      <c r="A1920" s="121">
        <v>50184.0</v>
      </c>
      <c r="B1920" s="122">
        <v>44558.0</v>
      </c>
    </row>
    <row r="1921">
      <c r="A1921" s="121">
        <v>50185.0</v>
      </c>
    </row>
    <row r="1922">
      <c r="A1922" s="121">
        <v>50186.0</v>
      </c>
    </row>
    <row r="1923">
      <c r="A1923" s="121">
        <v>50187.0</v>
      </c>
    </row>
    <row r="1924">
      <c r="A1924" s="121">
        <v>50188.0</v>
      </c>
      <c r="B1924" s="122">
        <v>45882.0</v>
      </c>
    </row>
    <row r="1925">
      <c r="A1925" s="121">
        <v>50189.0</v>
      </c>
    </row>
    <row r="1926">
      <c r="A1926" s="121">
        <v>50190.0</v>
      </c>
    </row>
    <row r="1927">
      <c r="A1927" s="121">
        <v>50191.0</v>
      </c>
    </row>
    <row r="1928">
      <c r="A1928" s="121">
        <v>50192.0</v>
      </c>
    </row>
    <row r="1929">
      <c r="A1929" s="121">
        <v>50193.0</v>
      </c>
    </row>
    <row r="1930">
      <c r="A1930" s="121">
        <v>50194.0</v>
      </c>
    </row>
    <row r="1931">
      <c r="A1931" s="121">
        <v>50195.0</v>
      </c>
    </row>
    <row r="1932">
      <c r="A1932" s="121">
        <v>50196.0</v>
      </c>
      <c r="B1932" s="122">
        <v>45432.0</v>
      </c>
    </row>
    <row r="1933">
      <c r="A1933" s="121">
        <v>50197.0</v>
      </c>
    </row>
    <row r="1934">
      <c r="A1934" s="121">
        <v>50198.0</v>
      </c>
    </row>
    <row r="1935">
      <c r="A1935" s="121">
        <v>50199.0</v>
      </c>
    </row>
    <row r="1936">
      <c r="A1936" s="121">
        <v>50200.0</v>
      </c>
    </row>
    <row r="1937">
      <c r="A1937" s="121">
        <v>50201.0</v>
      </c>
    </row>
    <row r="1938">
      <c r="A1938" s="121">
        <v>50202.0</v>
      </c>
    </row>
    <row r="1939">
      <c r="A1939" s="121">
        <v>50203.0</v>
      </c>
    </row>
    <row r="1940">
      <c r="A1940" s="121">
        <v>50204.0</v>
      </c>
    </row>
    <row r="1941">
      <c r="A1941" s="121">
        <v>50205.0</v>
      </c>
    </row>
    <row r="1942">
      <c r="A1942" s="121">
        <v>50206.0</v>
      </c>
    </row>
    <row r="1943">
      <c r="A1943" s="121">
        <v>50207.0</v>
      </c>
    </row>
    <row r="1944">
      <c r="A1944" s="121">
        <v>50803.0</v>
      </c>
      <c r="B1944" s="122">
        <v>45691.0</v>
      </c>
    </row>
    <row r="1945">
      <c r="A1945" s="121">
        <v>50804.0</v>
      </c>
    </row>
    <row r="1946">
      <c r="A1946" s="121">
        <v>50805.0</v>
      </c>
    </row>
    <row r="1947">
      <c r="A1947" s="121">
        <v>50806.0</v>
      </c>
    </row>
    <row r="1948">
      <c r="A1948" s="121">
        <v>50807.0</v>
      </c>
      <c r="B1948" s="122">
        <v>45436.0</v>
      </c>
    </row>
    <row r="1949">
      <c r="A1949" s="121">
        <v>50808.0</v>
      </c>
    </row>
    <row r="1950">
      <c r="A1950" s="121">
        <v>50809.0</v>
      </c>
    </row>
    <row r="1951">
      <c r="A1951" s="121">
        <v>50810.0</v>
      </c>
      <c r="B1951" s="122">
        <v>45498.0</v>
      </c>
    </row>
    <row r="1952">
      <c r="A1952" s="121">
        <v>50811.0</v>
      </c>
      <c r="B1952" s="122">
        <v>45652.0</v>
      </c>
    </row>
    <row r="1953">
      <c r="A1953" s="121">
        <v>50812.0</v>
      </c>
    </row>
    <row r="1954">
      <c r="A1954" s="121">
        <v>50813.0</v>
      </c>
    </row>
    <row r="1955">
      <c r="A1955" s="121">
        <v>50814.0</v>
      </c>
    </row>
    <row r="1956">
      <c r="A1956" s="121">
        <v>50815.0</v>
      </c>
    </row>
    <row r="1957">
      <c r="A1957" s="121">
        <v>50816.0</v>
      </c>
    </row>
    <row r="1958">
      <c r="A1958" s="121">
        <v>50817.0</v>
      </c>
    </row>
    <row r="1959">
      <c r="A1959" s="121">
        <v>50818.0</v>
      </c>
    </row>
    <row r="1960">
      <c r="A1960" s="121">
        <v>50819.0</v>
      </c>
    </row>
    <row r="1961">
      <c r="A1961" s="121">
        <v>50820.0</v>
      </c>
    </row>
    <row r="1962">
      <c r="A1962" s="121">
        <v>50821.0</v>
      </c>
    </row>
    <row r="1963">
      <c r="A1963" s="121">
        <v>50822.0</v>
      </c>
    </row>
    <row r="1964">
      <c r="A1964" s="121">
        <v>50823.0</v>
      </c>
    </row>
    <row r="1965">
      <c r="A1965" s="121">
        <v>50824.0</v>
      </c>
      <c r="B1965" s="122">
        <v>45558.0</v>
      </c>
    </row>
    <row r="1966">
      <c r="A1966" s="121">
        <v>50825.0</v>
      </c>
    </row>
    <row r="1967">
      <c r="A1967" s="121">
        <v>50826.0</v>
      </c>
      <c r="B1967" s="122">
        <v>45540.0</v>
      </c>
    </row>
    <row r="1968">
      <c r="A1968" s="121">
        <v>50827.0</v>
      </c>
    </row>
    <row r="1969">
      <c r="A1969" s="121">
        <v>50828.0</v>
      </c>
    </row>
    <row r="1970">
      <c r="A1970" s="121">
        <v>50829.0</v>
      </c>
    </row>
    <row r="1971">
      <c r="A1971" s="121">
        <v>50830.0</v>
      </c>
    </row>
    <row r="1972">
      <c r="A1972" s="121">
        <v>50831.0</v>
      </c>
    </row>
    <row r="1973">
      <c r="A1973" s="121">
        <v>50832.0</v>
      </c>
    </row>
    <row r="1974">
      <c r="A1974" s="121">
        <v>50833.0</v>
      </c>
      <c r="B1974" s="122">
        <v>45564.0</v>
      </c>
    </row>
    <row r="1975">
      <c r="A1975" s="121">
        <v>50834.0</v>
      </c>
    </row>
    <row r="1976">
      <c r="A1976" s="121">
        <v>50835.0</v>
      </c>
    </row>
    <row r="1977">
      <c r="A1977" s="121">
        <v>50836.0</v>
      </c>
    </row>
    <row r="1978">
      <c r="A1978" s="121">
        <v>50837.0</v>
      </c>
    </row>
    <row r="1979">
      <c r="A1979" s="121">
        <v>50838.0</v>
      </c>
      <c r="B1979" s="122">
        <v>45997.0</v>
      </c>
    </row>
    <row r="1980">
      <c r="A1980" s="121">
        <v>50839.0</v>
      </c>
    </row>
    <row r="1981">
      <c r="A1981" s="121">
        <v>50840.0</v>
      </c>
    </row>
    <row r="1982">
      <c r="A1982" s="121">
        <v>50841.0</v>
      </c>
    </row>
    <row r="1983">
      <c r="A1983" s="121">
        <v>50842.0</v>
      </c>
    </row>
    <row r="1984">
      <c r="A1984" s="121">
        <v>50843.0</v>
      </c>
    </row>
    <row r="1985">
      <c r="A1985" s="121">
        <v>50844.0</v>
      </c>
    </row>
    <row r="1986">
      <c r="A1986" s="121">
        <v>50845.0</v>
      </c>
    </row>
    <row r="1987">
      <c r="A1987" s="121">
        <v>50846.0</v>
      </c>
    </row>
    <row r="1988">
      <c r="A1988" s="121">
        <v>50847.0</v>
      </c>
      <c r="B1988" s="122">
        <v>45644.0</v>
      </c>
    </row>
    <row r="1989">
      <c r="A1989" s="121">
        <v>50848.0</v>
      </c>
    </row>
    <row r="1990">
      <c r="A1990" s="121">
        <v>50849.0</v>
      </c>
    </row>
    <row r="1991">
      <c r="A1991" s="121">
        <v>50850.0</v>
      </c>
    </row>
    <row r="1992">
      <c r="A1992" s="121">
        <v>50851.0</v>
      </c>
    </row>
    <row r="1993">
      <c r="A1993" s="121">
        <v>51104.0</v>
      </c>
    </row>
    <row r="1994">
      <c r="A1994" s="121">
        <v>51105.0</v>
      </c>
    </row>
    <row r="1995">
      <c r="A1995" s="121">
        <v>51106.0</v>
      </c>
    </row>
    <row r="1996">
      <c r="A1996" s="121">
        <v>51107.0</v>
      </c>
      <c r="B1996" s="122">
        <v>45651.0</v>
      </c>
    </row>
    <row r="1997">
      <c r="A1997" s="121">
        <v>51108.0</v>
      </c>
    </row>
    <row r="1998">
      <c r="A1998" s="121">
        <v>51109.0</v>
      </c>
    </row>
    <row r="1999">
      <c r="A1999" s="121">
        <v>51110.0</v>
      </c>
    </row>
    <row r="2000">
      <c r="A2000" s="121">
        <v>51111.0</v>
      </c>
    </row>
    <row r="2001">
      <c r="A2001" s="121">
        <v>51112.0</v>
      </c>
    </row>
    <row r="2002">
      <c r="A2002" s="121">
        <v>51113.0</v>
      </c>
    </row>
    <row r="2003">
      <c r="A2003" s="121">
        <v>51114.0</v>
      </c>
    </row>
    <row r="2004">
      <c r="A2004" s="121">
        <v>51115.0</v>
      </c>
    </row>
    <row r="2005">
      <c r="A2005" s="121">
        <v>51116.0</v>
      </c>
    </row>
    <row r="2006">
      <c r="A2006" s="121">
        <v>51117.0</v>
      </c>
    </row>
    <row r="2007">
      <c r="A2007" s="121">
        <v>51118.0</v>
      </c>
    </row>
    <row r="2008">
      <c r="A2008" s="121">
        <v>51119.0</v>
      </c>
      <c r="B2008" s="122">
        <v>45499.0</v>
      </c>
    </row>
    <row r="2009">
      <c r="A2009" s="121">
        <v>51120.0</v>
      </c>
    </row>
    <row r="2010">
      <c r="A2010" s="121">
        <v>51121.0</v>
      </c>
    </row>
    <row r="2011">
      <c r="A2011" s="121">
        <v>51122.0</v>
      </c>
      <c r="B2011" s="122">
        <v>45477.0</v>
      </c>
    </row>
    <row r="2012">
      <c r="A2012" s="121">
        <v>51123.0</v>
      </c>
    </row>
    <row r="2013">
      <c r="A2013" s="121">
        <v>51124.0</v>
      </c>
    </row>
    <row r="2014">
      <c r="A2014" s="121">
        <v>51125.0</v>
      </c>
    </row>
    <row r="2015">
      <c r="A2015" s="121">
        <v>51126.0</v>
      </c>
    </row>
    <row r="2016">
      <c r="A2016" s="121">
        <v>51127.0</v>
      </c>
    </row>
    <row r="2017">
      <c r="A2017" s="121">
        <v>51128.0</v>
      </c>
    </row>
    <row r="2018">
      <c r="A2018" s="121">
        <v>51129.0</v>
      </c>
    </row>
    <row r="2019">
      <c r="A2019" s="121">
        <v>51130.0</v>
      </c>
    </row>
    <row r="2020">
      <c r="A2020" s="121">
        <v>51131.0</v>
      </c>
    </row>
    <row r="2021">
      <c r="A2021" s="121">
        <v>51132.0</v>
      </c>
    </row>
    <row r="2022">
      <c r="A2022" s="121">
        <v>51133.0</v>
      </c>
    </row>
    <row r="2023">
      <c r="A2023" s="121">
        <v>51134.0</v>
      </c>
      <c r="B2023" s="122">
        <v>45977.0</v>
      </c>
    </row>
    <row r="2024">
      <c r="A2024" s="121">
        <v>51135.0</v>
      </c>
    </row>
    <row r="2025">
      <c r="A2025" s="121">
        <v>51136.0</v>
      </c>
    </row>
    <row r="2026">
      <c r="A2026" s="121">
        <v>51137.0</v>
      </c>
    </row>
    <row r="2027">
      <c r="A2027" s="121">
        <v>51138.0</v>
      </c>
    </row>
    <row r="2028">
      <c r="A2028" s="121">
        <v>51139.0</v>
      </c>
    </row>
    <row r="2029">
      <c r="A2029" s="121">
        <v>51140.0</v>
      </c>
    </row>
    <row r="2030">
      <c r="A2030" s="121">
        <v>51141.0</v>
      </c>
    </row>
    <row r="2031">
      <c r="A2031" s="121">
        <v>51142.0</v>
      </c>
    </row>
    <row r="2032">
      <c r="A2032" s="121">
        <v>51143.0</v>
      </c>
    </row>
    <row r="2033">
      <c r="A2033" s="121">
        <v>51144.0</v>
      </c>
    </row>
    <row r="2034">
      <c r="A2034" s="121">
        <v>51145.0</v>
      </c>
      <c r="B2034" s="122">
        <v>45649.0</v>
      </c>
    </row>
    <row r="2035">
      <c r="A2035" s="121">
        <v>51146.0</v>
      </c>
    </row>
    <row r="2036">
      <c r="A2036" s="121">
        <v>51147.0</v>
      </c>
    </row>
    <row r="2037">
      <c r="A2037" s="121">
        <v>51148.0</v>
      </c>
    </row>
    <row r="2038">
      <c r="A2038" s="121">
        <v>51149.0</v>
      </c>
    </row>
    <row r="2039">
      <c r="A2039" s="121">
        <v>51150.0</v>
      </c>
    </row>
    <row r="2040">
      <c r="A2040" s="121">
        <v>51151.0</v>
      </c>
      <c r="B2040" s="122">
        <v>45972.0</v>
      </c>
    </row>
    <row r="2041">
      <c r="A2041" s="121">
        <v>51152.0</v>
      </c>
    </row>
    <row r="2042">
      <c r="A2042" s="121">
        <v>51456.0</v>
      </c>
      <c r="B2042" s="122">
        <v>44598.0</v>
      </c>
    </row>
    <row r="2043">
      <c r="A2043" s="121">
        <v>51457.0</v>
      </c>
      <c r="B2043" s="122">
        <v>44600.0</v>
      </c>
    </row>
    <row r="2044">
      <c r="A2044" s="121">
        <v>51458.0</v>
      </c>
      <c r="B2044" s="122">
        <v>44598.0</v>
      </c>
    </row>
    <row r="2045">
      <c r="A2045" s="121">
        <v>51459.0</v>
      </c>
      <c r="B2045" s="122">
        <v>44599.0</v>
      </c>
    </row>
    <row r="2046">
      <c r="A2046" s="121">
        <v>51460.0</v>
      </c>
      <c r="B2046" s="122">
        <v>45650.0</v>
      </c>
    </row>
    <row r="2047">
      <c r="A2047" s="121">
        <v>51461.0</v>
      </c>
    </row>
    <row r="2048">
      <c r="A2048" s="121">
        <v>51462.0</v>
      </c>
    </row>
    <row r="2049">
      <c r="A2049" s="121">
        <v>51463.0</v>
      </c>
    </row>
    <row r="2050">
      <c r="A2050" s="121">
        <v>51464.0</v>
      </c>
    </row>
    <row r="2051">
      <c r="A2051" s="121">
        <v>51465.0</v>
      </c>
    </row>
    <row r="2052">
      <c r="A2052" s="121">
        <v>51466.0</v>
      </c>
      <c r="B2052" s="122">
        <v>44601.0</v>
      </c>
    </row>
    <row r="2053">
      <c r="A2053" s="121">
        <v>51467.0</v>
      </c>
    </row>
    <row r="2054">
      <c r="A2054" s="121">
        <v>51468.0</v>
      </c>
    </row>
    <row r="2055">
      <c r="A2055" s="121">
        <v>51469.0</v>
      </c>
    </row>
    <row r="2056">
      <c r="A2056" s="121">
        <v>51470.0</v>
      </c>
      <c r="B2056" s="122">
        <v>44604.0</v>
      </c>
    </row>
    <row r="2057">
      <c r="A2057" s="121">
        <v>51471.0</v>
      </c>
      <c r="B2057" s="122">
        <v>45216.0</v>
      </c>
    </row>
    <row r="2058">
      <c r="A2058" s="121">
        <v>51472.0</v>
      </c>
    </row>
    <row r="2059">
      <c r="A2059" s="121">
        <v>51714.0</v>
      </c>
    </row>
    <row r="2060">
      <c r="A2060" s="121">
        <v>51715.0</v>
      </c>
    </row>
    <row r="2061">
      <c r="A2061" s="121">
        <v>51716.0</v>
      </c>
    </row>
    <row r="2062">
      <c r="A2062" s="121">
        <v>51717.0</v>
      </c>
    </row>
    <row r="2063">
      <c r="A2063" s="121">
        <v>51718.0</v>
      </c>
    </row>
    <row r="2064">
      <c r="A2064" s="121">
        <v>51719.0</v>
      </c>
    </row>
    <row r="2065">
      <c r="A2065" s="121">
        <v>51720.0</v>
      </c>
    </row>
    <row r="2066">
      <c r="A2066" s="121">
        <v>51721.0</v>
      </c>
    </row>
    <row r="2067">
      <c r="A2067" s="121">
        <v>51722.0</v>
      </c>
    </row>
    <row r="2068">
      <c r="A2068" s="121">
        <v>51723.0</v>
      </c>
      <c r="B2068" s="122">
        <v>45451.0</v>
      </c>
    </row>
    <row r="2069">
      <c r="A2069" s="121">
        <v>51724.0</v>
      </c>
    </row>
    <row r="2070">
      <c r="A2070" s="121">
        <v>51725.0</v>
      </c>
    </row>
    <row r="2071">
      <c r="A2071" s="121">
        <v>51726.0</v>
      </c>
    </row>
    <row r="2072">
      <c r="A2072" s="121">
        <v>51727.0</v>
      </c>
    </row>
    <row r="2073">
      <c r="A2073" s="121">
        <v>51728.0</v>
      </c>
      <c r="B2073" s="122">
        <v>45763.0</v>
      </c>
    </row>
    <row r="2074">
      <c r="A2074" s="121">
        <v>51729.0</v>
      </c>
    </row>
    <row r="2075">
      <c r="A2075" s="121">
        <v>51730.0</v>
      </c>
      <c r="B2075" s="122">
        <v>45653.0</v>
      </c>
    </row>
    <row r="2076">
      <c r="A2076" s="121">
        <v>51731.0</v>
      </c>
    </row>
    <row r="2077">
      <c r="A2077" s="121">
        <v>51732.0</v>
      </c>
    </row>
    <row r="2078">
      <c r="A2078" s="121">
        <v>51733.0</v>
      </c>
    </row>
    <row r="2079">
      <c r="A2079" s="121">
        <v>51734.0</v>
      </c>
    </row>
    <row r="2080">
      <c r="A2080" s="121">
        <v>51735.0</v>
      </c>
    </row>
    <row r="2081">
      <c r="A2081" s="121">
        <v>51736.0</v>
      </c>
    </row>
    <row r="2082">
      <c r="A2082" s="121">
        <v>51737.0</v>
      </c>
    </row>
    <row r="2083">
      <c r="A2083" s="121">
        <v>51738.0</v>
      </c>
    </row>
    <row r="2084">
      <c r="A2084" s="121">
        <v>51739.0</v>
      </c>
    </row>
    <row r="2085">
      <c r="A2085" s="121">
        <v>51740.0</v>
      </c>
    </row>
    <row r="2086">
      <c r="A2086" s="121">
        <v>51741.0</v>
      </c>
    </row>
    <row r="2087">
      <c r="A2087" s="121">
        <v>51742.0</v>
      </c>
    </row>
    <row r="2088">
      <c r="A2088" s="121">
        <v>51743.0</v>
      </c>
    </row>
    <row r="2089">
      <c r="A2089" s="121">
        <v>51744.0</v>
      </c>
    </row>
    <row r="2090">
      <c r="A2090" s="121">
        <v>51745.0</v>
      </c>
    </row>
    <row r="2091">
      <c r="A2091" s="121">
        <v>51746.0</v>
      </c>
    </row>
    <row r="2092">
      <c r="A2092" s="121">
        <v>51747.0</v>
      </c>
    </row>
    <row r="2093">
      <c r="A2093" s="121">
        <v>51748.0</v>
      </c>
    </row>
    <row r="2094">
      <c r="A2094" s="121">
        <v>51749.0</v>
      </c>
    </row>
    <row r="2095">
      <c r="A2095" s="121">
        <v>51750.0</v>
      </c>
    </row>
    <row r="2096">
      <c r="A2096" s="121">
        <v>51751.0</v>
      </c>
    </row>
    <row r="2097">
      <c r="A2097" s="121">
        <v>51752.0</v>
      </c>
    </row>
    <row r="2098">
      <c r="A2098" s="121">
        <v>51753.0</v>
      </c>
    </row>
    <row r="2099">
      <c r="A2099" s="121">
        <v>51754.0</v>
      </c>
    </row>
    <row r="2100">
      <c r="A2100" s="121">
        <v>51755.0</v>
      </c>
    </row>
    <row r="2101">
      <c r="A2101" s="121">
        <v>51756.0</v>
      </c>
    </row>
    <row r="2102">
      <c r="A2102" s="121">
        <v>51757.0</v>
      </c>
    </row>
    <row r="2103">
      <c r="A2103" s="121">
        <v>51758.0</v>
      </c>
    </row>
    <row r="2104">
      <c r="A2104" s="121">
        <v>51759.0</v>
      </c>
    </row>
    <row r="2105">
      <c r="A2105" s="121">
        <v>51768.0</v>
      </c>
    </row>
    <row r="2106">
      <c r="A2106" s="121">
        <v>51769.0</v>
      </c>
    </row>
    <row r="2107">
      <c r="A2107" s="121">
        <v>51770.0</v>
      </c>
    </row>
    <row r="2108">
      <c r="A2108" s="121">
        <v>51771.0</v>
      </c>
    </row>
    <row r="2109">
      <c r="A2109" s="121">
        <v>51772.0</v>
      </c>
    </row>
    <row r="2110">
      <c r="A2110" s="121">
        <v>51773.0</v>
      </c>
    </row>
    <row r="2111">
      <c r="A2111" s="121">
        <v>51774.0</v>
      </c>
    </row>
    <row r="2112">
      <c r="A2112" s="121">
        <v>51775.0</v>
      </c>
    </row>
    <row r="2113">
      <c r="A2113" s="121">
        <v>51776.0</v>
      </c>
    </row>
    <row r="2114">
      <c r="A2114" s="121">
        <v>51777.0</v>
      </c>
    </row>
    <row r="2115">
      <c r="A2115" s="121">
        <v>51778.0</v>
      </c>
    </row>
    <row r="2116">
      <c r="A2116" s="121">
        <v>51779.0</v>
      </c>
    </row>
    <row r="2117">
      <c r="A2117" s="121">
        <v>51780.0</v>
      </c>
    </row>
    <row r="2118">
      <c r="A2118" s="121">
        <v>51781.0</v>
      </c>
    </row>
    <row r="2119">
      <c r="A2119" s="121">
        <v>51782.0</v>
      </c>
    </row>
    <row r="2120">
      <c r="A2120" s="121">
        <v>51783.0</v>
      </c>
    </row>
    <row r="2121">
      <c r="A2121" s="121">
        <v>51784.0</v>
      </c>
    </row>
    <row r="2122">
      <c r="A2122" s="121">
        <v>51785.0</v>
      </c>
    </row>
    <row r="2123">
      <c r="A2123" s="121">
        <v>51786.0</v>
      </c>
    </row>
    <row r="2124">
      <c r="A2124" s="121">
        <v>51787.0</v>
      </c>
    </row>
    <row r="2125">
      <c r="A2125" s="121">
        <v>51788.0</v>
      </c>
    </row>
    <row r="2126">
      <c r="A2126" s="121">
        <v>51789.0</v>
      </c>
    </row>
    <row r="2127">
      <c r="A2127" s="121">
        <v>51790.0</v>
      </c>
    </row>
    <row r="2128">
      <c r="A2128" s="121">
        <v>51791.0</v>
      </c>
    </row>
    <row r="2129">
      <c r="A2129" s="121">
        <v>51792.0</v>
      </c>
    </row>
    <row r="2130">
      <c r="A2130" s="121">
        <v>51793.0</v>
      </c>
    </row>
    <row r="2131">
      <c r="A2131" s="121">
        <v>51794.0</v>
      </c>
    </row>
    <row r="2132">
      <c r="A2132" s="121">
        <v>51795.0</v>
      </c>
    </row>
    <row r="2133">
      <c r="A2133" s="121">
        <v>51796.0</v>
      </c>
      <c r="B2133" s="122">
        <v>45533.0</v>
      </c>
    </row>
    <row r="2134">
      <c r="A2134" s="121">
        <v>51797.0</v>
      </c>
      <c r="B2134" s="122">
        <v>45495.0</v>
      </c>
    </row>
    <row r="2135">
      <c r="A2135" s="121">
        <v>51798.0</v>
      </c>
    </row>
    <row r="2136">
      <c r="A2136" s="121">
        <v>51799.0</v>
      </c>
    </row>
    <row r="2137">
      <c r="A2137" s="121">
        <v>51800.0</v>
      </c>
      <c r="B2137" s="122">
        <v>45275.0</v>
      </c>
    </row>
    <row r="2138">
      <c r="A2138" s="121">
        <v>51801.0</v>
      </c>
    </row>
    <row r="2139">
      <c r="A2139" s="121">
        <v>51802.0</v>
      </c>
      <c r="B2139" s="122">
        <v>46016.0</v>
      </c>
    </row>
    <row r="2140">
      <c r="A2140" s="121">
        <v>51803.0</v>
      </c>
    </row>
    <row r="2141">
      <c r="A2141" s="121">
        <v>51804.0</v>
      </c>
    </row>
    <row r="2142">
      <c r="A2142" s="121">
        <v>51805.0</v>
      </c>
    </row>
    <row r="2143">
      <c r="A2143" s="121">
        <v>51806.0</v>
      </c>
      <c r="B2143" s="122">
        <v>45412.0</v>
      </c>
    </row>
    <row r="2144">
      <c r="A2144" s="121">
        <v>51807.0</v>
      </c>
    </row>
    <row r="2145">
      <c r="A2145" s="121">
        <v>51808.0</v>
      </c>
    </row>
    <row r="2146">
      <c r="A2146" s="121">
        <v>51809.0</v>
      </c>
    </row>
    <row r="2147">
      <c r="A2147" s="121">
        <v>51810.0</v>
      </c>
    </row>
    <row r="2148">
      <c r="A2148" s="121">
        <v>51811.0</v>
      </c>
    </row>
    <row r="2149">
      <c r="A2149" s="121">
        <v>51812.0</v>
      </c>
    </row>
    <row r="2150">
      <c r="A2150" s="121">
        <v>51813.0</v>
      </c>
    </row>
    <row r="2151">
      <c r="A2151" s="121">
        <v>51814.0</v>
      </c>
    </row>
    <row r="2152">
      <c r="A2152" s="121">
        <v>51815.0</v>
      </c>
    </row>
    <row r="2153">
      <c r="A2153" s="121">
        <v>51816.0</v>
      </c>
    </row>
    <row r="2154">
      <c r="A2154" s="121">
        <v>51817.0</v>
      </c>
      <c r="B2154" s="122">
        <v>45067.0</v>
      </c>
    </row>
    <row r="2155">
      <c r="A2155" s="121">
        <v>51852.0</v>
      </c>
    </row>
    <row r="2156">
      <c r="A2156" s="121">
        <v>51853.0</v>
      </c>
      <c r="B2156" s="122">
        <v>45834.0</v>
      </c>
    </row>
    <row r="2157">
      <c r="A2157" s="121">
        <v>51854.0</v>
      </c>
    </row>
    <row r="2158">
      <c r="A2158" s="121">
        <v>51855.0</v>
      </c>
    </row>
    <row r="2159">
      <c r="A2159" s="121">
        <v>51856.0</v>
      </c>
    </row>
    <row r="2160">
      <c r="A2160" s="121">
        <v>51857.0</v>
      </c>
    </row>
    <row r="2161">
      <c r="A2161" s="121">
        <v>51858.0</v>
      </c>
    </row>
    <row r="2162">
      <c r="A2162" s="121">
        <v>51859.0</v>
      </c>
    </row>
    <row r="2163">
      <c r="A2163" s="121">
        <v>51860.0</v>
      </c>
    </row>
    <row r="2164">
      <c r="A2164" s="121">
        <v>51861.0</v>
      </c>
    </row>
    <row r="2165">
      <c r="A2165" s="121">
        <v>51862.0</v>
      </c>
    </row>
    <row r="2166">
      <c r="A2166" s="121">
        <v>51863.0</v>
      </c>
    </row>
    <row r="2167">
      <c r="A2167" s="121">
        <v>51864.0</v>
      </c>
    </row>
    <row r="2168">
      <c r="A2168" s="121">
        <v>51865.0</v>
      </c>
    </row>
    <row r="2169">
      <c r="A2169" s="121">
        <v>51866.0</v>
      </c>
    </row>
    <row r="2170">
      <c r="A2170" s="121">
        <v>51867.0</v>
      </c>
    </row>
    <row r="2171">
      <c r="A2171" s="121">
        <v>51868.0</v>
      </c>
    </row>
    <row r="2172">
      <c r="A2172" s="121">
        <v>51869.0</v>
      </c>
    </row>
    <row r="2173">
      <c r="A2173" s="121">
        <v>51870.0</v>
      </c>
    </row>
    <row r="2174">
      <c r="A2174" s="121">
        <v>51871.0</v>
      </c>
    </row>
    <row r="2175">
      <c r="A2175" s="121">
        <v>51872.0</v>
      </c>
    </row>
    <row r="2176">
      <c r="A2176" s="121">
        <v>51873.0</v>
      </c>
    </row>
    <row r="2177">
      <c r="A2177" s="121">
        <v>51874.0</v>
      </c>
    </row>
    <row r="2178">
      <c r="A2178" s="121">
        <v>51875.0</v>
      </c>
    </row>
    <row r="2179">
      <c r="A2179" s="121">
        <v>51876.0</v>
      </c>
    </row>
    <row r="2180">
      <c r="A2180" s="121">
        <v>51877.0</v>
      </c>
    </row>
    <row r="2181">
      <c r="A2181" s="121">
        <v>51878.0</v>
      </c>
    </row>
    <row r="2182">
      <c r="A2182" s="121">
        <v>51879.0</v>
      </c>
    </row>
    <row r="2183">
      <c r="A2183" s="121">
        <v>51880.0</v>
      </c>
    </row>
    <row r="2184">
      <c r="A2184" s="121">
        <v>51881.0</v>
      </c>
    </row>
    <row r="2185">
      <c r="A2185" s="121">
        <v>51882.0</v>
      </c>
    </row>
    <row r="2186">
      <c r="A2186" s="121">
        <v>51883.0</v>
      </c>
    </row>
    <row r="2187">
      <c r="A2187" s="121">
        <v>51884.0</v>
      </c>
    </row>
    <row r="2188">
      <c r="A2188" s="121">
        <v>51885.0</v>
      </c>
    </row>
    <row r="2189">
      <c r="A2189" s="121">
        <v>51886.0</v>
      </c>
    </row>
    <row r="2190">
      <c r="A2190" s="121">
        <v>51887.0</v>
      </c>
    </row>
    <row r="2191">
      <c r="A2191" s="121">
        <v>51888.0</v>
      </c>
    </row>
    <row r="2192">
      <c r="A2192" s="121">
        <v>51889.0</v>
      </c>
    </row>
    <row r="2193">
      <c r="A2193" s="121">
        <v>51890.0</v>
      </c>
      <c r="B2193" s="122">
        <v>45789.0</v>
      </c>
    </row>
    <row r="2194">
      <c r="A2194" s="121">
        <v>51891.0</v>
      </c>
    </row>
    <row r="2195">
      <c r="A2195" s="121">
        <v>51892.0</v>
      </c>
    </row>
    <row r="2196">
      <c r="A2196" s="121">
        <v>51893.0</v>
      </c>
    </row>
    <row r="2197">
      <c r="A2197" s="121">
        <v>51894.0</v>
      </c>
    </row>
    <row r="2198">
      <c r="A2198" s="121">
        <v>51895.0</v>
      </c>
    </row>
    <row r="2199">
      <c r="A2199" s="121">
        <v>51896.0</v>
      </c>
    </row>
    <row r="2200">
      <c r="A2200" s="121">
        <v>51897.0</v>
      </c>
    </row>
    <row r="2201">
      <c r="A2201" s="121">
        <v>51898.0</v>
      </c>
    </row>
    <row r="2202">
      <c r="A2202" s="121">
        <v>51956.0</v>
      </c>
    </row>
    <row r="2203">
      <c r="A2203" s="121">
        <v>51957.0</v>
      </c>
    </row>
    <row r="2204">
      <c r="A2204" s="121">
        <v>51958.0</v>
      </c>
    </row>
    <row r="2205">
      <c r="A2205" s="121">
        <v>51959.0</v>
      </c>
    </row>
    <row r="2206">
      <c r="A2206" s="121">
        <v>51960.0</v>
      </c>
    </row>
    <row r="2207">
      <c r="A2207" s="121">
        <v>51961.0</v>
      </c>
      <c r="B2207" s="122">
        <v>45668.0</v>
      </c>
    </row>
    <row r="2208">
      <c r="A2208" s="121">
        <v>51962.0</v>
      </c>
    </row>
    <row r="2209">
      <c r="A2209" s="121">
        <v>51963.0</v>
      </c>
    </row>
    <row r="2210">
      <c r="A2210" s="121">
        <v>51964.0</v>
      </c>
    </row>
    <row r="2211">
      <c r="A2211" s="121">
        <v>51965.0</v>
      </c>
    </row>
    <row r="2212">
      <c r="A2212" s="121">
        <v>51966.0</v>
      </c>
    </row>
    <row r="2213">
      <c r="A2213" s="121">
        <v>51967.0</v>
      </c>
      <c r="B2213" s="122">
        <v>45037.0</v>
      </c>
    </row>
    <row r="2214">
      <c r="A2214" s="121">
        <v>51968.0</v>
      </c>
    </row>
    <row r="2215">
      <c r="A2215" s="121">
        <v>51969.0</v>
      </c>
    </row>
    <row r="2216">
      <c r="A2216" s="121">
        <v>51970.0</v>
      </c>
    </row>
    <row r="2217">
      <c r="A2217" s="121">
        <v>51971.0</v>
      </c>
    </row>
    <row r="2218">
      <c r="A2218" s="121">
        <v>51972.0</v>
      </c>
    </row>
    <row r="2219">
      <c r="A2219" s="121">
        <v>51973.0</v>
      </c>
    </row>
    <row r="2220">
      <c r="A2220" s="121">
        <v>51974.0</v>
      </c>
    </row>
    <row r="2221">
      <c r="A2221" s="121">
        <v>51975.0</v>
      </c>
    </row>
    <row r="2222">
      <c r="A2222" s="121">
        <v>51976.0</v>
      </c>
      <c r="B2222" s="122">
        <v>46009.0</v>
      </c>
    </row>
    <row r="2223">
      <c r="A2223" s="121">
        <v>51977.0</v>
      </c>
    </row>
    <row r="2224">
      <c r="A2224" s="121">
        <v>51978.0</v>
      </c>
      <c r="B2224" s="122">
        <v>45661.0</v>
      </c>
    </row>
    <row r="2225">
      <c r="A2225" s="121">
        <v>51979.0</v>
      </c>
      <c r="B2225" s="122">
        <v>45925.0</v>
      </c>
    </row>
    <row r="2226">
      <c r="A2226" s="121">
        <v>51980.0</v>
      </c>
    </row>
    <row r="2227">
      <c r="A2227" s="121">
        <v>51981.0</v>
      </c>
    </row>
    <row r="2228">
      <c r="A2228" s="121">
        <v>51982.0</v>
      </c>
      <c r="B2228" s="122">
        <v>45658.0</v>
      </c>
    </row>
    <row r="2229">
      <c r="A2229" s="121">
        <v>51983.0</v>
      </c>
    </row>
    <row r="2230">
      <c r="A2230" s="121">
        <v>51984.0</v>
      </c>
    </row>
    <row r="2231">
      <c r="A2231" s="121">
        <v>51985.0</v>
      </c>
    </row>
    <row r="2232">
      <c r="A2232" s="121">
        <v>51986.0</v>
      </c>
    </row>
    <row r="2233">
      <c r="A2233" s="121">
        <v>51987.0</v>
      </c>
    </row>
    <row r="2234">
      <c r="A2234" s="121">
        <v>51988.0</v>
      </c>
    </row>
    <row r="2235">
      <c r="A2235" s="121">
        <v>51989.0</v>
      </c>
    </row>
    <row r="2236">
      <c r="A2236" s="121">
        <v>51990.0</v>
      </c>
    </row>
    <row r="2237">
      <c r="A2237" s="121">
        <v>51991.0</v>
      </c>
    </row>
    <row r="2238">
      <c r="A2238" s="121">
        <v>51992.0</v>
      </c>
    </row>
    <row r="2239">
      <c r="A2239" s="121">
        <v>51993.0</v>
      </c>
    </row>
    <row r="2240">
      <c r="A2240" s="121">
        <v>51994.0</v>
      </c>
    </row>
    <row r="2241">
      <c r="A2241" s="121">
        <v>51995.0</v>
      </c>
    </row>
    <row r="2242">
      <c r="A2242" s="121">
        <v>51996.0</v>
      </c>
    </row>
    <row r="2243">
      <c r="A2243" s="121">
        <v>51997.0</v>
      </c>
    </row>
    <row r="2244">
      <c r="A2244" s="121">
        <v>51998.0</v>
      </c>
    </row>
    <row r="2245">
      <c r="A2245" s="121">
        <v>51999.0</v>
      </c>
      <c r="B2245" s="122">
        <v>45953.0</v>
      </c>
    </row>
    <row r="2246">
      <c r="A2246" s="121">
        <v>52000.0</v>
      </c>
    </row>
    <row r="2247">
      <c r="A2247" s="121">
        <v>52001.0</v>
      </c>
    </row>
    <row r="2248">
      <c r="A2248" s="121">
        <v>52002.0</v>
      </c>
    </row>
    <row r="2249">
      <c r="A2249" s="121">
        <v>52003.0</v>
      </c>
      <c r="B2249" s="122">
        <v>45705.0</v>
      </c>
    </row>
    <row r="2250">
      <c r="A2250" s="121">
        <v>52088.0</v>
      </c>
      <c r="B2250" s="122">
        <v>45877.0</v>
      </c>
    </row>
    <row r="2251">
      <c r="A2251" s="121">
        <v>52089.0</v>
      </c>
      <c r="B2251" s="122">
        <v>46004.0</v>
      </c>
    </row>
    <row r="2252">
      <c r="A2252" s="121">
        <v>52090.0</v>
      </c>
    </row>
    <row r="2253">
      <c r="A2253" s="121">
        <v>52091.0</v>
      </c>
      <c r="B2253" s="122">
        <v>45685.0</v>
      </c>
    </row>
    <row r="2254">
      <c r="A2254" s="121">
        <v>52092.0</v>
      </c>
    </row>
    <row r="2255">
      <c r="A2255" s="121">
        <v>52093.0</v>
      </c>
    </row>
    <row r="2256">
      <c r="A2256" s="121">
        <v>52094.0</v>
      </c>
    </row>
    <row r="2257">
      <c r="A2257" s="121">
        <v>52095.0</v>
      </c>
    </row>
    <row r="2258">
      <c r="A2258" s="121">
        <v>52096.0</v>
      </c>
    </row>
    <row r="2259">
      <c r="A2259" s="121">
        <v>52097.0</v>
      </c>
      <c r="B2259" s="122">
        <v>44669.0</v>
      </c>
    </row>
    <row r="2260">
      <c r="A2260" s="121">
        <v>52098.0</v>
      </c>
    </row>
    <row r="2261">
      <c r="A2261" s="121">
        <v>52099.0</v>
      </c>
      <c r="B2261" s="122">
        <v>44668.0</v>
      </c>
    </row>
    <row r="2262">
      <c r="A2262" s="121">
        <v>52100.0</v>
      </c>
    </row>
    <row r="2263">
      <c r="A2263" s="121">
        <v>52101.0</v>
      </c>
    </row>
    <row r="2264">
      <c r="A2264" s="121">
        <v>52102.0</v>
      </c>
    </row>
    <row r="2265">
      <c r="A2265" s="121">
        <v>52103.0</v>
      </c>
    </row>
    <row r="2266">
      <c r="A2266" s="121">
        <v>52104.0</v>
      </c>
      <c r="B2266" s="122">
        <v>44669.0</v>
      </c>
    </row>
    <row r="2267">
      <c r="A2267" s="121">
        <v>52105.0</v>
      </c>
    </row>
    <row r="2268">
      <c r="A2268" s="121">
        <v>52106.0</v>
      </c>
    </row>
    <row r="2269">
      <c r="A2269" s="121">
        <v>52107.0</v>
      </c>
    </row>
    <row r="2270">
      <c r="A2270" s="121">
        <v>52108.0</v>
      </c>
    </row>
    <row r="2271">
      <c r="A2271" s="121">
        <v>52109.0</v>
      </c>
      <c r="B2271" s="122">
        <v>44652.0</v>
      </c>
    </row>
    <row r="2272">
      <c r="A2272" s="121">
        <v>52110.0</v>
      </c>
    </row>
    <row r="2273">
      <c r="A2273" s="121">
        <v>52111.0</v>
      </c>
    </row>
    <row r="2274">
      <c r="A2274" s="121">
        <v>52112.0</v>
      </c>
    </row>
    <row r="2275">
      <c r="A2275" s="121">
        <v>52113.0</v>
      </c>
    </row>
    <row r="2276">
      <c r="A2276" s="121">
        <v>52114.0</v>
      </c>
    </row>
    <row r="2277">
      <c r="A2277" s="121">
        <v>52115.0</v>
      </c>
    </row>
    <row r="2278">
      <c r="A2278" s="121">
        <v>52116.0</v>
      </c>
    </row>
    <row r="2279">
      <c r="A2279" s="121">
        <v>52117.0</v>
      </c>
    </row>
    <row r="2280">
      <c r="A2280" s="121">
        <v>52118.0</v>
      </c>
    </row>
    <row r="2281">
      <c r="A2281" s="121">
        <v>52119.0</v>
      </c>
    </row>
    <row r="2282">
      <c r="A2282" s="121">
        <v>52120.0</v>
      </c>
    </row>
    <row r="2283">
      <c r="A2283" s="121">
        <v>52121.0</v>
      </c>
    </row>
    <row r="2284">
      <c r="A2284" s="121">
        <v>52122.0</v>
      </c>
    </row>
    <row r="2285">
      <c r="A2285" s="121">
        <v>52123.0</v>
      </c>
    </row>
    <row r="2286">
      <c r="A2286" s="121">
        <v>52124.0</v>
      </c>
      <c r="B2286" s="122">
        <v>45661.0</v>
      </c>
    </row>
    <row r="2287">
      <c r="A2287" s="121">
        <v>52125.0</v>
      </c>
    </row>
    <row r="2288">
      <c r="A2288" s="121">
        <v>52126.0</v>
      </c>
    </row>
    <row r="2289">
      <c r="A2289" s="121">
        <v>52127.0</v>
      </c>
    </row>
    <row r="2290">
      <c r="A2290" s="121">
        <v>52128.0</v>
      </c>
      <c r="B2290" s="122">
        <v>44667.0</v>
      </c>
    </row>
    <row r="2291">
      <c r="A2291" s="121">
        <v>52129.0</v>
      </c>
    </row>
    <row r="2292">
      <c r="A2292" s="121">
        <v>52130.0</v>
      </c>
      <c r="B2292" s="122">
        <v>44668.0</v>
      </c>
    </row>
    <row r="2293">
      <c r="A2293" s="121">
        <v>52131.0</v>
      </c>
    </row>
    <row r="2294">
      <c r="A2294" s="121">
        <v>52132.0</v>
      </c>
    </row>
    <row r="2295">
      <c r="A2295" s="121">
        <v>52133.0</v>
      </c>
    </row>
    <row r="2296">
      <c r="A2296" s="121">
        <v>52134.0</v>
      </c>
    </row>
    <row r="2297">
      <c r="A2297" s="121">
        <v>52135.0</v>
      </c>
    </row>
    <row r="2298">
      <c r="A2298" s="121">
        <v>52136.0</v>
      </c>
    </row>
    <row r="2299">
      <c r="A2299" s="121">
        <v>52137.0</v>
      </c>
    </row>
    <row r="2300">
      <c r="A2300" s="121">
        <v>52138.0</v>
      </c>
    </row>
    <row r="2301">
      <c r="A2301" s="121">
        <v>52139.0</v>
      </c>
    </row>
    <row r="2302">
      <c r="A2302" s="121">
        <v>52140.0</v>
      </c>
    </row>
    <row r="2303">
      <c r="A2303" s="121">
        <v>52261.0</v>
      </c>
      <c r="B2303" s="122">
        <v>45653.0</v>
      </c>
    </row>
    <row r="2304">
      <c r="A2304" s="121">
        <v>52262.0</v>
      </c>
    </row>
    <row r="2305">
      <c r="A2305" s="121">
        <v>52263.0</v>
      </c>
    </row>
    <row r="2306">
      <c r="A2306" s="121">
        <v>52264.0</v>
      </c>
    </row>
    <row r="2307">
      <c r="A2307" s="121">
        <v>52265.0</v>
      </c>
    </row>
    <row r="2308">
      <c r="A2308" s="121">
        <v>52266.0</v>
      </c>
    </row>
    <row r="2309">
      <c r="A2309" s="121">
        <v>52267.0</v>
      </c>
    </row>
    <row r="2310">
      <c r="A2310" s="121">
        <v>52268.0</v>
      </c>
    </row>
    <row r="2311">
      <c r="A2311" s="121">
        <v>52269.0</v>
      </c>
    </row>
    <row r="2312">
      <c r="A2312" s="121">
        <v>52270.0</v>
      </c>
    </row>
    <row r="2313">
      <c r="A2313" s="121">
        <v>52271.0</v>
      </c>
    </row>
    <row r="2314">
      <c r="A2314" s="121">
        <v>52272.0</v>
      </c>
    </row>
    <row r="2315">
      <c r="A2315" s="121">
        <v>52273.0</v>
      </c>
    </row>
    <row r="2316">
      <c r="A2316" s="121">
        <v>52274.0</v>
      </c>
    </row>
    <row r="2317">
      <c r="A2317" s="121">
        <v>52275.0</v>
      </c>
    </row>
    <row r="2318">
      <c r="A2318" s="121">
        <v>52276.0</v>
      </c>
    </row>
    <row r="2319">
      <c r="A2319" s="121">
        <v>52277.0</v>
      </c>
      <c r="B2319" s="122">
        <v>45290.0</v>
      </c>
    </row>
    <row r="2320">
      <c r="A2320" s="121">
        <v>52278.0</v>
      </c>
    </row>
    <row r="2321">
      <c r="A2321" s="121">
        <v>52279.0</v>
      </c>
      <c r="B2321" s="122">
        <v>45381.0</v>
      </c>
    </row>
    <row r="2322">
      <c r="A2322" s="121">
        <v>52280.0</v>
      </c>
    </row>
    <row r="2323">
      <c r="A2323" s="121">
        <v>52281.0</v>
      </c>
    </row>
    <row r="2324">
      <c r="A2324" s="121">
        <v>52282.0</v>
      </c>
    </row>
    <row r="2325">
      <c r="A2325" s="121">
        <v>52283.0</v>
      </c>
    </row>
    <row r="2326">
      <c r="A2326" s="121">
        <v>52284.0</v>
      </c>
    </row>
    <row r="2327">
      <c r="A2327" s="121">
        <v>52285.0</v>
      </c>
      <c r="B2327" s="122">
        <v>45889.0</v>
      </c>
    </row>
    <row r="2328">
      <c r="A2328" s="121">
        <v>52286.0</v>
      </c>
    </row>
    <row r="2329">
      <c r="A2329" s="121">
        <v>52287.0</v>
      </c>
    </row>
    <row r="2330">
      <c r="A2330" s="121">
        <v>52288.0</v>
      </c>
    </row>
    <row r="2331">
      <c r="A2331" s="121">
        <v>52289.0</v>
      </c>
    </row>
    <row r="2332">
      <c r="A2332" s="121">
        <v>52290.0</v>
      </c>
    </row>
    <row r="2333">
      <c r="A2333" s="121">
        <v>52291.0</v>
      </c>
      <c r="B2333" s="122">
        <v>45908.0</v>
      </c>
    </row>
    <row r="2334">
      <c r="A2334" s="121">
        <v>52292.0</v>
      </c>
    </row>
    <row r="2335">
      <c r="A2335" s="121">
        <v>52293.0</v>
      </c>
    </row>
    <row r="2336">
      <c r="A2336" s="121">
        <v>52294.0</v>
      </c>
    </row>
    <row r="2337">
      <c r="A2337" s="121">
        <v>52295.0</v>
      </c>
    </row>
    <row r="2338">
      <c r="A2338" s="121">
        <v>52296.0</v>
      </c>
    </row>
    <row r="2339">
      <c r="A2339" s="121">
        <v>52297.0</v>
      </c>
    </row>
    <row r="2340">
      <c r="A2340" s="121">
        <v>52298.0</v>
      </c>
    </row>
    <row r="2341">
      <c r="A2341" s="121">
        <v>52299.0</v>
      </c>
      <c r="B2341" s="122">
        <v>45678.0</v>
      </c>
    </row>
    <row r="2342">
      <c r="A2342" s="121">
        <v>52300.0</v>
      </c>
    </row>
    <row r="2343">
      <c r="A2343" s="121">
        <v>52301.0</v>
      </c>
    </row>
    <row r="2344">
      <c r="A2344" s="121">
        <v>52302.0</v>
      </c>
    </row>
    <row r="2345">
      <c r="A2345" s="121">
        <v>52303.0</v>
      </c>
    </row>
    <row r="2346">
      <c r="A2346" s="121">
        <v>52304.0</v>
      </c>
    </row>
    <row r="2347">
      <c r="A2347" s="121">
        <v>52305.0</v>
      </c>
    </row>
    <row r="2348">
      <c r="A2348" s="121">
        <v>52306.0</v>
      </c>
    </row>
    <row r="2349">
      <c r="A2349" s="121">
        <v>52307.0</v>
      </c>
    </row>
    <row r="2350">
      <c r="A2350" s="121">
        <v>52308.0</v>
      </c>
      <c r="B2350" s="122">
        <v>45603.0</v>
      </c>
    </row>
    <row r="2351">
      <c r="A2351" s="121">
        <v>52309.0</v>
      </c>
    </row>
    <row r="2352">
      <c r="A2352" s="121">
        <v>52310.0</v>
      </c>
    </row>
    <row r="2353">
      <c r="A2353" s="121">
        <v>52311.0</v>
      </c>
    </row>
    <row r="2354">
      <c r="A2354" s="121">
        <v>52312.0</v>
      </c>
    </row>
    <row r="2355">
      <c r="A2355" s="121">
        <v>52313.0</v>
      </c>
    </row>
    <row r="2356">
      <c r="A2356" s="121">
        <v>52331.0</v>
      </c>
    </row>
    <row r="2357">
      <c r="A2357" s="121">
        <v>52332.0</v>
      </c>
    </row>
    <row r="2358">
      <c r="A2358" s="121">
        <v>52333.0</v>
      </c>
    </row>
    <row r="2359">
      <c r="A2359" s="121">
        <v>52334.0</v>
      </c>
    </row>
    <row r="2360">
      <c r="A2360" s="121">
        <v>52335.0</v>
      </c>
    </row>
    <row r="2361">
      <c r="A2361" s="121">
        <v>52336.0</v>
      </c>
    </row>
    <row r="2362">
      <c r="A2362" s="121">
        <v>52337.0</v>
      </c>
    </row>
    <row r="2363">
      <c r="A2363" s="121">
        <v>52338.0</v>
      </c>
      <c r="B2363" s="122">
        <v>45736.0</v>
      </c>
    </row>
    <row r="2364">
      <c r="A2364" s="121">
        <v>52339.0</v>
      </c>
    </row>
    <row r="2365">
      <c r="A2365" s="121">
        <v>52340.0</v>
      </c>
    </row>
    <row r="2366">
      <c r="A2366" s="121">
        <v>52341.0</v>
      </c>
    </row>
    <row r="2367">
      <c r="A2367" s="121">
        <v>52342.0</v>
      </c>
    </row>
    <row r="2368">
      <c r="A2368" s="121">
        <v>52343.0</v>
      </c>
    </row>
    <row r="2369">
      <c r="A2369" s="121">
        <v>52344.0</v>
      </c>
    </row>
    <row r="2370">
      <c r="A2370" s="121">
        <v>52345.0</v>
      </c>
    </row>
    <row r="2371">
      <c r="A2371" s="121">
        <v>52346.0</v>
      </c>
    </row>
    <row r="2372">
      <c r="A2372" s="121">
        <v>52347.0</v>
      </c>
    </row>
    <row r="2373">
      <c r="A2373" s="121">
        <v>52348.0</v>
      </c>
    </row>
    <row r="2374">
      <c r="A2374" s="121">
        <v>52349.0</v>
      </c>
    </row>
    <row r="2375">
      <c r="A2375" s="121">
        <v>52350.0</v>
      </c>
    </row>
    <row r="2376">
      <c r="A2376" s="121">
        <v>52351.0</v>
      </c>
      <c r="B2376" s="122">
        <v>44921.0</v>
      </c>
    </row>
    <row r="2377">
      <c r="A2377" s="121">
        <v>52352.0</v>
      </c>
    </row>
    <row r="2378">
      <c r="A2378" s="121">
        <v>52353.0</v>
      </c>
    </row>
    <row r="2379">
      <c r="A2379" s="121">
        <v>52354.0</v>
      </c>
      <c r="B2379" s="122">
        <v>45873.0</v>
      </c>
    </row>
    <row r="2380">
      <c r="A2380" s="121">
        <v>52355.0</v>
      </c>
    </row>
    <row r="2381">
      <c r="A2381" s="121">
        <v>52356.0</v>
      </c>
    </row>
    <row r="2382">
      <c r="A2382" s="121">
        <v>52357.0</v>
      </c>
    </row>
    <row r="2383">
      <c r="A2383" s="121">
        <v>52358.0</v>
      </c>
    </row>
    <row r="2384">
      <c r="A2384" s="121">
        <v>52359.0</v>
      </c>
    </row>
    <row r="2385">
      <c r="A2385" s="121">
        <v>52360.0</v>
      </c>
      <c r="B2385" s="122">
        <v>45876.0</v>
      </c>
    </row>
    <row r="2386">
      <c r="A2386" s="121">
        <v>52361.0</v>
      </c>
    </row>
    <row r="2387">
      <c r="A2387" s="121">
        <v>52362.0</v>
      </c>
    </row>
    <row r="2388">
      <c r="A2388" s="121">
        <v>52363.0</v>
      </c>
    </row>
    <row r="2389">
      <c r="A2389" s="121">
        <v>52364.0</v>
      </c>
    </row>
    <row r="2390">
      <c r="A2390" s="121">
        <v>52365.0</v>
      </c>
    </row>
    <row r="2391">
      <c r="A2391" s="121">
        <v>52366.0</v>
      </c>
    </row>
    <row r="2392">
      <c r="A2392" s="121">
        <v>52367.0</v>
      </c>
    </row>
    <row r="2393">
      <c r="A2393" s="121">
        <v>52368.0</v>
      </c>
    </row>
    <row r="2394">
      <c r="A2394" s="121">
        <v>52369.0</v>
      </c>
    </row>
    <row r="2395">
      <c r="A2395" s="121">
        <v>52370.0</v>
      </c>
    </row>
    <row r="2396">
      <c r="A2396" s="121">
        <v>52371.0</v>
      </c>
    </row>
    <row r="2397">
      <c r="A2397" s="121">
        <v>52372.0</v>
      </c>
    </row>
    <row r="2398">
      <c r="A2398" s="121">
        <v>52373.0</v>
      </c>
    </row>
    <row r="2399">
      <c r="A2399" s="121">
        <v>52374.0</v>
      </c>
    </row>
    <row r="2400">
      <c r="A2400" s="121">
        <v>52375.0</v>
      </c>
    </row>
    <row r="2401">
      <c r="A2401" s="121">
        <v>52376.0</v>
      </c>
    </row>
    <row r="2402">
      <c r="A2402" s="121">
        <v>52377.0</v>
      </c>
    </row>
    <row r="2403">
      <c r="A2403" s="121">
        <v>52378.0</v>
      </c>
    </row>
    <row r="2404">
      <c r="A2404" s="121">
        <v>52379.0</v>
      </c>
    </row>
    <row r="2405">
      <c r="A2405" s="121">
        <v>52380.0</v>
      </c>
    </row>
    <row r="2406">
      <c r="A2406" s="121">
        <v>52381.0</v>
      </c>
      <c r="B2406" s="122">
        <v>45655.0</v>
      </c>
    </row>
    <row r="2407">
      <c r="A2407" s="121">
        <v>52382.0</v>
      </c>
    </row>
    <row r="2408">
      <c r="A2408" s="121">
        <v>52383.0</v>
      </c>
    </row>
    <row r="2409">
      <c r="A2409" s="121">
        <v>52451.0</v>
      </c>
    </row>
    <row r="2410">
      <c r="A2410" s="121">
        <v>52452.0</v>
      </c>
    </row>
    <row r="2411">
      <c r="A2411" s="121">
        <v>52453.0</v>
      </c>
    </row>
    <row r="2412">
      <c r="A2412" s="121">
        <v>52454.0</v>
      </c>
    </row>
    <row r="2413">
      <c r="A2413" s="121">
        <v>52455.0</v>
      </c>
    </row>
    <row r="2414">
      <c r="A2414" s="121">
        <v>52456.0</v>
      </c>
    </row>
    <row r="2415">
      <c r="A2415" s="121">
        <v>52457.0</v>
      </c>
    </row>
    <row r="2416">
      <c r="A2416" s="121">
        <v>52458.0</v>
      </c>
    </row>
    <row r="2417">
      <c r="A2417" s="121">
        <v>52459.0</v>
      </c>
    </row>
    <row r="2418">
      <c r="A2418" s="121">
        <v>52460.0</v>
      </c>
      <c r="B2418" s="122">
        <v>45657.0</v>
      </c>
    </row>
    <row r="2419">
      <c r="A2419" s="121">
        <v>52461.0</v>
      </c>
    </row>
    <row r="2420">
      <c r="A2420" s="121">
        <v>52462.0</v>
      </c>
    </row>
    <row r="2421">
      <c r="A2421" s="121">
        <v>52463.0</v>
      </c>
    </row>
    <row r="2422">
      <c r="A2422" s="121">
        <v>52464.0</v>
      </c>
    </row>
    <row r="2423">
      <c r="A2423" s="121">
        <v>52465.0</v>
      </c>
    </row>
    <row r="2424">
      <c r="A2424" s="121">
        <v>52466.0</v>
      </c>
      <c r="B2424" s="122">
        <v>45794.0</v>
      </c>
    </row>
    <row r="2425">
      <c r="A2425" s="121">
        <v>52467.0</v>
      </c>
    </row>
    <row r="2426">
      <c r="A2426" s="121">
        <v>52468.0</v>
      </c>
    </row>
    <row r="2427">
      <c r="A2427" s="121">
        <v>52469.0</v>
      </c>
    </row>
    <row r="2428">
      <c r="A2428" s="121">
        <v>52470.0</v>
      </c>
    </row>
    <row r="2429">
      <c r="A2429" s="121">
        <v>52471.0</v>
      </c>
    </row>
    <row r="2430">
      <c r="A2430" s="121">
        <v>52472.0</v>
      </c>
    </row>
    <row r="2431">
      <c r="A2431" s="121">
        <v>52473.0</v>
      </c>
    </row>
    <row r="2432">
      <c r="A2432" s="121">
        <v>52474.0</v>
      </c>
    </row>
    <row r="2433">
      <c r="A2433" s="121">
        <v>52475.0</v>
      </c>
    </row>
    <row r="2434">
      <c r="A2434" s="121">
        <v>52476.0</v>
      </c>
    </row>
    <row r="2435">
      <c r="A2435" s="121">
        <v>52477.0</v>
      </c>
    </row>
    <row r="2436">
      <c r="A2436" s="121">
        <v>52478.0</v>
      </c>
    </row>
    <row r="2437">
      <c r="A2437" s="121">
        <v>52479.0</v>
      </c>
    </row>
    <row r="2438">
      <c r="A2438" s="121">
        <v>52480.0</v>
      </c>
    </row>
    <row r="2439">
      <c r="A2439" s="121">
        <v>52481.0</v>
      </c>
      <c r="B2439" s="122">
        <v>45642.0</v>
      </c>
    </row>
    <row r="2440">
      <c r="A2440" s="121">
        <v>52482.0</v>
      </c>
    </row>
    <row r="2441">
      <c r="A2441" s="121">
        <v>52483.0</v>
      </c>
    </row>
    <row r="2442">
      <c r="A2442" s="121">
        <v>52484.0</v>
      </c>
    </row>
    <row r="2443">
      <c r="A2443" s="121">
        <v>52485.0</v>
      </c>
    </row>
    <row r="2444">
      <c r="A2444" s="121">
        <v>52486.0</v>
      </c>
    </row>
    <row r="2445">
      <c r="A2445" s="121">
        <v>52487.0</v>
      </c>
    </row>
    <row r="2446">
      <c r="A2446" s="121">
        <v>52488.0</v>
      </c>
    </row>
    <row r="2447">
      <c r="A2447" s="121">
        <v>52489.0</v>
      </c>
    </row>
    <row r="2448">
      <c r="A2448" s="121">
        <v>52490.0</v>
      </c>
    </row>
    <row r="2449">
      <c r="A2449" s="121">
        <v>52491.0</v>
      </c>
    </row>
    <row r="2450">
      <c r="A2450" s="121">
        <v>52492.0</v>
      </c>
    </row>
    <row r="2451">
      <c r="A2451" s="121">
        <v>52493.0</v>
      </c>
    </row>
    <row r="2452">
      <c r="A2452" s="121">
        <v>52494.0</v>
      </c>
    </row>
    <row r="2453">
      <c r="A2453" s="121">
        <v>52495.0</v>
      </c>
      <c r="B2453" s="122">
        <v>45744.0</v>
      </c>
    </row>
    <row r="2454">
      <c r="A2454" s="121">
        <v>52496.0</v>
      </c>
    </row>
    <row r="2455">
      <c r="A2455" s="121">
        <v>52497.0</v>
      </c>
    </row>
    <row r="2456">
      <c r="A2456" s="121">
        <v>52498.0</v>
      </c>
    </row>
    <row r="2457">
      <c r="A2457" s="121">
        <v>52499.0</v>
      </c>
    </row>
    <row r="2458">
      <c r="A2458" s="121">
        <v>52500.0</v>
      </c>
    </row>
    <row r="2459">
      <c r="A2459" s="121">
        <v>52501.0</v>
      </c>
    </row>
    <row r="2460">
      <c r="A2460" s="121">
        <v>52502.0</v>
      </c>
    </row>
    <row r="2461">
      <c r="A2461" s="121">
        <v>52503.0</v>
      </c>
    </row>
    <row r="2462">
      <c r="A2462" s="121">
        <v>52533.0</v>
      </c>
      <c r="B2462" s="122">
        <v>45674.0</v>
      </c>
    </row>
    <row r="2463">
      <c r="A2463" s="121">
        <v>52534.0</v>
      </c>
    </row>
    <row r="2464">
      <c r="A2464" s="121">
        <v>52535.0</v>
      </c>
    </row>
    <row r="2465">
      <c r="A2465" s="121">
        <v>52536.0</v>
      </c>
    </row>
    <row r="2466">
      <c r="A2466" s="121">
        <v>52537.0</v>
      </c>
    </row>
    <row r="2467">
      <c r="A2467" s="121">
        <v>52538.0</v>
      </c>
    </row>
    <row r="2468">
      <c r="A2468" s="121">
        <v>52539.0</v>
      </c>
    </row>
    <row r="2469">
      <c r="A2469" s="121">
        <v>52540.0</v>
      </c>
    </row>
    <row r="2470">
      <c r="A2470" s="121">
        <v>52541.0</v>
      </c>
    </row>
    <row r="2471">
      <c r="A2471" s="121">
        <v>52542.0</v>
      </c>
    </row>
    <row r="2472">
      <c r="A2472" s="121">
        <v>52543.0</v>
      </c>
    </row>
    <row r="2473">
      <c r="A2473" s="121">
        <v>52544.0</v>
      </c>
    </row>
    <row r="2474">
      <c r="A2474" s="121">
        <v>52545.0</v>
      </c>
      <c r="B2474" s="122">
        <v>45437.0</v>
      </c>
    </row>
    <row r="2475">
      <c r="A2475" s="121">
        <v>52546.0</v>
      </c>
    </row>
    <row r="2476">
      <c r="A2476" s="121">
        <v>52547.0</v>
      </c>
      <c r="B2476" s="122">
        <v>45769.0</v>
      </c>
    </row>
    <row r="2477">
      <c r="A2477" s="121">
        <v>52548.0</v>
      </c>
    </row>
    <row r="2478">
      <c r="A2478" s="121">
        <v>52549.0</v>
      </c>
    </row>
    <row r="2479">
      <c r="A2479" s="121">
        <v>52550.0</v>
      </c>
    </row>
    <row r="2480">
      <c r="A2480" s="121">
        <v>52551.0</v>
      </c>
    </row>
    <row r="2481">
      <c r="A2481" s="121">
        <v>52552.0</v>
      </c>
    </row>
    <row r="2482">
      <c r="A2482" s="121">
        <v>52553.0</v>
      </c>
    </row>
    <row r="2483">
      <c r="A2483" s="121">
        <v>52554.0</v>
      </c>
    </row>
    <row r="2484">
      <c r="A2484" s="121">
        <v>52555.0</v>
      </c>
      <c r="B2484" s="122">
        <v>45910.0</v>
      </c>
    </row>
    <row r="2485">
      <c r="A2485" s="121">
        <v>52556.0</v>
      </c>
      <c r="B2485" s="122">
        <v>46053.0</v>
      </c>
    </row>
    <row r="2486">
      <c r="A2486" s="121">
        <v>52557.0</v>
      </c>
    </row>
    <row r="2487">
      <c r="A2487" s="121">
        <v>52558.0</v>
      </c>
      <c r="B2487" s="122">
        <v>45808.0</v>
      </c>
    </row>
    <row r="2488">
      <c r="A2488" s="121">
        <v>52559.0</v>
      </c>
    </row>
    <row r="2489">
      <c r="A2489" s="121">
        <v>52560.0</v>
      </c>
    </row>
    <row r="2490">
      <c r="A2490" s="121">
        <v>52561.0</v>
      </c>
    </row>
    <row r="2491">
      <c r="A2491" s="121">
        <v>52562.0</v>
      </c>
    </row>
    <row r="2492">
      <c r="A2492" s="121">
        <v>52563.0</v>
      </c>
    </row>
    <row r="2493">
      <c r="A2493" s="121">
        <v>52564.0</v>
      </c>
    </row>
    <row r="2494">
      <c r="A2494" s="121">
        <v>52565.0</v>
      </c>
    </row>
    <row r="2495">
      <c r="A2495" s="121">
        <v>52566.0</v>
      </c>
    </row>
    <row r="2496">
      <c r="A2496" s="121">
        <v>52567.0</v>
      </c>
    </row>
    <row r="2497">
      <c r="A2497" s="121">
        <v>52568.0</v>
      </c>
    </row>
    <row r="2498">
      <c r="A2498" s="121">
        <v>52569.0</v>
      </c>
    </row>
    <row r="2499">
      <c r="A2499" s="121">
        <v>52570.0</v>
      </c>
      <c r="B2499" s="122">
        <v>45653.0</v>
      </c>
    </row>
    <row r="2500">
      <c r="A2500" s="121">
        <v>52574.0</v>
      </c>
    </row>
    <row r="2501">
      <c r="A2501" s="121">
        <v>52575.0</v>
      </c>
    </row>
    <row r="2502">
      <c r="A2502" s="121">
        <v>52576.0</v>
      </c>
    </row>
    <row r="2503">
      <c r="A2503" s="121">
        <v>52577.0</v>
      </c>
    </row>
    <row r="2504">
      <c r="A2504" s="121">
        <v>52578.0</v>
      </c>
    </row>
    <row r="2505">
      <c r="A2505" s="121">
        <v>52579.0</v>
      </c>
    </row>
    <row r="2506">
      <c r="A2506" s="121">
        <v>52580.0</v>
      </c>
    </row>
    <row r="2507">
      <c r="A2507" s="121">
        <v>52581.0</v>
      </c>
    </row>
    <row r="2508">
      <c r="A2508" s="121">
        <v>52582.0</v>
      </c>
      <c r="B2508" s="122">
        <v>45664.0</v>
      </c>
    </row>
    <row r="2509">
      <c r="A2509" s="121">
        <v>52583.0</v>
      </c>
    </row>
    <row r="2510">
      <c r="A2510" s="121">
        <v>52584.0</v>
      </c>
    </row>
    <row r="2511">
      <c r="A2511" s="121">
        <v>52585.0</v>
      </c>
    </row>
    <row r="2512">
      <c r="A2512" s="121">
        <v>52586.0</v>
      </c>
    </row>
    <row r="2513">
      <c r="A2513" s="121">
        <v>52587.0</v>
      </c>
    </row>
    <row r="2514">
      <c r="A2514" s="121">
        <v>52588.0</v>
      </c>
    </row>
    <row r="2515">
      <c r="A2515" s="121">
        <v>52598.0</v>
      </c>
    </row>
    <row r="2516">
      <c r="A2516" s="121">
        <v>52599.0</v>
      </c>
    </row>
    <row r="2517">
      <c r="A2517" s="121">
        <v>52600.0</v>
      </c>
    </row>
    <row r="2518">
      <c r="A2518" s="121">
        <v>52601.0</v>
      </c>
    </row>
    <row r="2519">
      <c r="A2519" s="121">
        <v>52602.0</v>
      </c>
    </row>
    <row r="2520">
      <c r="A2520" s="121">
        <v>52603.0</v>
      </c>
    </row>
    <row r="2521">
      <c r="A2521" s="121">
        <v>52604.0</v>
      </c>
    </row>
    <row r="2522">
      <c r="A2522" s="121">
        <v>52605.0</v>
      </c>
    </row>
    <row r="2523">
      <c r="A2523" s="121">
        <v>52606.0</v>
      </c>
    </row>
    <row r="2524">
      <c r="A2524" s="121">
        <v>52607.0</v>
      </c>
    </row>
    <row r="2525">
      <c r="A2525" s="121">
        <v>52608.0</v>
      </c>
    </row>
    <row r="2526">
      <c r="A2526" s="121">
        <v>52609.0</v>
      </c>
    </row>
    <row r="2527">
      <c r="A2527" s="121">
        <v>52610.0</v>
      </c>
    </row>
    <row r="2528">
      <c r="A2528" s="121">
        <v>52611.0</v>
      </c>
    </row>
    <row r="2529">
      <c r="A2529" s="121">
        <v>52612.0</v>
      </c>
    </row>
    <row r="2530">
      <c r="A2530" s="121">
        <v>52613.0</v>
      </c>
      <c r="B2530" s="122">
        <v>45553.0</v>
      </c>
    </row>
    <row r="2531">
      <c r="A2531" s="121">
        <v>52614.0</v>
      </c>
    </row>
    <row r="2532">
      <c r="A2532" s="121">
        <v>52615.0</v>
      </c>
    </row>
    <row r="2533">
      <c r="A2533" s="121">
        <v>52616.0</v>
      </c>
      <c r="B2533" s="122">
        <v>46055.0</v>
      </c>
    </row>
    <row r="2534">
      <c r="A2534" s="121">
        <v>52617.0</v>
      </c>
    </row>
    <row r="2535">
      <c r="A2535" s="121">
        <v>52618.0</v>
      </c>
    </row>
    <row r="2536">
      <c r="A2536" s="121">
        <v>52619.0</v>
      </c>
    </row>
    <row r="2537">
      <c r="A2537" s="121">
        <v>52620.0</v>
      </c>
    </row>
    <row r="2538">
      <c r="A2538" s="121">
        <v>52621.0</v>
      </c>
    </row>
    <row r="2539">
      <c r="A2539" s="121">
        <v>52622.0</v>
      </c>
    </row>
    <row r="2540">
      <c r="A2540" s="121">
        <v>52623.0</v>
      </c>
    </row>
    <row r="2541">
      <c r="A2541" s="121">
        <v>52624.0</v>
      </c>
      <c r="B2541" s="122">
        <v>45662.0</v>
      </c>
    </row>
    <row r="2542">
      <c r="A2542" s="121">
        <v>52625.0</v>
      </c>
    </row>
    <row r="2543">
      <c r="A2543" s="121">
        <v>52626.0</v>
      </c>
    </row>
    <row r="2544">
      <c r="A2544" s="121">
        <v>52627.0</v>
      </c>
    </row>
    <row r="2545">
      <c r="A2545" s="121">
        <v>52628.0</v>
      </c>
    </row>
    <row r="2546">
      <c r="A2546" s="121">
        <v>52629.0</v>
      </c>
    </row>
    <row r="2547">
      <c r="A2547" s="121">
        <v>52630.0</v>
      </c>
    </row>
    <row r="2548">
      <c r="A2548" s="121">
        <v>52631.0</v>
      </c>
    </row>
    <row r="2549">
      <c r="A2549" s="121">
        <v>52632.0</v>
      </c>
    </row>
    <row r="2550">
      <c r="A2550" s="121">
        <v>52633.0</v>
      </c>
    </row>
    <row r="2551">
      <c r="A2551" s="121">
        <v>52634.0</v>
      </c>
    </row>
    <row r="2552">
      <c r="A2552" s="121">
        <v>52635.0</v>
      </c>
    </row>
    <row r="2553">
      <c r="A2553" s="121">
        <v>52636.0</v>
      </c>
    </row>
    <row r="2554">
      <c r="A2554" s="121">
        <v>52637.0</v>
      </c>
    </row>
    <row r="2555">
      <c r="A2555" s="121">
        <v>52638.0</v>
      </c>
    </row>
    <row r="2556">
      <c r="A2556" s="121">
        <v>52639.0</v>
      </c>
    </row>
    <row r="2557">
      <c r="A2557" s="121">
        <v>52640.0</v>
      </c>
    </row>
    <row r="2558">
      <c r="A2558" s="121">
        <v>52641.0</v>
      </c>
    </row>
    <row r="2559">
      <c r="A2559" s="121">
        <v>52642.0</v>
      </c>
    </row>
    <row r="2560">
      <c r="A2560" s="121">
        <v>52643.0</v>
      </c>
    </row>
    <row r="2561">
      <c r="A2561" s="121">
        <v>52644.0</v>
      </c>
    </row>
    <row r="2562">
      <c r="A2562" s="121">
        <v>52645.0</v>
      </c>
    </row>
    <row r="2563">
      <c r="A2563" s="121">
        <v>52646.0</v>
      </c>
    </row>
    <row r="2564">
      <c r="A2564" s="121">
        <v>52647.0</v>
      </c>
      <c r="B2564" s="122">
        <v>45975.0</v>
      </c>
    </row>
    <row r="2565">
      <c r="A2565" s="121">
        <v>52648.0</v>
      </c>
    </row>
    <row r="2566">
      <c r="A2566" s="121">
        <v>52649.0</v>
      </c>
    </row>
    <row r="2567">
      <c r="A2567" s="121">
        <v>52650.0</v>
      </c>
    </row>
    <row r="2568">
      <c r="A2568" s="121">
        <v>52656.0</v>
      </c>
    </row>
    <row r="2569">
      <c r="A2569" s="121">
        <v>52657.0</v>
      </c>
    </row>
    <row r="2570">
      <c r="A2570" s="121">
        <v>52658.0</v>
      </c>
    </row>
    <row r="2571">
      <c r="A2571" s="121">
        <v>52659.0</v>
      </c>
    </row>
    <row r="2572">
      <c r="A2572" s="121">
        <v>52660.0</v>
      </c>
    </row>
    <row r="2573">
      <c r="A2573" s="121">
        <v>52661.0</v>
      </c>
    </row>
    <row r="2574">
      <c r="A2574" s="121">
        <v>52662.0</v>
      </c>
    </row>
    <row r="2575">
      <c r="A2575" s="121">
        <v>52663.0</v>
      </c>
    </row>
    <row r="2576">
      <c r="A2576" s="121">
        <v>52664.0</v>
      </c>
    </row>
    <row r="2577">
      <c r="A2577" s="121">
        <v>52665.0</v>
      </c>
    </row>
    <row r="2578">
      <c r="A2578" s="121">
        <v>52666.0</v>
      </c>
    </row>
    <row r="2579">
      <c r="A2579" s="121">
        <v>52667.0</v>
      </c>
    </row>
    <row r="2580">
      <c r="A2580" s="121">
        <v>52668.0</v>
      </c>
    </row>
    <row r="2581">
      <c r="A2581" s="121">
        <v>52669.0</v>
      </c>
    </row>
    <row r="2582">
      <c r="A2582" s="121">
        <v>52670.0</v>
      </c>
    </row>
    <row r="2583">
      <c r="A2583" s="121">
        <v>52671.0</v>
      </c>
    </row>
    <row r="2584">
      <c r="A2584" s="121">
        <v>52672.0</v>
      </c>
    </row>
    <row r="2585">
      <c r="A2585" s="121">
        <v>52673.0</v>
      </c>
    </row>
    <row r="2586">
      <c r="A2586" s="121">
        <v>52674.0</v>
      </c>
    </row>
    <row r="2587">
      <c r="A2587" s="121">
        <v>52675.0</v>
      </c>
    </row>
    <row r="2588">
      <c r="A2588" s="121">
        <v>52676.0</v>
      </c>
    </row>
    <row r="2589">
      <c r="A2589" s="121">
        <v>52677.0</v>
      </c>
      <c r="B2589" s="122">
        <v>45880.0</v>
      </c>
    </row>
    <row r="2590">
      <c r="A2590" s="121">
        <v>52678.0</v>
      </c>
    </row>
    <row r="2591">
      <c r="A2591" s="121">
        <v>52679.0</v>
      </c>
    </row>
    <row r="2592">
      <c r="A2592" s="121">
        <v>52680.0</v>
      </c>
    </row>
    <row r="2593">
      <c r="A2593" s="121">
        <v>52681.0</v>
      </c>
    </row>
    <row r="2594">
      <c r="A2594" s="121">
        <v>52682.0</v>
      </c>
    </row>
    <row r="2595">
      <c r="A2595" s="121">
        <v>52683.0</v>
      </c>
      <c r="B2595" s="122">
        <v>45642.0</v>
      </c>
    </row>
    <row r="2596">
      <c r="A2596" s="121">
        <v>52684.0</v>
      </c>
    </row>
    <row r="2597">
      <c r="A2597" s="121">
        <v>52685.0</v>
      </c>
    </row>
    <row r="2598">
      <c r="A2598" s="121">
        <v>52686.0</v>
      </c>
    </row>
    <row r="2599">
      <c r="A2599" s="121">
        <v>52687.0</v>
      </c>
    </row>
    <row r="2600">
      <c r="A2600" s="121">
        <v>52688.0</v>
      </c>
    </row>
    <row r="2601">
      <c r="A2601" s="121">
        <v>52689.0</v>
      </c>
    </row>
    <row r="2602">
      <c r="A2602" s="121">
        <v>52690.0</v>
      </c>
    </row>
    <row r="2603">
      <c r="A2603" s="121">
        <v>52691.0</v>
      </c>
      <c r="B2603" s="122">
        <v>45651.0</v>
      </c>
    </row>
    <row r="2604">
      <c r="A2604" s="121">
        <v>52692.0</v>
      </c>
    </row>
    <row r="2605">
      <c r="A2605" s="121">
        <v>52693.0</v>
      </c>
    </row>
    <row r="2606">
      <c r="A2606" s="121">
        <v>52694.0</v>
      </c>
    </row>
    <row r="2607">
      <c r="A2607" s="121">
        <v>52695.0</v>
      </c>
    </row>
    <row r="2608">
      <c r="A2608" s="121">
        <v>52696.0</v>
      </c>
      <c r="B2608" s="122">
        <v>45642.0</v>
      </c>
    </row>
    <row r="2609">
      <c r="A2609" s="121">
        <v>52697.0</v>
      </c>
    </row>
    <row r="2610">
      <c r="A2610" s="121">
        <v>52698.0</v>
      </c>
    </row>
    <row r="2611">
      <c r="A2611" s="121">
        <v>52699.0</v>
      </c>
    </row>
    <row r="2612">
      <c r="A2612" s="121">
        <v>52700.0</v>
      </c>
    </row>
    <row r="2613">
      <c r="A2613" s="121">
        <v>52701.0</v>
      </c>
      <c r="B2613" s="122">
        <v>45665.0</v>
      </c>
    </row>
    <row r="2614">
      <c r="A2614" s="121">
        <v>52702.0</v>
      </c>
    </row>
    <row r="2615">
      <c r="A2615" s="121">
        <v>52703.0</v>
      </c>
    </row>
    <row r="2616">
      <c r="A2616" s="121">
        <v>52704.0</v>
      </c>
    </row>
    <row r="2617">
      <c r="A2617" s="121">
        <v>52705.0</v>
      </c>
    </row>
    <row r="2618">
      <c r="A2618" s="121">
        <v>52706.0</v>
      </c>
    </row>
    <row r="2619">
      <c r="A2619" s="121">
        <v>52707.0</v>
      </c>
    </row>
    <row r="2620">
      <c r="A2620" s="121">
        <v>52708.0</v>
      </c>
    </row>
    <row r="2621">
      <c r="A2621" s="121">
        <v>52830.0</v>
      </c>
    </row>
    <row r="2622">
      <c r="A2622" s="121">
        <v>52831.0</v>
      </c>
    </row>
    <row r="2623">
      <c r="A2623" s="121">
        <v>52832.0</v>
      </c>
    </row>
    <row r="2624">
      <c r="A2624" s="121">
        <v>52833.0</v>
      </c>
    </row>
    <row r="2625">
      <c r="A2625" s="121">
        <v>52834.0</v>
      </c>
    </row>
    <row r="2626">
      <c r="A2626" s="121">
        <v>52835.0</v>
      </c>
    </row>
    <row r="2627">
      <c r="A2627" s="121">
        <v>52836.0</v>
      </c>
    </row>
    <row r="2628">
      <c r="A2628" s="121">
        <v>52837.0</v>
      </c>
    </row>
    <row r="2629">
      <c r="A2629" s="121">
        <v>52838.0</v>
      </c>
    </row>
    <row r="2630">
      <c r="A2630" s="121">
        <v>52839.0</v>
      </c>
    </row>
    <row r="2631">
      <c r="A2631" s="121">
        <v>52840.0</v>
      </c>
    </row>
    <row r="2632">
      <c r="A2632" s="121">
        <v>52841.0</v>
      </c>
    </row>
    <row r="2633">
      <c r="A2633" s="121">
        <v>52842.0</v>
      </c>
    </row>
    <row r="2634">
      <c r="A2634" s="121">
        <v>52843.0</v>
      </c>
    </row>
    <row r="2635">
      <c r="A2635" s="121">
        <v>52844.0</v>
      </c>
    </row>
    <row r="2636">
      <c r="A2636" s="121">
        <v>52845.0</v>
      </c>
    </row>
    <row r="2637">
      <c r="A2637" s="121">
        <v>52846.0</v>
      </c>
    </row>
    <row r="2638">
      <c r="A2638" s="121">
        <v>52847.0</v>
      </c>
    </row>
    <row r="2639">
      <c r="A2639" s="121">
        <v>52848.0</v>
      </c>
    </row>
    <row r="2640">
      <c r="A2640" s="121">
        <v>52849.0</v>
      </c>
    </row>
    <row r="2641">
      <c r="A2641" s="121">
        <v>52850.0</v>
      </c>
    </row>
    <row r="2642">
      <c r="A2642" s="121">
        <v>52851.0</v>
      </c>
    </row>
    <row r="2643">
      <c r="A2643" s="121">
        <v>52852.0</v>
      </c>
    </row>
    <row r="2644">
      <c r="A2644" s="121">
        <v>52853.0</v>
      </c>
    </row>
    <row r="2645">
      <c r="A2645" s="121">
        <v>52854.0</v>
      </c>
    </row>
    <row r="2646">
      <c r="A2646" s="121">
        <v>52855.0</v>
      </c>
    </row>
    <row r="2647">
      <c r="A2647" s="121">
        <v>52856.0</v>
      </c>
    </row>
    <row r="2648">
      <c r="A2648" s="121">
        <v>52857.0</v>
      </c>
    </row>
    <row r="2649">
      <c r="A2649" s="121">
        <v>52858.0</v>
      </c>
    </row>
    <row r="2650">
      <c r="A2650" s="121">
        <v>52859.0</v>
      </c>
    </row>
    <row r="2651">
      <c r="A2651" s="121">
        <v>52860.0</v>
      </c>
    </row>
    <row r="2652">
      <c r="A2652" s="121">
        <v>52861.0</v>
      </c>
    </row>
    <row r="2653">
      <c r="A2653" s="121">
        <v>52862.0</v>
      </c>
    </row>
    <row r="2654">
      <c r="A2654" s="121">
        <v>52863.0</v>
      </c>
    </row>
    <row r="2655">
      <c r="A2655" s="121">
        <v>52864.0</v>
      </c>
    </row>
    <row r="2656">
      <c r="A2656" s="121">
        <v>52865.0</v>
      </c>
    </row>
    <row r="2657">
      <c r="A2657" s="121">
        <v>52866.0</v>
      </c>
    </row>
    <row r="2658">
      <c r="A2658" s="121">
        <v>52867.0</v>
      </c>
    </row>
    <row r="2659">
      <c r="A2659" s="121">
        <v>52868.0</v>
      </c>
    </row>
    <row r="2660">
      <c r="A2660" s="121">
        <v>52869.0</v>
      </c>
    </row>
    <row r="2661">
      <c r="A2661" s="121">
        <v>52870.0</v>
      </c>
    </row>
    <row r="2662">
      <c r="A2662" s="121">
        <v>52871.0</v>
      </c>
    </row>
    <row r="2663">
      <c r="A2663" s="121">
        <v>52872.0</v>
      </c>
    </row>
    <row r="2664">
      <c r="A2664" s="121">
        <v>52873.0</v>
      </c>
    </row>
    <row r="2665">
      <c r="A2665" s="121">
        <v>52874.0</v>
      </c>
      <c r="B2665" s="122">
        <v>45947.0</v>
      </c>
    </row>
    <row r="2666">
      <c r="A2666" s="121">
        <v>52875.0</v>
      </c>
    </row>
    <row r="2667">
      <c r="A2667" s="121">
        <v>52876.0</v>
      </c>
    </row>
    <row r="2668">
      <c r="A2668" s="121">
        <v>52877.0</v>
      </c>
    </row>
    <row r="2669">
      <c r="A2669" s="121">
        <v>52878.0</v>
      </c>
    </row>
    <row r="2670">
      <c r="A2670" s="121">
        <v>52879.0</v>
      </c>
    </row>
    <row r="2671">
      <c r="A2671" s="121">
        <v>52880.0</v>
      </c>
    </row>
    <row r="2672">
      <c r="A2672" s="121">
        <v>52881.0</v>
      </c>
      <c r="B2672" s="122">
        <v>45537.0</v>
      </c>
    </row>
    <row r="2673">
      <c r="A2673" s="121">
        <v>52882.0</v>
      </c>
    </row>
    <row r="2674">
      <c r="A2674" s="121">
        <v>52986.0</v>
      </c>
    </row>
    <row r="2675">
      <c r="A2675" s="121">
        <v>52987.0</v>
      </c>
    </row>
    <row r="2676">
      <c r="A2676" s="121">
        <v>52988.0</v>
      </c>
    </row>
    <row r="2677">
      <c r="A2677" s="121">
        <v>52989.0</v>
      </c>
    </row>
    <row r="2678">
      <c r="A2678" s="121">
        <v>52990.0</v>
      </c>
    </row>
    <row r="2679">
      <c r="A2679" s="121">
        <v>52991.0</v>
      </c>
    </row>
    <row r="2680">
      <c r="A2680" s="121">
        <v>52992.0</v>
      </c>
    </row>
    <row r="2681">
      <c r="A2681" s="121">
        <v>52993.0</v>
      </c>
    </row>
    <row r="2682">
      <c r="A2682" s="121">
        <v>52994.0</v>
      </c>
    </row>
    <row r="2683">
      <c r="A2683" s="121">
        <v>52995.0</v>
      </c>
    </row>
    <row r="2684">
      <c r="A2684" s="121">
        <v>52996.0</v>
      </c>
    </row>
    <row r="2685">
      <c r="A2685" s="121">
        <v>52997.0</v>
      </c>
      <c r="B2685" s="122">
        <v>45692.0</v>
      </c>
    </row>
    <row r="2686">
      <c r="A2686" s="121">
        <v>52998.0</v>
      </c>
    </row>
    <row r="2687">
      <c r="A2687" s="121">
        <v>52999.0</v>
      </c>
    </row>
    <row r="2688">
      <c r="A2688" s="121">
        <v>53000.0</v>
      </c>
    </row>
    <row r="2689">
      <c r="A2689" s="121">
        <v>53001.0</v>
      </c>
    </row>
    <row r="2690">
      <c r="A2690" s="121">
        <v>53002.0</v>
      </c>
    </row>
    <row r="2691">
      <c r="A2691" s="121">
        <v>53003.0</v>
      </c>
    </row>
    <row r="2692">
      <c r="A2692" s="121">
        <v>53004.0</v>
      </c>
    </row>
    <row r="2693">
      <c r="A2693" s="121">
        <v>53005.0</v>
      </c>
    </row>
    <row r="2694">
      <c r="A2694" s="121">
        <v>53006.0</v>
      </c>
    </row>
    <row r="2695">
      <c r="A2695" s="121">
        <v>53007.0</v>
      </c>
    </row>
    <row r="2696">
      <c r="A2696" s="121">
        <v>53008.0</v>
      </c>
    </row>
    <row r="2697">
      <c r="A2697" s="121">
        <v>53009.0</v>
      </c>
    </row>
    <row r="2698">
      <c r="A2698" s="121">
        <v>53010.0</v>
      </c>
    </row>
    <row r="2699">
      <c r="A2699" s="121">
        <v>53011.0</v>
      </c>
    </row>
    <row r="2700">
      <c r="A2700" s="121">
        <v>53012.0</v>
      </c>
    </row>
    <row r="2701">
      <c r="A2701" s="121">
        <v>53013.0</v>
      </c>
    </row>
    <row r="2702">
      <c r="A2702" s="121">
        <v>53014.0</v>
      </c>
    </row>
    <row r="2703">
      <c r="A2703" s="121">
        <v>53015.0</v>
      </c>
    </row>
    <row r="2704">
      <c r="A2704" s="121">
        <v>53016.0</v>
      </c>
    </row>
    <row r="2705">
      <c r="A2705" s="121">
        <v>53017.0</v>
      </c>
    </row>
    <row r="2706">
      <c r="A2706" s="121">
        <v>53018.0</v>
      </c>
    </row>
    <row r="2707">
      <c r="A2707" s="121">
        <v>53019.0</v>
      </c>
    </row>
    <row r="2708">
      <c r="A2708" s="121">
        <v>53020.0</v>
      </c>
    </row>
    <row r="2709">
      <c r="A2709" s="121">
        <v>53021.0</v>
      </c>
      <c r="B2709" s="122">
        <v>45644.0</v>
      </c>
    </row>
    <row r="2710">
      <c r="A2710" s="121">
        <v>53022.0</v>
      </c>
    </row>
    <row r="2711">
      <c r="A2711" s="121">
        <v>53023.0</v>
      </c>
    </row>
    <row r="2712">
      <c r="A2712" s="121">
        <v>53024.0</v>
      </c>
    </row>
    <row r="2713">
      <c r="A2713" s="121">
        <v>53025.0</v>
      </c>
    </row>
    <row r="2714">
      <c r="A2714" s="121">
        <v>53026.0</v>
      </c>
    </row>
    <row r="2715">
      <c r="A2715" s="121">
        <v>53027.0</v>
      </c>
    </row>
    <row r="2716">
      <c r="A2716" s="121">
        <v>53028.0</v>
      </c>
      <c r="B2716" s="122">
        <v>44880.0</v>
      </c>
    </row>
    <row r="2717">
      <c r="A2717" s="121">
        <v>53029.0</v>
      </c>
    </row>
    <row r="2718">
      <c r="A2718" s="121">
        <v>53030.0</v>
      </c>
    </row>
    <row r="2719">
      <c r="A2719" s="121">
        <v>53031.0</v>
      </c>
    </row>
    <row r="2720">
      <c r="A2720" s="121">
        <v>53032.0</v>
      </c>
    </row>
    <row r="2721">
      <c r="A2721" s="121">
        <v>53033.0</v>
      </c>
    </row>
    <row r="2722">
      <c r="A2722" s="121">
        <v>53034.0</v>
      </c>
    </row>
    <row r="2723">
      <c r="A2723" s="121">
        <v>53035.0</v>
      </c>
    </row>
    <row r="2724">
      <c r="A2724" s="121">
        <v>53036.0</v>
      </c>
    </row>
    <row r="2725">
      <c r="A2725" s="121">
        <v>53037.0</v>
      </c>
    </row>
    <row r="2726">
      <c r="A2726" s="121">
        <v>53038.0</v>
      </c>
    </row>
    <row r="2727">
      <c r="A2727" s="121">
        <v>53043.0</v>
      </c>
    </row>
    <row r="2728">
      <c r="A2728" s="121">
        <v>53044.0</v>
      </c>
    </row>
    <row r="2729">
      <c r="A2729" s="121">
        <v>53045.0</v>
      </c>
    </row>
    <row r="2730">
      <c r="A2730" s="121">
        <v>53046.0</v>
      </c>
    </row>
    <row r="2731">
      <c r="A2731" s="121">
        <v>53047.0</v>
      </c>
    </row>
    <row r="2732">
      <c r="A2732" s="121">
        <v>53048.0</v>
      </c>
    </row>
    <row r="2733">
      <c r="A2733" s="121">
        <v>53049.0</v>
      </c>
    </row>
    <row r="2734">
      <c r="A2734" s="121">
        <v>53050.0</v>
      </c>
    </row>
    <row r="2735">
      <c r="A2735" s="121">
        <v>53051.0</v>
      </c>
    </row>
    <row r="2736">
      <c r="A2736" s="121">
        <v>53052.0</v>
      </c>
    </row>
    <row r="2737">
      <c r="A2737" s="121">
        <v>53053.0</v>
      </c>
    </row>
    <row r="2738">
      <c r="A2738" s="121">
        <v>53054.0</v>
      </c>
    </row>
    <row r="2739">
      <c r="A2739" s="121">
        <v>53055.0</v>
      </c>
    </row>
    <row r="2740">
      <c r="A2740" s="121">
        <v>53056.0</v>
      </c>
    </row>
    <row r="2741">
      <c r="A2741" s="121">
        <v>53057.0</v>
      </c>
    </row>
    <row r="2742">
      <c r="A2742" s="121">
        <v>53058.0</v>
      </c>
    </row>
    <row r="2743">
      <c r="A2743" s="121">
        <v>53059.0</v>
      </c>
    </row>
    <row r="2744">
      <c r="A2744" s="121">
        <v>53060.0</v>
      </c>
    </row>
    <row r="2745">
      <c r="A2745" s="121">
        <v>53061.0</v>
      </c>
    </row>
    <row r="2746">
      <c r="A2746" s="121">
        <v>53062.0</v>
      </c>
    </row>
    <row r="2747">
      <c r="A2747" s="121">
        <v>53063.0</v>
      </c>
    </row>
    <row r="2748">
      <c r="A2748" s="121">
        <v>53064.0</v>
      </c>
    </row>
    <row r="2749">
      <c r="A2749" s="121">
        <v>53065.0</v>
      </c>
    </row>
    <row r="2750">
      <c r="A2750" s="121">
        <v>53066.0</v>
      </c>
    </row>
    <row r="2751">
      <c r="A2751" s="121">
        <v>53067.0</v>
      </c>
      <c r="B2751" s="122">
        <v>45813.0</v>
      </c>
    </row>
    <row r="2752">
      <c r="A2752" s="121">
        <v>53068.0</v>
      </c>
    </row>
    <row r="2753">
      <c r="A2753" s="121">
        <v>53069.0</v>
      </c>
    </row>
    <row r="2754">
      <c r="A2754" s="121">
        <v>53070.0</v>
      </c>
    </row>
    <row r="2755">
      <c r="A2755" s="121">
        <v>53071.0</v>
      </c>
    </row>
    <row r="2756">
      <c r="A2756" s="121">
        <v>53072.0</v>
      </c>
    </row>
    <row r="2757">
      <c r="A2757" s="121">
        <v>53073.0</v>
      </c>
    </row>
    <row r="2758">
      <c r="A2758" s="121">
        <v>53074.0</v>
      </c>
    </row>
    <row r="2759">
      <c r="A2759" s="121">
        <v>53075.0</v>
      </c>
    </row>
    <row r="2760">
      <c r="A2760" s="121">
        <v>53076.0</v>
      </c>
    </row>
    <row r="2761">
      <c r="A2761" s="121">
        <v>53077.0</v>
      </c>
    </row>
    <row r="2762">
      <c r="A2762" s="121">
        <v>53078.0</v>
      </c>
    </row>
    <row r="2763">
      <c r="A2763" s="121">
        <v>53079.0</v>
      </c>
    </row>
    <row r="2764">
      <c r="A2764" s="121">
        <v>53080.0</v>
      </c>
    </row>
    <row r="2765">
      <c r="A2765" s="121">
        <v>53081.0</v>
      </c>
    </row>
    <row r="2766">
      <c r="A2766" s="121">
        <v>53082.0</v>
      </c>
    </row>
    <row r="2767">
      <c r="A2767" s="121">
        <v>53083.0</v>
      </c>
    </row>
    <row r="2768">
      <c r="A2768" s="121">
        <v>53084.0</v>
      </c>
    </row>
    <row r="2769">
      <c r="A2769" s="121">
        <v>53085.0</v>
      </c>
    </row>
    <row r="2770">
      <c r="A2770" s="121">
        <v>53086.0</v>
      </c>
    </row>
    <row r="2771">
      <c r="A2771" s="121">
        <v>53087.0</v>
      </c>
      <c r="B2771" s="122">
        <v>45901.0</v>
      </c>
    </row>
    <row r="2772">
      <c r="A2772" s="121">
        <v>53088.0</v>
      </c>
    </row>
    <row r="2773">
      <c r="A2773" s="121">
        <v>53132.0</v>
      </c>
      <c r="B2773" s="122">
        <v>46021.0</v>
      </c>
    </row>
    <row r="2774">
      <c r="A2774" s="121">
        <v>53133.0</v>
      </c>
      <c r="B2774" s="122">
        <v>45655.0</v>
      </c>
    </row>
    <row r="2775">
      <c r="A2775" s="121">
        <v>53134.0</v>
      </c>
    </row>
    <row r="2776">
      <c r="A2776" s="121">
        <v>53135.0</v>
      </c>
    </row>
    <row r="2777">
      <c r="A2777" s="121">
        <v>53136.0</v>
      </c>
    </row>
    <row r="2778">
      <c r="A2778" s="121">
        <v>53137.0</v>
      </c>
    </row>
    <row r="2779">
      <c r="A2779" s="121">
        <v>53138.0</v>
      </c>
    </row>
    <row r="2780">
      <c r="A2780" s="121">
        <v>53139.0</v>
      </c>
    </row>
    <row r="2781">
      <c r="A2781" s="121">
        <v>53140.0</v>
      </c>
    </row>
    <row r="2782">
      <c r="A2782" s="121">
        <v>53141.0</v>
      </c>
    </row>
    <row r="2783">
      <c r="A2783" s="121">
        <v>53142.0</v>
      </c>
    </row>
    <row r="2784">
      <c r="A2784" s="121">
        <v>53143.0</v>
      </c>
    </row>
    <row r="2785">
      <c r="A2785" s="121">
        <v>53144.0</v>
      </c>
    </row>
    <row r="2786">
      <c r="A2786" s="121">
        <v>53145.0</v>
      </c>
    </row>
    <row r="2787">
      <c r="A2787" s="121">
        <v>53146.0</v>
      </c>
      <c r="B2787" s="122">
        <v>45812.0</v>
      </c>
    </row>
    <row r="2788">
      <c r="A2788" s="121">
        <v>53147.0</v>
      </c>
    </row>
    <row r="2789">
      <c r="A2789" s="121">
        <v>53148.0</v>
      </c>
      <c r="B2789" s="122">
        <v>45467.0</v>
      </c>
    </row>
    <row r="2790">
      <c r="A2790" s="121">
        <v>53149.0</v>
      </c>
    </row>
    <row r="2791">
      <c r="A2791" s="121">
        <v>53150.0</v>
      </c>
    </row>
    <row r="2792">
      <c r="A2792" s="121">
        <v>53151.0</v>
      </c>
    </row>
    <row r="2793">
      <c r="A2793" s="121">
        <v>53152.0</v>
      </c>
    </row>
    <row r="2794">
      <c r="A2794" s="121">
        <v>53153.0</v>
      </c>
    </row>
    <row r="2795">
      <c r="A2795" s="121">
        <v>53154.0</v>
      </c>
    </row>
    <row r="2796">
      <c r="A2796" s="121">
        <v>53155.0</v>
      </c>
    </row>
    <row r="2797">
      <c r="A2797" s="121">
        <v>53156.0</v>
      </c>
    </row>
    <row r="2798">
      <c r="A2798" s="121">
        <v>53157.0</v>
      </c>
      <c r="B2798" s="122">
        <v>45876.0</v>
      </c>
    </row>
    <row r="2799">
      <c r="A2799" s="121">
        <v>53158.0</v>
      </c>
    </row>
    <row r="2800">
      <c r="A2800" s="121">
        <v>53159.0</v>
      </c>
    </row>
    <row r="2801">
      <c r="A2801" s="121">
        <v>53160.0</v>
      </c>
    </row>
    <row r="2802">
      <c r="A2802" s="121">
        <v>53161.0</v>
      </c>
    </row>
    <row r="2803">
      <c r="A2803" s="121">
        <v>53162.0</v>
      </c>
    </row>
    <row r="2804">
      <c r="A2804" s="121">
        <v>53163.0</v>
      </c>
    </row>
    <row r="2805">
      <c r="A2805" s="121">
        <v>53164.0</v>
      </c>
    </row>
    <row r="2806">
      <c r="A2806" s="121">
        <v>53165.0</v>
      </c>
    </row>
    <row r="2807">
      <c r="A2807" s="121">
        <v>53166.0</v>
      </c>
    </row>
    <row r="2808">
      <c r="A2808" s="121">
        <v>53167.0</v>
      </c>
    </row>
    <row r="2809">
      <c r="A2809" s="121">
        <v>53168.0</v>
      </c>
    </row>
    <row r="2810">
      <c r="A2810" s="121">
        <v>53169.0</v>
      </c>
    </row>
    <row r="2811">
      <c r="A2811" s="121">
        <v>53170.0</v>
      </c>
    </row>
    <row r="2812">
      <c r="A2812" s="121">
        <v>53171.0</v>
      </c>
    </row>
    <row r="2813">
      <c r="A2813" s="121">
        <v>53172.0</v>
      </c>
    </row>
    <row r="2814">
      <c r="A2814" s="121">
        <v>53173.0</v>
      </c>
    </row>
    <row r="2815">
      <c r="A2815" s="121">
        <v>53174.0</v>
      </c>
    </row>
    <row r="2816">
      <c r="A2816" s="121">
        <v>53175.0</v>
      </c>
    </row>
    <row r="2817">
      <c r="A2817" s="121">
        <v>53176.0</v>
      </c>
    </row>
    <row r="2818">
      <c r="A2818" s="121">
        <v>53177.0</v>
      </c>
    </row>
    <row r="2819">
      <c r="A2819" s="121">
        <v>53178.0</v>
      </c>
    </row>
    <row r="2820">
      <c r="A2820" s="121">
        <v>53179.0</v>
      </c>
    </row>
    <row r="2821">
      <c r="A2821" s="121">
        <v>53180.0</v>
      </c>
    </row>
    <row r="2822">
      <c r="A2822" s="121">
        <v>53181.0</v>
      </c>
      <c r="B2822" s="122">
        <v>45794.0</v>
      </c>
    </row>
    <row r="2823">
      <c r="A2823" s="121">
        <v>53182.0</v>
      </c>
    </row>
    <row r="2824">
      <c r="A2824" s="121">
        <v>53183.0</v>
      </c>
    </row>
    <row r="2825">
      <c r="A2825" s="121">
        <v>53184.0</v>
      </c>
    </row>
    <row r="2826">
      <c r="A2826" s="121">
        <v>53189.0</v>
      </c>
    </row>
    <row r="2827">
      <c r="A2827" s="121">
        <v>53190.0</v>
      </c>
    </row>
    <row r="2828">
      <c r="A2828" s="121">
        <v>53191.0</v>
      </c>
    </row>
    <row r="2829">
      <c r="A2829" s="121">
        <v>53192.0</v>
      </c>
    </row>
    <row r="2830">
      <c r="A2830" s="121">
        <v>53193.0</v>
      </c>
    </row>
    <row r="2831">
      <c r="A2831" s="121">
        <v>53194.0</v>
      </c>
    </row>
    <row r="2832">
      <c r="A2832" s="121">
        <v>53195.0</v>
      </c>
    </row>
    <row r="2833">
      <c r="A2833" s="121">
        <v>53196.0</v>
      </c>
    </row>
    <row r="2834">
      <c r="A2834" s="121">
        <v>53197.0</v>
      </c>
    </row>
    <row r="2835">
      <c r="A2835" s="121">
        <v>53198.0</v>
      </c>
    </row>
    <row r="2836">
      <c r="A2836" s="121">
        <v>53199.0</v>
      </c>
    </row>
    <row r="2837">
      <c r="A2837" s="121">
        <v>53200.0</v>
      </c>
    </row>
    <row r="2838">
      <c r="A2838" s="121">
        <v>53201.0</v>
      </c>
    </row>
    <row r="2839">
      <c r="A2839" s="121">
        <v>53202.0</v>
      </c>
    </row>
    <row r="2840">
      <c r="A2840" s="121">
        <v>53203.0</v>
      </c>
    </row>
    <row r="2841">
      <c r="A2841" s="121">
        <v>53204.0</v>
      </c>
    </row>
    <row r="2842">
      <c r="A2842" s="121">
        <v>53205.0</v>
      </c>
    </row>
    <row r="2843">
      <c r="A2843" s="121">
        <v>53206.0</v>
      </c>
    </row>
    <row r="2844">
      <c r="A2844" s="121">
        <v>53207.0</v>
      </c>
    </row>
    <row r="2845">
      <c r="A2845" s="121">
        <v>53208.0</v>
      </c>
    </row>
    <row r="2846">
      <c r="A2846" s="121">
        <v>53209.0</v>
      </c>
    </row>
    <row r="2847">
      <c r="A2847" s="121">
        <v>53210.0</v>
      </c>
    </row>
    <row r="2848">
      <c r="A2848" s="121">
        <v>53211.0</v>
      </c>
      <c r="B2848" s="122">
        <v>45811.0</v>
      </c>
    </row>
    <row r="2849">
      <c r="A2849" s="121">
        <v>53212.0</v>
      </c>
    </row>
    <row r="2850">
      <c r="A2850" s="121">
        <v>53213.0</v>
      </c>
    </row>
    <row r="2851">
      <c r="A2851" s="121">
        <v>53214.0</v>
      </c>
    </row>
    <row r="2852">
      <c r="A2852" s="121">
        <v>53215.0</v>
      </c>
    </row>
    <row r="2853">
      <c r="A2853" s="121">
        <v>53216.0</v>
      </c>
    </row>
    <row r="2854">
      <c r="A2854" s="121">
        <v>53217.0</v>
      </c>
      <c r="B2854" s="122">
        <v>45809.0</v>
      </c>
    </row>
    <row r="2855">
      <c r="A2855" s="121">
        <v>53218.0</v>
      </c>
    </row>
    <row r="2856">
      <c r="A2856" s="121">
        <v>53219.0</v>
      </c>
    </row>
    <row r="2857">
      <c r="A2857" s="121">
        <v>53220.0</v>
      </c>
    </row>
    <row r="2858">
      <c r="A2858" s="121">
        <v>53221.0</v>
      </c>
    </row>
    <row r="2859">
      <c r="A2859" s="121">
        <v>53222.0</v>
      </c>
      <c r="B2859" s="122">
        <v>45758.0</v>
      </c>
    </row>
    <row r="2860">
      <c r="A2860" s="121">
        <v>53223.0</v>
      </c>
      <c r="B2860" s="122">
        <v>45726.0</v>
      </c>
    </row>
    <row r="2861">
      <c r="A2861" s="121">
        <v>53224.0</v>
      </c>
    </row>
    <row r="2862">
      <c r="A2862" s="121">
        <v>53225.0</v>
      </c>
    </row>
    <row r="2863">
      <c r="A2863" s="121">
        <v>53226.0</v>
      </c>
    </row>
    <row r="2864">
      <c r="A2864" s="121">
        <v>53227.0</v>
      </c>
    </row>
    <row r="2865">
      <c r="A2865" s="121">
        <v>53228.0</v>
      </c>
    </row>
    <row r="2866">
      <c r="A2866" s="121">
        <v>53229.0</v>
      </c>
    </row>
    <row r="2867">
      <c r="A2867" s="121">
        <v>53230.0</v>
      </c>
    </row>
    <row r="2868">
      <c r="A2868" s="121">
        <v>53231.0</v>
      </c>
    </row>
    <row r="2869">
      <c r="A2869" s="121">
        <v>53232.0</v>
      </c>
    </row>
    <row r="2870">
      <c r="A2870" s="121">
        <v>53233.0</v>
      </c>
    </row>
    <row r="2871">
      <c r="A2871" s="121">
        <v>53234.0</v>
      </c>
    </row>
    <row r="2872">
      <c r="A2872" s="121">
        <v>53242.0</v>
      </c>
    </row>
    <row r="2873">
      <c r="A2873" s="121">
        <v>53243.0</v>
      </c>
    </row>
    <row r="2874">
      <c r="A2874" s="121">
        <v>53244.0</v>
      </c>
    </row>
    <row r="2875">
      <c r="A2875" s="121">
        <v>53245.0</v>
      </c>
      <c r="B2875" s="122">
        <v>45438.0</v>
      </c>
    </row>
    <row r="2876">
      <c r="A2876" s="121">
        <v>53246.0</v>
      </c>
    </row>
    <row r="2877">
      <c r="A2877" s="121">
        <v>53247.0</v>
      </c>
    </row>
    <row r="2878">
      <c r="A2878" s="121">
        <v>53248.0</v>
      </c>
    </row>
    <row r="2879">
      <c r="A2879" s="121">
        <v>53249.0</v>
      </c>
    </row>
    <row r="2880">
      <c r="A2880" s="121">
        <v>53250.0</v>
      </c>
    </row>
    <row r="2881">
      <c r="A2881" s="121">
        <v>53251.0</v>
      </c>
    </row>
    <row r="2882">
      <c r="A2882" s="121">
        <v>53252.0</v>
      </c>
    </row>
    <row r="2883">
      <c r="A2883" s="121">
        <v>53253.0</v>
      </c>
    </row>
    <row r="2884">
      <c r="A2884" s="121">
        <v>53254.0</v>
      </c>
    </row>
    <row r="2885">
      <c r="A2885" s="121">
        <v>53255.0</v>
      </c>
    </row>
    <row r="2886">
      <c r="A2886" s="121">
        <v>53256.0</v>
      </c>
    </row>
    <row r="2887">
      <c r="A2887" s="121">
        <v>53257.0</v>
      </c>
    </row>
    <row r="2888">
      <c r="A2888" s="121">
        <v>53258.0</v>
      </c>
    </row>
    <row r="2889">
      <c r="A2889" s="121">
        <v>53259.0</v>
      </c>
    </row>
    <row r="2890">
      <c r="A2890" s="121">
        <v>53260.0</v>
      </c>
      <c r="B2890" s="122">
        <v>45811.0</v>
      </c>
    </row>
    <row r="2891">
      <c r="A2891" s="121">
        <v>53261.0</v>
      </c>
    </row>
    <row r="2892">
      <c r="A2892" s="121">
        <v>53262.0</v>
      </c>
    </row>
    <row r="2893">
      <c r="A2893" s="121">
        <v>53263.0</v>
      </c>
    </row>
    <row r="2894">
      <c r="A2894" s="121">
        <v>53264.0</v>
      </c>
    </row>
    <row r="2895">
      <c r="A2895" s="121">
        <v>53265.0</v>
      </c>
    </row>
    <row r="2896">
      <c r="A2896" s="121">
        <v>53266.0</v>
      </c>
    </row>
    <row r="2897">
      <c r="A2897" s="121">
        <v>53267.0</v>
      </c>
    </row>
    <row r="2898">
      <c r="A2898" s="121">
        <v>53268.0</v>
      </c>
    </row>
    <row r="2899">
      <c r="A2899" s="121">
        <v>53269.0</v>
      </c>
    </row>
    <row r="2900">
      <c r="A2900" s="121">
        <v>53270.0</v>
      </c>
      <c r="B2900" s="122">
        <v>44783.0</v>
      </c>
    </row>
    <row r="2901">
      <c r="A2901" s="121">
        <v>53271.0</v>
      </c>
      <c r="B2901" s="122">
        <v>45470.0</v>
      </c>
    </row>
    <row r="2902">
      <c r="A2902" s="121">
        <v>53272.0</v>
      </c>
    </row>
    <row r="2903">
      <c r="A2903" s="121">
        <v>53273.0</v>
      </c>
    </row>
    <row r="2904">
      <c r="A2904" s="121">
        <v>53274.0</v>
      </c>
    </row>
    <row r="2905">
      <c r="A2905" s="121">
        <v>53275.0</v>
      </c>
    </row>
    <row r="2906">
      <c r="A2906" s="121">
        <v>53276.0</v>
      </c>
    </row>
    <row r="2907">
      <c r="A2907" s="121">
        <v>53277.0</v>
      </c>
    </row>
    <row r="2908">
      <c r="A2908" s="121">
        <v>53278.0</v>
      </c>
    </row>
    <row r="2909">
      <c r="A2909" s="121">
        <v>53279.0</v>
      </c>
      <c r="B2909" s="122">
        <v>44773.0</v>
      </c>
    </row>
    <row r="2910">
      <c r="A2910" s="121">
        <v>53280.0</v>
      </c>
    </row>
    <row r="2911">
      <c r="A2911" s="121">
        <v>53281.0</v>
      </c>
      <c r="B2911" s="122">
        <v>45652.0</v>
      </c>
    </row>
    <row r="2912">
      <c r="A2912" s="121">
        <v>53282.0</v>
      </c>
    </row>
    <row r="2913">
      <c r="A2913" s="121">
        <v>53283.0</v>
      </c>
    </row>
    <row r="2914">
      <c r="A2914" s="121">
        <v>53284.0</v>
      </c>
      <c r="B2914" s="122">
        <v>45654.0</v>
      </c>
    </row>
    <row r="2915">
      <c r="A2915" s="121">
        <v>53285.0</v>
      </c>
    </row>
    <row r="2916">
      <c r="A2916" s="121">
        <v>53286.0</v>
      </c>
    </row>
    <row r="2917">
      <c r="A2917" s="121">
        <v>53287.0</v>
      </c>
    </row>
    <row r="2918">
      <c r="A2918" s="121">
        <v>53288.0</v>
      </c>
    </row>
    <row r="2919">
      <c r="A2919" s="121">
        <v>53289.0</v>
      </c>
    </row>
    <row r="2920">
      <c r="A2920" s="121">
        <v>53290.0</v>
      </c>
    </row>
    <row r="2921">
      <c r="A2921" s="121">
        <v>53291.0</v>
      </c>
    </row>
    <row r="2922">
      <c r="A2922" s="121">
        <v>53292.0</v>
      </c>
    </row>
    <row r="2923">
      <c r="A2923" s="121">
        <v>53293.0</v>
      </c>
    </row>
    <row r="2924">
      <c r="A2924" s="121">
        <v>53294.0</v>
      </c>
    </row>
    <row r="2925">
      <c r="A2925" s="121">
        <v>53388.0</v>
      </c>
    </row>
    <row r="2926">
      <c r="A2926" s="121">
        <v>53389.0</v>
      </c>
    </row>
    <row r="2927">
      <c r="A2927" s="121">
        <v>53390.0</v>
      </c>
    </row>
    <row r="2928">
      <c r="A2928" s="121">
        <v>53391.0</v>
      </c>
    </row>
    <row r="2929">
      <c r="A2929" s="121">
        <v>53392.0</v>
      </c>
    </row>
    <row r="2930">
      <c r="A2930" s="121">
        <v>53393.0</v>
      </c>
    </row>
    <row r="2931">
      <c r="A2931" s="121">
        <v>53394.0</v>
      </c>
    </row>
    <row r="2932">
      <c r="A2932" s="121">
        <v>53395.0</v>
      </c>
    </row>
    <row r="2933">
      <c r="A2933" s="121">
        <v>53396.0</v>
      </c>
    </row>
    <row r="2934">
      <c r="A2934" s="121">
        <v>53397.0</v>
      </c>
    </row>
    <row r="2935">
      <c r="A2935" s="121">
        <v>53398.0</v>
      </c>
    </row>
    <row r="2936">
      <c r="A2936" s="121">
        <v>53399.0</v>
      </c>
    </row>
    <row r="2937">
      <c r="A2937" s="121">
        <v>53400.0</v>
      </c>
    </row>
    <row r="2938">
      <c r="A2938" s="121">
        <v>53401.0</v>
      </c>
    </row>
    <row r="2939">
      <c r="A2939" s="121">
        <v>53402.0</v>
      </c>
    </row>
    <row r="2940">
      <c r="A2940" s="121">
        <v>53403.0</v>
      </c>
    </row>
    <row r="2941">
      <c r="A2941" s="121">
        <v>53404.0</v>
      </c>
    </row>
    <row r="2942">
      <c r="A2942" s="121">
        <v>53405.0</v>
      </c>
    </row>
    <row r="2943">
      <c r="A2943" s="121">
        <v>53406.0</v>
      </c>
    </row>
    <row r="2944">
      <c r="A2944" s="121">
        <v>53407.0</v>
      </c>
      <c r="B2944" s="122">
        <v>45972.0</v>
      </c>
    </row>
    <row r="2945">
      <c r="A2945" s="121">
        <v>53408.0</v>
      </c>
    </row>
    <row r="2946">
      <c r="A2946" s="121">
        <v>53409.0</v>
      </c>
    </row>
    <row r="2947">
      <c r="A2947" s="121">
        <v>53410.0</v>
      </c>
    </row>
    <row r="2948">
      <c r="A2948" s="121">
        <v>53411.0</v>
      </c>
    </row>
    <row r="2949">
      <c r="A2949" s="121">
        <v>53412.0</v>
      </c>
    </row>
    <row r="2950">
      <c r="A2950" s="121">
        <v>53413.0</v>
      </c>
    </row>
    <row r="2951">
      <c r="A2951" s="121">
        <v>53414.0</v>
      </c>
    </row>
    <row r="2952">
      <c r="A2952" s="121">
        <v>53415.0</v>
      </c>
    </row>
    <row r="2953">
      <c r="A2953" s="121">
        <v>53416.0</v>
      </c>
    </row>
    <row r="2954">
      <c r="A2954" s="121">
        <v>53417.0</v>
      </c>
    </row>
    <row r="2955">
      <c r="A2955" s="121">
        <v>53418.0</v>
      </c>
    </row>
    <row r="2956">
      <c r="A2956" s="121">
        <v>53419.0</v>
      </c>
    </row>
    <row r="2957">
      <c r="A2957" s="121">
        <v>53420.0</v>
      </c>
    </row>
    <row r="2958">
      <c r="A2958" s="121">
        <v>53421.0</v>
      </c>
    </row>
    <row r="2959">
      <c r="A2959" s="121">
        <v>53422.0</v>
      </c>
    </row>
    <row r="2960">
      <c r="A2960" s="121">
        <v>53423.0</v>
      </c>
    </row>
    <row r="2961">
      <c r="A2961" s="121">
        <v>53424.0</v>
      </c>
    </row>
    <row r="2962">
      <c r="A2962" s="121">
        <v>53425.0</v>
      </c>
    </row>
    <row r="2963">
      <c r="A2963" s="121">
        <v>53426.0</v>
      </c>
    </row>
    <row r="2964">
      <c r="A2964" s="121">
        <v>53427.0</v>
      </c>
      <c r="B2964" s="122">
        <v>45730.0</v>
      </c>
    </row>
    <row r="2965">
      <c r="A2965" s="121">
        <v>53428.0</v>
      </c>
      <c r="B2965" s="122">
        <v>45654.0</v>
      </c>
    </row>
    <row r="2966">
      <c r="A2966" s="121">
        <v>53429.0</v>
      </c>
    </row>
    <row r="2967">
      <c r="A2967" s="121">
        <v>53430.0</v>
      </c>
    </row>
    <row r="2968">
      <c r="A2968" s="121">
        <v>53431.0</v>
      </c>
    </row>
    <row r="2969">
      <c r="A2969" s="121">
        <v>53432.0</v>
      </c>
    </row>
    <row r="2970">
      <c r="A2970" s="121">
        <v>53433.0</v>
      </c>
    </row>
    <row r="2971">
      <c r="A2971" s="121">
        <v>53434.0</v>
      </c>
    </row>
    <row r="2972">
      <c r="A2972" s="121">
        <v>53435.0</v>
      </c>
    </row>
    <row r="2973">
      <c r="A2973" s="121">
        <v>53436.0</v>
      </c>
    </row>
    <row r="2974">
      <c r="A2974" s="121">
        <v>53437.0</v>
      </c>
      <c r="B2974" s="122">
        <v>44790.0</v>
      </c>
    </row>
    <row r="2975">
      <c r="A2975" s="121">
        <v>53438.0</v>
      </c>
    </row>
    <row r="2976">
      <c r="A2976" s="121">
        <v>53439.0</v>
      </c>
    </row>
    <row r="2977">
      <c r="A2977" s="121">
        <v>53465.0</v>
      </c>
    </row>
    <row r="2978">
      <c r="A2978" s="121">
        <v>53466.0</v>
      </c>
    </row>
    <row r="2979">
      <c r="A2979" s="121">
        <v>53467.0</v>
      </c>
    </row>
    <row r="2980">
      <c r="A2980" s="121">
        <v>53468.0</v>
      </c>
    </row>
    <row r="2981">
      <c r="A2981" s="121">
        <v>53469.0</v>
      </c>
    </row>
    <row r="2982">
      <c r="A2982" s="121">
        <v>53470.0</v>
      </c>
    </row>
    <row r="2983">
      <c r="A2983" s="121">
        <v>53471.0</v>
      </c>
    </row>
    <row r="2984">
      <c r="A2984" s="121">
        <v>53472.0</v>
      </c>
    </row>
    <row r="2985">
      <c r="A2985" s="121">
        <v>53473.0</v>
      </c>
    </row>
    <row r="2986">
      <c r="A2986" s="121">
        <v>53474.0</v>
      </c>
    </row>
    <row r="2987">
      <c r="A2987" s="121">
        <v>53475.0</v>
      </c>
    </row>
    <row r="2988">
      <c r="A2988" s="121">
        <v>53476.0</v>
      </c>
    </row>
    <row r="2989">
      <c r="A2989" s="121">
        <v>53477.0</v>
      </c>
    </row>
    <row r="2990">
      <c r="A2990" s="121">
        <v>53478.0</v>
      </c>
    </row>
    <row r="2991">
      <c r="A2991" s="121">
        <v>53479.0</v>
      </c>
    </row>
    <row r="2992">
      <c r="A2992" s="121">
        <v>53480.0</v>
      </c>
    </row>
    <row r="2993">
      <c r="A2993" s="121">
        <v>53481.0</v>
      </c>
    </row>
    <row r="2994">
      <c r="A2994" s="121">
        <v>53482.0</v>
      </c>
    </row>
    <row r="2995">
      <c r="A2995" s="121">
        <v>53483.0</v>
      </c>
      <c r="B2995" s="122">
        <v>45936.0</v>
      </c>
    </row>
    <row r="2996">
      <c r="A2996" s="121">
        <v>53484.0</v>
      </c>
    </row>
    <row r="2997">
      <c r="A2997" s="121">
        <v>53485.0</v>
      </c>
    </row>
    <row r="2998">
      <c r="A2998" s="121">
        <v>53486.0</v>
      </c>
    </row>
    <row r="2999">
      <c r="A2999" s="121">
        <v>53487.0</v>
      </c>
    </row>
    <row r="3000">
      <c r="A3000" s="121">
        <v>53488.0</v>
      </c>
    </row>
    <row r="3001">
      <c r="A3001" s="121">
        <v>53489.0</v>
      </c>
    </row>
    <row r="3002">
      <c r="A3002" s="121">
        <v>53490.0</v>
      </c>
    </row>
    <row r="3003">
      <c r="A3003" s="121">
        <v>53491.0</v>
      </c>
    </row>
    <row r="3004">
      <c r="A3004" s="121">
        <v>53492.0</v>
      </c>
    </row>
    <row r="3005">
      <c r="A3005" s="121">
        <v>53493.0</v>
      </c>
    </row>
    <row r="3006">
      <c r="A3006" s="121">
        <v>53494.0</v>
      </c>
    </row>
    <row r="3007">
      <c r="A3007" s="121">
        <v>53495.0</v>
      </c>
    </row>
    <row r="3008">
      <c r="A3008" s="121">
        <v>53496.0</v>
      </c>
    </row>
    <row r="3009">
      <c r="A3009" s="121">
        <v>53497.0</v>
      </c>
    </row>
    <row r="3010">
      <c r="A3010" s="121">
        <v>53498.0</v>
      </c>
    </row>
    <row r="3011">
      <c r="A3011" s="121">
        <v>53499.0</v>
      </c>
    </row>
    <row r="3012">
      <c r="A3012" s="121">
        <v>53500.0</v>
      </c>
    </row>
    <row r="3013">
      <c r="A3013" s="121">
        <v>53501.0</v>
      </c>
    </row>
    <row r="3014">
      <c r="A3014" s="121">
        <v>53502.0</v>
      </c>
    </row>
    <row r="3015">
      <c r="A3015" s="121">
        <v>53503.0</v>
      </c>
    </row>
    <row r="3016">
      <c r="A3016" s="121">
        <v>53504.0</v>
      </c>
    </row>
    <row r="3017">
      <c r="A3017" s="121">
        <v>53505.0</v>
      </c>
    </row>
    <row r="3018">
      <c r="A3018" s="121">
        <v>53506.0</v>
      </c>
    </row>
    <row r="3019">
      <c r="A3019" s="121">
        <v>53507.0</v>
      </c>
      <c r="B3019" s="122">
        <v>45799.0</v>
      </c>
    </row>
    <row r="3020">
      <c r="A3020" s="121">
        <v>53508.0</v>
      </c>
    </row>
    <row r="3021">
      <c r="A3021" s="121">
        <v>53509.0</v>
      </c>
    </row>
    <row r="3022">
      <c r="A3022" s="121">
        <v>53510.0</v>
      </c>
      <c r="B3022" s="122">
        <v>45761.0</v>
      </c>
    </row>
    <row r="3023">
      <c r="A3023" s="121">
        <v>53527.0</v>
      </c>
      <c r="B3023" s="122">
        <v>46003.0</v>
      </c>
    </row>
    <row r="3024">
      <c r="A3024" s="121">
        <v>53528.0</v>
      </c>
    </row>
    <row r="3025">
      <c r="A3025" s="121">
        <v>53529.0</v>
      </c>
    </row>
    <row r="3026">
      <c r="A3026" s="121">
        <v>53530.0</v>
      </c>
    </row>
    <row r="3027">
      <c r="A3027" s="121">
        <v>53531.0</v>
      </c>
    </row>
    <row r="3028">
      <c r="A3028" s="121">
        <v>53532.0</v>
      </c>
    </row>
    <row r="3029">
      <c r="A3029" s="121">
        <v>53533.0</v>
      </c>
    </row>
    <row r="3030">
      <c r="A3030" s="121">
        <v>53534.0</v>
      </c>
      <c r="B3030" s="122">
        <v>45670.0</v>
      </c>
    </row>
    <row r="3031">
      <c r="A3031" s="121">
        <v>53535.0</v>
      </c>
    </row>
    <row r="3032">
      <c r="A3032" s="121">
        <v>53536.0</v>
      </c>
    </row>
    <row r="3033">
      <c r="A3033" s="121">
        <v>53537.0</v>
      </c>
    </row>
    <row r="3034">
      <c r="A3034" s="121">
        <v>53538.0</v>
      </c>
    </row>
    <row r="3035">
      <c r="A3035" s="121">
        <v>53539.0</v>
      </c>
    </row>
    <row r="3036">
      <c r="A3036" s="121">
        <v>53540.0</v>
      </c>
    </row>
    <row r="3037">
      <c r="A3037" s="121">
        <v>53541.0</v>
      </c>
    </row>
    <row r="3038">
      <c r="A3038" s="121">
        <v>53542.0</v>
      </c>
    </row>
    <row r="3039">
      <c r="A3039" s="121">
        <v>53543.0</v>
      </c>
    </row>
    <row r="3040">
      <c r="A3040" s="121">
        <v>53544.0</v>
      </c>
    </row>
    <row r="3041">
      <c r="A3041" s="121">
        <v>53545.0</v>
      </c>
    </row>
    <row r="3042">
      <c r="A3042" s="121">
        <v>53546.0</v>
      </c>
    </row>
    <row r="3043">
      <c r="A3043" s="121">
        <v>53547.0</v>
      </c>
    </row>
    <row r="3044">
      <c r="A3044" s="121">
        <v>53548.0</v>
      </c>
    </row>
    <row r="3045">
      <c r="A3045" s="121">
        <v>53549.0</v>
      </c>
      <c r="B3045" s="122">
        <v>45531.0</v>
      </c>
    </row>
    <row r="3046">
      <c r="A3046" s="121">
        <v>53550.0</v>
      </c>
    </row>
    <row r="3047">
      <c r="A3047" s="121">
        <v>53551.0</v>
      </c>
    </row>
    <row r="3048">
      <c r="A3048" s="121">
        <v>53552.0</v>
      </c>
    </row>
    <row r="3049">
      <c r="A3049" s="121">
        <v>53553.0</v>
      </c>
    </row>
    <row r="3050">
      <c r="A3050" s="121">
        <v>53554.0</v>
      </c>
    </row>
    <row r="3051">
      <c r="A3051" s="121">
        <v>53555.0</v>
      </c>
    </row>
    <row r="3052">
      <c r="A3052" s="121">
        <v>53556.0</v>
      </c>
    </row>
    <row r="3053">
      <c r="A3053" s="121">
        <v>53557.0</v>
      </c>
    </row>
    <row r="3054">
      <c r="A3054" s="121">
        <v>53558.0</v>
      </c>
    </row>
    <row r="3055">
      <c r="A3055" s="121">
        <v>53559.0</v>
      </c>
    </row>
    <row r="3056">
      <c r="A3056" s="121">
        <v>53560.0</v>
      </c>
    </row>
    <row r="3057">
      <c r="A3057" s="121">
        <v>53561.0</v>
      </c>
    </row>
    <row r="3058">
      <c r="A3058" s="121">
        <v>53562.0</v>
      </c>
    </row>
    <row r="3059">
      <c r="A3059" s="121">
        <v>53563.0</v>
      </c>
    </row>
    <row r="3060">
      <c r="A3060" s="121">
        <v>53564.0</v>
      </c>
    </row>
    <row r="3061">
      <c r="A3061" s="121">
        <v>53565.0</v>
      </c>
    </row>
    <row r="3062">
      <c r="A3062" s="121">
        <v>53566.0</v>
      </c>
    </row>
    <row r="3063">
      <c r="A3063" s="121">
        <v>53567.0</v>
      </c>
    </row>
    <row r="3064">
      <c r="A3064" s="121">
        <v>53568.0</v>
      </c>
    </row>
    <row r="3065">
      <c r="A3065" s="121">
        <v>53569.0</v>
      </c>
    </row>
    <row r="3066">
      <c r="A3066" s="121">
        <v>53570.0</v>
      </c>
    </row>
    <row r="3067">
      <c r="A3067" s="121">
        <v>53571.0</v>
      </c>
    </row>
    <row r="3068">
      <c r="A3068" s="121">
        <v>53572.0</v>
      </c>
    </row>
    <row r="3069">
      <c r="A3069" s="121">
        <v>53573.0</v>
      </c>
      <c r="B3069" s="122">
        <v>45961.0</v>
      </c>
    </row>
    <row r="3070">
      <c r="A3070" s="121">
        <v>53574.0</v>
      </c>
    </row>
    <row r="3071">
      <c r="A3071" s="121">
        <v>53575.0</v>
      </c>
    </row>
    <row r="3072">
      <c r="A3072" s="121">
        <v>53576.0</v>
      </c>
    </row>
    <row r="3073">
      <c r="A3073" s="121">
        <v>53577.0</v>
      </c>
    </row>
    <row r="3074">
      <c r="A3074" s="121">
        <v>53578.0</v>
      </c>
    </row>
    <row r="3075">
      <c r="A3075" s="121">
        <v>53579.0</v>
      </c>
    </row>
    <row r="3076">
      <c r="A3076" s="121">
        <v>53588.0</v>
      </c>
    </row>
    <row r="3077">
      <c r="A3077" s="121">
        <v>53589.0</v>
      </c>
    </row>
    <row r="3078">
      <c r="A3078" s="121">
        <v>53590.0</v>
      </c>
    </row>
    <row r="3079">
      <c r="A3079" s="121">
        <v>53591.0</v>
      </c>
    </row>
    <row r="3080">
      <c r="A3080" s="121">
        <v>53592.0</v>
      </c>
    </row>
    <row r="3081">
      <c r="A3081" s="121">
        <v>53593.0</v>
      </c>
      <c r="B3081" s="122">
        <v>45847.0</v>
      </c>
    </row>
    <row r="3082">
      <c r="A3082" s="121">
        <v>53594.0</v>
      </c>
    </row>
    <row r="3083">
      <c r="A3083" s="121">
        <v>53595.0</v>
      </c>
    </row>
    <row r="3084">
      <c r="A3084" s="121">
        <v>53596.0</v>
      </c>
      <c r="B3084" s="122">
        <v>45821.0</v>
      </c>
    </row>
    <row r="3085">
      <c r="A3085" s="121">
        <v>53597.0</v>
      </c>
      <c r="B3085" s="122">
        <v>45606.0</v>
      </c>
    </row>
    <row r="3086">
      <c r="A3086" s="121">
        <v>53598.0</v>
      </c>
    </row>
    <row r="3087">
      <c r="A3087" s="121">
        <v>53599.0</v>
      </c>
      <c r="B3087" s="122">
        <v>44891.0</v>
      </c>
    </row>
    <row r="3088">
      <c r="A3088" s="121">
        <v>53600.0</v>
      </c>
    </row>
    <row r="3089">
      <c r="A3089" s="121">
        <v>53601.0</v>
      </c>
    </row>
    <row r="3090">
      <c r="A3090" s="121">
        <v>53602.0</v>
      </c>
    </row>
    <row r="3091">
      <c r="A3091" s="121">
        <v>53603.0</v>
      </c>
    </row>
    <row r="3092">
      <c r="A3092" s="121">
        <v>53604.0</v>
      </c>
    </row>
    <row r="3093">
      <c r="A3093" s="121">
        <v>53605.0</v>
      </c>
    </row>
    <row r="3094">
      <c r="A3094" s="121">
        <v>53606.0</v>
      </c>
    </row>
    <row r="3095">
      <c r="A3095" s="121">
        <v>53607.0</v>
      </c>
    </row>
    <row r="3096">
      <c r="A3096" s="121">
        <v>53608.0</v>
      </c>
    </row>
    <row r="3097">
      <c r="A3097" s="121">
        <v>53609.0</v>
      </c>
    </row>
    <row r="3098">
      <c r="A3098" s="121">
        <v>53610.0</v>
      </c>
    </row>
    <row r="3099">
      <c r="A3099" s="121">
        <v>53611.0</v>
      </c>
      <c r="B3099" s="122">
        <v>45884.0</v>
      </c>
    </row>
    <row r="3100">
      <c r="A3100" s="121">
        <v>53612.0</v>
      </c>
    </row>
    <row r="3101">
      <c r="A3101" s="121">
        <v>53613.0</v>
      </c>
    </row>
    <row r="3102">
      <c r="A3102" s="121">
        <v>53614.0</v>
      </c>
      <c r="B3102" s="122">
        <v>44819.0</v>
      </c>
    </row>
    <row r="3103">
      <c r="A3103" s="121">
        <v>53615.0</v>
      </c>
      <c r="B3103" s="122">
        <v>44818.0</v>
      </c>
    </row>
    <row r="3104">
      <c r="A3104" s="121">
        <v>53616.0</v>
      </c>
    </row>
    <row r="3105">
      <c r="A3105" s="121">
        <v>53617.0</v>
      </c>
      <c r="B3105" s="122">
        <v>45665.0</v>
      </c>
    </row>
    <row r="3106">
      <c r="A3106" s="121">
        <v>53618.0</v>
      </c>
      <c r="B3106" s="122">
        <v>45761.0</v>
      </c>
    </row>
    <row r="3107">
      <c r="A3107" s="121">
        <v>53619.0</v>
      </c>
    </row>
    <row r="3108">
      <c r="A3108" s="121">
        <v>53620.0</v>
      </c>
    </row>
    <row r="3109">
      <c r="A3109" s="121">
        <v>53621.0</v>
      </c>
    </row>
    <row r="3110">
      <c r="A3110" s="121">
        <v>53622.0</v>
      </c>
    </row>
    <row r="3111">
      <c r="A3111" s="121">
        <v>53623.0</v>
      </c>
    </row>
    <row r="3112">
      <c r="A3112" s="121">
        <v>53624.0</v>
      </c>
    </row>
    <row r="3113">
      <c r="A3113" s="121">
        <v>53625.0</v>
      </c>
      <c r="B3113" s="122">
        <v>45657.0</v>
      </c>
    </row>
    <row r="3114">
      <c r="A3114" s="121">
        <v>53626.0</v>
      </c>
    </row>
    <row r="3115">
      <c r="A3115" s="121">
        <v>53627.0</v>
      </c>
    </row>
    <row r="3116">
      <c r="A3116" s="121">
        <v>53628.0</v>
      </c>
    </row>
    <row r="3117">
      <c r="A3117" s="121">
        <v>53629.0</v>
      </c>
    </row>
    <row r="3118">
      <c r="A3118" s="121">
        <v>53630.0</v>
      </c>
    </row>
    <row r="3119">
      <c r="A3119" s="121">
        <v>53631.0</v>
      </c>
    </row>
    <row r="3120">
      <c r="A3120" s="121">
        <v>53632.0</v>
      </c>
    </row>
    <row r="3121">
      <c r="A3121" s="121">
        <v>53633.0</v>
      </c>
    </row>
    <row r="3122">
      <c r="A3122" s="121">
        <v>53634.0</v>
      </c>
    </row>
    <row r="3123">
      <c r="A3123" s="121">
        <v>53635.0</v>
      </c>
      <c r="B3123" s="122">
        <v>46056.0</v>
      </c>
    </row>
    <row r="3124">
      <c r="A3124" s="121">
        <v>53636.0</v>
      </c>
    </row>
    <row r="3125">
      <c r="A3125" s="121">
        <v>53637.0</v>
      </c>
    </row>
    <row r="3126">
      <c r="A3126" s="121">
        <v>53638.0</v>
      </c>
    </row>
    <row r="3127">
      <c r="A3127" s="121">
        <v>53639.0</v>
      </c>
    </row>
    <row r="3128">
      <c r="A3128" s="121">
        <v>53640.0</v>
      </c>
    </row>
    <row r="3129">
      <c r="A3129" s="121">
        <v>53641.0</v>
      </c>
    </row>
    <row r="3130">
      <c r="A3130" s="121">
        <v>53648.0</v>
      </c>
    </row>
    <row r="3131">
      <c r="A3131" s="121">
        <v>53649.0</v>
      </c>
    </row>
    <row r="3132">
      <c r="A3132" s="121">
        <v>53650.0</v>
      </c>
    </row>
    <row r="3133">
      <c r="A3133" s="121">
        <v>53651.0</v>
      </c>
    </row>
    <row r="3134">
      <c r="A3134" s="121">
        <v>53652.0</v>
      </c>
    </row>
    <row r="3135">
      <c r="A3135" s="121">
        <v>53653.0</v>
      </c>
    </row>
    <row r="3136">
      <c r="A3136" s="121">
        <v>53654.0</v>
      </c>
    </row>
    <row r="3137">
      <c r="A3137" s="121">
        <v>53655.0</v>
      </c>
    </row>
    <row r="3138">
      <c r="A3138" s="121">
        <v>53656.0</v>
      </c>
    </row>
    <row r="3139">
      <c r="A3139" s="121">
        <v>53657.0</v>
      </c>
    </row>
    <row r="3140">
      <c r="A3140" s="121">
        <v>53658.0</v>
      </c>
    </row>
    <row r="3141">
      <c r="A3141" s="121">
        <v>53659.0</v>
      </c>
    </row>
    <row r="3142">
      <c r="A3142" s="121">
        <v>53660.0</v>
      </c>
    </row>
    <row r="3143">
      <c r="A3143" s="121">
        <v>53661.0</v>
      </c>
    </row>
    <row r="3144">
      <c r="A3144" s="121">
        <v>53662.0</v>
      </c>
    </row>
    <row r="3145">
      <c r="A3145" s="121">
        <v>53663.0</v>
      </c>
    </row>
    <row r="3146">
      <c r="A3146" s="121">
        <v>53664.0</v>
      </c>
    </row>
    <row r="3147">
      <c r="A3147" s="121">
        <v>53665.0</v>
      </c>
    </row>
    <row r="3148">
      <c r="A3148" s="121">
        <v>53666.0</v>
      </c>
      <c r="B3148" s="122">
        <v>45778.0</v>
      </c>
    </row>
    <row r="3149">
      <c r="A3149" s="121">
        <v>53667.0</v>
      </c>
    </row>
    <row r="3150">
      <c r="A3150" s="121">
        <v>53668.0</v>
      </c>
    </row>
    <row r="3151">
      <c r="A3151" s="121">
        <v>53669.0</v>
      </c>
    </row>
    <row r="3152">
      <c r="A3152" s="121">
        <v>53670.0</v>
      </c>
    </row>
    <row r="3153">
      <c r="A3153" s="121">
        <v>53671.0</v>
      </c>
    </row>
    <row r="3154">
      <c r="A3154" s="121">
        <v>53672.0</v>
      </c>
    </row>
    <row r="3155">
      <c r="A3155" s="121">
        <v>53673.0</v>
      </c>
    </row>
    <row r="3156">
      <c r="A3156" s="121">
        <v>53674.0</v>
      </c>
    </row>
    <row r="3157">
      <c r="A3157" s="121">
        <v>53675.0</v>
      </c>
    </row>
    <row r="3158">
      <c r="A3158" s="121">
        <v>53676.0</v>
      </c>
    </row>
    <row r="3159">
      <c r="A3159" s="121">
        <v>53677.0</v>
      </c>
    </row>
    <row r="3160">
      <c r="A3160" s="121">
        <v>53678.0</v>
      </c>
      <c r="B3160" s="122">
        <v>45785.0</v>
      </c>
    </row>
    <row r="3161">
      <c r="A3161" s="121">
        <v>53679.0</v>
      </c>
    </row>
    <row r="3162">
      <c r="A3162" s="121">
        <v>53680.0</v>
      </c>
    </row>
    <row r="3163">
      <c r="A3163" s="121">
        <v>53681.0</v>
      </c>
    </row>
    <row r="3164">
      <c r="A3164" s="121">
        <v>53682.0</v>
      </c>
    </row>
    <row r="3165">
      <c r="A3165" s="121">
        <v>53683.0</v>
      </c>
    </row>
    <row r="3166">
      <c r="A3166" s="121">
        <v>53684.0</v>
      </c>
    </row>
    <row r="3167">
      <c r="A3167" s="121">
        <v>53685.0</v>
      </c>
    </row>
    <row r="3168">
      <c r="A3168" s="121">
        <v>53686.0</v>
      </c>
    </row>
    <row r="3169">
      <c r="A3169" s="121">
        <v>53687.0</v>
      </c>
    </row>
    <row r="3170">
      <c r="A3170" s="121">
        <v>53688.0</v>
      </c>
    </row>
    <row r="3171">
      <c r="A3171" s="121">
        <v>53689.0</v>
      </c>
      <c r="B3171" s="122">
        <v>45770.0</v>
      </c>
    </row>
    <row r="3172">
      <c r="A3172" s="121">
        <v>53690.0</v>
      </c>
    </row>
    <row r="3173">
      <c r="A3173" s="121">
        <v>53691.0</v>
      </c>
    </row>
    <row r="3174">
      <c r="A3174" s="121">
        <v>53692.0</v>
      </c>
    </row>
    <row r="3175">
      <c r="A3175" s="121">
        <v>53693.0</v>
      </c>
    </row>
    <row r="3176">
      <c r="A3176" s="121">
        <v>53700.0</v>
      </c>
    </row>
    <row r="3177">
      <c r="A3177" s="121">
        <v>53701.0</v>
      </c>
    </row>
    <row r="3178">
      <c r="A3178" s="121">
        <v>53702.0</v>
      </c>
    </row>
    <row r="3179">
      <c r="A3179" s="121">
        <v>53703.0</v>
      </c>
    </row>
    <row r="3180">
      <c r="A3180" s="121">
        <v>53704.0</v>
      </c>
    </row>
    <row r="3181">
      <c r="A3181" s="121">
        <v>53705.0</v>
      </c>
    </row>
    <row r="3182">
      <c r="A3182" s="121">
        <v>53706.0</v>
      </c>
    </row>
    <row r="3183">
      <c r="A3183" s="121">
        <v>53707.0</v>
      </c>
    </row>
    <row r="3184">
      <c r="A3184" s="121">
        <v>53708.0</v>
      </c>
    </row>
    <row r="3185">
      <c r="A3185" s="121">
        <v>53709.0</v>
      </c>
    </row>
    <row r="3186">
      <c r="A3186" s="121">
        <v>53710.0</v>
      </c>
      <c r="B3186" s="122">
        <v>44858.0</v>
      </c>
    </row>
    <row r="3187">
      <c r="A3187" s="121">
        <v>53711.0</v>
      </c>
    </row>
    <row r="3188">
      <c r="A3188" s="121">
        <v>53712.0</v>
      </c>
    </row>
    <row r="3189">
      <c r="A3189" s="121">
        <v>53713.0</v>
      </c>
      <c r="B3189" s="122">
        <v>45899.0</v>
      </c>
    </row>
    <row r="3190">
      <c r="A3190" s="121">
        <v>53714.0</v>
      </c>
      <c r="B3190" s="122">
        <v>45658.0</v>
      </c>
    </row>
    <row r="3191">
      <c r="A3191" s="121">
        <v>53715.0</v>
      </c>
    </row>
    <row r="3192">
      <c r="A3192" s="121">
        <v>53716.0</v>
      </c>
    </row>
    <row r="3193">
      <c r="A3193" s="121">
        <v>53717.0</v>
      </c>
      <c r="B3193" s="122">
        <v>44858.0</v>
      </c>
    </row>
    <row r="3194">
      <c r="A3194" s="121">
        <v>53718.0</v>
      </c>
    </row>
    <row r="3195">
      <c r="A3195" s="121">
        <v>53719.0</v>
      </c>
    </row>
    <row r="3196">
      <c r="A3196" s="121">
        <v>53720.0</v>
      </c>
    </row>
    <row r="3197">
      <c r="A3197" s="121">
        <v>53721.0</v>
      </c>
    </row>
    <row r="3198">
      <c r="A3198" s="121">
        <v>53722.0</v>
      </c>
    </row>
    <row r="3199">
      <c r="A3199" s="121">
        <v>53723.0</v>
      </c>
    </row>
    <row r="3200">
      <c r="A3200" s="121">
        <v>53724.0</v>
      </c>
    </row>
    <row r="3201">
      <c r="A3201" s="121">
        <v>53725.0</v>
      </c>
      <c r="B3201" s="122">
        <v>44864.0</v>
      </c>
    </row>
    <row r="3202">
      <c r="A3202" s="121">
        <v>53726.0</v>
      </c>
    </row>
    <row r="3203">
      <c r="A3203" s="121">
        <v>53727.0</v>
      </c>
    </row>
    <row r="3204">
      <c r="A3204" s="121">
        <v>53728.0</v>
      </c>
    </row>
    <row r="3205">
      <c r="A3205" s="121">
        <v>53729.0</v>
      </c>
    </row>
    <row r="3206">
      <c r="A3206" s="121">
        <v>53730.0</v>
      </c>
    </row>
    <row r="3207">
      <c r="A3207" s="121">
        <v>53731.0</v>
      </c>
    </row>
    <row r="3208">
      <c r="A3208" s="121">
        <v>53732.0</v>
      </c>
    </row>
    <row r="3209">
      <c r="A3209" s="121">
        <v>53733.0</v>
      </c>
    </row>
    <row r="3210">
      <c r="A3210" s="121">
        <v>53734.0</v>
      </c>
    </row>
    <row r="3211">
      <c r="A3211" s="121">
        <v>53735.0</v>
      </c>
    </row>
    <row r="3212">
      <c r="A3212" s="121">
        <v>53736.0</v>
      </c>
    </row>
    <row r="3213">
      <c r="A3213" s="121">
        <v>53737.0</v>
      </c>
    </row>
    <row r="3214">
      <c r="A3214" s="121">
        <v>53738.0</v>
      </c>
    </row>
    <row r="3215">
      <c r="A3215" s="121">
        <v>53739.0</v>
      </c>
      <c r="B3215" s="122">
        <v>44851.0</v>
      </c>
    </row>
    <row r="3216">
      <c r="A3216" s="121">
        <v>53740.0</v>
      </c>
    </row>
    <row r="3217">
      <c r="A3217" s="121">
        <v>53741.0</v>
      </c>
      <c r="B3217" s="122">
        <v>45872.0</v>
      </c>
    </row>
    <row r="3218">
      <c r="A3218" s="121">
        <v>53742.0</v>
      </c>
    </row>
    <row r="3219">
      <c r="A3219" s="121">
        <v>53743.0</v>
      </c>
    </row>
    <row r="3220">
      <c r="A3220" s="121">
        <v>53744.0</v>
      </c>
    </row>
    <row r="3221">
      <c r="A3221" s="121">
        <v>53745.0</v>
      </c>
    </row>
    <row r="3222">
      <c r="A3222" s="121">
        <v>53746.0</v>
      </c>
    </row>
    <row r="3223">
      <c r="A3223" s="121">
        <v>53747.0</v>
      </c>
      <c r="B3223" s="122">
        <v>44841.0</v>
      </c>
    </row>
    <row r="3224">
      <c r="A3224" s="121">
        <v>53748.0</v>
      </c>
      <c r="B3224" s="122">
        <v>45695.0</v>
      </c>
    </row>
    <row r="3225">
      <c r="A3225" s="121">
        <v>53749.0</v>
      </c>
      <c r="B3225" s="122">
        <v>45770.0</v>
      </c>
    </row>
    <row r="3226">
      <c r="A3226" s="121">
        <v>53750.0</v>
      </c>
    </row>
    <row r="3227">
      <c r="A3227" s="121">
        <v>53773.0</v>
      </c>
    </row>
    <row r="3228">
      <c r="A3228" s="121">
        <v>53774.0</v>
      </c>
    </row>
    <row r="3229">
      <c r="A3229" s="121">
        <v>53775.0</v>
      </c>
    </row>
    <row r="3230">
      <c r="A3230" s="121">
        <v>53776.0</v>
      </c>
      <c r="B3230" s="122">
        <v>45863.0</v>
      </c>
    </row>
    <row r="3231">
      <c r="A3231" s="121">
        <v>53777.0</v>
      </c>
    </row>
    <row r="3232">
      <c r="A3232" s="121">
        <v>53778.0</v>
      </c>
    </row>
    <row r="3233">
      <c r="A3233" s="121">
        <v>53779.0</v>
      </c>
    </row>
    <row r="3234">
      <c r="A3234" s="121">
        <v>53780.0</v>
      </c>
    </row>
    <row r="3235">
      <c r="A3235" s="121">
        <v>53781.0</v>
      </c>
    </row>
    <row r="3236">
      <c r="A3236" s="121">
        <v>53782.0</v>
      </c>
    </row>
    <row r="3237">
      <c r="A3237" s="121">
        <v>53783.0</v>
      </c>
    </row>
    <row r="3238">
      <c r="A3238" s="121">
        <v>53784.0</v>
      </c>
    </row>
    <row r="3239">
      <c r="A3239" s="121">
        <v>53785.0</v>
      </c>
      <c r="B3239" s="122">
        <v>44881.0</v>
      </c>
    </row>
    <row r="3240">
      <c r="A3240" s="121">
        <v>53786.0</v>
      </c>
      <c r="B3240" s="122">
        <v>45892.0</v>
      </c>
    </row>
    <row r="3241">
      <c r="A3241" s="121">
        <v>53787.0</v>
      </c>
    </row>
    <row r="3242">
      <c r="A3242" s="121">
        <v>53788.0</v>
      </c>
      <c r="B3242" s="122">
        <v>44880.0</v>
      </c>
    </row>
    <row r="3243">
      <c r="A3243" s="121">
        <v>53789.0</v>
      </c>
    </row>
    <row r="3244">
      <c r="A3244" s="121">
        <v>53790.0</v>
      </c>
    </row>
    <row r="3245">
      <c r="A3245" s="121">
        <v>53791.0</v>
      </c>
      <c r="B3245" s="122">
        <v>44879.0</v>
      </c>
    </row>
    <row r="3246">
      <c r="A3246" s="121">
        <v>53792.0</v>
      </c>
    </row>
    <row r="3247">
      <c r="A3247" s="121">
        <v>53793.0</v>
      </c>
    </row>
    <row r="3248">
      <c r="A3248" s="121">
        <v>53794.0</v>
      </c>
    </row>
    <row r="3249">
      <c r="A3249" s="121">
        <v>53795.0</v>
      </c>
    </row>
    <row r="3250">
      <c r="A3250" s="121">
        <v>53796.0</v>
      </c>
      <c r="B3250" s="122">
        <v>45900.0</v>
      </c>
    </row>
    <row r="3251">
      <c r="A3251" s="121">
        <v>53797.0</v>
      </c>
    </row>
    <row r="3252">
      <c r="A3252" s="121">
        <v>53798.0</v>
      </c>
    </row>
    <row r="3253">
      <c r="A3253" s="121">
        <v>53799.0</v>
      </c>
    </row>
    <row r="3254">
      <c r="A3254" s="121">
        <v>53800.0</v>
      </c>
    </row>
    <row r="3255">
      <c r="A3255" s="121">
        <v>53801.0</v>
      </c>
    </row>
    <row r="3256">
      <c r="A3256" s="121">
        <v>53802.0</v>
      </c>
    </row>
    <row r="3257">
      <c r="A3257" s="121">
        <v>53803.0</v>
      </c>
    </row>
    <row r="3258">
      <c r="A3258" s="121">
        <v>53804.0</v>
      </c>
    </row>
    <row r="3259">
      <c r="A3259" s="121">
        <v>53805.0</v>
      </c>
    </row>
    <row r="3260">
      <c r="A3260" s="121">
        <v>53806.0</v>
      </c>
    </row>
    <row r="3261">
      <c r="A3261" s="121">
        <v>53818.0</v>
      </c>
      <c r="B3261" s="122">
        <v>45724.0</v>
      </c>
    </row>
    <row r="3262">
      <c r="A3262" s="121">
        <v>53819.0</v>
      </c>
    </row>
    <row r="3263">
      <c r="A3263" s="121">
        <v>53820.0</v>
      </c>
    </row>
    <row r="3264">
      <c r="A3264" s="121">
        <v>53821.0</v>
      </c>
      <c r="B3264" s="122">
        <v>45887.0</v>
      </c>
    </row>
    <row r="3265">
      <c r="A3265" s="121">
        <v>53822.0</v>
      </c>
      <c r="B3265" s="122">
        <v>44841.0</v>
      </c>
    </row>
    <row r="3266">
      <c r="A3266" s="121">
        <v>53823.0</v>
      </c>
    </row>
    <row r="3267">
      <c r="A3267" s="121">
        <v>53824.0</v>
      </c>
    </row>
    <row r="3268">
      <c r="A3268" s="121">
        <v>53825.0</v>
      </c>
    </row>
    <row r="3269">
      <c r="A3269" s="121">
        <v>53826.0</v>
      </c>
    </row>
    <row r="3270">
      <c r="A3270" s="121">
        <v>53827.0</v>
      </c>
    </row>
    <row r="3271">
      <c r="A3271" s="121">
        <v>53828.0</v>
      </c>
    </row>
    <row r="3272">
      <c r="A3272" s="121">
        <v>53829.0</v>
      </c>
    </row>
    <row r="3273">
      <c r="A3273" s="121">
        <v>53830.0</v>
      </c>
    </row>
    <row r="3274">
      <c r="A3274" s="121">
        <v>53831.0</v>
      </c>
    </row>
    <row r="3275">
      <c r="A3275" s="121">
        <v>53832.0</v>
      </c>
    </row>
    <row r="3276">
      <c r="A3276" s="121">
        <v>53833.0</v>
      </c>
    </row>
    <row r="3277">
      <c r="A3277" s="121">
        <v>53834.0</v>
      </c>
    </row>
    <row r="3278">
      <c r="A3278" s="121">
        <v>53835.0</v>
      </c>
    </row>
    <row r="3279">
      <c r="A3279" s="121">
        <v>53836.0</v>
      </c>
    </row>
    <row r="3280">
      <c r="A3280" s="121">
        <v>53837.0</v>
      </c>
    </row>
    <row r="3281">
      <c r="A3281" s="121">
        <v>53838.0</v>
      </c>
    </row>
    <row r="3282">
      <c r="A3282" s="121">
        <v>53839.0</v>
      </c>
    </row>
    <row r="3283">
      <c r="A3283" s="121">
        <v>53840.0</v>
      </c>
    </row>
    <row r="3284">
      <c r="A3284" s="121">
        <v>53841.0</v>
      </c>
    </row>
    <row r="3285">
      <c r="A3285" s="121">
        <v>53842.0</v>
      </c>
    </row>
    <row r="3286">
      <c r="A3286" s="121">
        <v>53843.0</v>
      </c>
    </row>
    <row r="3287">
      <c r="A3287" s="121">
        <v>53844.0</v>
      </c>
    </row>
    <row r="3288">
      <c r="A3288" s="121">
        <v>53845.0</v>
      </c>
    </row>
    <row r="3289">
      <c r="A3289" s="121">
        <v>53846.0</v>
      </c>
    </row>
    <row r="3290">
      <c r="A3290" s="121">
        <v>53847.0</v>
      </c>
    </row>
    <row r="3291">
      <c r="A3291" s="121">
        <v>53848.0</v>
      </c>
    </row>
    <row r="3292">
      <c r="A3292" s="121">
        <v>53849.0</v>
      </c>
    </row>
    <row r="3293">
      <c r="A3293" s="121">
        <v>53850.0</v>
      </c>
    </row>
    <row r="3294">
      <c r="A3294" s="121">
        <v>53851.0</v>
      </c>
    </row>
    <row r="3295">
      <c r="A3295" s="121">
        <v>53852.0</v>
      </c>
    </row>
    <row r="3296">
      <c r="A3296" s="121">
        <v>53853.0</v>
      </c>
    </row>
    <row r="3297">
      <c r="A3297" s="121">
        <v>53854.0</v>
      </c>
    </row>
    <row r="3298">
      <c r="A3298" s="121">
        <v>53855.0</v>
      </c>
    </row>
    <row r="3299">
      <c r="A3299" s="121">
        <v>53856.0</v>
      </c>
    </row>
    <row r="3300">
      <c r="A3300" s="121">
        <v>53857.0</v>
      </c>
    </row>
    <row r="3301">
      <c r="A3301" s="121">
        <v>53858.0</v>
      </c>
    </row>
    <row r="3302">
      <c r="A3302" s="121">
        <v>53859.0</v>
      </c>
    </row>
    <row r="3303">
      <c r="A3303" s="121">
        <v>53860.0</v>
      </c>
    </row>
    <row r="3304">
      <c r="A3304" s="121">
        <v>53861.0</v>
      </c>
    </row>
    <row r="3305">
      <c r="A3305" s="121">
        <v>53862.0</v>
      </c>
      <c r="B3305" s="122">
        <v>45655.0</v>
      </c>
    </row>
    <row r="3306">
      <c r="A3306" s="121">
        <v>53863.0</v>
      </c>
    </row>
    <row r="3307">
      <c r="A3307" s="121">
        <v>53864.0</v>
      </c>
    </row>
    <row r="3308">
      <c r="A3308" s="121">
        <v>53865.0</v>
      </c>
      <c r="B3308" s="122">
        <v>45656.0</v>
      </c>
    </row>
    <row r="3309">
      <c r="A3309" s="121">
        <v>53866.0</v>
      </c>
    </row>
    <row r="3310">
      <c r="A3310" s="121">
        <v>53867.0</v>
      </c>
    </row>
    <row r="3311">
      <c r="A3311" s="121">
        <v>53868.0</v>
      </c>
    </row>
    <row r="3312">
      <c r="A3312" s="121">
        <v>53869.0</v>
      </c>
    </row>
    <row r="3313">
      <c r="A3313" s="121">
        <v>53870.0</v>
      </c>
    </row>
    <row r="3314">
      <c r="A3314" s="121">
        <v>53871.0</v>
      </c>
    </row>
    <row r="3315">
      <c r="A3315" s="121">
        <v>53886.0</v>
      </c>
    </row>
    <row r="3316">
      <c r="A3316" s="121">
        <v>53887.0</v>
      </c>
    </row>
    <row r="3317">
      <c r="A3317" s="121">
        <v>53888.0</v>
      </c>
    </row>
    <row r="3318">
      <c r="A3318" s="121">
        <v>53889.0</v>
      </c>
    </row>
    <row r="3319">
      <c r="A3319" s="121">
        <v>53890.0</v>
      </c>
    </row>
    <row r="3320">
      <c r="A3320" s="121">
        <v>53891.0</v>
      </c>
    </row>
    <row r="3321">
      <c r="A3321" s="121">
        <v>53892.0</v>
      </c>
    </row>
    <row r="3322">
      <c r="A3322" s="121">
        <v>53893.0</v>
      </c>
    </row>
    <row r="3323">
      <c r="A3323" s="121">
        <v>53894.0</v>
      </c>
    </row>
    <row r="3324">
      <c r="A3324" s="121">
        <v>53895.0</v>
      </c>
    </row>
    <row r="3325">
      <c r="A3325" s="121">
        <v>53896.0</v>
      </c>
    </row>
    <row r="3326">
      <c r="A3326" s="121">
        <v>53897.0</v>
      </c>
    </row>
    <row r="3327">
      <c r="A3327" s="121">
        <v>53898.0</v>
      </c>
    </row>
    <row r="3328">
      <c r="A3328" s="121">
        <v>53899.0</v>
      </c>
    </row>
    <row r="3329">
      <c r="A3329" s="121">
        <v>53900.0</v>
      </c>
    </row>
    <row r="3330">
      <c r="A3330" s="121">
        <v>53901.0</v>
      </c>
    </row>
    <row r="3331">
      <c r="A3331" s="121">
        <v>53902.0</v>
      </c>
    </row>
    <row r="3332">
      <c r="A3332" s="121">
        <v>53903.0</v>
      </c>
    </row>
    <row r="3333">
      <c r="A3333" s="121">
        <v>53904.0</v>
      </c>
    </row>
    <row r="3334">
      <c r="A3334" s="121">
        <v>53905.0</v>
      </c>
    </row>
    <row r="3335">
      <c r="A3335" s="121">
        <v>53906.0</v>
      </c>
    </row>
    <row r="3336">
      <c r="A3336" s="121">
        <v>53907.0</v>
      </c>
      <c r="B3336" s="122">
        <v>45714.0</v>
      </c>
    </row>
    <row r="3337">
      <c r="A3337" s="121">
        <v>53908.0</v>
      </c>
    </row>
    <row r="3338">
      <c r="A3338" s="121">
        <v>53909.0</v>
      </c>
    </row>
    <row r="3339">
      <c r="A3339" s="121">
        <v>53910.0</v>
      </c>
      <c r="B3339" s="122">
        <v>46022.0</v>
      </c>
    </row>
    <row r="3340">
      <c r="A3340" s="121">
        <v>53911.0</v>
      </c>
    </row>
    <row r="3341">
      <c r="A3341" s="121">
        <v>53912.0</v>
      </c>
    </row>
    <row r="3342">
      <c r="A3342" s="121">
        <v>53913.0</v>
      </c>
    </row>
    <row r="3343">
      <c r="A3343" s="121">
        <v>53914.0</v>
      </c>
    </row>
    <row r="3344">
      <c r="A3344" s="121">
        <v>53915.0</v>
      </c>
    </row>
    <row r="3345">
      <c r="A3345" s="121">
        <v>53916.0</v>
      </c>
    </row>
    <row r="3346">
      <c r="A3346" s="121">
        <v>53917.0</v>
      </c>
    </row>
    <row r="3347">
      <c r="A3347" s="121">
        <v>53918.0</v>
      </c>
    </row>
    <row r="3348">
      <c r="A3348" s="121">
        <v>53919.0</v>
      </c>
    </row>
    <row r="3349">
      <c r="A3349" s="121">
        <v>53920.0</v>
      </c>
    </row>
    <row r="3350">
      <c r="A3350" s="121">
        <v>53921.0</v>
      </c>
      <c r="B3350" s="122">
        <v>44859.0</v>
      </c>
    </row>
    <row r="3351">
      <c r="A3351" s="121">
        <v>53922.0</v>
      </c>
    </row>
    <row r="3352">
      <c r="A3352" s="121">
        <v>53923.0</v>
      </c>
    </row>
    <row r="3353">
      <c r="A3353" s="121">
        <v>53924.0</v>
      </c>
    </row>
    <row r="3354">
      <c r="A3354" s="121">
        <v>53925.0</v>
      </c>
    </row>
    <row r="3355">
      <c r="A3355" s="121">
        <v>53926.0</v>
      </c>
    </row>
    <row r="3356">
      <c r="A3356" s="121">
        <v>53927.0</v>
      </c>
      <c r="B3356" s="122">
        <v>45978.0</v>
      </c>
    </row>
    <row r="3357">
      <c r="A3357" s="121">
        <v>53928.0</v>
      </c>
    </row>
    <row r="3358">
      <c r="A3358" s="121">
        <v>53929.0</v>
      </c>
    </row>
    <row r="3359">
      <c r="A3359" s="121">
        <v>53930.0</v>
      </c>
    </row>
    <row r="3360">
      <c r="A3360" s="121">
        <v>53931.0</v>
      </c>
      <c r="B3360" s="122">
        <v>45988.0</v>
      </c>
    </row>
    <row r="3361">
      <c r="A3361" s="121">
        <v>53932.0</v>
      </c>
    </row>
    <row r="3362">
      <c r="A3362" s="121">
        <v>53933.0</v>
      </c>
    </row>
    <row r="3363">
      <c r="A3363" s="121">
        <v>53934.0</v>
      </c>
    </row>
    <row r="3364">
      <c r="A3364" s="121">
        <v>53935.0</v>
      </c>
    </row>
    <row r="3365">
      <c r="A3365" s="121">
        <v>53936.0</v>
      </c>
    </row>
    <row r="3366">
      <c r="A3366" s="121">
        <v>53937.0</v>
      </c>
      <c r="B3366" s="122">
        <v>45670.0</v>
      </c>
    </row>
    <row r="3367">
      <c r="A3367" s="121">
        <v>53964.0</v>
      </c>
    </row>
    <row r="3368">
      <c r="A3368" s="121">
        <v>53965.0</v>
      </c>
    </row>
    <row r="3369">
      <c r="A3369" s="121">
        <v>53966.0</v>
      </c>
    </row>
    <row r="3370">
      <c r="A3370" s="121">
        <v>53967.0</v>
      </c>
    </row>
    <row r="3371">
      <c r="A3371" s="121">
        <v>53968.0</v>
      </c>
    </row>
    <row r="3372">
      <c r="A3372" s="121">
        <v>53969.0</v>
      </c>
    </row>
    <row r="3373">
      <c r="A3373" s="121">
        <v>53970.0</v>
      </c>
    </row>
    <row r="3374">
      <c r="A3374" s="121">
        <v>53971.0</v>
      </c>
    </row>
    <row r="3375">
      <c r="A3375" s="121">
        <v>53972.0</v>
      </c>
      <c r="B3375" s="122">
        <v>45435.0</v>
      </c>
    </row>
    <row r="3376">
      <c r="A3376" s="121">
        <v>53973.0</v>
      </c>
    </row>
    <row r="3377">
      <c r="A3377" s="121">
        <v>53974.0</v>
      </c>
    </row>
    <row r="3378">
      <c r="A3378" s="121">
        <v>53975.0</v>
      </c>
    </row>
    <row r="3379">
      <c r="A3379" s="121">
        <v>53976.0</v>
      </c>
    </row>
    <row r="3380">
      <c r="A3380" s="121">
        <v>53977.0</v>
      </c>
    </row>
    <row r="3381">
      <c r="A3381" s="121">
        <v>53978.0</v>
      </c>
    </row>
    <row r="3382">
      <c r="A3382" s="121">
        <v>53979.0</v>
      </c>
    </row>
    <row r="3383">
      <c r="A3383" s="121">
        <v>53980.0</v>
      </c>
    </row>
    <row r="3384">
      <c r="A3384" s="121">
        <v>53981.0</v>
      </c>
    </row>
    <row r="3385">
      <c r="A3385" s="121">
        <v>53982.0</v>
      </c>
    </row>
    <row r="3386">
      <c r="A3386" s="121">
        <v>53983.0</v>
      </c>
      <c r="B3386" s="122">
        <v>46055.0</v>
      </c>
    </row>
    <row r="3387">
      <c r="A3387" s="121">
        <v>53984.0</v>
      </c>
    </row>
    <row r="3388">
      <c r="A3388" s="121">
        <v>53985.0</v>
      </c>
    </row>
    <row r="3389">
      <c r="A3389" s="121">
        <v>53986.0</v>
      </c>
    </row>
    <row r="3390">
      <c r="A3390" s="121">
        <v>53987.0</v>
      </c>
      <c r="B3390" s="122">
        <v>45714.0</v>
      </c>
    </row>
    <row r="3391">
      <c r="A3391" s="121">
        <v>53988.0</v>
      </c>
    </row>
    <row r="3392">
      <c r="A3392" s="121">
        <v>53989.0</v>
      </c>
      <c r="B3392" s="122">
        <v>45654.0</v>
      </c>
    </row>
    <row r="3393">
      <c r="A3393" s="121">
        <v>53990.0</v>
      </c>
      <c r="B3393" s="122">
        <v>45526.0</v>
      </c>
    </row>
    <row r="3394">
      <c r="A3394" s="121">
        <v>53991.0</v>
      </c>
    </row>
    <row r="3395">
      <c r="A3395" s="121">
        <v>53992.0</v>
      </c>
    </row>
    <row r="3396">
      <c r="A3396" s="121">
        <v>53993.0</v>
      </c>
    </row>
    <row r="3397">
      <c r="A3397" s="121">
        <v>53994.0</v>
      </c>
    </row>
    <row r="3398">
      <c r="A3398" s="121">
        <v>53995.0</v>
      </c>
    </row>
    <row r="3399">
      <c r="A3399" s="121">
        <v>53996.0</v>
      </c>
    </row>
    <row r="3400">
      <c r="A3400" s="121">
        <v>53997.0</v>
      </c>
    </row>
    <row r="3401">
      <c r="A3401" s="121">
        <v>53998.0</v>
      </c>
    </row>
    <row r="3402">
      <c r="A3402" s="121">
        <v>53999.0</v>
      </c>
    </row>
    <row r="3403">
      <c r="A3403" s="121">
        <v>54000.0</v>
      </c>
    </row>
    <row r="3404">
      <c r="A3404" s="121">
        <v>54001.0</v>
      </c>
      <c r="B3404" s="122">
        <v>45427.0</v>
      </c>
    </row>
    <row r="3405">
      <c r="A3405" s="121">
        <v>54002.0</v>
      </c>
    </row>
    <row r="3406">
      <c r="A3406" s="121">
        <v>54003.0</v>
      </c>
    </row>
    <row r="3407">
      <c r="A3407" s="121">
        <v>54004.0</v>
      </c>
    </row>
    <row r="3408">
      <c r="A3408" s="121">
        <v>54005.0</v>
      </c>
    </row>
    <row r="3409">
      <c r="A3409" s="121">
        <v>54006.0</v>
      </c>
    </row>
    <row r="3410">
      <c r="A3410" s="121">
        <v>54007.0</v>
      </c>
    </row>
    <row r="3411">
      <c r="A3411" s="121">
        <v>54008.0</v>
      </c>
    </row>
    <row r="3412">
      <c r="A3412" s="121">
        <v>54009.0</v>
      </c>
    </row>
    <row r="3413">
      <c r="A3413" s="121">
        <v>54010.0</v>
      </c>
    </row>
    <row r="3414">
      <c r="A3414" s="121">
        <v>54011.0</v>
      </c>
    </row>
    <row r="3415">
      <c r="A3415" s="121">
        <v>54012.0</v>
      </c>
    </row>
    <row r="3416">
      <c r="A3416" s="121">
        <v>54013.0</v>
      </c>
    </row>
    <row r="3417">
      <c r="A3417" s="121">
        <v>54014.0</v>
      </c>
      <c r="B3417" s="122">
        <v>45436.0</v>
      </c>
    </row>
    <row r="3418">
      <c r="A3418" s="121">
        <v>54015.0</v>
      </c>
    </row>
    <row r="3419">
      <c r="A3419" s="121">
        <v>54051.0</v>
      </c>
    </row>
    <row r="3420">
      <c r="A3420" s="121">
        <v>54052.0</v>
      </c>
    </row>
    <row r="3421">
      <c r="A3421" s="121">
        <v>54053.0</v>
      </c>
    </row>
    <row r="3422">
      <c r="A3422" s="121">
        <v>54054.0</v>
      </c>
    </row>
    <row r="3423">
      <c r="A3423" s="121">
        <v>54055.0</v>
      </c>
    </row>
    <row r="3424">
      <c r="A3424" s="121">
        <v>54056.0</v>
      </c>
    </row>
    <row r="3425">
      <c r="A3425" s="121">
        <v>54057.0</v>
      </c>
      <c r="B3425" s="122">
        <v>45022.0</v>
      </c>
    </row>
    <row r="3426">
      <c r="A3426" s="121">
        <v>54058.0</v>
      </c>
    </row>
    <row r="3427">
      <c r="A3427" s="121">
        <v>54059.0</v>
      </c>
    </row>
    <row r="3428">
      <c r="A3428" s="121">
        <v>54060.0</v>
      </c>
    </row>
    <row r="3429">
      <c r="A3429" s="121">
        <v>54061.0</v>
      </c>
    </row>
    <row r="3430">
      <c r="A3430" s="121">
        <v>54062.0</v>
      </c>
    </row>
    <row r="3431">
      <c r="A3431" s="121">
        <v>54063.0</v>
      </c>
    </row>
    <row r="3432">
      <c r="A3432" s="121">
        <v>54064.0</v>
      </c>
    </row>
    <row r="3433">
      <c r="A3433" s="121">
        <v>54065.0</v>
      </c>
    </row>
    <row r="3434">
      <c r="A3434" s="121">
        <v>54066.0</v>
      </c>
    </row>
    <row r="3435">
      <c r="A3435" s="121">
        <v>54067.0</v>
      </c>
    </row>
    <row r="3436">
      <c r="A3436" s="121">
        <v>54068.0</v>
      </c>
    </row>
    <row r="3437">
      <c r="A3437" s="121">
        <v>54069.0</v>
      </c>
      <c r="B3437" s="122">
        <v>45532.0</v>
      </c>
    </row>
    <row r="3438">
      <c r="A3438" s="121">
        <v>54070.0</v>
      </c>
    </row>
    <row r="3439">
      <c r="A3439" s="121">
        <v>54071.0</v>
      </c>
    </row>
    <row r="3440">
      <c r="A3440" s="121">
        <v>54072.0</v>
      </c>
      <c r="B3440" s="122">
        <v>45666.0</v>
      </c>
    </row>
    <row r="3441">
      <c r="A3441" s="121">
        <v>54073.0</v>
      </c>
    </row>
    <row r="3442">
      <c r="A3442" s="121">
        <v>54074.0</v>
      </c>
    </row>
    <row r="3443">
      <c r="A3443" s="121">
        <v>54075.0</v>
      </c>
    </row>
    <row r="3444">
      <c r="A3444" s="121">
        <v>54076.0</v>
      </c>
    </row>
    <row r="3445">
      <c r="A3445" s="121">
        <v>54077.0</v>
      </c>
    </row>
    <row r="3446">
      <c r="A3446" s="121">
        <v>54078.0</v>
      </c>
      <c r="B3446" s="122">
        <v>45984.0</v>
      </c>
    </row>
    <row r="3447">
      <c r="A3447" s="121">
        <v>54079.0</v>
      </c>
    </row>
    <row r="3448">
      <c r="A3448" s="121">
        <v>54080.0</v>
      </c>
    </row>
    <row r="3449">
      <c r="A3449" s="121">
        <v>54081.0</v>
      </c>
      <c r="B3449" s="122">
        <v>45944.0</v>
      </c>
    </row>
    <row r="3450">
      <c r="A3450" s="121">
        <v>54082.0</v>
      </c>
    </row>
    <row r="3451">
      <c r="A3451" s="121">
        <v>54083.0</v>
      </c>
    </row>
    <row r="3452">
      <c r="A3452" s="121">
        <v>54084.0</v>
      </c>
    </row>
    <row r="3453">
      <c r="A3453" s="121">
        <v>54085.0</v>
      </c>
    </row>
    <row r="3454">
      <c r="A3454" s="121">
        <v>54086.0</v>
      </c>
    </row>
    <row r="3455">
      <c r="A3455" s="121">
        <v>54087.0</v>
      </c>
    </row>
    <row r="3456">
      <c r="A3456" s="121">
        <v>54088.0</v>
      </c>
    </row>
    <row r="3457">
      <c r="A3457" s="121">
        <v>54089.0</v>
      </c>
    </row>
    <row r="3458">
      <c r="A3458" s="121">
        <v>54090.0</v>
      </c>
    </row>
    <row r="3459">
      <c r="A3459" s="121">
        <v>54091.0</v>
      </c>
    </row>
    <row r="3460">
      <c r="A3460" s="121">
        <v>54092.0</v>
      </c>
    </row>
    <row r="3461">
      <c r="A3461" s="121">
        <v>54093.0</v>
      </c>
    </row>
    <row r="3462">
      <c r="A3462" s="121">
        <v>54094.0</v>
      </c>
      <c r="B3462" s="122">
        <v>46035.0</v>
      </c>
    </row>
    <row r="3463">
      <c r="A3463" s="121">
        <v>54095.0</v>
      </c>
    </row>
    <row r="3464">
      <c r="A3464" s="121">
        <v>54096.0</v>
      </c>
    </row>
    <row r="3465">
      <c r="A3465" s="121">
        <v>54097.0</v>
      </c>
    </row>
    <row r="3466">
      <c r="A3466" s="121">
        <v>54098.0</v>
      </c>
    </row>
    <row r="3467">
      <c r="A3467" s="121">
        <v>54099.0</v>
      </c>
    </row>
    <row r="3468">
      <c r="A3468" s="121">
        <v>54100.0</v>
      </c>
    </row>
    <row r="3469">
      <c r="A3469" s="121">
        <v>54101.0</v>
      </c>
    </row>
    <row r="3470">
      <c r="A3470" s="121">
        <v>54102.0</v>
      </c>
    </row>
    <row r="3471">
      <c r="A3471" s="121">
        <v>54103.0</v>
      </c>
    </row>
    <row r="3472">
      <c r="A3472" s="121">
        <v>54104.0</v>
      </c>
    </row>
    <row r="3473">
      <c r="A3473" s="121">
        <v>54157.0</v>
      </c>
    </row>
    <row r="3474">
      <c r="A3474" s="121">
        <v>54158.0</v>
      </c>
    </row>
    <row r="3475">
      <c r="A3475" s="121">
        <v>54159.0</v>
      </c>
    </row>
    <row r="3476">
      <c r="A3476" s="121">
        <v>54160.0</v>
      </c>
    </row>
    <row r="3477">
      <c r="A3477" s="121">
        <v>54161.0</v>
      </c>
    </row>
    <row r="3478">
      <c r="A3478" s="121">
        <v>54162.0</v>
      </c>
    </row>
    <row r="3479">
      <c r="A3479" s="121">
        <v>54163.0</v>
      </c>
    </row>
    <row r="3480">
      <c r="A3480" s="121">
        <v>54164.0</v>
      </c>
    </row>
    <row r="3481">
      <c r="A3481" s="121">
        <v>54165.0</v>
      </c>
    </row>
    <row r="3482">
      <c r="A3482" s="121">
        <v>54166.0</v>
      </c>
    </row>
    <row r="3483">
      <c r="A3483" s="121">
        <v>54167.0</v>
      </c>
    </row>
    <row r="3484">
      <c r="A3484" s="121">
        <v>54168.0</v>
      </c>
    </row>
    <row r="3485">
      <c r="A3485" s="121">
        <v>54169.0</v>
      </c>
    </row>
    <row r="3486">
      <c r="A3486" s="121">
        <v>54170.0</v>
      </c>
    </row>
    <row r="3487">
      <c r="A3487" s="121">
        <v>54171.0</v>
      </c>
      <c r="B3487" s="122">
        <v>45792.0</v>
      </c>
    </row>
    <row r="3488">
      <c r="A3488" s="121">
        <v>54172.0</v>
      </c>
    </row>
    <row r="3489">
      <c r="A3489" s="121">
        <v>54173.0</v>
      </c>
    </row>
    <row r="3490">
      <c r="A3490" s="121">
        <v>54174.0</v>
      </c>
    </row>
    <row r="3491">
      <c r="A3491" s="121">
        <v>54175.0</v>
      </c>
    </row>
    <row r="3492">
      <c r="A3492" s="121">
        <v>54176.0</v>
      </c>
    </row>
    <row r="3493">
      <c r="A3493" s="121">
        <v>54177.0</v>
      </c>
    </row>
    <row r="3494">
      <c r="A3494" s="121">
        <v>54178.0</v>
      </c>
    </row>
    <row r="3495">
      <c r="A3495" s="121">
        <v>54179.0</v>
      </c>
    </row>
    <row r="3496">
      <c r="A3496" s="121">
        <v>54180.0</v>
      </c>
    </row>
    <row r="3497">
      <c r="A3497" s="121">
        <v>54181.0</v>
      </c>
    </row>
    <row r="3498">
      <c r="A3498" s="121">
        <v>54182.0</v>
      </c>
    </row>
    <row r="3499">
      <c r="A3499" s="121">
        <v>54183.0</v>
      </c>
    </row>
    <row r="3500">
      <c r="A3500" s="121">
        <v>54184.0</v>
      </c>
    </row>
    <row r="3501">
      <c r="A3501" s="121">
        <v>54185.0</v>
      </c>
    </row>
    <row r="3502">
      <c r="A3502" s="121">
        <v>54186.0</v>
      </c>
      <c r="B3502" s="122">
        <v>45952.0</v>
      </c>
    </row>
    <row r="3503">
      <c r="A3503" s="121">
        <v>54187.0</v>
      </c>
    </row>
    <row r="3504">
      <c r="A3504" s="121">
        <v>54188.0</v>
      </c>
    </row>
    <row r="3505">
      <c r="A3505" s="121">
        <v>54189.0</v>
      </c>
      <c r="B3505" s="122">
        <v>45467.0</v>
      </c>
    </row>
    <row r="3506">
      <c r="A3506" s="121">
        <v>54190.0</v>
      </c>
    </row>
    <row r="3507">
      <c r="A3507" s="121">
        <v>54191.0</v>
      </c>
    </row>
    <row r="3508">
      <c r="A3508" s="121">
        <v>54192.0</v>
      </c>
    </row>
    <row r="3509">
      <c r="A3509" s="121">
        <v>54193.0</v>
      </c>
    </row>
    <row r="3510">
      <c r="A3510" s="121">
        <v>54194.0</v>
      </c>
    </row>
    <row r="3511">
      <c r="A3511" s="121">
        <v>54195.0</v>
      </c>
    </row>
    <row r="3512">
      <c r="A3512" s="121">
        <v>54196.0</v>
      </c>
    </row>
    <row r="3513">
      <c r="A3513" s="121">
        <v>54197.0</v>
      </c>
      <c r="B3513" s="122">
        <v>45397.0</v>
      </c>
    </row>
    <row r="3514">
      <c r="A3514" s="121">
        <v>54198.0</v>
      </c>
    </row>
    <row r="3515">
      <c r="A3515" s="121">
        <v>54199.0</v>
      </c>
    </row>
    <row r="3516">
      <c r="A3516" s="121">
        <v>54200.0</v>
      </c>
    </row>
    <row r="3517">
      <c r="A3517" s="121">
        <v>54201.0</v>
      </c>
    </row>
    <row r="3518">
      <c r="A3518" s="121">
        <v>54202.0</v>
      </c>
    </row>
    <row r="3519">
      <c r="A3519" s="121">
        <v>54203.0</v>
      </c>
    </row>
    <row r="3520">
      <c r="A3520" s="121">
        <v>54204.0</v>
      </c>
    </row>
    <row r="3521">
      <c r="A3521" s="121">
        <v>54205.0</v>
      </c>
    </row>
    <row r="3522">
      <c r="A3522" s="121">
        <v>54206.0</v>
      </c>
    </row>
    <row r="3523">
      <c r="A3523" s="121">
        <v>54207.0</v>
      </c>
    </row>
    <row r="3524">
      <c r="A3524" s="121">
        <v>54208.0</v>
      </c>
    </row>
    <row r="3525">
      <c r="A3525" s="121">
        <v>54209.0</v>
      </c>
    </row>
    <row r="3526">
      <c r="A3526" s="121">
        <v>54758.0</v>
      </c>
    </row>
    <row r="3527">
      <c r="A3527" s="121">
        <v>54759.0</v>
      </c>
    </row>
    <row r="3528">
      <c r="A3528" s="121">
        <v>54760.0</v>
      </c>
    </row>
    <row r="3529">
      <c r="A3529" s="121">
        <v>54761.0</v>
      </c>
    </row>
    <row r="3530">
      <c r="A3530" s="121">
        <v>54762.0</v>
      </c>
    </row>
    <row r="3531">
      <c r="A3531" s="121">
        <v>54763.0</v>
      </c>
    </row>
    <row r="3532">
      <c r="A3532" s="121">
        <v>54764.0</v>
      </c>
    </row>
    <row r="3533">
      <c r="A3533" s="121">
        <v>54765.0</v>
      </c>
      <c r="B3533" s="122">
        <v>45665.0</v>
      </c>
    </row>
    <row r="3534">
      <c r="A3534" s="121">
        <v>54766.0</v>
      </c>
    </row>
    <row r="3535">
      <c r="A3535" s="121">
        <v>54767.0</v>
      </c>
    </row>
    <row r="3536">
      <c r="A3536" s="121">
        <v>54768.0</v>
      </c>
    </row>
    <row r="3537">
      <c r="A3537" s="121">
        <v>54769.0</v>
      </c>
      <c r="B3537" s="122">
        <v>45660.0</v>
      </c>
    </row>
    <row r="3538">
      <c r="A3538" s="121">
        <v>54770.0</v>
      </c>
    </row>
    <row r="3539">
      <c r="A3539" s="121">
        <v>54771.0</v>
      </c>
    </row>
    <row r="3540">
      <c r="A3540" s="121">
        <v>54772.0</v>
      </c>
    </row>
    <row r="3541">
      <c r="A3541" s="121">
        <v>54773.0</v>
      </c>
    </row>
    <row r="3542">
      <c r="A3542" s="121">
        <v>54774.0</v>
      </c>
    </row>
    <row r="3543">
      <c r="A3543" s="121">
        <v>54775.0</v>
      </c>
    </row>
    <row r="3544">
      <c r="A3544" s="121">
        <v>54776.0</v>
      </c>
    </row>
    <row r="3545">
      <c r="A3545" s="121">
        <v>54777.0</v>
      </c>
    </row>
    <row r="3546">
      <c r="A3546" s="121">
        <v>54778.0</v>
      </c>
    </row>
    <row r="3547">
      <c r="A3547" s="121">
        <v>54779.0</v>
      </c>
    </row>
    <row r="3548">
      <c r="A3548" s="121">
        <v>54780.0</v>
      </c>
    </row>
    <row r="3549">
      <c r="A3549" s="121">
        <v>54781.0</v>
      </c>
    </row>
    <row r="3550">
      <c r="A3550" s="121">
        <v>54782.0</v>
      </c>
      <c r="B3550" s="122">
        <v>45637.0</v>
      </c>
    </row>
    <row r="3551">
      <c r="A3551" s="121">
        <v>54783.0</v>
      </c>
    </row>
    <row r="3552">
      <c r="A3552" s="121">
        <v>54784.0</v>
      </c>
    </row>
    <row r="3553">
      <c r="A3553" s="121">
        <v>54785.0</v>
      </c>
    </row>
    <row r="3554">
      <c r="A3554" s="121">
        <v>54786.0</v>
      </c>
      <c r="B3554" s="122">
        <v>45522.0</v>
      </c>
    </row>
    <row r="3555">
      <c r="A3555" s="121">
        <v>54787.0</v>
      </c>
    </row>
    <row r="3556">
      <c r="A3556" s="121">
        <v>54788.0</v>
      </c>
    </row>
    <row r="3557">
      <c r="A3557" s="121">
        <v>54789.0</v>
      </c>
    </row>
    <row r="3558">
      <c r="A3558" s="121">
        <v>54790.0</v>
      </c>
    </row>
    <row r="3559">
      <c r="A3559" s="121">
        <v>54791.0</v>
      </c>
    </row>
    <row r="3560">
      <c r="A3560" s="121">
        <v>54792.0</v>
      </c>
    </row>
    <row r="3561">
      <c r="A3561" s="121">
        <v>54793.0</v>
      </c>
    </row>
    <row r="3562">
      <c r="A3562" s="121">
        <v>54794.0</v>
      </c>
      <c r="B3562" s="122">
        <v>45765.0</v>
      </c>
    </row>
    <row r="3563">
      <c r="A3563" s="121">
        <v>54795.0</v>
      </c>
    </row>
    <row r="3564">
      <c r="A3564" s="121">
        <v>54796.0</v>
      </c>
    </row>
    <row r="3565">
      <c r="A3565" s="121">
        <v>54797.0</v>
      </c>
    </row>
    <row r="3566">
      <c r="A3566" s="121">
        <v>54798.0</v>
      </c>
    </row>
    <row r="3567">
      <c r="A3567" s="121">
        <v>54799.0</v>
      </c>
    </row>
    <row r="3568">
      <c r="A3568" s="121">
        <v>54800.0</v>
      </c>
    </row>
    <row r="3569">
      <c r="A3569" s="121">
        <v>54801.0</v>
      </c>
    </row>
    <row r="3570">
      <c r="A3570" s="121">
        <v>54802.0</v>
      </c>
    </row>
    <row r="3571">
      <c r="A3571" s="121">
        <v>54803.0</v>
      </c>
    </row>
    <row r="3572">
      <c r="A3572" s="121">
        <v>54804.0</v>
      </c>
    </row>
    <row r="3573">
      <c r="A3573" s="121">
        <v>54805.0</v>
      </c>
    </row>
    <row r="3574">
      <c r="A3574" s="121">
        <v>54806.0</v>
      </c>
    </row>
    <row r="3575">
      <c r="A3575" s="121">
        <v>54807.0</v>
      </c>
    </row>
    <row r="3576">
      <c r="A3576" s="121">
        <v>54808.0</v>
      </c>
    </row>
    <row r="3577">
      <c r="A3577" s="121">
        <v>54809.0</v>
      </c>
    </row>
    <row r="3578">
      <c r="A3578" s="121">
        <v>54810.0</v>
      </c>
    </row>
    <row r="3579">
      <c r="A3579" s="121">
        <v>54811.0</v>
      </c>
    </row>
    <row r="3580">
      <c r="A3580" s="121">
        <v>54820.0</v>
      </c>
    </row>
    <row r="3581">
      <c r="A3581" s="121">
        <v>54821.0</v>
      </c>
    </row>
    <row r="3582">
      <c r="A3582" s="121">
        <v>54822.0</v>
      </c>
    </row>
    <row r="3583">
      <c r="A3583" s="121">
        <v>54823.0</v>
      </c>
    </row>
    <row r="3584">
      <c r="A3584" s="121">
        <v>54824.0</v>
      </c>
    </row>
    <row r="3585">
      <c r="A3585" s="121">
        <v>54825.0</v>
      </c>
      <c r="B3585" s="122">
        <v>45932.0</v>
      </c>
    </row>
    <row r="3586">
      <c r="A3586" s="121">
        <v>54826.0</v>
      </c>
    </row>
    <row r="3587">
      <c r="A3587" s="121">
        <v>54827.0</v>
      </c>
    </row>
    <row r="3588">
      <c r="A3588" s="121">
        <v>54828.0</v>
      </c>
    </row>
    <row r="3589">
      <c r="A3589" s="121">
        <v>54829.0</v>
      </c>
      <c r="B3589" s="122">
        <v>45553.0</v>
      </c>
    </row>
    <row r="3590">
      <c r="A3590" s="121">
        <v>54830.0</v>
      </c>
    </row>
    <row r="3591">
      <c r="A3591" s="121">
        <v>54831.0</v>
      </c>
    </row>
    <row r="3592">
      <c r="A3592" s="121">
        <v>54832.0</v>
      </c>
      <c r="B3592" s="122">
        <v>45949.0</v>
      </c>
    </row>
    <row r="3593">
      <c r="A3593" s="121">
        <v>54833.0</v>
      </c>
    </row>
    <row r="3594">
      <c r="A3594" s="121">
        <v>54834.0</v>
      </c>
    </row>
    <row r="3595">
      <c r="A3595" s="121">
        <v>54835.0</v>
      </c>
    </row>
    <row r="3596">
      <c r="A3596" s="121">
        <v>54836.0</v>
      </c>
    </row>
    <row r="3597">
      <c r="A3597" s="121">
        <v>54837.0</v>
      </c>
    </row>
    <row r="3598">
      <c r="A3598" s="121">
        <v>54838.0</v>
      </c>
    </row>
    <row r="3599">
      <c r="A3599" s="121">
        <v>54839.0</v>
      </c>
      <c r="B3599" s="122">
        <v>45470.0</v>
      </c>
    </row>
    <row r="3600">
      <c r="A3600" s="121">
        <v>54840.0</v>
      </c>
    </row>
    <row r="3601">
      <c r="A3601" s="121">
        <v>54841.0</v>
      </c>
    </row>
    <row r="3602">
      <c r="A3602" s="121">
        <v>54842.0</v>
      </c>
    </row>
    <row r="3603">
      <c r="A3603" s="121">
        <v>54843.0</v>
      </c>
    </row>
    <row r="3604">
      <c r="A3604" s="121">
        <v>54844.0</v>
      </c>
    </row>
    <row r="3605">
      <c r="A3605" s="121">
        <v>54845.0</v>
      </c>
    </row>
    <row r="3606">
      <c r="A3606" s="121">
        <v>54846.0</v>
      </c>
    </row>
    <row r="3607">
      <c r="A3607" s="121">
        <v>54847.0</v>
      </c>
    </row>
    <row r="3608">
      <c r="A3608" s="121">
        <v>54848.0</v>
      </c>
    </row>
    <row r="3609">
      <c r="A3609" s="121">
        <v>54849.0</v>
      </c>
      <c r="B3609" s="122">
        <v>45935.0</v>
      </c>
    </row>
    <row r="3610">
      <c r="A3610" s="121">
        <v>54850.0</v>
      </c>
    </row>
    <row r="3611">
      <c r="A3611" s="121">
        <v>54851.0</v>
      </c>
    </row>
    <row r="3612">
      <c r="A3612" s="121">
        <v>54852.0</v>
      </c>
    </row>
    <row r="3613">
      <c r="A3613" s="121">
        <v>54853.0</v>
      </c>
    </row>
    <row r="3614">
      <c r="A3614" s="121">
        <v>54854.0</v>
      </c>
      <c r="B3614" s="122">
        <v>45844.0</v>
      </c>
    </row>
    <row r="3615">
      <c r="A3615" s="121">
        <v>54855.0</v>
      </c>
    </row>
    <row r="3616">
      <c r="A3616" s="121">
        <v>54856.0</v>
      </c>
    </row>
    <row r="3617">
      <c r="A3617" s="121">
        <v>54857.0</v>
      </c>
    </row>
    <row r="3618">
      <c r="A3618" s="121">
        <v>54858.0</v>
      </c>
    </row>
    <row r="3619">
      <c r="A3619" s="121">
        <v>54859.0</v>
      </c>
    </row>
    <row r="3620">
      <c r="A3620" s="121">
        <v>54860.0</v>
      </c>
    </row>
    <row r="3621">
      <c r="A3621" s="121">
        <v>54861.0</v>
      </c>
    </row>
    <row r="3622">
      <c r="A3622" s="121">
        <v>54862.0</v>
      </c>
    </row>
    <row r="3623">
      <c r="A3623" s="121">
        <v>54863.0</v>
      </c>
    </row>
    <row r="3624">
      <c r="A3624" s="121">
        <v>54864.0</v>
      </c>
    </row>
    <row r="3625">
      <c r="A3625" s="121">
        <v>54865.0</v>
      </c>
    </row>
    <row r="3626">
      <c r="A3626" s="121">
        <v>54866.0</v>
      </c>
    </row>
    <row r="3627">
      <c r="A3627" s="121">
        <v>54867.0</v>
      </c>
    </row>
    <row r="3628">
      <c r="A3628" s="121">
        <v>54868.0</v>
      </c>
    </row>
    <row r="3629">
      <c r="A3629" s="121">
        <v>54869.0</v>
      </c>
    </row>
    <row r="3630">
      <c r="A3630" s="121">
        <v>54870.0</v>
      </c>
    </row>
    <row r="3631">
      <c r="A3631" s="121">
        <v>54871.0</v>
      </c>
    </row>
    <row r="3632">
      <c r="A3632" s="121">
        <v>54872.0</v>
      </c>
    </row>
    <row r="3633">
      <c r="A3633" s="121">
        <v>54873.0</v>
      </c>
    </row>
    <row r="3634">
      <c r="A3634" s="121">
        <v>55269.0</v>
      </c>
    </row>
    <row r="3635">
      <c r="A3635" s="121">
        <v>55270.0</v>
      </c>
      <c r="B3635" s="122">
        <v>45713.0</v>
      </c>
    </row>
    <row r="3636">
      <c r="A3636" s="121">
        <v>55271.0</v>
      </c>
    </row>
    <row r="3637">
      <c r="A3637" s="121">
        <v>55272.0</v>
      </c>
    </row>
    <row r="3638">
      <c r="A3638" s="121">
        <v>55273.0</v>
      </c>
    </row>
    <row r="3639">
      <c r="A3639" s="121">
        <v>55274.0</v>
      </c>
    </row>
    <row r="3640">
      <c r="A3640" s="121">
        <v>55275.0</v>
      </c>
    </row>
    <row r="3641">
      <c r="A3641" s="121">
        <v>55276.0</v>
      </c>
    </row>
    <row r="3642">
      <c r="A3642" s="121">
        <v>55277.0</v>
      </c>
    </row>
    <row r="3643">
      <c r="A3643" s="121">
        <v>55278.0</v>
      </c>
    </row>
    <row r="3644">
      <c r="A3644" s="121">
        <v>55279.0</v>
      </c>
      <c r="B3644" s="122">
        <v>45849.0</v>
      </c>
    </row>
    <row r="3645">
      <c r="A3645" s="121">
        <v>55280.0</v>
      </c>
    </row>
    <row r="3646">
      <c r="A3646" s="121">
        <v>55281.0</v>
      </c>
    </row>
    <row r="3647">
      <c r="A3647" s="121">
        <v>55282.0</v>
      </c>
    </row>
    <row r="3648">
      <c r="A3648" s="121">
        <v>55283.0</v>
      </c>
    </row>
    <row r="3649">
      <c r="A3649" s="121">
        <v>55284.0</v>
      </c>
    </row>
    <row r="3650">
      <c r="A3650" s="121">
        <v>55285.0</v>
      </c>
    </row>
    <row r="3651">
      <c r="A3651" s="121">
        <v>55286.0</v>
      </c>
    </row>
    <row r="3652">
      <c r="A3652" s="121">
        <v>55287.0</v>
      </c>
    </row>
    <row r="3653">
      <c r="A3653" s="121">
        <v>55288.0</v>
      </c>
    </row>
    <row r="3654">
      <c r="A3654" s="121">
        <v>55289.0</v>
      </c>
    </row>
    <row r="3655">
      <c r="A3655" s="121">
        <v>55290.0</v>
      </c>
    </row>
    <row r="3656">
      <c r="A3656" s="121">
        <v>55291.0</v>
      </c>
    </row>
    <row r="3657">
      <c r="A3657" s="121">
        <v>55292.0</v>
      </c>
    </row>
    <row r="3658">
      <c r="A3658" s="121">
        <v>55293.0</v>
      </c>
    </row>
    <row r="3659">
      <c r="A3659" s="121">
        <v>55294.0</v>
      </c>
    </row>
    <row r="3660">
      <c r="A3660" s="121">
        <v>55295.0</v>
      </c>
    </row>
    <row r="3661">
      <c r="A3661" s="121">
        <v>55296.0</v>
      </c>
    </row>
    <row r="3662">
      <c r="A3662" s="121">
        <v>55297.0</v>
      </c>
    </row>
    <row r="3663">
      <c r="A3663" s="121">
        <v>55298.0</v>
      </c>
      <c r="B3663" s="122">
        <v>45558.0</v>
      </c>
    </row>
    <row r="3664">
      <c r="A3664" s="121">
        <v>55299.0</v>
      </c>
    </row>
    <row r="3665">
      <c r="A3665" s="121">
        <v>55300.0</v>
      </c>
    </row>
    <row r="3666">
      <c r="A3666" s="121">
        <v>55301.0</v>
      </c>
      <c r="B3666" s="122">
        <v>44957.0</v>
      </c>
    </row>
    <row r="3667">
      <c r="A3667" s="121">
        <v>55302.0</v>
      </c>
    </row>
    <row r="3668">
      <c r="A3668" s="121">
        <v>55303.0</v>
      </c>
    </row>
    <row r="3669">
      <c r="A3669" s="121">
        <v>55304.0</v>
      </c>
    </row>
    <row r="3670">
      <c r="A3670" s="121">
        <v>55305.0</v>
      </c>
    </row>
    <row r="3671">
      <c r="A3671" s="121">
        <v>55306.0</v>
      </c>
    </row>
    <row r="3672">
      <c r="A3672" s="121">
        <v>55307.0</v>
      </c>
    </row>
    <row r="3673">
      <c r="A3673" s="121">
        <v>55308.0</v>
      </c>
      <c r="B3673" s="122">
        <v>45763.0</v>
      </c>
    </row>
    <row r="3674">
      <c r="A3674" s="121">
        <v>55309.0</v>
      </c>
    </row>
    <row r="3675">
      <c r="A3675" s="121">
        <v>55310.0</v>
      </c>
    </row>
    <row r="3676">
      <c r="A3676" s="121">
        <v>55311.0</v>
      </c>
    </row>
    <row r="3677">
      <c r="A3677" s="121">
        <v>55312.0</v>
      </c>
    </row>
    <row r="3678">
      <c r="A3678" s="121">
        <v>55313.0</v>
      </c>
    </row>
    <row r="3679">
      <c r="A3679" s="121">
        <v>55314.0</v>
      </c>
    </row>
    <row r="3680">
      <c r="A3680" s="121">
        <v>55315.0</v>
      </c>
    </row>
    <row r="3681">
      <c r="A3681" s="121">
        <v>55316.0</v>
      </c>
    </row>
    <row r="3682">
      <c r="A3682" s="121">
        <v>55317.0</v>
      </c>
    </row>
    <row r="3683">
      <c r="A3683" s="121">
        <v>55318.0</v>
      </c>
    </row>
    <row r="3684">
      <c r="A3684" s="121">
        <v>55319.0</v>
      </c>
    </row>
    <row r="3685">
      <c r="A3685" s="121">
        <v>55331.0</v>
      </c>
    </row>
    <row r="3686">
      <c r="A3686" s="121">
        <v>55332.0</v>
      </c>
    </row>
    <row r="3687">
      <c r="A3687" s="121">
        <v>55333.0</v>
      </c>
    </row>
    <row r="3688">
      <c r="A3688" s="121">
        <v>55334.0</v>
      </c>
    </row>
    <row r="3689">
      <c r="A3689" s="121">
        <v>55335.0</v>
      </c>
    </row>
    <row r="3690">
      <c r="A3690" s="121">
        <v>55336.0</v>
      </c>
    </row>
    <row r="3691">
      <c r="A3691" s="121">
        <v>55337.0</v>
      </c>
    </row>
    <row r="3692">
      <c r="A3692" s="121">
        <v>55338.0</v>
      </c>
    </row>
    <row r="3693">
      <c r="A3693" s="121">
        <v>55339.0</v>
      </c>
    </row>
    <row r="3694">
      <c r="A3694" s="121">
        <v>55340.0</v>
      </c>
    </row>
    <row r="3695">
      <c r="A3695" s="121">
        <v>55341.0</v>
      </c>
    </row>
    <row r="3696">
      <c r="A3696" s="121">
        <v>55342.0</v>
      </c>
    </row>
    <row r="3697">
      <c r="A3697" s="121">
        <v>55343.0</v>
      </c>
    </row>
    <row r="3698">
      <c r="A3698" s="121">
        <v>55344.0</v>
      </c>
      <c r="B3698" s="122">
        <v>45624.0</v>
      </c>
    </row>
    <row r="3699">
      <c r="A3699" s="121">
        <v>55345.0</v>
      </c>
    </row>
    <row r="3700">
      <c r="A3700" s="121">
        <v>55346.0</v>
      </c>
    </row>
    <row r="3701">
      <c r="A3701" s="121">
        <v>55347.0</v>
      </c>
    </row>
    <row r="3702">
      <c r="A3702" s="121">
        <v>55348.0</v>
      </c>
    </row>
    <row r="3703">
      <c r="A3703" s="121">
        <v>55349.0</v>
      </c>
    </row>
    <row r="3704">
      <c r="A3704" s="121">
        <v>55350.0</v>
      </c>
    </row>
    <row r="3705">
      <c r="A3705" s="121">
        <v>55351.0</v>
      </c>
    </row>
    <row r="3706">
      <c r="A3706" s="121">
        <v>55352.0</v>
      </c>
    </row>
    <row r="3707">
      <c r="A3707" s="121">
        <v>55353.0</v>
      </c>
    </row>
    <row r="3708">
      <c r="A3708" s="121">
        <v>55354.0</v>
      </c>
    </row>
    <row r="3709">
      <c r="A3709" s="121">
        <v>55355.0</v>
      </c>
    </row>
    <row r="3710">
      <c r="A3710" s="121">
        <v>55356.0</v>
      </c>
      <c r="B3710" s="122">
        <v>45008.0</v>
      </c>
    </row>
    <row r="3711">
      <c r="A3711" s="121">
        <v>55357.0</v>
      </c>
    </row>
    <row r="3712">
      <c r="A3712" s="121">
        <v>55358.0</v>
      </c>
    </row>
    <row r="3713">
      <c r="A3713" s="121">
        <v>55359.0</v>
      </c>
    </row>
    <row r="3714">
      <c r="A3714" s="121">
        <v>55360.0</v>
      </c>
    </row>
    <row r="3715">
      <c r="A3715" s="121">
        <v>55361.0</v>
      </c>
    </row>
    <row r="3716">
      <c r="A3716" s="121">
        <v>55362.0</v>
      </c>
    </row>
    <row r="3717">
      <c r="A3717" s="121">
        <v>55363.0</v>
      </c>
      <c r="B3717" s="122">
        <v>45750.0</v>
      </c>
    </row>
    <row r="3718">
      <c r="A3718" s="121">
        <v>55364.0</v>
      </c>
    </row>
    <row r="3719">
      <c r="A3719" s="121">
        <v>55365.0</v>
      </c>
    </row>
    <row r="3720">
      <c r="A3720" s="121">
        <v>55366.0</v>
      </c>
    </row>
    <row r="3721">
      <c r="A3721" s="121">
        <v>55367.0</v>
      </c>
    </row>
    <row r="3722">
      <c r="A3722" s="121">
        <v>55368.0</v>
      </c>
    </row>
    <row r="3723">
      <c r="A3723" s="121">
        <v>55369.0</v>
      </c>
    </row>
    <row r="3724">
      <c r="A3724" s="121">
        <v>55370.0</v>
      </c>
    </row>
    <row r="3725">
      <c r="A3725" s="121">
        <v>55371.0</v>
      </c>
    </row>
    <row r="3726">
      <c r="A3726" s="121">
        <v>55372.0</v>
      </c>
    </row>
    <row r="3727">
      <c r="A3727" s="121">
        <v>55373.0</v>
      </c>
    </row>
    <row r="3728">
      <c r="A3728" s="121">
        <v>55374.0</v>
      </c>
    </row>
    <row r="3729">
      <c r="A3729" s="121">
        <v>55375.0</v>
      </c>
    </row>
    <row r="3730">
      <c r="A3730" s="121">
        <v>55376.0</v>
      </c>
    </row>
    <row r="3731">
      <c r="A3731" s="121">
        <v>55377.0</v>
      </c>
    </row>
    <row r="3732">
      <c r="A3732" s="121">
        <v>55378.0</v>
      </c>
    </row>
    <row r="3733">
      <c r="A3733" s="121">
        <v>55379.0</v>
      </c>
    </row>
    <row r="3734">
      <c r="A3734" s="121">
        <v>55380.0</v>
      </c>
    </row>
    <row r="3735">
      <c r="A3735" s="121">
        <v>55381.0</v>
      </c>
    </row>
    <row r="3736">
      <c r="A3736" s="121">
        <v>55382.0</v>
      </c>
    </row>
    <row r="3737">
      <c r="A3737" s="121">
        <v>55383.0</v>
      </c>
    </row>
    <row r="3738">
      <c r="A3738" s="121">
        <v>55384.0</v>
      </c>
    </row>
    <row r="3739">
      <c r="A3739" s="121">
        <v>55385.0</v>
      </c>
    </row>
    <row r="3740">
      <c r="A3740" s="121">
        <v>55386.0</v>
      </c>
    </row>
    <row r="3741">
      <c r="A3741" s="121">
        <v>55391.0</v>
      </c>
      <c r="B3741" s="122">
        <v>45778.0</v>
      </c>
    </row>
    <row r="3742">
      <c r="A3742" s="121">
        <v>55392.0</v>
      </c>
    </row>
    <row r="3743">
      <c r="A3743" s="121">
        <v>55393.0</v>
      </c>
    </row>
    <row r="3744">
      <c r="A3744" s="121">
        <v>55394.0</v>
      </c>
      <c r="B3744" s="122">
        <v>45518.0</v>
      </c>
    </row>
    <row r="3745">
      <c r="A3745" s="121">
        <v>55395.0</v>
      </c>
    </row>
    <row r="3746">
      <c r="A3746" s="121">
        <v>55396.0</v>
      </c>
    </row>
    <row r="3747">
      <c r="A3747" s="121">
        <v>55397.0</v>
      </c>
    </row>
    <row r="3748">
      <c r="A3748" s="121">
        <v>55398.0</v>
      </c>
    </row>
    <row r="3749">
      <c r="A3749" s="121">
        <v>55399.0</v>
      </c>
    </row>
    <row r="3750">
      <c r="A3750" s="121">
        <v>55400.0</v>
      </c>
    </row>
    <row r="3751">
      <c r="A3751" s="121">
        <v>55401.0</v>
      </c>
    </row>
    <row r="3752">
      <c r="A3752" s="121">
        <v>55402.0</v>
      </c>
    </row>
    <row r="3753">
      <c r="A3753" s="121">
        <v>55403.0</v>
      </c>
    </row>
    <row r="3754">
      <c r="A3754" s="121">
        <v>55404.0</v>
      </c>
    </row>
    <row r="3755">
      <c r="A3755" s="121">
        <v>55405.0</v>
      </c>
    </row>
    <row r="3756">
      <c r="A3756" s="121">
        <v>55406.0</v>
      </c>
    </row>
    <row r="3757">
      <c r="A3757" s="121">
        <v>55407.0</v>
      </c>
    </row>
    <row r="3758">
      <c r="A3758" s="121">
        <v>55408.0</v>
      </c>
    </row>
    <row r="3759">
      <c r="A3759" s="121">
        <v>55409.0</v>
      </c>
      <c r="B3759" s="122">
        <v>45758.0</v>
      </c>
    </row>
    <row r="3760">
      <c r="A3760" s="121">
        <v>55410.0</v>
      </c>
    </row>
    <row r="3761">
      <c r="A3761" s="121">
        <v>55411.0</v>
      </c>
    </row>
    <row r="3762">
      <c r="A3762" s="121">
        <v>55412.0</v>
      </c>
      <c r="B3762" s="122">
        <v>45738.0</v>
      </c>
    </row>
    <row r="3763">
      <c r="A3763" s="121">
        <v>55413.0</v>
      </c>
    </row>
    <row r="3764">
      <c r="A3764" s="121">
        <v>55414.0</v>
      </c>
    </row>
    <row r="3765">
      <c r="A3765" s="121">
        <v>55415.0</v>
      </c>
      <c r="B3765" s="122">
        <v>45732.0</v>
      </c>
    </row>
    <row r="3766">
      <c r="A3766" s="121">
        <v>55416.0</v>
      </c>
    </row>
    <row r="3767">
      <c r="A3767" s="121">
        <v>55417.0</v>
      </c>
      <c r="B3767" s="122">
        <v>45769.0</v>
      </c>
    </row>
    <row r="3768">
      <c r="A3768" s="121">
        <v>55418.0</v>
      </c>
    </row>
    <row r="3769">
      <c r="A3769" s="121">
        <v>55419.0</v>
      </c>
    </row>
    <row r="3770">
      <c r="A3770" s="121">
        <v>55420.0</v>
      </c>
    </row>
    <row r="3771">
      <c r="A3771" s="121">
        <v>55421.0</v>
      </c>
    </row>
    <row r="3772">
      <c r="A3772" s="121">
        <v>55422.0</v>
      </c>
    </row>
    <row r="3773">
      <c r="A3773" s="121">
        <v>55423.0</v>
      </c>
    </row>
    <row r="3774">
      <c r="A3774" s="121">
        <v>55424.0</v>
      </c>
      <c r="B3774" s="122">
        <v>44970.0</v>
      </c>
    </row>
    <row r="3775">
      <c r="A3775" s="121">
        <v>55425.0</v>
      </c>
    </row>
    <row r="3776">
      <c r="A3776" s="121">
        <v>55426.0</v>
      </c>
    </row>
    <row r="3777">
      <c r="A3777" s="121">
        <v>55427.0</v>
      </c>
      <c r="B3777" s="122">
        <v>46054.0</v>
      </c>
    </row>
    <row r="3778">
      <c r="A3778" s="121">
        <v>55428.0</v>
      </c>
    </row>
    <row r="3779">
      <c r="A3779" s="121">
        <v>55429.0</v>
      </c>
    </row>
    <row r="3780">
      <c r="A3780" s="121">
        <v>55430.0</v>
      </c>
    </row>
    <row r="3781">
      <c r="A3781" s="121">
        <v>55431.0</v>
      </c>
    </row>
    <row r="3782">
      <c r="A3782" s="121">
        <v>55432.0</v>
      </c>
    </row>
    <row r="3783">
      <c r="A3783" s="121">
        <v>55433.0</v>
      </c>
    </row>
    <row r="3784">
      <c r="A3784" s="121">
        <v>55434.0</v>
      </c>
    </row>
    <row r="3785">
      <c r="A3785" s="121">
        <v>55435.0</v>
      </c>
    </row>
    <row r="3786">
      <c r="A3786" s="121">
        <v>55436.0</v>
      </c>
    </row>
    <row r="3787">
      <c r="A3787" s="121">
        <v>55437.0</v>
      </c>
      <c r="B3787" s="122">
        <v>45587.0</v>
      </c>
    </row>
    <row r="3788">
      <c r="A3788" s="121">
        <v>55438.0</v>
      </c>
    </row>
    <row r="3789">
      <c r="A3789" s="121">
        <v>55439.0</v>
      </c>
    </row>
    <row r="3790">
      <c r="A3790" s="121">
        <v>55449.0</v>
      </c>
    </row>
    <row r="3791">
      <c r="A3791" s="121">
        <v>55450.0</v>
      </c>
    </row>
    <row r="3792">
      <c r="A3792" s="121">
        <v>55451.0</v>
      </c>
    </row>
    <row r="3793">
      <c r="A3793" s="121">
        <v>55452.0</v>
      </c>
    </row>
    <row r="3794">
      <c r="A3794" s="121">
        <v>55453.0</v>
      </c>
    </row>
    <row r="3795">
      <c r="A3795" s="121">
        <v>55454.0</v>
      </c>
    </row>
    <row r="3796">
      <c r="A3796" s="121">
        <v>55455.0</v>
      </c>
    </row>
    <row r="3797">
      <c r="A3797" s="121">
        <v>55456.0</v>
      </c>
    </row>
    <row r="3798">
      <c r="A3798" s="121">
        <v>55457.0</v>
      </c>
    </row>
    <row r="3799">
      <c r="A3799" s="121">
        <v>55458.0</v>
      </c>
    </row>
    <row r="3800">
      <c r="A3800" s="121">
        <v>55459.0</v>
      </c>
    </row>
    <row r="3801">
      <c r="A3801" s="121">
        <v>55460.0</v>
      </c>
    </row>
    <row r="3802">
      <c r="A3802" s="121">
        <v>55461.0</v>
      </c>
    </row>
    <row r="3803">
      <c r="A3803" s="121">
        <v>55462.0</v>
      </c>
    </row>
    <row r="3804">
      <c r="A3804" s="121">
        <v>55463.0</v>
      </c>
    </row>
    <row r="3805">
      <c r="A3805" s="121">
        <v>55464.0</v>
      </c>
    </row>
    <row r="3806">
      <c r="A3806" s="121">
        <v>55465.0</v>
      </c>
    </row>
    <row r="3807">
      <c r="A3807" s="121">
        <v>55466.0</v>
      </c>
    </row>
    <row r="3808">
      <c r="A3808" s="121">
        <v>55467.0</v>
      </c>
    </row>
    <row r="3809">
      <c r="A3809" s="121">
        <v>55468.0</v>
      </c>
    </row>
    <row r="3810">
      <c r="A3810" s="121">
        <v>55469.0</v>
      </c>
    </row>
    <row r="3811">
      <c r="A3811" s="121">
        <v>55470.0</v>
      </c>
    </row>
    <row r="3812">
      <c r="A3812" s="121">
        <v>55471.0</v>
      </c>
    </row>
    <row r="3813">
      <c r="A3813" s="121">
        <v>55472.0</v>
      </c>
    </row>
    <row r="3814">
      <c r="A3814" s="121">
        <v>55473.0</v>
      </c>
      <c r="B3814" s="122">
        <v>45992.0</v>
      </c>
    </row>
    <row r="3815">
      <c r="A3815" s="121">
        <v>55474.0</v>
      </c>
    </row>
    <row r="3816">
      <c r="A3816" s="121">
        <v>55475.0</v>
      </c>
    </row>
    <row r="3817">
      <c r="A3817" s="121">
        <v>55476.0</v>
      </c>
      <c r="B3817" s="122">
        <v>45196.0</v>
      </c>
    </row>
    <row r="3818">
      <c r="A3818" s="121">
        <v>55477.0</v>
      </c>
    </row>
    <row r="3819">
      <c r="A3819" s="121">
        <v>55478.0</v>
      </c>
    </row>
    <row r="3820">
      <c r="A3820" s="121">
        <v>55479.0</v>
      </c>
    </row>
    <row r="3821">
      <c r="A3821" s="121">
        <v>55480.0</v>
      </c>
    </row>
    <row r="3822">
      <c r="A3822" s="121">
        <v>55481.0</v>
      </c>
    </row>
    <row r="3823">
      <c r="A3823" s="121">
        <v>55482.0</v>
      </c>
      <c r="B3823" s="122">
        <v>45686.0</v>
      </c>
    </row>
    <row r="3824">
      <c r="A3824" s="121">
        <v>55483.0</v>
      </c>
    </row>
    <row r="3825">
      <c r="A3825" s="121">
        <v>55484.0</v>
      </c>
    </row>
    <row r="3826">
      <c r="A3826" s="121">
        <v>55485.0</v>
      </c>
    </row>
    <row r="3827">
      <c r="A3827" s="121">
        <v>55486.0</v>
      </c>
    </row>
    <row r="3828">
      <c r="A3828" s="121">
        <v>55487.0</v>
      </c>
    </row>
    <row r="3829">
      <c r="A3829" s="121">
        <v>55488.0</v>
      </c>
    </row>
    <row r="3830">
      <c r="A3830" s="121">
        <v>55489.0</v>
      </c>
    </row>
    <row r="3831">
      <c r="A3831" s="121">
        <v>55490.0</v>
      </c>
    </row>
    <row r="3832">
      <c r="A3832" s="121">
        <v>55491.0</v>
      </c>
    </row>
    <row r="3833">
      <c r="A3833" s="121">
        <v>55492.0</v>
      </c>
    </row>
    <row r="3834">
      <c r="A3834" s="121">
        <v>55493.0</v>
      </c>
    </row>
    <row r="3835">
      <c r="A3835" s="121">
        <v>55494.0</v>
      </c>
    </row>
    <row r="3836">
      <c r="A3836" s="121">
        <v>55495.0</v>
      </c>
    </row>
    <row r="3837">
      <c r="A3837" s="121">
        <v>55496.0</v>
      </c>
      <c r="B3837" s="122">
        <v>45125.0</v>
      </c>
    </row>
    <row r="3838">
      <c r="A3838" s="121">
        <v>55497.0</v>
      </c>
    </row>
    <row r="3839">
      <c r="A3839" s="121">
        <v>55498.0</v>
      </c>
    </row>
    <row r="3840">
      <c r="A3840" s="121">
        <v>55499.0</v>
      </c>
    </row>
    <row r="3841">
      <c r="A3841" s="121">
        <v>55500.0</v>
      </c>
    </row>
    <row r="3842">
      <c r="A3842" s="121">
        <v>55501.0</v>
      </c>
    </row>
    <row r="3843">
      <c r="A3843" s="121">
        <v>55569.0</v>
      </c>
    </row>
    <row r="3844">
      <c r="A3844" s="121">
        <v>55570.0</v>
      </c>
    </row>
    <row r="3845">
      <c r="A3845" s="121">
        <v>55571.0</v>
      </c>
    </row>
    <row r="3846">
      <c r="A3846" s="121">
        <v>55572.0</v>
      </c>
    </row>
    <row r="3847">
      <c r="A3847" s="121">
        <v>55573.0</v>
      </c>
    </row>
    <row r="3848">
      <c r="A3848" s="121">
        <v>55574.0</v>
      </c>
    </row>
    <row r="3849">
      <c r="A3849" s="121">
        <v>55575.0</v>
      </c>
    </row>
    <row r="3850">
      <c r="A3850" s="121">
        <v>55576.0</v>
      </c>
    </row>
    <row r="3851">
      <c r="A3851" s="121">
        <v>55577.0</v>
      </c>
    </row>
    <row r="3852">
      <c r="A3852" s="121">
        <v>55578.0</v>
      </c>
      <c r="B3852" s="122">
        <v>45755.0</v>
      </c>
    </row>
    <row r="3853">
      <c r="A3853" s="121">
        <v>55579.0</v>
      </c>
    </row>
    <row r="3854">
      <c r="A3854" s="121">
        <v>55580.0</v>
      </c>
    </row>
    <row r="3855">
      <c r="A3855" s="121">
        <v>55581.0</v>
      </c>
    </row>
    <row r="3856">
      <c r="A3856" s="121">
        <v>55582.0</v>
      </c>
    </row>
    <row r="3857">
      <c r="A3857" s="121">
        <v>55583.0</v>
      </c>
    </row>
    <row r="3858">
      <c r="A3858" s="121">
        <v>55584.0</v>
      </c>
    </row>
    <row r="3859">
      <c r="A3859" s="121">
        <v>55585.0</v>
      </c>
    </row>
    <row r="3860">
      <c r="A3860" s="121">
        <v>55586.0</v>
      </c>
    </row>
    <row r="3861">
      <c r="A3861" s="121">
        <v>55587.0</v>
      </c>
    </row>
    <row r="3862">
      <c r="A3862" s="121">
        <v>55588.0</v>
      </c>
    </row>
    <row r="3863">
      <c r="A3863" s="121">
        <v>55589.0</v>
      </c>
    </row>
    <row r="3864">
      <c r="A3864" s="121">
        <v>55590.0</v>
      </c>
    </row>
    <row r="3865">
      <c r="A3865" s="121">
        <v>55591.0</v>
      </c>
    </row>
    <row r="3866">
      <c r="A3866" s="121">
        <v>55592.0</v>
      </c>
    </row>
    <row r="3867">
      <c r="A3867" s="121">
        <v>55593.0</v>
      </c>
    </row>
    <row r="3868">
      <c r="A3868" s="121">
        <v>55594.0</v>
      </c>
    </row>
    <row r="3869">
      <c r="A3869" s="121">
        <v>55595.0</v>
      </c>
      <c r="B3869" s="122">
        <v>45863.0</v>
      </c>
    </row>
    <row r="3870">
      <c r="A3870" s="121">
        <v>55596.0</v>
      </c>
    </row>
    <row r="3871">
      <c r="A3871" s="121">
        <v>55597.0</v>
      </c>
    </row>
    <row r="3872">
      <c r="A3872" s="121">
        <v>55598.0</v>
      </c>
    </row>
    <row r="3873">
      <c r="A3873" s="121">
        <v>55599.0</v>
      </c>
    </row>
    <row r="3874">
      <c r="A3874" s="121">
        <v>55600.0</v>
      </c>
    </row>
    <row r="3875">
      <c r="A3875" s="121">
        <v>55601.0</v>
      </c>
    </row>
    <row r="3876">
      <c r="A3876" s="121">
        <v>55602.0</v>
      </c>
    </row>
    <row r="3877">
      <c r="A3877" s="121">
        <v>55603.0</v>
      </c>
    </row>
    <row r="3878">
      <c r="A3878" s="121">
        <v>55604.0</v>
      </c>
    </row>
    <row r="3879">
      <c r="A3879" s="121">
        <v>55605.0</v>
      </c>
    </row>
    <row r="3880">
      <c r="A3880" s="121">
        <v>55606.0</v>
      </c>
      <c r="B3880" s="122">
        <v>44995.0</v>
      </c>
    </row>
    <row r="3881">
      <c r="A3881" s="121">
        <v>55607.0</v>
      </c>
    </row>
    <row r="3882">
      <c r="A3882" s="121">
        <v>55608.0</v>
      </c>
    </row>
    <row r="3883">
      <c r="A3883" s="121">
        <v>55609.0</v>
      </c>
    </row>
    <row r="3884">
      <c r="A3884" s="121">
        <v>55610.0</v>
      </c>
    </row>
    <row r="3885">
      <c r="A3885" s="121">
        <v>55611.0</v>
      </c>
    </row>
    <row r="3886">
      <c r="A3886" s="121">
        <v>55612.0</v>
      </c>
    </row>
    <row r="3887">
      <c r="A3887" s="121">
        <v>55613.0</v>
      </c>
      <c r="B3887" s="122">
        <v>45987.0</v>
      </c>
    </row>
    <row r="3888">
      <c r="A3888" s="121">
        <v>55614.0</v>
      </c>
    </row>
    <row r="3889">
      <c r="A3889" s="121">
        <v>55615.0</v>
      </c>
    </row>
    <row r="3890">
      <c r="A3890" s="121">
        <v>55616.0</v>
      </c>
    </row>
    <row r="3891">
      <c r="A3891" s="121">
        <v>55617.0</v>
      </c>
    </row>
    <row r="3892">
      <c r="A3892" s="121">
        <v>55618.0</v>
      </c>
    </row>
    <row r="3893">
      <c r="A3893" s="121">
        <v>55619.0</v>
      </c>
    </row>
    <row r="3894">
      <c r="A3894" s="121">
        <v>55620.0</v>
      </c>
    </row>
    <row r="3895">
      <c r="A3895" s="121">
        <v>55621.0</v>
      </c>
    </row>
    <row r="3896">
      <c r="A3896" s="121">
        <v>55622.0</v>
      </c>
    </row>
    <row r="3897">
      <c r="A3897" s="121">
        <v>55623.0</v>
      </c>
    </row>
    <row r="3898">
      <c r="A3898" s="121">
        <v>55628.0</v>
      </c>
    </row>
    <row r="3899">
      <c r="A3899" s="121">
        <v>55629.0</v>
      </c>
    </row>
    <row r="3900">
      <c r="A3900" s="121">
        <v>55630.0</v>
      </c>
    </row>
    <row r="3901">
      <c r="A3901" s="121">
        <v>55631.0</v>
      </c>
    </row>
    <row r="3902">
      <c r="A3902" s="121">
        <v>55632.0</v>
      </c>
    </row>
    <row r="3903">
      <c r="A3903" s="121">
        <v>55633.0</v>
      </c>
    </row>
    <row r="3904">
      <c r="A3904" s="121">
        <v>55634.0</v>
      </c>
    </row>
    <row r="3905">
      <c r="A3905" s="121">
        <v>55635.0</v>
      </c>
    </row>
    <row r="3906">
      <c r="A3906" s="121">
        <v>55636.0</v>
      </c>
    </row>
    <row r="3907">
      <c r="A3907" s="121">
        <v>55637.0</v>
      </c>
    </row>
    <row r="3908">
      <c r="A3908" s="121">
        <v>55638.0</v>
      </c>
    </row>
    <row r="3909">
      <c r="A3909" s="121">
        <v>55639.0</v>
      </c>
    </row>
    <row r="3910">
      <c r="A3910" s="121">
        <v>55640.0</v>
      </c>
    </row>
    <row r="3911">
      <c r="A3911" s="121">
        <v>55641.0</v>
      </c>
    </row>
    <row r="3912">
      <c r="A3912" s="121">
        <v>55642.0</v>
      </c>
      <c r="B3912" s="122">
        <v>45469.0</v>
      </c>
    </row>
    <row r="3913">
      <c r="A3913" s="121">
        <v>55643.0</v>
      </c>
    </row>
    <row r="3914">
      <c r="A3914" s="121">
        <v>55644.0</v>
      </c>
    </row>
    <row r="3915">
      <c r="A3915" s="121">
        <v>55645.0</v>
      </c>
      <c r="B3915" s="122">
        <v>45525.0</v>
      </c>
    </row>
    <row r="3916">
      <c r="A3916" s="121">
        <v>55646.0</v>
      </c>
      <c r="B3916" s="122">
        <v>45767.0</v>
      </c>
    </row>
    <row r="3917">
      <c r="A3917" s="121">
        <v>55647.0</v>
      </c>
    </row>
    <row r="3918">
      <c r="A3918" s="121">
        <v>55648.0</v>
      </c>
    </row>
    <row r="3919">
      <c r="A3919" s="121">
        <v>55649.0</v>
      </c>
    </row>
    <row r="3920">
      <c r="A3920" s="121">
        <v>55650.0</v>
      </c>
    </row>
    <row r="3921">
      <c r="A3921" s="121">
        <v>55651.0</v>
      </c>
    </row>
    <row r="3922">
      <c r="A3922" s="121">
        <v>55652.0</v>
      </c>
    </row>
    <row r="3923">
      <c r="A3923" s="121">
        <v>55653.0</v>
      </c>
    </row>
    <row r="3924">
      <c r="A3924" s="121">
        <v>55654.0</v>
      </c>
    </row>
    <row r="3925">
      <c r="A3925" s="121">
        <v>55655.0</v>
      </c>
    </row>
    <row r="3926">
      <c r="A3926" s="121">
        <v>55656.0</v>
      </c>
      <c r="B3926" s="122">
        <v>45993.0</v>
      </c>
    </row>
    <row r="3927">
      <c r="A3927" s="121">
        <v>55657.0</v>
      </c>
    </row>
    <row r="3928">
      <c r="A3928" s="121">
        <v>55658.0</v>
      </c>
    </row>
    <row r="3929">
      <c r="A3929" s="121">
        <v>55659.0</v>
      </c>
    </row>
    <row r="3930">
      <c r="A3930" s="121">
        <v>55660.0</v>
      </c>
    </row>
    <row r="3931">
      <c r="A3931" s="121">
        <v>55661.0</v>
      </c>
    </row>
    <row r="3932">
      <c r="A3932" s="121">
        <v>55662.0</v>
      </c>
    </row>
    <row r="3933">
      <c r="A3933" s="121">
        <v>55663.0</v>
      </c>
    </row>
    <row r="3934">
      <c r="A3934" s="121">
        <v>55664.0</v>
      </c>
    </row>
    <row r="3935">
      <c r="A3935" s="121">
        <v>55665.0</v>
      </c>
    </row>
    <row r="3936">
      <c r="A3936" s="121">
        <v>55666.0</v>
      </c>
      <c r="B3936" s="122">
        <v>45024.0</v>
      </c>
    </row>
    <row r="3937">
      <c r="A3937" s="121">
        <v>55667.0</v>
      </c>
    </row>
    <row r="3938">
      <c r="A3938" s="121">
        <v>55668.0</v>
      </c>
    </row>
    <row r="3939">
      <c r="A3939" s="121">
        <v>55669.0</v>
      </c>
    </row>
    <row r="3940">
      <c r="A3940" s="121">
        <v>55670.0</v>
      </c>
    </row>
    <row r="3941">
      <c r="A3941" s="121">
        <v>55671.0</v>
      </c>
    </row>
    <row r="3942">
      <c r="A3942" s="121">
        <v>55672.0</v>
      </c>
      <c r="B3942" s="122">
        <v>45525.0</v>
      </c>
    </row>
    <row r="3943">
      <c r="A3943" s="121">
        <v>55673.0</v>
      </c>
    </row>
    <row r="3944">
      <c r="A3944" s="121">
        <v>55674.0</v>
      </c>
    </row>
    <row r="3945">
      <c r="A3945" s="121">
        <v>55675.0</v>
      </c>
    </row>
    <row r="3946">
      <c r="A3946" s="121">
        <v>55676.0</v>
      </c>
    </row>
    <row r="3947">
      <c r="A3947" s="121">
        <v>55677.0</v>
      </c>
    </row>
    <row r="3948">
      <c r="A3948" s="121">
        <v>55678.0</v>
      </c>
      <c r="B3948" s="122">
        <v>45744.0</v>
      </c>
    </row>
    <row r="3949">
      <c r="A3949" s="121">
        <v>55695.0</v>
      </c>
      <c r="B3949" s="122">
        <v>45500.0</v>
      </c>
    </row>
    <row r="3950">
      <c r="A3950" s="121">
        <v>55696.0</v>
      </c>
      <c r="B3950" s="122">
        <v>45059.0</v>
      </c>
    </row>
    <row r="3951">
      <c r="A3951" s="121">
        <v>55697.0</v>
      </c>
      <c r="B3951" s="122">
        <v>45527.0</v>
      </c>
    </row>
    <row r="3952">
      <c r="A3952" s="121">
        <v>55698.0</v>
      </c>
      <c r="B3952" s="122">
        <v>45107.0</v>
      </c>
    </row>
    <row r="3953">
      <c r="A3953" s="121">
        <v>55699.0</v>
      </c>
      <c r="B3953" s="122">
        <v>45500.0</v>
      </c>
    </row>
    <row r="3954">
      <c r="A3954" s="121">
        <v>55700.0</v>
      </c>
      <c r="B3954" s="122">
        <v>45520.0</v>
      </c>
    </row>
    <row r="3955">
      <c r="A3955" s="121">
        <v>55701.0</v>
      </c>
      <c r="B3955" s="122">
        <v>45498.0</v>
      </c>
    </row>
    <row r="3956">
      <c r="A3956" s="121">
        <v>55702.0</v>
      </c>
      <c r="B3956" s="122">
        <v>45182.0</v>
      </c>
    </row>
    <row r="3957">
      <c r="A3957" s="121">
        <v>55703.0</v>
      </c>
      <c r="B3957" s="122">
        <v>45090.0</v>
      </c>
    </row>
    <row r="3958">
      <c r="A3958" s="121">
        <v>55704.0</v>
      </c>
      <c r="B3958" s="122">
        <v>45460.0</v>
      </c>
    </row>
    <row r="3959">
      <c r="A3959" s="121">
        <v>55705.0</v>
      </c>
      <c r="B3959" s="122">
        <v>45498.0</v>
      </c>
    </row>
    <row r="3960">
      <c r="A3960" s="121">
        <v>55706.0</v>
      </c>
      <c r="B3960" s="122">
        <v>45033.0</v>
      </c>
    </row>
    <row r="3961">
      <c r="A3961" s="121">
        <v>55707.0</v>
      </c>
      <c r="B3961" s="122">
        <v>45498.0</v>
      </c>
    </row>
    <row r="3962">
      <c r="A3962" s="121">
        <v>55708.0</v>
      </c>
      <c r="B3962" s="122">
        <v>45144.0</v>
      </c>
    </row>
    <row r="3963">
      <c r="A3963" s="121">
        <v>55709.0</v>
      </c>
      <c r="B3963" s="122">
        <v>45534.0</v>
      </c>
    </row>
    <row r="3964">
      <c r="A3964" s="121">
        <v>55710.0</v>
      </c>
      <c r="B3964" s="122">
        <v>45512.0</v>
      </c>
    </row>
    <row r="3965">
      <c r="A3965" s="121">
        <v>55711.0</v>
      </c>
      <c r="B3965" s="122">
        <v>45081.0</v>
      </c>
    </row>
    <row r="3966">
      <c r="A3966" s="121">
        <v>55712.0</v>
      </c>
      <c r="B3966" s="122">
        <v>45497.0</v>
      </c>
    </row>
    <row r="3967">
      <c r="A3967" s="121">
        <v>55713.0</v>
      </c>
      <c r="B3967" s="122">
        <v>45497.0</v>
      </c>
    </row>
    <row r="3968">
      <c r="A3968" s="121">
        <v>55714.0</v>
      </c>
      <c r="B3968" s="122">
        <v>45194.0</v>
      </c>
    </row>
    <row r="3969">
      <c r="A3969" s="121">
        <v>55715.0</v>
      </c>
      <c r="B3969" s="122">
        <v>45019.0</v>
      </c>
    </row>
    <row r="3970">
      <c r="A3970" s="121">
        <v>55741.0</v>
      </c>
    </row>
    <row r="3971">
      <c r="A3971" s="121">
        <v>55742.0</v>
      </c>
    </row>
    <row r="3972">
      <c r="A3972" s="121">
        <v>55743.0</v>
      </c>
    </row>
    <row r="3973">
      <c r="A3973" s="121">
        <v>55744.0</v>
      </c>
    </row>
    <row r="3974">
      <c r="A3974" s="121">
        <v>55745.0</v>
      </c>
      <c r="B3974" s="122">
        <v>45716.0</v>
      </c>
    </row>
    <row r="3975">
      <c r="A3975" s="121">
        <v>55746.0</v>
      </c>
    </row>
    <row r="3976">
      <c r="A3976" s="121">
        <v>55747.0</v>
      </c>
    </row>
    <row r="3977">
      <c r="A3977" s="121">
        <v>55748.0</v>
      </c>
    </row>
    <row r="3978">
      <c r="A3978" s="121">
        <v>55749.0</v>
      </c>
      <c r="B3978" s="122">
        <v>45845.0</v>
      </c>
    </row>
    <row r="3979">
      <c r="A3979" s="121">
        <v>55750.0</v>
      </c>
    </row>
    <row r="3980">
      <c r="A3980" s="121">
        <v>55751.0</v>
      </c>
    </row>
    <row r="3981">
      <c r="A3981" s="121">
        <v>55752.0</v>
      </c>
    </row>
    <row r="3982">
      <c r="A3982" s="121">
        <v>55753.0</v>
      </c>
    </row>
    <row r="3983">
      <c r="A3983" s="121">
        <v>55754.0</v>
      </c>
    </row>
    <row r="3984">
      <c r="A3984" s="121">
        <v>55755.0</v>
      </c>
    </row>
    <row r="3985">
      <c r="A3985" s="121">
        <v>55756.0</v>
      </c>
    </row>
    <row r="3986">
      <c r="A3986" s="121">
        <v>55757.0</v>
      </c>
    </row>
    <row r="3987">
      <c r="A3987" s="121">
        <v>55758.0</v>
      </c>
    </row>
    <row r="3988">
      <c r="A3988" s="121">
        <v>55759.0</v>
      </c>
      <c r="B3988" s="122">
        <v>45731.0</v>
      </c>
    </row>
    <row r="3989">
      <c r="A3989" s="121">
        <v>55760.0</v>
      </c>
    </row>
    <row r="3990">
      <c r="A3990" s="121">
        <v>55761.0</v>
      </c>
    </row>
    <row r="3991">
      <c r="A3991" s="121">
        <v>55762.0</v>
      </c>
    </row>
    <row r="3992">
      <c r="A3992" s="121">
        <v>55763.0</v>
      </c>
    </row>
    <row r="3993">
      <c r="A3993" s="121">
        <v>55764.0</v>
      </c>
    </row>
    <row r="3994">
      <c r="A3994" s="121">
        <v>55765.0</v>
      </c>
    </row>
    <row r="3995">
      <c r="A3995" s="121">
        <v>55766.0</v>
      </c>
    </row>
    <row r="3996">
      <c r="A3996" s="121">
        <v>55767.0</v>
      </c>
    </row>
    <row r="3997">
      <c r="A3997" s="121">
        <v>55768.0</v>
      </c>
      <c r="B3997" s="122">
        <v>45805.0</v>
      </c>
    </row>
    <row r="3998">
      <c r="A3998" s="121">
        <v>55769.0</v>
      </c>
    </row>
    <row r="3999">
      <c r="A3999" s="121">
        <v>55770.0</v>
      </c>
    </row>
    <row r="4000">
      <c r="A4000" s="121">
        <v>55771.0</v>
      </c>
    </row>
    <row r="4001">
      <c r="A4001" s="121">
        <v>55772.0</v>
      </c>
    </row>
    <row r="4002">
      <c r="A4002" s="121">
        <v>55773.0</v>
      </c>
    </row>
    <row r="4003">
      <c r="A4003" s="121">
        <v>55774.0</v>
      </c>
    </row>
    <row r="4004">
      <c r="A4004" s="121">
        <v>55775.0</v>
      </c>
    </row>
    <row r="4005">
      <c r="A4005" s="121">
        <v>55776.0</v>
      </c>
      <c r="B4005" s="122">
        <v>45992.0</v>
      </c>
    </row>
    <row r="4006">
      <c r="A4006" s="121">
        <v>55777.0</v>
      </c>
    </row>
    <row r="4007">
      <c r="A4007" s="121">
        <v>55778.0</v>
      </c>
    </row>
    <row r="4008">
      <c r="A4008" s="121">
        <v>55779.0</v>
      </c>
    </row>
    <row r="4009">
      <c r="A4009" s="121">
        <v>55780.0</v>
      </c>
    </row>
    <row r="4010">
      <c r="A4010" s="121">
        <v>55781.0</v>
      </c>
    </row>
    <row r="4011">
      <c r="A4011" s="121">
        <v>55782.0</v>
      </c>
    </row>
    <row r="4012">
      <c r="A4012" s="121">
        <v>55783.0</v>
      </c>
    </row>
    <row r="4013">
      <c r="A4013" s="121">
        <v>55784.0</v>
      </c>
    </row>
    <row r="4014">
      <c r="A4014" s="121">
        <v>55785.0</v>
      </c>
    </row>
    <row r="4015">
      <c r="A4015" s="121">
        <v>55786.0</v>
      </c>
    </row>
    <row r="4016">
      <c r="A4016" s="121">
        <v>55787.0</v>
      </c>
    </row>
    <row r="4017">
      <c r="A4017" s="121">
        <v>55788.0</v>
      </c>
    </row>
    <row r="4018">
      <c r="A4018" s="121">
        <v>55789.0</v>
      </c>
    </row>
    <row r="4019">
      <c r="A4019" s="121">
        <v>55790.0</v>
      </c>
    </row>
    <row r="4020">
      <c r="A4020" s="121">
        <v>55791.0</v>
      </c>
    </row>
    <row r="4021">
      <c r="A4021" s="121">
        <v>55914.0</v>
      </c>
    </row>
    <row r="4022">
      <c r="A4022" s="121">
        <v>55915.0</v>
      </c>
    </row>
    <row r="4023">
      <c r="A4023" s="121">
        <v>55916.0</v>
      </c>
    </row>
    <row r="4024">
      <c r="A4024" s="121">
        <v>55917.0</v>
      </c>
      <c r="B4024" s="122">
        <v>45984.0</v>
      </c>
    </row>
    <row r="4025">
      <c r="A4025" s="121">
        <v>55918.0</v>
      </c>
    </row>
    <row r="4026">
      <c r="A4026" s="121">
        <v>55919.0</v>
      </c>
    </row>
    <row r="4027">
      <c r="A4027" s="121">
        <v>55920.0</v>
      </c>
    </row>
    <row r="4028">
      <c r="A4028" s="121">
        <v>55921.0</v>
      </c>
    </row>
    <row r="4029">
      <c r="A4029" s="121">
        <v>55922.0</v>
      </c>
    </row>
    <row r="4030">
      <c r="A4030" s="121">
        <v>55923.0</v>
      </c>
    </row>
    <row r="4031">
      <c r="A4031" s="121">
        <v>55924.0</v>
      </c>
    </row>
    <row r="4032">
      <c r="A4032" s="121">
        <v>55925.0</v>
      </c>
    </row>
    <row r="4033">
      <c r="A4033" s="121">
        <v>55926.0</v>
      </c>
    </row>
    <row r="4034">
      <c r="A4034" s="121">
        <v>55927.0</v>
      </c>
    </row>
    <row r="4035">
      <c r="A4035" s="121">
        <v>55928.0</v>
      </c>
    </row>
    <row r="4036">
      <c r="A4036" s="121">
        <v>55929.0</v>
      </c>
      <c r="B4036" s="122">
        <v>45727.0</v>
      </c>
    </row>
    <row r="4037">
      <c r="A4037" s="121">
        <v>55930.0</v>
      </c>
    </row>
    <row r="4038">
      <c r="A4038" s="121">
        <v>55931.0</v>
      </c>
    </row>
    <row r="4039">
      <c r="A4039" s="121">
        <v>55932.0</v>
      </c>
    </row>
    <row r="4040">
      <c r="A4040" s="121">
        <v>55933.0</v>
      </c>
    </row>
    <row r="4041">
      <c r="A4041" s="121">
        <v>55934.0</v>
      </c>
    </row>
    <row r="4042">
      <c r="A4042" s="121">
        <v>55935.0</v>
      </c>
    </row>
    <row r="4043">
      <c r="A4043" s="121">
        <v>55936.0</v>
      </c>
    </row>
    <row r="4044">
      <c r="A4044" s="121">
        <v>55937.0</v>
      </c>
    </row>
    <row r="4045">
      <c r="A4045" s="121">
        <v>55938.0</v>
      </c>
    </row>
    <row r="4046">
      <c r="A4046" s="121">
        <v>55939.0</v>
      </c>
    </row>
    <row r="4047">
      <c r="A4047" s="121">
        <v>55940.0</v>
      </c>
    </row>
    <row r="4048">
      <c r="A4048" s="121">
        <v>55941.0</v>
      </c>
    </row>
    <row r="4049">
      <c r="A4049" s="121">
        <v>55942.0</v>
      </c>
    </row>
    <row r="4050">
      <c r="A4050" s="121">
        <v>55943.0</v>
      </c>
    </row>
    <row r="4051">
      <c r="A4051" s="121">
        <v>55944.0</v>
      </c>
    </row>
    <row r="4052">
      <c r="A4052" s="121">
        <v>55945.0</v>
      </c>
    </row>
    <row r="4053">
      <c r="A4053" s="121">
        <v>55946.0</v>
      </c>
    </row>
    <row r="4054">
      <c r="A4054" s="121">
        <v>55947.0</v>
      </c>
    </row>
    <row r="4055">
      <c r="A4055" s="121">
        <v>55948.0</v>
      </c>
    </row>
    <row r="4056">
      <c r="A4056" s="121">
        <v>55949.0</v>
      </c>
    </row>
    <row r="4057">
      <c r="A4057" s="121">
        <v>55950.0</v>
      </c>
    </row>
    <row r="4058">
      <c r="A4058" s="121">
        <v>55951.0</v>
      </c>
    </row>
    <row r="4059">
      <c r="A4059" s="121">
        <v>55952.0</v>
      </c>
    </row>
    <row r="4060">
      <c r="A4060" s="121">
        <v>55953.0</v>
      </c>
      <c r="B4060" s="122">
        <v>45808.0</v>
      </c>
    </row>
    <row r="4061">
      <c r="A4061" s="121">
        <v>55954.0</v>
      </c>
    </row>
    <row r="4062">
      <c r="A4062" s="121">
        <v>55955.0</v>
      </c>
    </row>
    <row r="4063">
      <c r="A4063" s="121">
        <v>55956.0</v>
      </c>
    </row>
    <row r="4064">
      <c r="A4064" s="121">
        <v>55957.0</v>
      </c>
    </row>
    <row r="4065">
      <c r="A4065" s="121">
        <v>55958.0</v>
      </c>
    </row>
    <row r="4066">
      <c r="A4066" s="121">
        <v>55959.0</v>
      </c>
    </row>
    <row r="4067">
      <c r="A4067" s="121">
        <v>55960.0</v>
      </c>
    </row>
    <row r="4068">
      <c r="A4068" s="121">
        <v>55961.0</v>
      </c>
    </row>
    <row r="4069">
      <c r="A4069" s="121">
        <v>55962.0</v>
      </c>
    </row>
    <row r="4070">
      <c r="A4070" s="121">
        <v>55963.0</v>
      </c>
    </row>
    <row r="4071">
      <c r="A4071" s="121">
        <v>55964.0</v>
      </c>
    </row>
    <row r="4072">
      <c r="A4072" s="121">
        <v>55965.0</v>
      </c>
    </row>
    <row r="4073">
      <c r="A4073" s="121">
        <v>55986.0</v>
      </c>
    </row>
    <row r="4074">
      <c r="A4074" s="121">
        <v>55987.0</v>
      </c>
    </row>
    <row r="4075">
      <c r="A4075" s="121">
        <v>55988.0</v>
      </c>
    </row>
    <row r="4076">
      <c r="A4076" s="121">
        <v>55989.0</v>
      </c>
    </row>
    <row r="4077">
      <c r="A4077" s="121">
        <v>55990.0</v>
      </c>
    </row>
    <row r="4078">
      <c r="A4078" s="121">
        <v>55991.0</v>
      </c>
    </row>
    <row r="4079">
      <c r="A4079" s="121">
        <v>55992.0</v>
      </c>
      <c r="B4079" s="122">
        <v>45649.0</v>
      </c>
    </row>
    <row r="4080">
      <c r="A4080" s="121">
        <v>55993.0</v>
      </c>
    </row>
    <row r="4081">
      <c r="A4081" s="121">
        <v>55994.0</v>
      </c>
    </row>
    <row r="4082">
      <c r="A4082" s="121">
        <v>55995.0</v>
      </c>
      <c r="B4082" s="122">
        <v>46017.0</v>
      </c>
    </row>
    <row r="4083">
      <c r="A4083" s="121">
        <v>55996.0</v>
      </c>
    </row>
    <row r="4084">
      <c r="A4084" s="121">
        <v>55997.0</v>
      </c>
      <c r="B4084" s="122">
        <v>45466.0</v>
      </c>
    </row>
    <row r="4085">
      <c r="A4085" s="121">
        <v>55998.0</v>
      </c>
    </row>
    <row r="4086">
      <c r="A4086" s="121">
        <v>55999.0</v>
      </c>
    </row>
    <row r="4087">
      <c r="A4087" s="121">
        <v>56000.0</v>
      </c>
    </row>
    <row r="4088">
      <c r="A4088" s="121">
        <v>56001.0</v>
      </c>
    </row>
    <row r="4089">
      <c r="A4089" s="121">
        <v>56002.0</v>
      </c>
    </row>
    <row r="4090">
      <c r="A4090" s="121">
        <v>56003.0</v>
      </c>
    </row>
    <row r="4091">
      <c r="A4091" s="121">
        <v>56004.0</v>
      </c>
    </row>
    <row r="4092">
      <c r="A4092" s="121">
        <v>56005.0</v>
      </c>
    </row>
    <row r="4093">
      <c r="A4093" s="121">
        <v>56006.0</v>
      </c>
    </row>
    <row r="4094">
      <c r="A4094" s="121">
        <v>56007.0</v>
      </c>
    </row>
    <row r="4095">
      <c r="A4095" s="121">
        <v>56008.0</v>
      </c>
    </row>
    <row r="4096">
      <c r="A4096" s="121">
        <v>56009.0</v>
      </c>
    </row>
    <row r="4097">
      <c r="A4097" s="121">
        <v>56010.0</v>
      </c>
    </row>
    <row r="4098">
      <c r="A4098" s="121">
        <v>56011.0</v>
      </c>
    </row>
    <row r="4099">
      <c r="A4099" s="121">
        <v>56012.0</v>
      </c>
    </row>
    <row r="4100">
      <c r="A4100" s="121">
        <v>56013.0</v>
      </c>
    </row>
    <row r="4101">
      <c r="A4101" s="121">
        <v>56014.0</v>
      </c>
    </row>
    <row r="4102">
      <c r="A4102" s="121">
        <v>56015.0</v>
      </c>
    </row>
    <row r="4103">
      <c r="A4103" s="121">
        <v>56016.0</v>
      </c>
    </row>
    <row r="4104">
      <c r="A4104" s="121">
        <v>56017.0</v>
      </c>
    </row>
    <row r="4105">
      <c r="A4105" s="121">
        <v>56018.0</v>
      </c>
    </row>
    <row r="4106">
      <c r="A4106" s="121">
        <v>56019.0</v>
      </c>
    </row>
    <row r="4107">
      <c r="A4107" s="121">
        <v>56020.0</v>
      </c>
    </row>
    <row r="4108">
      <c r="A4108" s="121">
        <v>56021.0</v>
      </c>
    </row>
    <row r="4109">
      <c r="A4109" s="121">
        <v>56022.0</v>
      </c>
    </row>
    <row r="4110">
      <c r="A4110" s="121">
        <v>56023.0</v>
      </c>
    </row>
    <row r="4111">
      <c r="A4111" s="121">
        <v>56024.0</v>
      </c>
    </row>
    <row r="4112">
      <c r="A4112" s="121">
        <v>56025.0</v>
      </c>
    </row>
    <row r="4113">
      <c r="A4113" s="121">
        <v>56026.0</v>
      </c>
    </row>
    <row r="4114">
      <c r="A4114" s="121">
        <v>56027.0</v>
      </c>
    </row>
    <row r="4115">
      <c r="A4115" s="121">
        <v>56028.0</v>
      </c>
    </row>
    <row r="4116">
      <c r="A4116" s="121">
        <v>56029.0</v>
      </c>
    </row>
    <row r="4117">
      <c r="A4117" s="121">
        <v>56030.0</v>
      </c>
    </row>
    <row r="4118">
      <c r="A4118" s="121">
        <v>56031.0</v>
      </c>
    </row>
    <row r="4119">
      <c r="A4119" s="121">
        <v>56032.0</v>
      </c>
    </row>
    <row r="4120">
      <c r="A4120" s="121">
        <v>56033.0</v>
      </c>
      <c r="B4120" s="122">
        <v>45660.0</v>
      </c>
    </row>
    <row r="4121">
      <c r="A4121" s="121">
        <v>56034.0</v>
      </c>
    </row>
    <row r="4122">
      <c r="A4122" s="121">
        <v>56035.0</v>
      </c>
    </row>
    <row r="4123">
      <c r="A4123" s="121">
        <v>56036.0</v>
      </c>
    </row>
    <row r="4124">
      <c r="A4124" s="121">
        <v>56037.0</v>
      </c>
    </row>
    <row r="4125">
      <c r="A4125" s="121">
        <v>56038.0</v>
      </c>
    </row>
    <row r="4126">
      <c r="A4126" s="121">
        <v>56039.0</v>
      </c>
    </row>
    <row r="4127">
      <c r="A4127" s="121">
        <v>56040.0</v>
      </c>
    </row>
    <row r="4128">
      <c r="A4128" s="121">
        <v>56041.0</v>
      </c>
    </row>
    <row r="4129">
      <c r="A4129" s="121">
        <v>56093.0</v>
      </c>
      <c r="B4129" s="122">
        <v>45644.0</v>
      </c>
    </row>
    <row r="4130">
      <c r="A4130" s="121">
        <v>56094.0</v>
      </c>
    </row>
    <row r="4131">
      <c r="A4131" s="121">
        <v>56095.0</v>
      </c>
    </row>
    <row r="4132">
      <c r="A4132" s="121">
        <v>56096.0</v>
      </c>
    </row>
    <row r="4133">
      <c r="A4133" s="121">
        <v>56097.0</v>
      </c>
    </row>
    <row r="4134">
      <c r="A4134" s="121">
        <v>56098.0</v>
      </c>
    </row>
    <row r="4135">
      <c r="A4135" s="121">
        <v>56099.0</v>
      </c>
      <c r="B4135" s="122">
        <v>45833.0</v>
      </c>
    </row>
    <row r="4136">
      <c r="A4136" s="121">
        <v>56100.0</v>
      </c>
    </row>
    <row r="4137">
      <c r="A4137" s="121">
        <v>56101.0</v>
      </c>
    </row>
    <row r="4138">
      <c r="A4138" s="121">
        <v>56102.0</v>
      </c>
    </row>
    <row r="4139">
      <c r="A4139" s="121">
        <v>56103.0</v>
      </c>
    </row>
    <row r="4140">
      <c r="A4140" s="121">
        <v>56104.0</v>
      </c>
    </row>
    <row r="4141">
      <c r="A4141" s="121">
        <v>56105.0</v>
      </c>
    </row>
    <row r="4142">
      <c r="A4142" s="121">
        <v>56106.0</v>
      </c>
      <c r="B4142" s="122">
        <v>45674.0</v>
      </c>
    </row>
    <row r="4143">
      <c r="A4143" s="121">
        <v>56107.0</v>
      </c>
    </row>
    <row r="4144">
      <c r="A4144" s="121">
        <v>56108.0</v>
      </c>
    </row>
    <row r="4145">
      <c r="A4145" s="121">
        <v>56109.0</v>
      </c>
    </row>
    <row r="4146">
      <c r="A4146" s="121">
        <v>56110.0</v>
      </c>
    </row>
    <row r="4147">
      <c r="A4147" s="121">
        <v>56111.0</v>
      </c>
    </row>
    <row r="4148">
      <c r="A4148" s="121">
        <v>56112.0</v>
      </c>
    </row>
    <row r="4149">
      <c r="A4149" s="121">
        <v>56113.0</v>
      </c>
    </row>
    <row r="4150">
      <c r="A4150" s="121">
        <v>56114.0</v>
      </c>
      <c r="B4150" s="122">
        <v>45678.0</v>
      </c>
    </row>
    <row r="4151">
      <c r="A4151" s="121">
        <v>56115.0</v>
      </c>
    </row>
    <row r="4152">
      <c r="A4152" s="121">
        <v>56116.0</v>
      </c>
    </row>
    <row r="4153">
      <c r="A4153" s="121">
        <v>56117.0</v>
      </c>
    </row>
    <row r="4154">
      <c r="A4154" s="121">
        <v>56118.0</v>
      </c>
      <c r="B4154" s="122">
        <v>45963.0</v>
      </c>
    </row>
    <row r="4155">
      <c r="A4155" s="121">
        <v>56119.0</v>
      </c>
    </row>
    <row r="4156">
      <c r="A4156" s="121">
        <v>56120.0</v>
      </c>
    </row>
    <row r="4157">
      <c r="A4157" s="121">
        <v>56121.0</v>
      </c>
    </row>
    <row r="4158">
      <c r="A4158" s="121">
        <v>56122.0</v>
      </c>
    </row>
    <row r="4159">
      <c r="A4159" s="121">
        <v>56123.0</v>
      </c>
    </row>
    <row r="4160">
      <c r="A4160" s="121">
        <v>56124.0</v>
      </c>
    </row>
    <row r="4161">
      <c r="A4161" s="121">
        <v>56125.0</v>
      </c>
    </row>
    <row r="4162">
      <c r="A4162" s="121">
        <v>56126.0</v>
      </c>
    </row>
    <row r="4163">
      <c r="A4163" s="121">
        <v>56127.0</v>
      </c>
    </row>
    <row r="4164">
      <c r="A4164" s="121">
        <v>56128.0</v>
      </c>
    </row>
    <row r="4165">
      <c r="A4165" s="121">
        <v>56129.0</v>
      </c>
    </row>
    <row r="4166">
      <c r="A4166" s="121">
        <v>56130.0</v>
      </c>
    </row>
    <row r="4167">
      <c r="A4167" s="121">
        <v>56131.0</v>
      </c>
    </row>
    <row r="4168">
      <c r="A4168" s="121">
        <v>56132.0</v>
      </c>
    </row>
    <row r="4169">
      <c r="A4169" s="121">
        <v>56133.0</v>
      </c>
    </row>
    <row r="4170">
      <c r="A4170" s="121">
        <v>56134.0</v>
      </c>
    </row>
    <row r="4171">
      <c r="A4171" s="121">
        <v>56135.0</v>
      </c>
      <c r="B4171" s="122">
        <v>45416.0</v>
      </c>
    </row>
    <row r="4172">
      <c r="A4172" s="121">
        <v>56136.0</v>
      </c>
    </row>
    <row r="4173">
      <c r="A4173" s="121">
        <v>56137.0</v>
      </c>
    </row>
    <row r="4174">
      <c r="A4174" s="121">
        <v>56138.0</v>
      </c>
    </row>
    <row r="4175">
      <c r="A4175" s="121">
        <v>56139.0</v>
      </c>
      <c r="B4175" s="122">
        <v>45436.0</v>
      </c>
    </row>
    <row r="4176">
      <c r="A4176" s="121">
        <v>56140.0</v>
      </c>
    </row>
    <row r="4177">
      <c r="A4177" s="121">
        <v>56141.0</v>
      </c>
    </row>
    <row r="4178">
      <c r="A4178" s="121">
        <v>56142.0</v>
      </c>
    </row>
    <row r="4179">
      <c r="A4179" s="121">
        <v>56143.0</v>
      </c>
    </row>
    <row r="4180">
      <c r="A4180" s="121">
        <v>56144.0</v>
      </c>
    </row>
    <row r="4181">
      <c r="A4181" s="121">
        <v>56145.0</v>
      </c>
      <c r="B4181" s="122">
        <v>45416.0</v>
      </c>
    </row>
    <row r="4182">
      <c r="A4182" s="121">
        <v>56146.0</v>
      </c>
    </row>
    <row r="4183">
      <c r="A4183" s="121">
        <v>56147.0</v>
      </c>
    </row>
    <row r="4184">
      <c r="A4184" s="121">
        <v>56148.0</v>
      </c>
    </row>
    <row r="4185">
      <c r="A4185" s="121">
        <v>56286.0</v>
      </c>
      <c r="B4185" s="122">
        <v>45057.0</v>
      </c>
    </row>
    <row r="4186">
      <c r="A4186" s="121">
        <v>56287.0</v>
      </c>
    </row>
    <row r="4187">
      <c r="A4187" s="121">
        <v>56288.0</v>
      </c>
    </row>
    <row r="4188">
      <c r="A4188" s="121">
        <v>56289.0</v>
      </c>
    </row>
    <row r="4189">
      <c r="A4189" s="121">
        <v>56290.0</v>
      </c>
    </row>
    <row r="4190">
      <c r="A4190" s="121">
        <v>56291.0</v>
      </c>
    </row>
    <row r="4191">
      <c r="A4191" s="121">
        <v>56292.0</v>
      </c>
    </row>
    <row r="4192">
      <c r="A4192" s="121">
        <v>56293.0</v>
      </c>
    </row>
    <row r="4193">
      <c r="A4193" s="121">
        <v>56294.0</v>
      </c>
    </row>
    <row r="4194">
      <c r="A4194" s="121">
        <v>56295.0</v>
      </c>
    </row>
    <row r="4195">
      <c r="A4195" s="121">
        <v>56296.0</v>
      </c>
    </row>
    <row r="4196">
      <c r="A4196" s="121">
        <v>56297.0</v>
      </c>
    </row>
    <row r="4197">
      <c r="A4197" s="121">
        <v>56298.0</v>
      </c>
    </row>
    <row r="4198">
      <c r="A4198" s="121">
        <v>56299.0</v>
      </c>
    </row>
    <row r="4199">
      <c r="A4199" s="121">
        <v>56300.0</v>
      </c>
    </row>
    <row r="4200">
      <c r="A4200" s="121">
        <v>56301.0</v>
      </c>
    </row>
    <row r="4201">
      <c r="A4201" s="121">
        <v>56302.0</v>
      </c>
    </row>
    <row r="4202">
      <c r="A4202" s="121">
        <v>56303.0</v>
      </c>
      <c r="B4202" s="122">
        <v>45496.0</v>
      </c>
    </row>
    <row r="4203">
      <c r="A4203" s="121">
        <v>56304.0</v>
      </c>
    </row>
    <row r="4204">
      <c r="A4204" s="121">
        <v>56305.0</v>
      </c>
    </row>
    <row r="4205">
      <c r="A4205" s="121">
        <v>56306.0</v>
      </c>
    </row>
    <row r="4206">
      <c r="A4206" s="121">
        <v>56317.0</v>
      </c>
    </row>
    <row r="4207">
      <c r="A4207" s="121">
        <v>56318.0</v>
      </c>
    </row>
    <row r="4208">
      <c r="A4208" s="121">
        <v>56319.0</v>
      </c>
    </row>
    <row r="4209">
      <c r="A4209" s="121">
        <v>56320.0</v>
      </c>
    </row>
    <row r="4210">
      <c r="A4210" s="121">
        <v>56321.0</v>
      </c>
    </row>
    <row r="4211">
      <c r="A4211" s="121">
        <v>56322.0</v>
      </c>
    </row>
    <row r="4212">
      <c r="A4212" s="121">
        <v>56323.0</v>
      </c>
    </row>
    <row r="4213">
      <c r="A4213" s="121">
        <v>56324.0</v>
      </c>
    </row>
    <row r="4214">
      <c r="A4214" s="121">
        <v>56325.0</v>
      </c>
    </row>
    <row r="4215">
      <c r="A4215" s="121">
        <v>56326.0</v>
      </c>
    </row>
    <row r="4216">
      <c r="A4216" s="121">
        <v>56327.0</v>
      </c>
    </row>
    <row r="4217">
      <c r="A4217" s="121">
        <v>56328.0</v>
      </c>
    </row>
    <row r="4218">
      <c r="A4218" s="121">
        <v>56329.0</v>
      </c>
    </row>
    <row r="4219">
      <c r="A4219" s="121">
        <v>56330.0</v>
      </c>
      <c r="B4219" s="122">
        <v>45777.0</v>
      </c>
    </row>
    <row r="4220">
      <c r="A4220" s="121">
        <v>56331.0</v>
      </c>
    </row>
    <row r="4221">
      <c r="A4221" s="121">
        <v>56332.0</v>
      </c>
    </row>
    <row r="4222">
      <c r="A4222" s="121">
        <v>56333.0</v>
      </c>
    </row>
    <row r="4223">
      <c r="A4223" s="121">
        <v>56334.0</v>
      </c>
    </row>
    <row r="4224">
      <c r="A4224" s="121">
        <v>56335.0</v>
      </c>
    </row>
    <row r="4225">
      <c r="A4225" s="121">
        <v>56336.0</v>
      </c>
    </row>
    <row r="4226">
      <c r="A4226" s="121">
        <v>56337.0</v>
      </c>
    </row>
    <row r="4227">
      <c r="A4227" s="121">
        <v>56338.0</v>
      </c>
    </row>
    <row r="4228">
      <c r="A4228" s="121">
        <v>56339.0</v>
      </c>
    </row>
    <row r="4229">
      <c r="A4229" s="121">
        <v>56340.0</v>
      </c>
    </row>
    <row r="4230">
      <c r="A4230" s="121">
        <v>56341.0</v>
      </c>
    </row>
    <row r="4231">
      <c r="A4231" s="121">
        <v>56342.0</v>
      </c>
    </row>
    <row r="4232">
      <c r="A4232" s="121">
        <v>56343.0</v>
      </c>
    </row>
    <row r="4233">
      <c r="A4233" s="121">
        <v>56344.0</v>
      </c>
    </row>
    <row r="4234">
      <c r="A4234" s="121">
        <v>56345.0</v>
      </c>
    </row>
    <row r="4235">
      <c r="A4235" s="121">
        <v>56346.0</v>
      </c>
    </row>
    <row r="4236">
      <c r="A4236" s="121">
        <v>56347.0</v>
      </c>
    </row>
    <row r="4237">
      <c r="A4237" s="121">
        <v>56348.0</v>
      </c>
    </row>
    <row r="4238">
      <c r="A4238" s="121">
        <v>56349.0</v>
      </c>
    </row>
    <row r="4239">
      <c r="A4239" s="121">
        <v>56350.0</v>
      </c>
    </row>
    <row r="4240">
      <c r="A4240" s="121">
        <v>56351.0</v>
      </c>
    </row>
    <row r="4241">
      <c r="A4241" s="121">
        <v>56352.0</v>
      </c>
    </row>
    <row r="4242">
      <c r="A4242" s="121">
        <v>56353.0</v>
      </c>
    </row>
    <row r="4243">
      <c r="A4243" s="121">
        <v>56354.0</v>
      </c>
    </row>
    <row r="4244">
      <c r="A4244" s="121">
        <v>56355.0</v>
      </c>
    </row>
    <row r="4245">
      <c r="A4245" s="121">
        <v>56356.0</v>
      </c>
    </row>
    <row r="4246">
      <c r="A4246" s="121">
        <v>56357.0</v>
      </c>
    </row>
    <row r="4247">
      <c r="A4247" s="121">
        <v>56358.0</v>
      </c>
    </row>
    <row r="4248">
      <c r="A4248" s="121">
        <v>56359.0</v>
      </c>
    </row>
    <row r="4249">
      <c r="A4249" s="121">
        <v>56360.0</v>
      </c>
    </row>
    <row r="4250">
      <c r="A4250" s="121">
        <v>56361.0</v>
      </c>
    </row>
    <row r="4251">
      <c r="A4251" s="121">
        <v>56362.0</v>
      </c>
    </row>
    <row r="4252">
      <c r="A4252" s="121">
        <v>56374.0</v>
      </c>
    </row>
    <row r="4253">
      <c r="A4253" s="121">
        <v>56375.0</v>
      </c>
    </row>
    <row r="4254">
      <c r="A4254" s="121">
        <v>56376.0</v>
      </c>
    </row>
    <row r="4255">
      <c r="A4255" s="121">
        <v>56377.0</v>
      </c>
    </row>
    <row r="4256">
      <c r="A4256" s="121">
        <v>56378.0</v>
      </c>
    </row>
    <row r="4257">
      <c r="A4257" s="121">
        <v>56379.0</v>
      </c>
    </row>
    <row r="4258">
      <c r="A4258" s="121">
        <v>56380.0</v>
      </c>
      <c r="B4258" s="122">
        <v>45865.0</v>
      </c>
    </row>
    <row r="4259">
      <c r="A4259" s="121">
        <v>56381.0</v>
      </c>
    </row>
    <row r="4260">
      <c r="A4260" s="121">
        <v>56382.0</v>
      </c>
    </row>
    <row r="4261">
      <c r="A4261" s="121">
        <v>56383.0</v>
      </c>
    </row>
    <row r="4262">
      <c r="A4262" s="121">
        <v>56384.0</v>
      </c>
    </row>
    <row r="4263">
      <c r="A4263" s="121">
        <v>56385.0</v>
      </c>
    </row>
    <row r="4264">
      <c r="A4264" s="121">
        <v>56386.0</v>
      </c>
    </row>
    <row r="4265">
      <c r="A4265" s="121">
        <v>56387.0</v>
      </c>
    </row>
    <row r="4266">
      <c r="A4266" s="121">
        <v>56388.0</v>
      </c>
    </row>
    <row r="4267">
      <c r="A4267" s="121">
        <v>56389.0</v>
      </c>
    </row>
    <row r="4268">
      <c r="A4268" s="121">
        <v>56390.0</v>
      </c>
      <c r="B4268" s="122">
        <v>45724.0</v>
      </c>
    </row>
    <row r="4269">
      <c r="A4269" s="121">
        <v>56391.0</v>
      </c>
    </row>
    <row r="4270">
      <c r="A4270" s="121">
        <v>56392.0</v>
      </c>
    </row>
    <row r="4271">
      <c r="A4271" s="121">
        <v>56393.0</v>
      </c>
    </row>
    <row r="4272">
      <c r="A4272" s="121">
        <v>56394.0</v>
      </c>
    </row>
    <row r="4273">
      <c r="A4273" s="121">
        <v>56395.0</v>
      </c>
    </row>
    <row r="4274">
      <c r="A4274" s="121">
        <v>56396.0</v>
      </c>
    </row>
    <row r="4275">
      <c r="A4275" s="121">
        <v>56397.0</v>
      </c>
    </row>
    <row r="4276">
      <c r="A4276" s="121">
        <v>56398.0</v>
      </c>
    </row>
    <row r="4277">
      <c r="A4277" s="121">
        <v>56399.0</v>
      </c>
    </row>
    <row r="4278">
      <c r="A4278" s="121">
        <v>56400.0</v>
      </c>
    </row>
    <row r="4279">
      <c r="A4279" s="121">
        <v>56401.0</v>
      </c>
    </row>
    <row r="4280">
      <c r="A4280" s="121">
        <v>56402.0</v>
      </c>
      <c r="B4280" s="122">
        <v>45221.0</v>
      </c>
    </row>
    <row r="4281">
      <c r="A4281" s="121">
        <v>56403.0</v>
      </c>
    </row>
    <row r="4282">
      <c r="A4282" s="121">
        <v>56404.0</v>
      </c>
    </row>
    <row r="4283">
      <c r="A4283" s="121">
        <v>56405.0</v>
      </c>
    </row>
    <row r="4284">
      <c r="A4284" s="121">
        <v>56406.0</v>
      </c>
    </row>
    <row r="4285">
      <c r="A4285" s="121">
        <v>56407.0</v>
      </c>
    </row>
    <row r="4286">
      <c r="A4286" s="121">
        <v>56408.0</v>
      </c>
    </row>
    <row r="4287">
      <c r="A4287" s="121">
        <v>56409.0</v>
      </c>
    </row>
    <row r="4288">
      <c r="A4288" s="121">
        <v>56410.0</v>
      </c>
    </row>
    <row r="4289">
      <c r="A4289" s="121">
        <v>56411.0</v>
      </c>
    </row>
    <row r="4290">
      <c r="A4290" s="121">
        <v>56412.0</v>
      </c>
    </row>
    <row r="4291">
      <c r="A4291" s="121">
        <v>56413.0</v>
      </c>
    </row>
    <row r="4292">
      <c r="A4292" s="121">
        <v>56414.0</v>
      </c>
    </row>
    <row r="4293">
      <c r="A4293" s="121">
        <v>56415.0</v>
      </c>
      <c r="B4293" s="122">
        <v>45983.0</v>
      </c>
    </row>
    <row r="4294">
      <c r="A4294" s="121">
        <v>56416.0</v>
      </c>
    </row>
    <row r="4295">
      <c r="A4295" s="121">
        <v>56417.0</v>
      </c>
    </row>
    <row r="4296">
      <c r="A4296" s="121">
        <v>56418.0</v>
      </c>
    </row>
    <row r="4297">
      <c r="A4297" s="121">
        <v>56419.0</v>
      </c>
    </row>
    <row r="4298">
      <c r="A4298" s="121">
        <v>56420.0</v>
      </c>
    </row>
    <row r="4299">
      <c r="A4299" s="121">
        <v>56421.0</v>
      </c>
    </row>
    <row r="4300">
      <c r="A4300" s="121">
        <v>56422.0</v>
      </c>
    </row>
    <row r="4301">
      <c r="A4301" s="121">
        <v>56423.0</v>
      </c>
    </row>
    <row r="4302">
      <c r="A4302" s="121">
        <v>56424.0</v>
      </c>
    </row>
    <row r="4303">
      <c r="A4303" s="121">
        <v>56425.0</v>
      </c>
    </row>
    <row r="4304">
      <c r="A4304" s="121">
        <v>56426.0</v>
      </c>
    </row>
    <row r="4305">
      <c r="A4305" s="121">
        <v>56427.0</v>
      </c>
    </row>
    <row r="4306">
      <c r="A4306" s="121">
        <v>56428.0</v>
      </c>
    </row>
    <row r="4307">
      <c r="A4307" s="121">
        <v>56429.0</v>
      </c>
    </row>
    <row r="4308">
      <c r="A4308" s="121">
        <v>56448.0</v>
      </c>
    </row>
    <row r="4309">
      <c r="A4309" s="121">
        <v>56449.0</v>
      </c>
    </row>
    <row r="4310">
      <c r="A4310" s="121">
        <v>56450.0</v>
      </c>
    </row>
    <row r="4311">
      <c r="A4311" s="121">
        <v>56451.0</v>
      </c>
    </row>
    <row r="4312">
      <c r="A4312" s="121">
        <v>56452.0</v>
      </c>
    </row>
    <row r="4313">
      <c r="A4313" s="121">
        <v>56453.0</v>
      </c>
    </row>
    <row r="4314">
      <c r="A4314" s="121">
        <v>56454.0</v>
      </c>
    </row>
    <row r="4315">
      <c r="A4315" s="121">
        <v>56455.0</v>
      </c>
    </row>
    <row r="4316">
      <c r="A4316" s="121">
        <v>56456.0</v>
      </c>
    </row>
    <row r="4317">
      <c r="A4317" s="121">
        <v>56457.0</v>
      </c>
    </row>
    <row r="4318">
      <c r="A4318" s="121">
        <v>56458.0</v>
      </c>
    </row>
    <row r="4319">
      <c r="A4319" s="121">
        <v>56459.0</v>
      </c>
    </row>
    <row r="4320">
      <c r="A4320" s="121">
        <v>56460.0</v>
      </c>
    </row>
    <row r="4321">
      <c r="A4321" s="121">
        <v>56461.0</v>
      </c>
    </row>
    <row r="4322">
      <c r="A4322" s="121">
        <v>56462.0</v>
      </c>
    </row>
    <row r="4323">
      <c r="A4323" s="121">
        <v>56463.0</v>
      </c>
    </row>
    <row r="4324">
      <c r="A4324" s="121">
        <v>56464.0</v>
      </c>
    </row>
    <row r="4325">
      <c r="A4325" s="121">
        <v>56465.0</v>
      </c>
    </row>
    <row r="4326">
      <c r="A4326" s="121">
        <v>56466.0</v>
      </c>
    </row>
    <row r="4327">
      <c r="A4327" s="121">
        <v>56467.0</v>
      </c>
    </row>
    <row r="4328">
      <c r="A4328" s="121">
        <v>56468.0</v>
      </c>
    </row>
    <row r="4329">
      <c r="A4329" s="121">
        <v>56469.0</v>
      </c>
    </row>
    <row r="4330">
      <c r="A4330" s="121">
        <v>56470.0</v>
      </c>
    </row>
    <row r="4331">
      <c r="A4331" s="121">
        <v>56471.0</v>
      </c>
    </row>
    <row r="4332">
      <c r="A4332" s="121">
        <v>56472.0</v>
      </c>
    </row>
    <row r="4333">
      <c r="A4333" s="121">
        <v>56473.0</v>
      </c>
      <c r="B4333" s="122">
        <v>45755.0</v>
      </c>
    </row>
    <row r="4334">
      <c r="A4334" s="121">
        <v>56474.0</v>
      </c>
    </row>
    <row r="4335">
      <c r="A4335" s="121">
        <v>56475.0</v>
      </c>
    </row>
    <row r="4336">
      <c r="A4336" s="121">
        <v>56476.0</v>
      </c>
    </row>
    <row r="4337">
      <c r="A4337" s="121">
        <v>56477.0</v>
      </c>
    </row>
    <row r="4338">
      <c r="A4338" s="121">
        <v>56478.0</v>
      </c>
    </row>
    <row r="4339">
      <c r="A4339" s="121">
        <v>56479.0</v>
      </c>
    </row>
    <row r="4340">
      <c r="A4340" s="121">
        <v>56480.0</v>
      </c>
    </row>
    <row r="4341">
      <c r="A4341" s="121">
        <v>56481.0</v>
      </c>
    </row>
    <row r="4342">
      <c r="A4342" s="121">
        <v>56482.0</v>
      </c>
    </row>
    <row r="4343">
      <c r="A4343" s="121">
        <v>56483.0</v>
      </c>
    </row>
    <row r="4344">
      <c r="A4344" s="121">
        <v>56484.0</v>
      </c>
    </row>
    <row r="4345">
      <c r="A4345" s="121">
        <v>56485.0</v>
      </c>
    </row>
    <row r="4346">
      <c r="A4346" s="121">
        <v>56486.0</v>
      </c>
    </row>
    <row r="4347">
      <c r="A4347" s="121">
        <v>56487.0</v>
      </c>
    </row>
    <row r="4348">
      <c r="A4348" s="121">
        <v>56488.0</v>
      </c>
    </row>
    <row r="4349">
      <c r="A4349" s="121">
        <v>56489.0</v>
      </c>
    </row>
    <row r="4350">
      <c r="A4350" s="121">
        <v>56490.0</v>
      </c>
    </row>
    <row r="4351">
      <c r="A4351" s="121">
        <v>56491.0</v>
      </c>
    </row>
    <row r="4352">
      <c r="A4352" s="121">
        <v>56492.0</v>
      </c>
    </row>
    <row r="4353">
      <c r="A4353" s="121">
        <v>56493.0</v>
      </c>
    </row>
    <row r="4354">
      <c r="A4354" s="121">
        <v>56494.0</v>
      </c>
    </row>
    <row r="4355">
      <c r="A4355" s="121">
        <v>56495.0</v>
      </c>
    </row>
    <row r="4356">
      <c r="A4356" s="121">
        <v>56496.0</v>
      </c>
    </row>
    <row r="4357">
      <c r="A4357" s="121">
        <v>56497.0</v>
      </c>
    </row>
    <row r="4358">
      <c r="A4358" s="121">
        <v>56498.0</v>
      </c>
    </row>
    <row r="4359">
      <c r="A4359" s="121">
        <v>56503.0</v>
      </c>
    </row>
    <row r="4360">
      <c r="A4360" s="121">
        <v>56504.0</v>
      </c>
    </row>
    <row r="4361">
      <c r="A4361" s="121">
        <v>56505.0</v>
      </c>
    </row>
    <row r="4362">
      <c r="A4362" s="121">
        <v>56506.0</v>
      </c>
    </row>
    <row r="4363">
      <c r="A4363" s="121">
        <v>56507.0</v>
      </c>
    </row>
    <row r="4364">
      <c r="A4364" s="121">
        <v>56508.0</v>
      </c>
    </row>
    <row r="4365">
      <c r="A4365" s="121">
        <v>56509.0</v>
      </c>
    </row>
    <row r="4366">
      <c r="A4366" s="121">
        <v>56510.0</v>
      </c>
    </row>
    <row r="4367">
      <c r="A4367" s="121">
        <v>56511.0</v>
      </c>
    </row>
    <row r="4368">
      <c r="A4368" s="121">
        <v>56512.0</v>
      </c>
    </row>
    <row r="4369">
      <c r="A4369" s="121">
        <v>56513.0</v>
      </c>
    </row>
    <row r="4370">
      <c r="A4370" s="121">
        <v>56514.0</v>
      </c>
      <c r="B4370" s="122">
        <v>45174.0</v>
      </c>
    </row>
    <row r="4371">
      <c r="A4371" s="121">
        <v>56515.0</v>
      </c>
    </row>
    <row r="4372">
      <c r="A4372" s="121">
        <v>56516.0</v>
      </c>
    </row>
    <row r="4373">
      <c r="A4373" s="121">
        <v>56517.0</v>
      </c>
    </row>
    <row r="4374">
      <c r="A4374" s="121">
        <v>56518.0</v>
      </c>
    </row>
    <row r="4375">
      <c r="A4375" s="121">
        <v>56519.0</v>
      </c>
    </row>
    <row r="4376">
      <c r="A4376" s="121">
        <v>56520.0</v>
      </c>
    </row>
    <row r="4377">
      <c r="A4377" s="121">
        <v>56521.0</v>
      </c>
    </row>
    <row r="4378">
      <c r="A4378" s="121">
        <v>56522.0</v>
      </c>
    </row>
    <row r="4379">
      <c r="A4379" s="121">
        <v>56523.0</v>
      </c>
    </row>
    <row r="4380">
      <c r="A4380" s="121">
        <v>56524.0</v>
      </c>
    </row>
    <row r="4381">
      <c r="A4381" s="121">
        <v>56525.0</v>
      </c>
    </row>
    <row r="4382">
      <c r="A4382" s="121">
        <v>56526.0</v>
      </c>
    </row>
    <row r="4383">
      <c r="A4383" s="121">
        <v>56527.0</v>
      </c>
    </row>
    <row r="4384">
      <c r="A4384" s="121">
        <v>56528.0</v>
      </c>
    </row>
    <row r="4385">
      <c r="A4385" s="121">
        <v>56529.0</v>
      </c>
    </row>
    <row r="4386">
      <c r="A4386" s="121">
        <v>56530.0</v>
      </c>
    </row>
    <row r="4387">
      <c r="A4387" s="121">
        <v>56531.0</v>
      </c>
    </row>
    <row r="4388">
      <c r="A4388" s="121">
        <v>56532.0</v>
      </c>
    </row>
    <row r="4389">
      <c r="A4389" s="121">
        <v>56533.0</v>
      </c>
    </row>
    <row r="4390">
      <c r="A4390" s="121">
        <v>56534.0</v>
      </c>
    </row>
    <row r="4391">
      <c r="A4391" s="121">
        <v>56535.0</v>
      </c>
    </row>
    <row r="4392">
      <c r="A4392" s="121">
        <v>56536.0</v>
      </c>
    </row>
    <row r="4393">
      <c r="A4393" s="121">
        <v>56537.0</v>
      </c>
    </row>
    <row r="4394">
      <c r="A4394" s="121">
        <v>56538.0</v>
      </c>
    </row>
    <row r="4395">
      <c r="A4395" s="121">
        <v>56539.0</v>
      </c>
    </row>
    <row r="4396">
      <c r="A4396" s="121">
        <v>56540.0</v>
      </c>
    </row>
    <row r="4397">
      <c r="A4397" s="121">
        <v>56541.0</v>
      </c>
    </row>
    <row r="4398">
      <c r="A4398" s="121">
        <v>56542.0</v>
      </c>
    </row>
    <row r="4399">
      <c r="A4399" s="121">
        <v>56543.0</v>
      </c>
      <c r="B4399" s="122">
        <v>45782.0</v>
      </c>
    </row>
    <row r="4400">
      <c r="A4400" s="121">
        <v>56544.0</v>
      </c>
    </row>
    <row r="4401">
      <c r="A4401" s="121">
        <v>56545.0</v>
      </c>
    </row>
    <row r="4402">
      <c r="A4402" s="121">
        <v>56546.0</v>
      </c>
    </row>
    <row r="4403">
      <c r="A4403" s="121">
        <v>56547.0</v>
      </c>
    </row>
    <row r="4404">
      <c r="A4404" s="121">
        <v>56548.0</v>
      </c>
    </row>
    <row r="4405">
      <c r="A4405" s="121">
        <v>56549.0</v>
      </c>
    </row>
    <row r="4406">
      <c r="A4406" s="121">
        <v>56550.0</v>
      </c>
    </row>
    <row r="4407">
      <c r="A4407" s="121">
        <v>56551.0</v>
      </c>
    </row>
    <row r="4408">
      <c r="A4408" s="121">
        <v>56552.0</v>
      </c>
    </row>
    <row r="4409">
      <c r="A4409" s="121">
        <v>56553.0</v>
      </c>
    </row>
    <row r="4410">
      <c r="A4410" s="121">
        <v>56554.0</v>
      </c>
    </row>
    <row r="4411">
      <c r="A4411" s="121">
        <v>56555.0</v>
      </c>
    </row>
    <row r="4412">
      <c r="A4412" s="121">
        <v>56556.0</v>
      </c>
    </row>
    <row r="4413">
      <c r="A4413" s="121">
        <v>56557.0</v>
      </c>
    </row>
    <row r="4414">
      <c r="A4414" s="121">
        <v>56558.0</v>
      </c>
    </row>
    <row r="4415">
      <c r="A4415" s="121">
        <v>56688.0</v>
      </c>
    </row>
    <row r="4416">
      <c r="A4416" s="121">
        <v>56689.0</v>
      </c>
    </row>
    <row r="4417">
      <c r="A4417" s="121">
        <v>56690.0</v>
      </c>
    </row>
    <row r="4418">
      <c r="A4418" s="121">
        <v>56691.0</v>
      </c>
      <c r="B4418" s="122">
        <v>45545.0</v>
      </c>
    </row>
    <row r="4419">
      <c r="A4419" s="121">
        <v>56692.0</v>
      </c>
    </row>
    <row r="4420">
      <c r="A4420" s="121">
        <v>56693.0</v>
      </c>
    </row>
    <row r="4421">
      <c r="A4421" s="121">
        <v>56694.0</v>
      </c>
    </row>
    <row r="4422">
      <c r="A4422" s="121">
        <v>56695.0</v>
      </c>
    </row>
    <row r="4423">
      <c r="A4423" s="121">
        <v>56696.0</v>
      </c>
      <c r="B4423" s="122">
        <v>45114.0</v>
      </c>
    </row>
    <row r="4424">
      <c r="A4424" s="121">
        <v>56697.0</v>
      </c>
    </row>
    <row r="4425">
      <c r="A4425" s="121">
        <v>56698.0</v>
      </c>
    </row>
    <row r="4426">
      <c r="A4426" s="121">
        <v>56699.0</v>
      </c>
    </row>
    <row r="4427">
      <c r="A4427" s="121">
        <v>56700.0</v>
      </c>
    </row>
    <row r="4428">
      <c r="A4428" s="121">
        <v>56701.0</v>
      </c>
    </row>
    <row r="4429">
      <c r="A4429" s="121">
        <v>56702.0</v>
      </c>
    </row>
    <row r="4430">
      <c r="A4430" s="121">
        <v>56703.0</v>
      </c>
    </row>
    <row r="4431">
      <c r="A4431" s="121">
        <v>56704.0</v>
      </c>
    </row>
    <row r="4432">
      <c r="A4432" s="121">
        <v>56705.0</v>
      </c>
    </row>
    <row r="4433">
      <c r="A4433" s="121">
        <v>56706.0</v>
      </c>
    </row>
    <row r="4434">
      <c r="A4434" s="121">
        <v>56707.0</v>
      </c>
    </row>
    <row r="4435">
      <c r="A4435" s="121">
        <v>56708.0</v>
      </c>
    </row>
    <row r="4436">
      <c r="A4436" s="121">
        <v>56709.0</v>
      </c>
    </row>
    <row r="4437">
      <c r="A4437" s="121">
        <v>56767.0</v>
      </c>
    </row>
    <row r="4438">
      <c r="A4438" s="121">
        <v>56768.0</v>
      </c>
    </row>
    <row r="4439">
      <c r="A4439" s="121">
        <v>56769.0</v>
      </c>
      <c r="B4439" s="122">
        <v>45908.0</v>
      </c>
    </row>
    <row r="4440">
      <c r="A4440" s="121">
        <v>56770.0</v>
      </c>
    </row>
    <row r="4441">
      <c r="A4441" s="121">
        <v>56771.0</v>
      </c>
      <c r="B4441" s="122">
        <v>45725.0</v>
      </c>
    </row>
    <row r="4442">
      <c r="A4442" s="121">
        <v>56772.0</v>
      </c>
    </row>
    <row r="4443">
      <c r="A4443" s="121">
        <v>56773.0</v>
      </c>
    </row>
    <row r="4444">
      <c r="A4444" s="121">
        <v>56774.0</v>
      </c>
    </row>
    <row r="4445">
      <c r="A4445" s="121">
        <v>56775.0</v>
      </c>
    </row>
    <row r="4446">
      <c r="A4446" s="121">
        <v>56776.0</v>
      </c>
    </row>
    <row r="4447">
      <c r="A4447" s="121">
        <v>56777.0</v>
      </c>
    </row>
    <row r="4448">
      <c r="A4448" s="121">
        <v>56778.0</v>
      </c>
    </row>
    <row r="4449">
      <c r="A4449" s="121">
        <v>56779.0</v>
      </c>
    </row>
    <row r="4450">
      <c r="A4450" s="121">
        <v>56780.0</v>
      </c>
    </row>
    <row r="4451">
      <c r="A4451" s="121">
        <v>56781.0</v>
      </c>
    </row>
    <row r="4452">
      <c r="A4452" s="121">
        <v>56782.0</v>
      </c>
    </row>
    <row r="4453">
      <c r="A4453" s="121">
        <v>56783.0</v>
      </c>
    </row>
    <row r="4454">
      <c r="A4454" s="121">
        <v>56784.0</v>
      </c>
    </row>
    <row r="4455">
      <c r="A4455" s="121">
        <v>56785.0</v>
      </c>
    </row>
    <row r="4456">
      <c r="A4456" s="121">
        <v>56786.0</v>
      </c>
    </row>
    <row r="4457">
      <c r="A4457" s="121">
        <v>56787.0</v>
      </c>
    </row>
    <row r="4458">
      <c r="A4458" s="121">
        <v>56788.0</v>
      </c>
    </row>
    <row r="4459">
      <c r="A4459" s="121">
        <v>56789.0</v>
      </c>
      <c r="B4459" s="122">
        <v>45916.0</v>
      </c>
    </row>
    <row r="4460">
      <c r="A4460" s="121">
        <v>56790.0</v>
      </c>
    </row>
    <row r="4461">
      <c r="A4461" s="121">
        <v>56791.0</v>
      </c>
    </row>
    <row r="4462">
      <c r="A4462" s="121">
        <v>56792.0</v>
      </c>
    </row>
    <row r="4463">
      <c r="A4463" s="121">
        <v>56793.0</v>
      </c>
    </row>
    <row r="4464">
      <c r="A4464" s="121">
        <v>56794.0</v>
      </c>
    </row>
    <row r="4465">
      <c r="A4465" s="121">
        <v>56795.0</v>
      </c>
    </row>
    <row r="4466">
      <c r="A4466" s="121">
        <v>56796.0</v>
      </c>
    </row>
    <row r="4467">
      <c r="A4467" s="121">
        <v>56797.0</v>
      </c>
    </row>
    <row r="4468">
      <c r="A4468" s="121">
        <v>56798.0</v>
      </c>
      <c r="B4468" s="122">
        <v>45791.0</v>
      </c>
    </row>
    <row r="4469">
      <c r="A4469" s="121">
        <v>56799.0</v>
      </c>
    </row>
    <row r="4470">
      <c r="A4470" s="121">
        <v>56800.0</v>
      </c>
    </row>
    <row r="4471">
      <c r="A4471" s="121">
        <v>56801.0</v>
      </c>
    </row>
    <row r="4472">
      <c r="A4472" s="121">
        <v>56802.0</v>
      </c>
    </row>
    <row r="4473">
      <c r="A4473" s="121">
        <v>56803.0</v>
      </c>
    </row>
    <row r="4474">
      <c r="A4474" s="121">
        <v>56804.0</v>
      </c>
    </row>
    <row r="4475">
      <c r="A4475" s="121">
        <v>56805.0</v>
      </c>
    </row>
    <row r="4476">
      <c r="A4476" s="121">
        <v>56806.0</v>
      </c>
    </row>
    <row r="4477">
      <c r="A4477" s="121">
        <v>56807.0</v>
      </c>
    </row>
    <row r="4478">
      <c r="A4478" s="121">
        <v>56808.0</v>
      </c>
    </row>
    <row r="4479">
      <c r="A4479" s="121">
        <v>56809.0</v>
      </c>
    </row>
    <row r="4480">
      <c r="A4480" s="121">
        <v>56810.0</v>
      </c>
    </row>
    <row r="4481">
      <c r="A4481" s="121">
        <v>56811.0</v>
      </c>
    </row>
    <row r="4482">
      <c r="A4482" s="121">
        <v>56812.0</v>
      </c>
    </row>
    <row r="4483">
      <c r="A4483" s="121">
        <v>56813.0</v>
      </c>
    </row>
    <row r="4484">
      <c r="A4484" s="121">
        <v>56814.0</v>
      </c>
    </row>
    <row r="4485">
      <c r="A4485" s="121">
        <v>56815.0</v>
      </c>
      <c r="B4485" s="122">
        <v>45756.0</v>
      </c>
    </row>
    <row r="4486">
      <c r="A4486" s="121">
        <v>56816.0</v>
      </c>
    </row>
    <row r="4487">
      <c r="A4487" s="121">
        <v>56817.0</v>
      </c>
    </row>
    <row r="4488">
      <c r="A4488" s="121">
        <v>56818.0</v>
      </c>
    </row>
    <row r="4489">
      <c r="A4489" s="121">
        <v>56823.0</v>
      </c>
    </row>
    <row r="4490">
      <c r="A4490" s="121">
        <v>56824.0</v>
      </c>
    </row>
    <row r="4491">
      <c r="A4491" s="121">
        <v>56825.0</v>
      </c>
    </row>
    <row r="4492">
      <c r="A4492" s="121">
        <v>56826.0</v>
      </c>
    </row>
    <row r="4493">
      <c r="A4493" s="121">
        <v>56827.0</v>
      </c>
    </row>
    <row r="4494">
      <c r="A4494" s="121">
        <v>56828.0</v>
      </c>
    </row>
    <row r="4495">
      <c r="A4495" s="121">
        <v>56829.0</v>
      </c>
      <c r="B4495" s="122">
        <v>45114.0</v>
      </c>
    </row>
    <row r="4496">
      <c r="A4496" s="121">
        <v>56830.0</v>
      </c>
      <c r="B4496" s="122">
        <v>45125.0</v>
      </c>
    </row>
    <row r="4497">
      <c r="A4497" s="121">
        <v>56831.0</v>
      </c>
      <c r="B4497" s="122">
        <v>45089.0</v>
      </c>
    </row>
    <row r="4498">
      <c r="A4498" s="121">
        <v>56832.0</v>
      </c>
    </row>
    <row r="4499">
      <c r="A4499" s="121">
        <v>56833.0</v>
      </c>
    </row>
    <row r="4500">
      <c r="A4500" s="121">
        <v>56834.0</v>
      </c>
    </row>
    <row r="4501">
      <c r="A4501" s="121">
        <v>56835.0</v>
      </c>
    </row>
    <row r="4502">
      <c r="A4502" s="121">
        <v>56836.0</v>
      </c>
    </row>
    <row r="4503">
      <c r="A4503" s="121">
        <v>56837.0</v>
      </c>
    </row>
    <row r="4504">
      <c r="A4504" s="121">
        <v>56838.0</v>
      </c>
    </row>
    <row r="4505">
      <c r="A4505" s="121">
        <v>56839.0</v>
      </c>
    </row>
    <row r="4506">
      <c r="A4506" s="121">
        <v>56840.0</v>
      </c>
    </row>
    <row r="4507">
      <c r="A4507" s="121">
        <v>56841.0</v>
      </c>
    </row>
    <row r="4508">
      <c r="A4508" s="121">
        <v>56842.0</v>
      </c>
    </row>
    <row r="4509">
      <c r="A4509" s="121">
        <v>56843.0</v>
      </c>
    </row>
    <row r="4510">
      <c r="A4510" s="121">
        <v>56844.0</v>
      </c>
    </row>
    <row r="4511">
      <c r="A4511" s="121">
        <v>56876.0</v>
      </c>
    </row>
    <row r="4512">
      <c r="A4512" s="121">
        <v>56877.0</v>
      </c>
    </row>
    <row r="4513">
      <c r="A4513" s="121">
        <v>56878.0</v>
      </c>
    </row>
    <row r="4514">
      <c r="A4514" s="121">
        <v>56879.0</v>
      </c>
    </row>
    <row r="4515">
      <c r="A4515" s="121">
        <v>56880.0</v>
      </c>
    </row>
    <row r="4516">
      <c r="A4516" s="121">
        <v>56881.0</v>
      </c>
    </row>
    <row r="4517">
      <c r="A4517" s="121">
        <v>56882.0</v>
      </c>
    </row>
    <row r="4518">
      <c r="A4518" s="121">
        <v>56883.0</v>
      </c>
    </row>
    <row r="4519">
      <c r="A4519" s="121">
        <v>56884.0</v>
      </c>
    </row>
    <row r="4520">
      <c r="A4520" s="121">
        <v>56885.0</v>
      </c>
    </row>
    <row r="4521">
      <c r="A4521" s="121">
        <v>56886.0</v>
      </c>
    </row>
    <row r="4522">
      <c r="A4522" s="121">
        <v>56887.0</v>
      </c>
    </row>
    <row r="4523">
      <c r="A4523" s="121">
        <v>56888.0</v>
      </c>
    </row>
    <row r="4524">
      <c r="A4524" s="121">
        <v>56889.0</v>
      </c>
    </row>
    <row r="4525">
      <c r="A4525" s="121">
        <v>56890.0</v>
      </c>
    </row>
    <row r="4526">
      <c r="A4526" s="121">
        <v>56891.0</v>
      </c>
    </row>
    <row r="4527">
      <c r="A4527" s="121">
        <v>56892.0</v>
      </c>
    </row>
    <row r="4528">
      <c r="A4528" s="121">
        <v>56893.0</v>
      </c>
    </row>
    <row r="4529">
      <c r="A4529" s="121">
        <v>56894.0</v>
      </c>
    </row>
    <row r="4530">
      <c r="A4530" s="121">
        <v>56895.0</v>
      </c>
    </row>
    <row r="4531">
      <c r="A4531" s="121">
        <v>56896.0</v>
      </c>
    </row>
    <row r="4532">
      <c r="A4532" s="121">
        <v>56897.0</v>
      </c>
    </row>
    <row r="4533">
      <c r="A4533" s="121">
        <v>56898.0</v>
      </c>
    </row>
    <row r="4534">
      <c r="A4534" s="121">
        <v>56899.0</v>
      </c>
    </row>
    <row r="4535">
      <c r="A4535" s="121">
        <v>56900.0</v>
      </c>
    </row>
    <row r="4536">
      <c r="A4536" s="121">
        <v>56901.0</v>
      </c>
    </row>
    <row r="4537">
      <c r="A4537" s="121">
        <v>56902.0</v>
      </c>
    </row>
    <row r="4538">
      <c r="A4538" s="121">
        <v>56903.0</v>
      </c>
    </row>
    <row r="4539">
      <c r="A4539" s="121">
        <v>56904.0</v>
      </c>
    </row>
    <row r="4540">
      <c r="A4540" s="121">
        <v>56905.0</v>
      </c>
    </row>
    <row r="4541">
      <c r="A4541" s="121">
        <v>56906.0</v>
      </c>
    </row>
    <row r="4542">
      <c r="A4542" s="121">
        <v>56907.0</v>
      </c>
    </row>
    <row r="4543">
      <c r="A4543" s="121">
        <v>56908.0</v>
      </c>
    </row>
    <row r="4544">
      <c r="A4544" s="121">
        <v>56909.0</v>
      </c>
    </row>
    <row r="4545">
      <c r="A4545" s="121">
        <v>56910.0</v>
      </c>
    </row>
    <row r="4546">
      <c r="A4546" s="121">
        <v>56911.0</v>
      </c>
    </row>
    <row r="4547">
      <c r="A4547" s="121">
        <v>56912.0</v>
      </c>
    </row>
    <row r="4548">
      <c r="A4548" s="121">
        <v>56913.0</v>
      </c>
    </row>
    <row r="4549">
      <c r="A4549" s="121">
        <v>56914.0</v>
      </c>
    </row>
    <row r="4550">
      <c r="A4550" s="121">
        <v>56915.0</v>
      </c>
    </row>
    <row r="4551">
      <c r="A4551" s="121">
        <v>56916.0</v>
      </c>
    </row>
    <row r="4552">
      <c r="A4552" s="121">
        <v>56917.0</v>
      </c>
    </row>
    <row r="4553">
      <c r="A4553" s="121">
        <v>56918.0</v>
      </c>
    </row>
    <row r="4554">
      <c r="A4554" s="121">
        <v>56919.0</v>
      </c>
    </row>
    <row r="4555">
      <c r="A4555" s="121">
        <v>56920.0</v>
      </c>
    </row>
    <row r="4556">
      <c r="A4556" s="121">
        <v>56921.0</v>
      </c>
    </row>
    <row r="4557">
      <c r="A4557" s="121">
        <v>56922.0</v>
      </c>
    </row>
    <row r="4558">
      <c r="A4558" s="121">
        <v>56923.0</v>
      </c>
    </row>
    <row r="4559">
      <c r="A4559" s="121">
        <v>56924.0</v>
      </c>
    </row>
    <row r="4560">
      <c r="A4560" s="121">
        <v>56925.0</v>
      </c>
    </row>
    <row r="4561">
      <c r="A4561" s="121">
        <v>56926.0</v>
      </c>
    </row>
    <row r="4562">
      <c r="A4562" s="121">
        <v>56927.0</v>
      </c>
    </row>
    <row r="4563">
      <c r="A4563" s="121">
        <v>57048.0</v>
      </c>
      <c r="B4563" s="122">
        <v>45714.0</v>
      </c>
    </row>
    <row r="4564">
      <c r="A4564" s="121">
        <v>57049.0</v>
      </c>
    </row>
    <row r="4565">
      <c r="A4565" s="121">
        <v>57050.0</v>
      </c>
    </row>
    <row r="4566">
      <c r="A4566" s="121">
        <v>57051.0</v>
      </c>
    </row>
    <row r="4567">
      <c r="A4567" s="121">
        <v>57052.0</v>
      </c>
    </row>
    <row r="4568">
      <c r="A4568" s="121">
        <v>57053.0</v>
      </c>
    </row>
    <row r="4569">
      <c r="A4569" s="121">
        <v>57054.0</v>
      </c>
    </row>
    <row r="4570">
      <c r="A4570" s="121">
        <v>57055.0</v>
      </c>
    </row>
    <row r="4571">
      <c r="A4571" s="121">
        <v>57056.0</v>
      </c>
    </row>
    <row r="4572">
      <c r="A4572" s="121">
        <v>57057.0</v>
      </c>
    </row>
    <row r="4573">
      <c r="A4573" s="121">
        <v>57058.0</v>
      </c>
    </row>
    <row r="4574">
      <c r="A4574" s="121">
        <v>57059.0</v>
      </c>
    </row>
    <row r="4575">
      <c r="A4575" s="121">
        <v>57060.0</v>
      </c>
    </row>
    <row r="4576">
      <c r="A4576" s="121">
        <v>57061.0</v>
      </c>
    </row>
    <row r="4577">
      <c r="A4577" s="121">
        <v>57062.0</v>
      </c>
    </row>
    <row r="4578">
      <c r="A4578" s="121">
        <v>57063.0</v>
      </c>
    </row>
    <row r="4579">
      <c r="A4579" s="121">
        <v>57064.0</v>
      </c>
    </row>
    <row r="4580">
      <c r="A4580" s="121">
        <v>57065.0</v>
      </c>
    </row>
    <row r="4581">
      <c r="A4581" s="121">
        <v>57066.0</v>
      </c>
    </row>
    <row r="4582">
      <c r="A4582" s="121">
        <v>57067.0</v>
      </c>
    </row>
    <row r="4583">
      <c r="A4583" s="121">
        <v>57068.0</v>
      </c>
    </row>
    <row r="4584">
      <c r="A4584" s="121">
        <v>57069.0</v>
      </c>
    </row>
    <row r="4585">
      <c r="A4585" s="121">
        <v>57070.0</v>
      </c>
    </row>
    <row r="4586">
      <c r="A4586" s="121">
        <v>57071.0</v>
      </c>
    </row>
    <row r="4587">
      <c r="A4587" s="121">
        <v>57072.0</v>
      </c>
    </row>
    <row r="4588">
      <c r="A4588" s="121">
        <v>57073.0</v>
      </c>
    </row>
    <row r="4589">
      <c r="A4589" s="121">
        <v>57074.0</v>
      </c>
    </row>
    <row r="4590">
      <c r="A4590" s="121">
        <v>57075.0</v>
      </c>
    </row>
    <row r="4591">
      <c r="A4591" s="121">
        <v>57076.0</v>
      </c>
    </row>
    <row r="4592">
      <c r="A4592" s="121">
        <v>57077.0</v>
      </c>
    </row>
    <row r="4593">
      <c r="A4593" s="121">
        <v>57078.0</v>
      </c>
      <c r="B4593" s="122">
        <v>46055.0</v>
      </c>
    </row>
    <row r="4594">
      <c r="A4594" s="121">
        <v>57079.0</v>
      </c>
    </row>
    <row r="4595">
      <c r="A4595" s="121">
        <v>57080.0</v>
      </c>
    </row>
    <row r="4596">
      <c r="A4596" s="121">
        <v>57081.0</v>
      </c>
    </row>
    <row r="4597">
      <c r="A4597" s="121">
        <v>57082.0</v>
      </c>
    </row>
    <row r="4598">
      <c r="A4598" s="121">
        <v>57083.0</v>
      </c>
    </row>
    <row r="4599">
      <c r="A4599" s="121">
        <v>57084.0</v>
      </c>
    </row>
    <row r="4600">
      <c r="A4600" s="121">
        <v>57085.0</v>
      </c>
    </row>
    <row r="4601">
      <c r="A4601" s="121">
        <v>57086.0</v>
      </c>
    </row>
    <row r="4602">
      <c r="A4602" s="121">
        <v>57087.0</v>
      </c>
    </row>
    <row r="4603">
      <c r="A4603" s="121">
        <v>57088.0</v>
      </c>
    </row>
    <row r="4604">
      <c r="A4604" s="121">
        <v>57089.0</v>
      </c>
    </row>
    <row r="4605">
      <c r="A4605" s="121">
        <v>57090.0</v>
      </c>
    </row>
    <row r="4606">
      <c r="A4606" s="121">
        <v>57091.0</v>
      </c>
    </row>
    <row r="4607">
      <c r="A4607" s="121">
        <v>57092.0</v>
      </c>
    </row>
    <row r="4608">
      <c r="A4608" s="121">
        <v>57093.0</v>
      </c>
    </row>
    <row r="4609">
      <c r="A4609" s="121">
        <v>57094.0</v>
      </c>
    </row>
    <row r="4610">
      <c r="A4610" s="121">
        <v>57101.0</v>
      </c>
    </row>
    <row r="4611">
      <c r="A4611" s="121">
        <v>57102.0</v>
      </c>
    </row>
    <row r="4612">
      <c r="A4612" s="121">
        <v>57103.0</v>
      </c>
      <c r="B4612" s="122">
        <v>45658.0</v>
      </c>
    </row>
    <row r="4613">
      <c r="A4613" s="121">
        <v>57104.0</v>
      </c>
    </row>
    <row r="4614">
      <c r="A4614" s="121">
        <v>57105.0</v>
      </c>
    </row>
    <row r="4615">
      <c r="A4615" s="121">
        <v>57106.0</v>
      </c>
    </row>
    <row r="4616">
      <c r="A4616" s="121">
        <v>57107.0</v>
      </c>
    </row>
    <row r="4617">
      <c r="A4617" s="121">
        <v>57108.0</v>
      </c>
    </row>
    <row r="4618">
      <c r="A4618" s="121">
        <v>57109.0</v>
      </c>
    </row>
    <row r="4619">
      <c r="A4619" s="121">
        <v>57110.0</v>
      </c>
    </row>
    <row r="4620">
      <c r="A4620" s="121">
        <v>57111.0</v>
      </c>
    </row>
    <row r="4621">
      <c r="A4621" s="121">
        <v>57112.0</v>
      </c>
    </row>
    <row r="4622">
      <c r="A4622" s="121">
        <v>57113.0</v>
      </c>
    </row>
    <row r="4623">
      <c r="A4623" s="121">
        <v>57114.0</v>
      </c>
    </row>
    <row r="4624">
      <c r="A4624" s="121">
        <v>57115.0</v>
      </c>
    </row>
    <row r="4625">
      <c r="A4625" s="121">
        <v>57116.0</v>
      </c>
    </row>
    <row r="4626">
      <c r="A4626" s="121">
        <v>57117.0</v>
      </c>
    </row>
    <row r="4627">
      <c r="A4627" s="121">
        <v>57118.0</v>
      </c>
    </row>
    <row r="4628">
      <c r="A4628" s="121">
        <v>57119.0</v>
      </c>
    </row>
    <row r="4629">
      <c r="A4629" s="121">
        <v>57120.0</v>
      </c>
    </row>
    <row r="4630">
      <c r="A4630" s="121">
        <v>57121.0</v>
      </c>
    </row>
    <row r="4631">
      <c r="A4631" s="121">
        <v>57122.0</v>
      </c>
    </row>
    <row r="4632">
      <c r="A4632" s="121">
        <v>57123.0</v>
      </c>
    </row>
    <row r="4633">
      <c r="A4633" s="121">
        <v>57124.0</v>
      </c>
    </row>
    <row r="4634">
      <c r="A4634" s="121">
        <v>57125.0</v>
      </c>
    </row>
    <row r="4635">
      <c r="A4635" s="121">
        <v>57126.0</v>
      </c>
    </row>
    <row r="4636">
      <c r="A4636" s="121">
        <v>57127.0</v>
      </c>
    </row>
    <row r="4637">
      <c r="A4637" s="121">
        <v>57128.0</v>
      </c>
    </row>
    <row r="4638">
      <c r="A4638" s="121">
        <v>57129.0</v>
      </c>
    </row>
    <row r="4639">
      <c r="A4639" s="121">
        <v>57130.0</v>
      </c>
    </row>
    <row r="4640">
      <c r="A4640" s="121">
        <v>57131.0</v>
      </c>
    </row>
    <row r="4641">
      <c r="A4641" s="121">
        <v>57132.0</v>
      </c>
    </row>
    <row r="4642">
      <c r="A4642" s="121">
        <v>57133.0</v>
      </c>
    </row>
    <row r="4643">
      <c r="A4643" s="121">
        <v>57134.0</v>
      </c>
    </row>
    <row r="4644">
      <c r="A4644" s="121">
        <v>57135.0</v>
      </c>
    </row>
    <row r="4645">
      <c r="A4645" s="121">
        <v>57136.0</v>
      </c>
    </row>
    <row r="4646">
      <c r="A4646" s="121">
        <v>57137.0</v>
      </c>
    </row>
    <row r="4647">
      <c r="A4647" s="121">
        <v>57138.0</v>
      </c>
    </row>
    <row r="4648">
      <c r="A4648" s="121">
        <v>57139.0</v>
      </c>
    </row>
    <row r="4649">
      <c r="A4649" s="121">
        <v>57140.0</v>
      </c>
      <c r="B4649" s="122">
        <v>45557.0</v>
      </c>
    </row>
    <row r="4650">
      <c r="A4650" s="121">
        <v>57141.0</v>
      </c>
    </row>
    <row r="4651">
      <c r="A4651" s="121">
        <v>57142.0</v>
      </c>
    </row>
    <row r="4652">
      <c r="A4652" s="121">
        <v>57143.0</v>
      </c>
    </row>
    <row r="4653">
      <c r="A4653" s="121">
        <v>57144.0</v>
      </c>
    </row>
    <row r="4654">
      <c r="A4654" s="121">
        <v>57145.0</v>
      </c>
    </row>
    <row r="4655">
      <c r="A4655" s="121">
        <v>57146.0</v>
      </c>
    </row>
    <row r="4656">
      <c r="A4656" s="121">
        <v>57147.0</v>
      </c>
    </row>
    <row r="4657">
      <c r="A4657" s="121">
        <v>57148.0</v>
      </c>
    </row>
    <row r="4658">
      <c r="A4658" s="121">
        <v>57149.0</v>
      </c>
    </row>
    <row r="4659">
      <c r="A4659" s="121">
        <v>57150.0</v>
      </c>
    </row>
    <row r="4660">
      <c r="A4660" s="121">
        <v>57151.0</v>
      </c>
    </row>
    <row r="4661">
      <c r="A4661" s="121">
        <v>57152.0</v>
      </c>
    </row>
    <row r="4662">
      <c r="A4662" s="121">
        <v>57153.0</v>
      </c>
    </row>
    <row r="4663">
      <c r="A4663" s="121">
        <v>57154.0</v>
      </c>
    </row>
    <row r="4664">
      <c r="A4664" s="121">
        <v>57155.0</v>
      </c>
    </row>
    <row r="4665">
      <c r="A4665" s="121">
        <v>57156.0</v>
      </c>
    </row>
    <row r="4666">
      <c r="A4666" s="121">
        <v>57218.0</v>
      </c>
    </row>
    <row r="4667">
      <c r="A4667" s="121">
        <v>57219.0</v>
      </c>
    </row>
    <row r="4668">
      <c r="A4668" s="121">
        <v>57220.0</v>
      </c>
    </row>
    <row r="4669">
      <c r="A4669" s="121">
        <v>57221.0</v>
      </c>
    </row>
    <row r="4670">
      <c r="A4670" s="121">
        <v>57222.0</v>
      </c>
    </row>
    <row r="4671">
      <c r="A4671" s="121">
        <v>57223.0</v>
      </c>
    </row>
    <row r="4672">
      <c r="A4672" s="121">
        <v>57224.0</v>
      </c>
    </row>
    <row r="4673">
      <c r="A4673" s="121">
        <v>57225.0</v>
      </c>
    </row>
    <row r="4674">
      <c r="A4674" s="121">
        <v>57226.0</v>
      </c>
    </row>
    <row r="4675">
      <c r="A4675" s="121">
        <v>57227.0</v>
      </c>
    </row>
    <row r="4676">
      <c r="A4676" s="121">
        <v>57228.0</v>
      </c>
    </row>
    <row r="4677">
      <c r="A4677" s="121">
        <v>57229.0</v>
      </c>
    </row>
    <row r="4678">
      <c r="A4678" s="121">
        <v>57230.0</v>
      </c>
    </row>
    <row r="4679">
      <c r="A4679" s="121">
        <v>57231.0</v>
      </c>
    </row>
    <row r="4680">
      <c r="A4680" s="121">
        <v>57232.0</v>
      </c>
    </row>
    <row r="4681">
      <c r="A4681" s="121">
        <v>57233.0</v>
      </c>
    </row>
    <row r="4682">
      <c r="A4682" s="121">
        <v>57234.0</v>
      </c>
    </row>
    <row r="4683">
      <c r="A4683" s="121">
        <v>57235.0</v>
      </c>
    </row>
    <row r="4684">
      <c r="A4684" s="121">
        <v>57236.0</v>
      </c>
    </row>
    <row r="4685">
      <c r="A4685" s="121">
        <v>57237.0</v>
      </c>
    </row>
    <row r="4686">
      <c r="A4686" s="121">
        <v>57238.0</v>
      </c>
    </row>
    <row r="4687">
      <c r="A4687" s="121">
        <v>57239.0</v>
      </c>
    </row>
    <row r="4688">
      <c r="A4688" s="121">
        <v>57240.0</v>
      </c>
    </row>
    <row r="4689">
      <c r="A4689" s="121">
        <v>57241.0</v>
      </c>
    </row>
    <row r="4690">
      <c r="A4690" s="121">
        <v>57242.0</v>
      </c>
    </row>
    <row r="4691">
      <c r="A4691" s="121">
        <v>57243.0</v>
      </c>
    </row>
    <row r="4692">
      <c r="A4692" s="121">
        <v>57244.0</v>
      </c>
    </row>
    <row r="4693">
      <c r="A4693" s="121">
        <v>57245.0</v>
      </c>
    </row>
    <row r="4694">
      <c r="A4694" s="121">
        <v>57246.0</v>
      </c>
    </row>
    <row r="4695">
      <c r="A4695" s="121">
        <v>57247.0</v>
      </c>
    </row>
    <row r="4696">
      <c r="A4696" s="121">
        <v>57248.0</v>
      </c>
    </row>
    <row r="4697">
      <c r="A4697" s="121">
        <v>57249.0</v>
      </c>
    </row>
    <row r="4698">
      <c r="A4698" s="121">
        <v>57250.0</v>
      </c>
    </row>
    <row r="4699">
      <c r="A4699" s="121">
        <v>57251.0</v>
      </c>
    </row>
    <row r="4700">
      <c r="A4700" s="121">
        <v>57252.0</v>
      </c>
    </row>
    <row r="4701">
      <c r="A4701" s="121">
        <v>57253.0</v>
      </c>
    </row>
    <row r="4702">
      <c r="A4702" s="121">
        <v>57254.0</v>
      </c>
    </row>
    <row r="4703">
      <c r="A4703" s="121">
        <v>57255.0</v>
      </c>
    </row>
    <row r="4704">
      <c r="A4704" s="121">
        <v>57256.0</v>
      </c>
    </row>
    <row r="4705">
      <c r="A4705" s="121">
        <v>57257.0</v>
      </c>
    </row>
    <row r="4706">
      <c r="A4706" s="121">
        <v>57258.0</v>
      </c>
    </row>
    <row r="4707">
      <c r="A4707" s="121">
        <v>57259.0</v>
      </c>
      <c r="B4707" s="122">
        <v>45353.0</v>
      </c>
    </row>
    <row r="4708">
      <c r="A4708" s="121">
        <v>57260.0</v>
      </c>
    </row>
    <row r="4709">
      <c r="A4709" s="121">
        <v>57261.0</v>
      </c>
    </row>
    <row r="4710">
      <c r="A4710" s="121">
        <v>57262.0</v>
      </c>
    </row>
    <row r="4711">
      <c r="A4711" s="121">
        <v>57263.0</v>
      </c>
    </row>
    <row r="4712">
      <c r="A4712" s="121">
        <v>57264.0</v>
      </c>
    </row>
    <row r="4713">
      <c r="A4713" s="121">
        <v>57265.0</v>
      </c>
    </row>
    <row r="4714">
      <c r="A4714" s="121">
        <v>57290.0</v>
      </c>
    </row>
    <row r="4715">
      <c r="A4715" s="121">
        <v>57291.0</v>
      </c>
    </row>
    <row r="4716">
      <c r="A4716" s="121">
        <v>57292.0</v>
      </c>
    </row>
    <row r="4717">
      <c r="A4717" s="121">
        <v>57293.0</v>
      </c>
      <c r="B4717" s="122">
        <v>45552.0</v>
      </c>
    </row>
    <row r="4718">
      <c r="A4718" s="121">
        <v>57294.0</v>
      </c>
    </row>
    <row r="4719">
      <c r="A4719" s="121">
        <v>57295.0</v>
      </c>
      <c r="B4719" s="122">
        <v>45812.0</v>
      </c>
    </row>
    <row r="4720">
      <c r="A4720" s="121">
        <v>57296.0</v>
      </c>
    </row>
    <row r="4721">
      <c r="A4721" s="121">
        <v>57297.0</v>
      </c>
      <c r="B4721" s="122">
        <v>45970.0</v>
      </c>
    </row>
    <row r="4722">
      <c r="A4722" s="121">
        <v>57298.0</v>
      </c>
    </row>
    <row r="4723">
      <c r="A4723" s="121">
        <v>57299.0</v>
      </c>
      <c r="B4723" s="122">
        <v>45880.0</v>
      </c>
    </row>
    <row r="4724">
      <c r="A4724" s="121">
        <v>57300.0</v>
      </c>
    </row>
    <row r="4725">
      <c r="A4725" s="121">
        <v>57301.0</v>
      </c>
    </row>
    <row r="4726">
      <c r="A4726" s="121">
        <v>57302.0</v>
      </c>
    </row>
    <row r="4727">
      <c r="A4727" s="121">
        <v>57303.0</v>
      </c>
    </row>
    <row r="4728">
      <c r="A4728" s="121">
        <v>57304.0</v>
      </c>
      <c r="B4728" s="122">
        <v>45837.0</v>
      </c>
    </row>
    <row r="4729">
      <c r="A4729" s="121">
        <v>57305.0</v>
      </c>
    </row>
    <row r="4730">
      <c r="A4730" s="121">
        <v>57306.0</v>
      </c>
    </row>
    <row r="4731">
      <c r="A4731" s="121">
        <v>57307.0</v>
      </c>
    </row>
    <row r="4732">
      <c r="A4732" s="121">
        <v>57308.0</v>
      </c>
      <c r="B4732" s="122">
        <v>45901.0</v>
      </c>
    </row>
    <row r="4733">
      <c r="A4733" s="121">
        <v>57309.0</v>
      </c>
      <c r="B4733" s="122">
        <v>46011.0</v>
      </c>
    </row>
    <row r="4734">
      <c r="A4734" s="121">
        <v>57310.0</v>
      </c>
    </row>
    <row r="4735">
      <c r="A4735" s="121">
        <v>57311.0</v>
      </c>
    </row>
    <row r="4736">
      <c r="A4736" s="121">
        <v>57328.0</v>
      </c>
    </row>
    <row r="4737">
      <c r="A4737" s="121">
        <v>57329.0</v>
      </c>
    </row>
    <row r="4738">
      <c r="A4738" s="121">
        <v>57330.0</v>
      </c>
    </row>
    <row r="4739">
      <c r="A4739" s="121">
        <v>57331.0</v>
      </c>
    </row>
    <row r="4740">
      <c r="A4740" s="121">
        <v>57332.0</v>
      </c>
    </row>
    <row r="4741">
      <c r="A4741" s="121">
        <v>57333.0</v>
      </c>
    </row>
    <row r="4742">
      <c r="A4742" s="121">
        <v>57334.0</v>
      </c>
    </row>
    <row r="4743">
      <c r="A4743" s="121">
        <v>57335.0</v>
      </c>
    </row>
    <row r="4744">
      <c r="A4744" s="121">
        <v>57336.0</v>
      </c>
    </row>
    <row r="4745">
      <c r="A4745" s="121">
        <v>57337.0</v>
      </c>
    </row>
    <row r="4746">
      <c r="A4746" s="121">
        <v>57338.0</v>
      </c>
    </row>
    <row r="4747">
      <c r="A4747" s="121">
        <v>57339.0</v>
      </c>
    </row>
    <row r="4748">
      <c r="A4748" s="121">
        <v>57340.0</v>
      </c>
    </row>
    <row r="4749">
      <c r="A4749" s="121">
        <v>57341.0</v>
      </c>
    </row>
    <row r="4750">
      <c r="A4750" s="121">
        <v>57342.0</v>
      </c>
    </row>
    <row r="4751">
      <c r="A4751" s="121">
        <v>57343.0</v>
      </c>
    </row>
    <row r="4752">
      <c r="A4752" s="121">
        <v>57344.0</v>
      </c>
    </row>
    <row r="4753">
      <c r="A4753" s="121">
        <v>57345.0</v>
      </c>
    </row>
    <row r="4754">
      <c r="A4754" s="121">
        <v>57346.0</v>
      </c>
    </row>
    <row r="4755">
      <c r="A4755" s="121">
        <v>57347.0</v>
      </c>
    </row>
    <row r="4756">
      <c r="A4756" s="121">
        <v>57348.0</v>
      </c>
    </row>
    <row r="4757">
      <c r="A4757" s="121">
        <v>57349.0</v>
      </c>
    </row>
    <row r="4758">
      <c r="A4758" s="121">
        <v>57350.0</v>
      </c>
    </row>
    <row r="4759">
      <c r="A4759" s="121">
        <v>57351.0</v>
      </c>
    </row>
    <row r="4760">
      <c r="A4760" s="121">
        <v>57352.0</v>
      </c>
    </row>
    <row r="4761">
      <c r="A4761" s="121">
        <v>57353.0</v>
      </c>
    </row>
    <row r="4762">
      <c r="A4762" s="121">
        <v>57354.0</v>
      </c>
    </row>
    <row r="4763">
      <c r="A4763" s="121">
        <v>57355.0</v>
      </c>
    </row>
    <row r="4764">
      <c r="A4764" s="121">
        <v>57356.0</v>
      </c>
    </row>
    <row r="4765">
      <c r="A4765" s="121">
        <v>57357.0</v>
      </c>
    </row>
    <row r="4766">
      <c r="A4766" s="121">
        <v>57358.0</v>
      </c>
    </row>
    <row r="4767">
      <c r="A4767" s="121">
        <v>57359.0</v>
      </c>
    </row>
    <row r="4768">
      <c r="A4768" s="121">
        <v>57360.0</v>
      </c>
    </row>
    <row r="4769">
      <c r="A4769" s="121">
        <v>57361.0</v>
      </c>
    </row>
    <row r="4770">
      <c r="A4770" s="121">
        <v>57362.0</v>
      </c>
    </row>
    <row r="4771">
      <c r="A4771" s="121">
        <v>57363.0</v>
      </c>
    </row>
    <row r="4772">
      <c r="A4772" s="121">
        <v>57364.0</v>
      </c>
    </row>
    <row r="4773">
      <c r="A4773" s="121">
        <v>57365.0</v>
      </c>
    </row>
    <row r="4774">
      <c r="A4774" s="121">
        <v>57366.0</v>
      </c>
    </row>
    <row r="4775">
      <c r="A4775" s="121">
        <v>57367.0</v>
      </c>
    </row>
    <row r="4776">
      <c r="A4776" s="121">
        <v>57368.0</v>
      </c>
    </row>
    <row r="4777">
      <c r="A4777" s="121">
        <v>57369.0</v>
      </c>
    </row>
    <row r="4778">
      <c r="A4778" s="121">
        <v>57370.0</v>
      </c>
    </row>
    <row r="4779">
      <c r="A4779" s="121">
        <v>57371.0</v>
      </c>
    </row>
    <row r="4780">
      <c r="A4780" s="121">
        <v>57372.0</v>
      </c>
    </row>
    <row r="4781">
      <c r="A4781" s="121">
        <v>57373.0</v>
      </c>
    </row>
    <row r="4782">
      <c r="A4782" s="121">
        <v>57374.0</v>
      </c>
    </row>
    <row r="4783">
      <c r="A4783" s="121">
        <v>57375.0</v>
      </c>
    </row>
    <row r="4784">
      <c r="A4784" s="121">
        <v>57376.0</v>
      </c>
    </row>
    <row r="4785">
      <c r="A4785" s="121">
        <v>57377.0</v>
      </c>
    </row>
    <row r="4786">
      <c r="A4786" s="121">
        <v>57378.0</v>
      </c>
    </row>
    <row r="4787">
      <c r="A4787" s="121">
        <v>57379.0</v>
      </c>
    </row>
    <row r="4788">
      <c r="A4788" s="121">
        <v>57380.0</v>
      </c>
    </row>
    <row r="4789">
      <c r="A4789" s="121">
        <v>57381.0</v>
      </c>
    </row>
    <row r="4790">
      <c r="A4790" s="121">
        <v>57404.0</v>
      </c>
    </row>
    <row r="4791">
      <c r="A4791" s="121">
        <v>57405.0</v>
      </c>
      <c r="B4791" s="122">
        <v>46049.0</v>
      </c>
    </row>
    <row r="4792">
      <c r="A4792" s="121">
        <v>57406.0</v>
      </c>
    </row>
    <row r="4793">
      <c r="A4793" s="121">
        <v>57407.0</v>
      </c>
    </row>
    <row r="4794">
      <c r="A4794" s="121">
        <v>57408.0</v>
      </c>
    </row>
    <row r="4795">
      <c r="A4795" s="121">
        <v>57409.0</v>
      </c>
    </row>
    <row r="4796">
      <c r="A4796" s="121">
        <v>57410.0</v>
      </c>
    </row>
    <row r="4797">
      <c r="A4797" s="121">
        <v>57411.0</v>
      </c>
    </row>
    <row r="4798">
      <c r="A4798" s="121">
        <v>57412.0</v>
      </c>
    </row>
    <row r="4799">
      <c r="A4799" s="121">
        <v>57413.0</v>
      </c>
    </row>
    <row r="4800">
      <c r="A4800" s="121">
        <v>57414.0</v>
      </c>
    </row>
    <row r="4801">
      <c r="A4801" s="121">
        <v>57415.0</v>
      </c>
    </row>
    <row r="4802">
      <c r="A4802" s="121">
        <v>57416.0</v>
      </c>
    </row>
    <row r="4803">
      <c r="A4803" s="121">
        <v>57417.0</v>
      </c>
    </row>
    <row r="4804">
      <c r="A4804" s="121">
        <v>57418.0</v>
      </c>
    </row>
    <row r="4805">
      <c r="A4805" s="121">
        <v>57430.0</v>
      </c>
    </row>
    <row r="4806">
      <c r="A4806" s="121">
        <v>57431.0</v>
      </c>
      <c r="B4806" s="122">
        <v>45815.0</v>
      </c>
    </row>
    <row r="4807">
      <c r="A4807" s="121">
        <v>57432.0</v>
      </c>
    </row>
    <row r="4808">
      <c r="A4808" s="121">
        <v>57433.0</v>
      </c>
    </row>
    <row r="4809">
      <c r="A4809" s="121">
        <v>57434.0</v>
      </c>
    </row>
    <row r="4810">
      <c r="A4810" s="121">
        <v>57435.0</v>
      </c>
      <c r="B4810" s="122">
        <v>45824.0</v>
      </c>
    </row>
    <row r="4811">
      <c r="A4811" s="121">
        <v>57436.0</v>
      </c>
      <c r="B4811" s="122">
        <v>46052.0</v>
      </c>
    </row>
    <row r="4812">
      <c r="A4812" s="121">
        <v>57437.0</v>
      </c>
    </row>
    <row r="4813">
      <c r="A4813" s="121">
        <v>57438.0</v>
      </c>
    </row>
    <row r="4814">
      <c r="A4814" s="121">
        <v>57439.0</v>
      </c>
      <c r="B4814" s="122">
        <v>45818.0</v>
      </c>
    </row>
    <row r="4815">
      <c r="A4815" s="121">
        <v>57440.0</v>
      </c>
      <c r="B4815" s="122">
        <v>46035.0</v>
      </c>
    </row>
    <row r="4816">
      <c r="A4816" s="121">
        <v>57441.0</v>
      </c>
    </row>
    <row r="4817">
      <c r="A4817" s="121">
        <v>57442.0</v>
      </c>
    </row>
    <row r="4818">
      <c r="A4818" s="121">
        <v>57443.0</v>
      </c>
    </row>
    <row r="4819">
      <c r="A4819" s="121">
        <v>57444.0</v>
      </c>
    </row>
    <row r="4820">
      <c r="A4820" s="121">
        <v>57445.0</v>
      </c>
    </row>
    <row r="4821">
      <c r="A4821" s="121">
        <v>57446.0</v>
      </c>
    </row>
    <row r="4822">
      <c r="A4822" s="121">
        <v>57447.0</v>
      </c>
    </row>
    <row r="4823">
      <c r="A4823" s="121">
        <v>57448.0</v>
      </c>
    </row>
    <row r="4824">
      <c r="A4824" s="121">
        <v>57449.0</v>
      </c>
    </row>
    <row r="4825">
      <c r="A4825" s="121">
        <v>57450.0</v>
      </c>
    </row>
    <row r="4826">
      <c r="A4826" s="121">
        <v>57451.0</v>
      </c>
    </row>
    <row r="4827">
      <c r="A4827" s="121">
        <v>57457.0</v>
      </c>
    </row>
    <row r="4828">
      <c r="A4828" s="121">
        <v>57458.0</v>
      </c>
    </row>
    <row r="4829">
      <c r="A4829" s="121">
        <v>57459.0</v>
      </c>
    </row>
    <row r="4830">
      <c r="A4830" s="121">
        <v>57460.0</v>
      </c>
    </row>
    <row r="4831">
      <c r="A4831" s="121">
        <v>57461.0</v>
      </c>
    </row>
    <row r="4832">
      <c r="A4832" s="121">
        <v>57462.0</v>
      </c>
    </row>
    <row r="4833">
      <c r="A4833" s="121">
        <v>57463.0</v>
      </c>
    </row>
    <row r="4834">
      <c r="A4834" s="121">
        <v>57464.0</v>
      </c>
      <c r="B4834" s="122">
        <v>45806.0</v>
      </c>
    </row>
    <row r="4835">
      <c r="A4835" s="121">
        <v>57465.0</v>
      </c>
    </row>
    <row r="4836">
      <c r="A4836" s="121">
        <v>57466.0</v>
      </c>
      <c r="B4836" s="122">
        <v>45216.0</v>
      </c>
    </row>
    <row r="4837">
      <c r="A4837" s="121">
        <v>57467.0</v>
      </c>
    </row>
    <row r="4838">
      <c r="A4838" s="121">
        <v>57468.0</v>
      </c>
    </row>
    <row r="4839">
      <c r="A4839" s="121">
        <v>57469.0</v>
      </c>
    </row>
    <row r="4840">
      <c r="A4840" s="121">
        <v>57470.0</v>
      </c>
    </row>
    <row r="4841">
      <c r="A4841" s="121">
        <v>57471.0</v>
      </c>
      <c r="B4841" s="122">
        <v>46002.0</v>
      </c>
    </row>
    <row r="4842">
      <c r="A4842" s="121">
        <v>57472.0</v>
      </c>
    </row>
    <row r="4843">
      <c r="A4843" s="121">
        <v>57473.0</v>
      </c>
    </row>
    <row r="4844">
      <c r="A4844" s="121">
        <v>57474.0</v>
      </c>
    </row>
    <row r="4845">
      <c r="A4845" s="121">
        <v>57475.0</v>
      </c>
    </row>
    <row r="4846">
      <c r="A4846" s="121">
        <v>57476.0</v>
      </c>
    </row>
    <row r="4847">
      <c r="A4847" s="121">
        <v>57477.0</v>
      </c>
    </row>
    <row r="4848">
      <c r="A4848" s="121">
        <v>57478.0</v>
      </c>
      <c r="B4848" s="122">
        <v>45176.0</v>
      </c>
    </row>
    <row r="4849">
      <c r="A4849" s="121">
        <v>57495.0</v>
      </c>
    </row>
    <row r="4850">
      <c r="A4850" s="121">
        <v>57496.0</v>
      </c>
    </row>
    <row r="4851">
      <c r="A4851" s="121">
        <v>57497.0</v>
      </c>
    </row>
    <row r="4852">
      <c r="A4852" s="121">
        <v>57498.0</v>
      </c>
    </row>
    <row r="4853">
      <c r="A4853" s="121">
        <v>57499.0</v>
      </c>
    </row>
    <row r="4854">
      <c r="A4854" s="121">
        <v>57500.0</v>
      </c>
    </row>
    <row r="4855">
      <c r="A4855" s="121">
        <v>57501.0</v>
      </c>
    </row>
    <row r="4856">
      <c r="A4856" s="121">
        <v>57502.0</v>
      </c>
      <c r="B4856" s="122">
        <v>46051.0</v>
      </c>
    </row>
    <row r="4857">
      <c r="A4857" s="121">
        <v>57503.0</v>
      </c>
    </row>
    <row r="4858">
      <c r="A4858" s="121">
        <v>57504.0</v>
      </c>
    </row>
    <row r="4859">
      <c r="A4859" s="121">
        <v>57505.0</v>
      </c>
    </row>
    <row r="4860">
      <c r="A4860" s="121">
        <v>57506.0</v>
      </c>
    </row>
    <row r="4861">
      <c r="A4861" s="121">
        <v>57507.0</v>
      </c>
    </row>
    <row r="4862">
      <c r="A4862" s="121">
        <v>57508.0</v>
      </c>
    </row>
    <row r="4863">
      <c r="A4863" s="121">
        <v>57509.0</v>
      </c>
    </row>
    <row r="4864">
      <c r="A4864" s="121">
        <v>57510.0</v>
      </c>
    </row>
    <row r="4865">
      <c r="A4865" s="121">
        <v>57511.0</v>
      </c>
    </row>
    <row r="4866">
      <c r="A4866" s="121">
        <v>57512.0</v>
      </c>
    </row>
    <row r="4867">
      <c r="A4867" s="121">
        <v>57513.0</v>
      </c>
    </row>
    <row r="4868">
      <c r="A4868" s="121">
        <v>57514.0</v>
      </c>
    </row>
    <row r="4869">
      <c r="A4869" s="121">
        <v>57515.0</v>
      </c>
    </row>
    <row r="4870">
      <c r="A4870" s="121">
        <v>57516.0</v>
      </c>
    </row>
    <row r="4871">
      <c r="A4871" s="121">
        <v>57521.0</v>
      </c>
    </row>
    <row r="4872">
      <c r="A4872" s="121">
        <v>57522.0</v>
      </c>
    </row>
    <row r="4873">
      <c r="A4873" s="121">
        <v>57523.0</v>
      </c>
    </row>
    <row r="4874">
      <c r="A4874" s="121">
        <v>57524.0</v>
      </c>
    </row>
    <row r="4875">
      <c r="A4875" s="121">
        <v>57525.0</v>
      </c>
    </row>
    <row r="4876">
      <c r="A4876" s="121">
        <v>57526.0</v>
      </c>
    </row>
    <row r="4877">
      <c r="A4877" s="121">
        <v>57527.0</v>
      </c>
    </row>
    <row r="4878">
      <c r="A4878" s="121">
        <v>57528.0</v>
      </c>
    </row>
    <row r="4879">
      <c r="A4879" s="121">
        <v>57529.0</v>
      </c>
    </row>
    <row r="4880">
      <c r="A4880" s="121">
        <v>57530.0</v>
      </c>
    </row>
    <row r="4881">
      <c r="A4881" s="121">
        <v>57531.0</v>
      </c>
    </row>
    <row r="4882">
      <c r="A4882" s="121">
        <v>57532.0</v>
      </c>
    </row>
    <row r="4883">
      <c r="A4883" s="121">
        <v>57533.0</v>
      </c>
    </row>
    <row r="4884">
      <c r="A4884" s="121">
        <v>57534.0</v>
      </c>
    </row>
    <row r="4885">
      <c r="A4885" s="121">
        <v>57535.0</v>
      </c>
      <c r="B4885" s="122">
        <v>45861.0</v>
      </c>
    </row>
    <row r="4886">
      <c r="A4886" s="121">
        <v>57602.0</v>
      </c>
    </row>
    <row r="4887">
      <c r="A4887" s="121">
        <v>57603.0</v>
      </c>
    </row>
    <row r="4888">
      <c r="A4888" s="121">
        <v>57604.0</v>
      </c>
    </row>
    <row r="4889">
      <c r="A4889" s="121">
        <v>57605.0</v>
      </c>
    </row>
    <row r="4890">
      <c r="A4890" s="121">
        <v>57606.0</v>
      </c>
    </row>
    <row r="4891">
      <c r="A4891" s="121">
        <v>57607.0</v>
      </c>
    </row>
    <row r="4892">
      <c r="A4892" s="121">
        <v>57608.0</v>
      </c>
    </row>
    <row r="4893">
      <c r="A4893" s="121">
        <v>57609.0</v>
      </c>
    </row>
    <row r="4894">
      <c r="A4894" s="121">
        <v>57610.0</v>
      </c>
    </row>
    <row r="4895">
      <c r="A4895" s="121">
        <v>57611.0</v>
      </c>
    </row>
    <row r="4896">
      <c r="A4896" s="121">
        <v>57612.0</v>
      </c>
    </row>
    <row r="4897">
      <c r="A4897" s="121">
        <v>57613.0</v>
      </c>
    </row>
    <row r="4898">
      <c r="A4898" s="121">
        <v>57614.0</v>
      </c>
    </row>
    <row r="4899">
      <c r="A4899" s="121">
        <v>57615.0</v>
      </c>
    </row>
    <row r="4900">
      <c r="A4900" s="121">
        <v>57616.0</v>
      </c>
    </row>
    <row r="4901">
      <c r="A4901" s="121">
        <v>57617.0</v>
      </c>
    </row>
    <row r="4902">
      <c r="A4902" s="121">
        <v>57618.0</v>
      </c>
    </row>
    <row r="4903">
      <c r="A4903" s="121">
        <v>57619.0</v>
      </c>
      <c r="B4903" s="122">
        <v>45180.0</v>
      </c>
    </row>
    <row r="4904">
      <c r="A4904" s="121">
        <v>57620.0</v>
      </c>
    </row>
    <row r="4905">
      <c r="A4905" s="121">
        <v>57621.0</v>
      </c>
    </row>
    <row r="4906">
      <c r="A4906" s="121">
        <v>57622.0</v>
      </c>
    </row>
    <row r="4907">
      <c r="A4907" s="121">
        <v>57623.0</v>
      </c>
    </row>
    <row r="4908">
      <c r="A4908" s="121">
        <v>57632.0</v>
      </c>
    </row>
    <row r="4909">
      <c r="A4909" s="121">
        <v>57633.0</v>
      </c>
    </row>
    <row r="4910">
      <c r="A4910" s="121">
        <v>57634.0</v>
      </c>
    </row>
    <row r="4911">
      <c r="A4911" s="121">
        <v>57635.0</v>
      </c>
    </row>
    <row r="4912">
      <c r="A4912" s="121">
        <v>57636.0</v>
      </c>
    </row>
    <row r="4913">
      <c r="A4913" s="121">
        <v>57637.0</v>
      </c>
    </row>
    <row r="4914">
      <c r="A4914" s="121">
        <v>57638.0</v>
      </c>
    </row>
    <row r="4915">
      <c r="A4915" s="121">
        <v>57639.0</v>
      </c>
    </row>
    <row r="4916">
      <c r="A4916" s="121">
        <v>57640.0</v>
      </c>
    </row>
    <row r="4917">
      <c r="A4917" s="121">
        <v>57641.0</v>
      </c>
    </row>
    <row r="4918">
      <c r="A4918" s="121">
        <v>57642.0</v>
      </c>
    </row>
    <row r="4919">
      <c r="A4919" s="121">
        <v>57643.0</v>
      </c>
    </row>
    <row r="4920">
      <c r="A4920" s="121">
        <v>57644.0</v>
      </c>
    </row>
    <row r="4921">
      <c r="A4921" s="121">
        <v>57645.0</v>
      </c>
    </row>
    <row r="4922">
      <c r="A4922" s="121">
        <v>57646.0</v>
      </c>
    </row>
    <row r="4923">
      <c r="A4923" s="121">
        <v>57647.0</v>
      </c>
    </row>
    <row r="4924">
      <c r="A4924" s="121">
        <v>57648.0</v>
      </c>
    </row>
    <row r="4925">
      <c r="A4925" s="121">
        <v>57649.0</v>
      </c>
      <c r="B4925" s="122">
        <v>45421.0</v>
      </c>
    </row>
    <row r="4926">
      <c r="A4926" s="121">
        <v>57650.0</v>
      </c>
    </row>
    <row r="4927">
      <c r="A4927" s="121">
        <v>57651.0</v>
      </c>
    </row>
    <row r="4928">
      <c r="A4928" s="121">
        <v>57652.0</v>
      </c>
    </row>
    <row r="4929">
      <c r="A4929" s="121">
        <v>57653.0</v>
      </c>
    </row>
    <row r="4930">
      <c r="A4930" s="121">
        <v>57663.0</v>
      </c>
    </row>
    <row r="4931">
      <c r="A4931" s="121">
        <v>57664.0</v>
      </c>
      <c r="B4931" s="122">
        <v>45715.0</v>
      </c>
    </row>
    <row r="4932">
      <c r="A4932" s="121">
        <v>57665.0</v>
      </c>
    </row>
    <row r="4933">
      <c r="A4933" s="121">
        <v>57666.0</v>
      </c>
    </row>
    <row r="4934">
      <c r="A4934" s="121">
        <v>57667.0</v>
      </c>
    </row>
    <row r="4935">
      <c r="A4935" s="121">
        <v>57668.0</v>
      </c>
    </row>
    <row r="4936">
      <c r="A4936" s="121">
        <v>57669.0</v>
      </c>
    </row>
    <row r="4937">
      <c r="A4937" s="121">
        <v>57670.0</v>
      </c>
    </row>
    <row r="4938">
      <c r="A4938" s="121">
        <v>57671.0</v>
      </c>
    </row>
    <row r="4939">
      <c r="A4939" s="121">
        <v>57672.0</v>
      </c>
    </row>
    <row r="4940">
      <c r="A4940" s="121">
        <v>57673.0</v>
      </c>
    </row>
    <row r="4941">
      <c r="A4941" s="121">
        <v>57674.0</v>
      </c>
      <c r="B4941" s="122">
        <v>45718.0</v>
      </c>
    </row>
    <row r="4942">
      <c r="A4942" s="121">
        <v>57675.0</v>
      </c>
      <c r="B4942" s="122">
        <v>45988.0</v>
      </c>
    </row>
    <row r="4943">
      <c r="A4943" s="121">
        <v>57676.0</v>
      </c>
    </row>
    <row r="4944">
      <c r="A4944" s="121">
        <v>57677.0</v>
      </c>
    </row>
    <row r="4945">
      <c r="A4945" s="121">
        <v>57678.0</v>
      </c>
    </row>
    <row r="4946">
      <c r="A4946" s="121">
        <v>57679.0</v>
      </c>
    </row>
    <row r="4947">
      <c r="A4947" s="121">
        <v>57680.0</v>
      </c>
    </row>
    <row r="4948">
      <c r="A4948" s="121">
        <v>57681.0</v>
      </c>
    </row>
    <row r="4949">
      <c r="A4949" s="121">
        <v>57682.0</v>
      </c>
    </row>
    <row r="4950">
      <c r="A4950" s="121">
        <v>57683.0</v>
      </c>
    </row>
    <row r="4951">
      <c r="A4951" s="121">
        <v>57698.0</v>
      </c>
    </row>
    <row r="4952">
      <c r="A4952" s="121">
        <v>57699.0</v>
      </c>
    </row>
    <row r="4953">
      <c r="A4953" s="121">
        <v>57700.0</v>
      </c>
    </row>
    <row r="4954">
      <c r="A4954" s="121">
        <v>57701.0</v>
      </c>
    </row>
    <row r="4955">
      <c r="A4955" s="121">
        <v>57702.0</v>
      </c>
    </row>
    <row r="4956">
      <c r="A4956" s="121">
        <v>57703.0</v>
      </c>
    </row>
    <row r="4957">
      <c r="A4957" s="121">
        <v>57704.0</v>
      </c>
    </row>
    <row r="4958">
      <c r="A4958" s="121">
        <v>57705.0</v>
      </c>
    </row>
    <row r="4959">
      <c r="A4959" s="121">
        <v>57706.0</v>
      </c>
      <c r="B4959" s="122">
        <v>45318.0</v>
      </c>
    </row>
    <row r="4960">
      <c r="A4960" s="121">
        <v>57707.0</v>
      </c>
    </row>
    <row r="4961">
      <c r="A4961" s="121">
        <v>57708.0</v>
      </c>
    </row>
    <row r="4962">
      <c r="A4962" s="121">
        <v>57709.0</v>
      </c>
    </row>
    <row r="4963">
      <c r="A4963" s="121">
        <v>57710.0</v>
      </c>
    </row>
    <row r="4964">
      <c r="A4964" s="121">
        <v>57711.0</v>
      </c>
    </row>
    <row r="4965">
      <c r="A4965" s="121">
        <v>57712.0</v>
      </c>
    </row>
    <row r="4966">
      <c r="A4966" s="121">
        <v>57713.0</v>
      </c>
    </row>
    <row r="4967">
      <c r="A4967" s="121">
        <v>57714.0</v>
      </c>
    </row>
    <row r="4968">
      <c r="A4968" s="121">
        <v>57715.0</v>
      </c>
    </row>
    <row r="4969">
      <c r="A4969" s="121">
        <v>57716.0</v>
      </c>
    </row>
    <row r="4970">
      <c r="A4970" s="121">
        <v>57717.0</v>
      </c>
    </row>
    <row r="4971">
      <c r="A4971" s="121">
        <v>57718.0</v>
      </c>
    </row>
    <row r="4972">
      <c r="A4972" s="121">
        <v>57719.0</v>
      </c>
    </row>
    <row r="4973">
      <c r="A4973" s="121">
        <v>57732.0</v>
      </c>
    </row>
    <row r="4974">
      <c r="A4974" s="121">
        <v>57733.0</v>
      </c>
    </row>
    <row r="4975">
      <c r="A4975" s="121">
        <v>57734.0</v>
      </c>
    </row>
    <row r="4976">
      <c r="A4976" s="121">
        <v>57735.0</v>
      </c>
    </row>
    <row r="4977">
      <c r="A4977" s="121">
        <v>57736.0</v>
      </c>
    </row>
    <row r="4978">
      <c r="A4978" s="121">
        <v>57737.0</v>
      </c>
    </row>
    <row r="4979">
      <c r="A4979" s="121">
        <v>57738.0</v>
      </c>
    </row>
    <row r="4980">
      <c r="A4980" s="121">
        <v>57739.0</v>
      </c>
    </row>
    <row r="4981">
      <c r="A4981" s="121">
        <v>57740.0</v>
      </c>
    </row>
    <row r="4982">
      <c r="A4982" s="121">
        <v>57741.0</v>
      </c>
    </row>
    <row r="4983">
      <c r="A4983" s="121">
        <v>57742.0</v>
      </c>
    </row>
    <row r="4984">
      <c r="A4984" s="121">
        <v>57743.0</v>
      </c>
    </row>
    <row r="4985">
      <c r="A4985" s="121">
        <v>57744.0</v>
      </c>
    </row>
    <row r="4986">
      <c r="A4986" s="121">
        <v>57745.0</v>
      </c>
    </row>
    <row r="4987">
      <c r="A4987" s="121">
        <v>57746.0</v>
      </c>
    </row>
    <row r="4988">
      <c r="A4988" s="121">
        <v>57747.0</v>
      </c>
    </row>
    <row r="4989">
      <c r="A4989" s="121">
        <v>57748.0</v>
      </c>
    </row>
    <row r="4990">
      <c r="A4990" s="121">
        <v>57749.0</v>
      </c>
    </row>
    <row r="4991">
      <c r="A4991" s="121">
        <v>57750.0</v>
      </c>
    </row>
    <row r="4992">
      <c r="A4992" s="121">
        <v>57751.0</v>
      </c>
    </row>
    <row r="4993">
      <c r="A4993" s="121">
        <v>57752.0</v>
      </c>
    </row>
    <row r="4994">
      <c r="A4994" s="121">
        <v>57753.0</v>
      </c>
    </row>
    <row r="4995">
      <c r="A4995" s="121">
        <v>57771.0</v>
      </c>
    </row>
    <row r="4996">
      <c r="A4996" s="121">
        <v>57772.0</v>
      </c>
    </row>
    <row r="4997">
      <c r="A4997" s="121">
        <v>57773.0</v>
      </c>
    </row>
    <row r="4998">
      <c r="A4998" s="121">
        <v>57774.0</v>
      </c>
    </row>
    <row r="4999">
      <c r="A4999" s="121">
        <v>57775.0</v>
      </c>
    </row>
    <row r="5000">
      <c r="A5000" s="121">
        <v>57776.0</v>
      </c>
    </row>
    <row r="5001">
      <c r="A5001" s="121">
        <v>57777.0</v>
      </c>
    </row>
    <row r="5002">
      <c r="A5002" s="121">
        <v>57778.0</v>
      </c>
    </row>
    <row r="5003">
      <c r="A5003" s="121">
        <v>57779.0</v>
      </c>
    </row>
    <row r="5004">
      <c r="A5004" s="121">
        <v>57780.0</v>
      </c>
    </row>
    <row r="5005">
      <c r="A5005" s="121">
        <v>57781.0</v>
      </c>
    </row>
    <row r="5006">
      <c r="A5006" s="121">
        <v>57782.0</v>
      </c>
    </row>
    <row r="5007">
      <c r="A5007" s="121">
        <v>57783.0</v>
      </c>
    </row>
    <row r="5008">
      <c r="A5008" s="121">
        <v>57784.0</v>
      </c>
    </row>
    <row r="5009">
      <c r="A5009" s="121">
        <v>57785.0</v>
      </c>
    </row>
    <row r="5010">
      <c r="A5010" s="121">
        <v>57786.0</v>
      </c>
    </row>
    <row r="5011">
      <c r="A5011" s="121">
        <v>57787.0</v>
      </c>
    </row>
    <row r="5012">
      <c r="A5012" s="121">
        <v>57788.0</v>
      </c>
    </row>
    <row r="5013">
      <c r="A5013" s="121">
        <v>57789.0</v>
      </c>
    </row>
    <row r="5014">
      <c r="A5014" s="121">
        <v>57790.0</v>
      </c>
      <c r="B5014" s="122">
        <v>45923.0</v>
      </c>
    </row>
    <row r="5015">
      <c r="A5015" s="121">
        <v>57791.0</v>
      </c>
    </row>
    <row r="5016">
      <c r="A5016" s="121">
        <v>57808.0</v>
      </c>
      <c r="B5016" s="122">
        <v>45937.0</v>
      </c>
    </row>
    <row r="5017">
      <c r="A5017" s="121">
        <v>57809.0</v>
      </c>
    </row>
    <row r="5018">
      <c r="A5018" s="121">
        <v>57810.0</v>
      </c>
    </row>
    <row r="5019">
      <c r="A5019" s="121">
        <v>57811.0</v>
      </c>
    </row>
    <row r="5020">
      <c r="A5020" s="121">
        <v>57812.0</v>
      </c>
    </row>
    <row r="5021">
      <c r="A5021" s="121">
        <v>57813.0</v>
      </c>
    </row>
    <row r="5022">
      <c r="A5022" s="121">
        <v>57814.0</v>
      </c>
    </row>
    <row r="5023">
      <c r="A5023" s="121">
        <v>57815.0</v>
      </c>
    </row>
    <row r="5024">
      <c r="A5024" s="121">
        <v>57816.0</v>
      </c>
    </row>
    <row r="5025">
      <c r="A5025" s="121">
        <v>57817.0</v>
      </c>
    </row>
    <row r="5026">
      <c r="A5026" s="121">
        <v>57818.0</v>
      </c>
    </row>
    <row r="5027">
      <c r="A5027" s="121">
        <v>57819.0</v>
      </c>
    </row>
    <row r="5028">
      <c r="A5028" s="121">
        <v>57820.0</v>
      </c>
    </row>
    <row r="5029">
      <c r="A5029" s="121">
        <v>57821.0</v>
      </c>
    </row>
    <row r="5030">
      <c r="A5030" s="121">
        <v>57822.0</v>
      </c>
      <c r="B5030" s="122">
        <v>45523.0</v>
      </c>
    </row>
    <row r="5031">
      <c r="A5031" s="121">
        <v>57823.0</v>
      </c>
    </row>
    <row r="5032">
      <c r="A5032" s="121">
        <v>57824.0</v>
      </c>
    </row>
    <row r="5033">
      <c r="A5033" s="121">
        <v>57825.0</v>
      </c>
    </row>
    <row r="5034">
      <c r="A5034" s="121">
        <v>57826.0</v>
      </c>
    </row>
    <row r="5035">
      <c r="A5035" s="121">
        <v>57827.0</v>
      </c>
    </row>
    <row r="5036">
      <c r="A5036" s="121">
        <v>57828.0</v>
      </c>
    </row>
    <row r="5037">
      <c r="A5037" s="121">
        <v>57829.0</v>
      </c>
    </row>
    <row r="5038">
      <c r="A5038" s="121">
        <v>57840.0</v>
      </c>
    </row>
    <row r="5039">
      <c r="A5039" s="121">
        <v>57841.0</v>
      </c>
    </row>
    <row r="5040">
      <c r="A5040" s="121">
        <v>57842.0</v>
      </c>
    </row>
    <row r="5041">
      <c r="A5041" s="121">
        <v>57843.0</v>
      </c>
    </row>
    <row r="5042">
      <c r="A5042" s="121">
        <v>57844.0</v>
      </c>
    </row>
    <row r="5043">
      <c r="A5043" s="121">
        <v>57845.0</v>
      </c>
      <c r="B5043" s="122">
        <v>45714.0</v>
      </c>
    </row>
    <row r="5044">
      <c r="A5044" s="121">
        <v>57846.0</v>
      </c>
      <c r="B5044" s="122">
        <v>45657.0</v>
      </c>
    </row>
    <row r="5045">
      <c r="A5045" s="121">
        <v>57847.0</v>
      </c>
    </row>
    <row r="5046">
      <c r="A5046" s="121">
        <v>57848.0</v>
      </c>
    </row>
    <row r="5047">
      <c r="A5047" s="121">
        <v>57849.0</v>
      </c>
    </row>
    <row r="5048">
      <c r="A5048" s="121">
        <v>57850.0</v>
      </c>
    </row>
    <row r="5049">
      <c r="A5049" s="121">
        <v>57851.0</v>
      </c>
    </row>
    <row r="5050">
      <c r="A5050" s="121">
        <v>57852.0</v>
      </c>
    </row>
    <row r="5051">
      <c r="A5051" s="121">
        <v>57853.0</v>
      </c>
    </row>
    <row r="5052">
      <c r="A5052" s="121">
        <v>57854.0</v>
      </c>
    </row>
    <row r="5053">
      <c r="A5053" s="121">
        <v>57855.0</v>
      </c>
    </row>
    <row r="5054">
      <c r="A5054" s="121">
        <v>57856.0</v>
      </c>
    </row>
    <row r="5055">
      <c r="A5055" s="121">
        <v>57857.0</v>
      </c>
    </row>
    <row r="5056">
      <c r="A5056" s="121">
        <v>57858.0</v>
      </c>
    </row>
    <row r="5057">
      <c r="A5057" s="121">
        <v>57859.0</v>
      </c>
    </row>
    <row r="5058">
      <c r="A5058" s="121">
        <v>57860.0</v>
      </c>
    </row>
    <row r="5059">
      <c r="A5059" s="121">
        <v>57864.0</v>
      </c>
    </row>
    <row r="5060">
      <c r="A5060" s="121">
        <v>57865.0</v>
      </c>
    </row>
    <row r="5061">
      <c r="A5061" s="121">
        <v>57866.0</v>
      </c>
    </row>
    <row r="5062">
      <c r="A5062" s="121">
        <v>57867.0</v>
      </c>
    </row>
    <row r="5063">
      <c r="A5063" s="121">
        <v>57868.0</v>
      </c>
    </row>
    <row r="5064">
      <c r="A5064" s="121">
        <v>57869.0</v>
      </c>
    </row>
    <row r="5065">
      <c r="A5065" s="121">
        <v>57870.0</v>
      </c>
    </row>
    <row r="5066">
      <c r="A5066" s="121">
        <v>57871.0</v>
      </c>
    </row>
    <row r="5067">
      <c r="A5067" s="121">
        <v>57872.0</v>
      </c>
    </row>
    <row r="5068">
      <c r="A5068" s="121">
        <v>57873.0</v>
      </c>
    </row>
    <row r="5069">
      <c r="A5069" s="121">
        <v>57874.0</v>
      </c>
    </row>
    <row r="5070">
      <c r="A5070" s="121">
        <v>57875.0</v>
      </c>
    </row>
    <row r="5071">
      <c r="A5071" s="121">
        <v>57876.0</v>
      </c>
    </row>
    <row r="5072">
      <c r="A5072" s="121">
        <v>57877.0</v>
      </c>
    </row>
    <row r="5073">
      <c r="A5073" s="121">
        <v>57878.0</v>
      </c>
    </row>
    <row r="5074">
      <c r="A5074" s="121">
        <v>57879.0</v>
      </c>
    </row>
    <row r="5075">
      <c r="A5075" s="121">
        <v>57880.0</v>
      </c>
    </row>
    <row r="5076">
      <c r="A5076" s="121">
        <v>57881.0</v>
      </c>
      <c r="B5076" s="122">
        <v>45665.0</v>
      </c>
    </row>
    <row r="5077">
      <c r="A5077" s="121">
        <v>57882.0</v>
      </c>
    </row>
    <row r="5078">
      <c r="A5078" s="121">
        <v>57883.0</v>
      </c>
    </row>
    <row r="5079">
      <c r="A5079" s="121">
        <v>57884.0</v>
      </c>
    </row>
    <row r="5080">
      <c r="A5080" s="121">
        <v>57885.0</v>
      </c>
    </row>
    <row r="5081">
      <c r="A5081" s="121">
        <v>57891.0</v>
      </c>
    </row>
    <row r="5082">
      <c r="A5082" s="121">
        <v>57892.0</v>
      </c>
    </row>
    <row r="5083">
      <c r="A5083" s="121">
        <v>57893.0</v>
      </c>
    </row>
    <row r="5084">
      <c r="A5084" s="121">
        <v>57894.0</v>
      </c>
    </row>
    <row r="5085">
      <c r="A5085" s="121">
        <v>57895.0</v>
      </c>
    </row>
    <row r="5086">
      <c r="A5086" s="121">
        <v>57896.0</v>
      </c>
    </row>
    <row r="5087">
      <c r="A5087" s="121">
        <v>57897.0</v>
      </c>
    </row>
    <row r="5088">
      <c r="A5088" s="121">
        <v>57898.0</v>
      </c>
    </row>
    <row r="5089">
      <c r="A5089" s="121">
        <v>57899.0</v>
      </c>
    </row>
    <row r="5090">
      <c r="A5090" s="121">
        <v>57900.0</v>
      </c>
    </row>
    <row r="5091">
      <c r="A5091" s="121">
        <v>57901.0</v>
      </c>
    </row>
    <row r="5092">
      <c r="A5092" s="121">
        <v>57902.0</v>
      </c>
    </row>
    <row r="5093">
      <c r="A5093" s="121">
        <v>57903.0</v>
      </c>
    </row>
    <row r="5094">
      <c r="A5094" s="121">
        <v>57904.0</v>
      </c>
    </row>
    <row r="5095">
      <c r="A5095" s="121">
        <v>57905.0</v>
      </c>
    </row>
    <row r="5096">
      <c r="A5096" s="121">
        <v>57906.0</v>
      </c>
    </row>
    <row r="5097">
      <c r="A5097" s="121">
        <v>57907.0</v>
      </c>
    </row>
    <row r="5098">
      <c r="A5098" s="121">
        <v>57908.0</v>
      </c>
    </row>
    <row r="5099">
      <c r="A5099" s="121">
        <v>57909.0</v>
      </c>
    </row>
    <row r="5100">
      <c r="A5100" s="121">
        <v>57910.0</v>
      </c>
    </row>
    <row r="5101">
      <c r="A5101" s="121">
        <v>57911.0</v>
      </c>
    </row>
    <row r="5102">
      <c r="A5102" s="121">
        <v>57912.0</v>
      </c>
    </row>
    <row r="5103">
      <c r="A5103" s="121">
        <v>57913.0</v>
      </c>
    </row>
    <row r="5104">
      <c r="A5104" s="121">
        <v>57914.0</v>
      </c>
    </row>
    <row r="5105">
      <c r="A5105" s="121">
        <v>57915.0</v>
      </c>
    </row>
    <row r="5106">
      <c r="A5106" s="121">
        <v>57916.0</v>
      </c>
      <c r="B5106" s="122">
        <v>45509.0</v>
      </c>
    </row>
    <row r="5107">
      <c r="A5107" s="121">
        <v>57917.0</v>
      </c>
    </row>
    <row r="5108">
      <c r="A5108" s="121">
        <v>57918.0</v>
      </c>
    </row>
    <row r="5109">
      <c r="A5109" s="121">
        <v>57919.0</v>
      </c>
    </row>
    <row r="5110">
      <c r="A5110" s="121">
        <v>57920.0</v>
      </c>
    </row>
    <row r="5111">
      <c r="A5111" s="121">
        <v>57921.0</v>
      </c>
    </row>
    <row r="5112">
      <c r="A5112" s="121">
        <v>57922.0</v>
      </c>
      <c r="B5112" s="122">
        <v>45200.0</v>
      </c>
    </row>
    <row r="5113">
      <c r="A5113" s="121">
        <v>57923.0</v>
      </c>
    </row>
    <row r="5114">
      <c r="A5114" s="121">
        <v>57924.0</v>
      </c>
    </row>
    <row r="5115">
      <c r="A5115" s="121">
        <v>57925.0</v>
      </c>
    </row>
    <row r="5116">
      <c r="A5116" s="121">
        <v>57926.0</v>
      </c>
    </row>
    <row r="5117">
      <c r="A5117" s="121">
        <v>57927.0</v>
      </c>
      <c r="B5117" s="122">
        <v>46037.0</v>
      </c>
    </row>
    <row r="5118">
      <c r="A5118" s="121">
        <v>57928.0</v>
      </c>
    </row>
    <row r="5119">
      <c r="A5119" s="121">
        <v>57929.0</v>
      </c>
      <c r="B5119" s="122">
        <v>45742.0</v>
      </c>
    </row>
    <row r="5120">
      <c r="A5120" s="121">
        <v>57930.0</v>
      </c>
    </row>
    <row r="5121">
      <c r="A5121" s="121">
        <v>57931.0</v>
      </c>
    </row>
    <row r="5122">
      <c r="A5122" s="121">
        <v>57932.0</v>
      </c>
    </row>
    <row r="5123">
      <c r="A5123" s="121">
        <v>57933.0</v>
      </c>
    </row>
    <row r="5124">
      <c r="A5124" s="121">
        <v>57934.0</v>
      </c>
      <c r="B5124" s="122">
        <v>45937.0</v>
      </c>
    </row>
    <row r="5125">
      <c r="A5125" s="121">
        <v>57935.0</v>
      </c>
    </row>
    <row r="5126">
      <c r="A5126" s="121">
        <v>57936.0</v>
      </c>
    </row>
    <row r="5127">
      <c r="A5127" s="121">
        <v>57937.0</v>
      </c>
    </row>
    <row r="5128">
      <c r="A5128" s="121">
        <v>57938.0</v>
      </c>
    </row>
    <row r="5129">
      <c r="A5129" s="121">
        <v>57939.0</v>
      </c>
    </row>
    <row r="5130">
      <c r="A5130" s="121">
        <v>57940.0</v>
      </c>
    </row>
    <row r="5131">
      <c r="A5131" s="121">
        <v>57941.0</v>
      </c>
    </row>
    <row r="5132">
      <c r="A5132" s="121">
        <v>57942.0</v>
      </c>
    </row>
    <row r="5133">
      <c r="A5133" s="121">
        <v>57943.0</v>
      </c>
    </row>
    <row r="5134">
      <c r="A5134" s="121">
        <v>57944.0</v>
      </c>
    </row>
    <row r="5135">
      <c r="A5135" s="121">
        <v>57945.0</v>
      </c>
    </row>
    <row r="5136">
      <c r="A5136" s="121">
        <v>57946.0</v>
      </c>
    </row>
    <row r="5137">
      <c r="A5137" s="121">
        <v>57947.0</v>
      </c>
    </row>
    <row r="5138">
      <c r="A5138" s="121">
        <v>57948.0</v>
      </c>
      <c r="B5138" s="122">
        <v>45922.0</v>
      </c>
    </row>
    <row r="5139">
      <c r="A5139" s="121">
        <v>57949.0</v>
      </c>
    </row>
    <row r="5140">
      <c r="A5140" s="121">
        <v>57950.0</v>
      </c>
    </row>
    <row r="5141">
      <c r="A5141" s="121">
        <v>57951.0</v>
      </c>
    </row>
    <row r="5142">
      <c r="A5142" s="121">
        <v>57952.0</v>
      </c>
    </row>
    <row r="5143">
      <c r="A5143" s="121">
        <v>57953.0</v>
      </c>
    </row>
    <row r="5144">
      <c r="A5144" s="121">
        <v>57954.0</v>
      </c>
    </row>
    <row r="5145">
      <c r="A5145" s="121">
        <v>57955.0</v>
      </c>
    </row>
    <row r="5146">
      <c r="A5146" s="121">
        <v>57964.0</v>
      </c>
    </row>
    <row r="5147">
      <c r="A5147" s="121">
        <v>57965.0</v>
      </c>
    </row>
    <row r="5148">
      <c r="A5148" s="121">
        <v>57966.0</v>
      </c>
    </row>
    <row r="5149">
      <c r="A5149" s="121">
        <v>57967.0</v>
      </c>
    </row>
    <row r="5150">
      <c r="A5150" s="121">
        <v>57968.0</v>
      </c>
    </row>
    <row r="5151">
      <c r="A5151" s="121">
        <v>57969.0</v>
      </c>
      <c r="B5151" s="122">
        <v>45908.0</v>
      </c>
    </row>
    <row r="5152">
      <c r="A5152" s="121">
        <v>57970.0</v>
      </c>
    </row>
    <row r="5153">
      <c r="A5153" s="121">
        <v>57971.0</v>
      </c>
    </row>
    <row r="5154">
      <c r="A5154" s="121">
        <v>57972.0</v>
      </c>
    </row>
    <row r="5155">
      <c r="A5155" s="121">
        <v>57973.0</v>
      </c>
    </row>
    <row r="5156">
      <c r="A5156" s="121">
        <v>57974.0</v>
      </c>
    </row>
    <row r="5157">
      <c r="A5157" s="121">
        <v>57975.0</v>
      </c>
    </row>
    <row r="5158">
      <c r="A5158" s="121">
        <v>57976.0</v>
      </c>
    </row>
    <row r="5159">
      <c r="A5159" s="121">
        <v>57977.0</v>
      </c>
    </row>
    <row r="5160">
      <c r="A5160" s="121">
        <v>57978.0</v>
      </c>
    </row>
    <row r="5161">
      <c r="A5161" s="121">
        <v>57979.0</v>
      </c>
    </row>
    <row r="5162">
      <c r="A5162" s="121">
        <v>57980.0</v>
      </c>
    </row>
    <row r="5163">
      <c r="A5163" s="121">
        <v>57981.0</v>
      </c>
    </row>
    <row r="5164">
      <c r="A5164" s="121">
        <v>57982.0</v>
      </c>
    </row>
    <row r="5165">
      <c r="A5165" s="121">
        <v>57983.0</v>
      </c>
    </row>
    <row r="5166">
      <c r="A5166" s="121">
        <v>57984.0</v>
      </c>
    </row>
    <row r="5167">
      <c r="A5167" s="121">
        <v>57985.0</v>
      </c>
    </row>
    <row r="5168">
      <c r="A5168" s="121">
        <v>57991.0</v>
      </c>
    </row>
    <row r="5169">
      <c r="A5169" s="121">
        <v>57992.0</v>
      </c>
    </row>
    <row r="5170">
      <c r="A5170" s="121">
        <v>57993.0</v>
      </c>
    </row>
    <row r="5171">
      <c r="A5171" s="121">
        <v>57994.0</v>
      </c>
    </row>
    <row r="5172">
      <c r="A5172" s="121">
        <v>57995.0</v>
      </c>
    </row>
    <row r="5173">
      <c r="A5173" s="121">
        <v>57996.0</v>
      </c>
      <c r="B5173" s="122">
        <v>45767.0</v>
      </c>
    </row>
    <row r="5174">
      <c r="A5174" s="121">
        <v>57997.0</v>
      </c>
    </row>
    <row r="5175">
      <c r="A5175" s="121">
        <v>57998.0</v>
      </c>
    </row>
    <row r="5176">
      <c r="A5176" s="121">
        <v>57999.0</v>
      </c>
    </row>
    <row r="5177">
      <c r="A5177" s="121">
        <v>58000.0</v>
      </c>
    </row>
    <row r="5178">
      <c r="A5178" s="121">
        <v>58001.0</v>
      </c>
    </row>
    <row r="5179">
      <c r="A5179" s="121">
        <v>58002.0</v>
      </c>
    </row>
    <row r="5180">
      <c r="A5180" s="121">
        <v>58003.0</v>
      </c>
    </row>
    <row r="5181">
      <c r="A5181" s="121">
        <v>58004.0</v>
      </c>
    </row>
    <row r="5182">
      <c r="A5182" s="121">
        <v>58005.0</v>
      </c>
    </row>
    <row r="5183">
      <c r="A5183" s="121">
        <v>58006.0</v>
      </c>
    </row>
    <row r="5184">
      <c r="A5184" s="121">
        <v>58007.0</v>
      </c>
    </row>
    <row r="5185">
      <c r="A5185" s="121">
        <v>58008.0</v>
      </c>
    </row>
    <row r="5186">
      <c r="A5186" s="121">
        <v>58009.0</v>
      </c>
    </row>
    <row r="5187">
      <c r="A5187" s="121">
        <v>58010.0</v>
      </c>
    </row>
    <row r="5188">
      <c r="A5188" s="121">
        <v>58011.0</v>
      </c>
    </row>
    <row r="5189">
      <c r="A5189" s="121">
        <v>58012.0</v>
      </c>
    </row>
    <row r="5190">
      <c r="A5190" s="121">
        <v>58028.0</v>
      </c>
    </row>
    <row r="5191">
      <c r="A5191" s="121">
        <v>58029.0</v>
      </c>
    </row>
    <row r="5192">
      <c r="A5192" s="121">
        <v>58030.0</v>
      </c>
    </row>
    <row r="5193">
      <c r="A5193" s="121">
        <v>58031.0</v>
      </c>
    </row>
    <row r="5194">
      <c r="A5194" s="121">
        <v>58032.0</v>
      </c>
    </row>
    <row r="5195">
      <c r="A5195" s="121">
        <v>58033.0</v>
      </c>
    </row>
    <row r="5196">
      <c r="A5196" s="121">
        <v>58034.0</v>
      </c>
    </row>
    <row r="5197">
      <c r="A5197" s="121">
        <v>58035.0</v>
      </c>
    </row>
    <row r="5198">
      <c r="A5198" s="121">
        <v>58036.0</v>
      </c>
    </row>
    <row r="5199">
      <c r="A5199" s="121">
        <v>58037.0</v>
      </c>
    </row>
    <row r="5200">
      <c r="A5200" s="121">
        <v>58038.0</v>
      </c>
    </row>
    <row r="5201">
      <c r="A5201" s="121">
        <v>58039.0</v>
      </c>
    </row>
    <row r="5202">
      <c r="A5202" s="121">
        <v>58040.0</v>
      </c>
    </row>
    <row r="5203">
      <c r="A5203" s="121">
        <v>58041.0</v>
      </c>
    </row>
    <row r="5204">
      <c r="A5204" s="121">
        <v>58042.0</v>
      </c>
    </row>
    <row r="5205">
      <c r="A5205" s="121">
        <v>58043.0</v>
      </c>
    </row>
    <row r="5206">
      <c r="A5206" s="121">
        <v>58044.0</v>
      </c>
    </row>
    <row r="5207">
      <c r="A5207" s="121">
        <v>58045.0</v>
      </c>
    </row>
    <row r="5208">
      <c r="A5208" s="121">
        <v>58046.0</v>
      </c>
    </row>
    <row r="5209">
      <c r="A5209" s="121">
        <v>58047.0</v>
      </c>
    </row>
    <row r="5210">
      <c r="A5210" s="121">
        <v>58048.0</v>
      </c>
    </row>
    <row r="5211">
      <c r="A5211" s="121">
        <v>58051.0</v>
      </c>
    </row>
    <row r="5212">
      <c r="A5212" s="121">
        <v>58052.0</v>
      </c>
    </row>
    <row r="5213">
      <c r="A5213" s="121">
        <v>58053.0</v>
      </c>
    </row>
    <row r="5214">
      <c r="A5214" s="121">
        <v>58054.0</v>
      </c>
    </row>
    <row r="5215">
      <c r="A5215" s="121">
        <v>58055.0</v>
      </c>
    </row>
    <row r="5216">
      <c r="A5216" s="121">
        <v>58056.0</v>
      </c>
    </row>
    <row r="5217">
      <c r="A5217" s="121">
        <v>58057.0</v>
      </c>
    </row>
    <row r="5218">
      <c r="A5218" s="121">
        <v>58058.0</v>
      </c>
    </row>
    <row r="5219">
      <c r="A5219" s="121">
        <v>58059.0</v>
      </c>
    </row>
    <row r="5220">
      <c r="A5220" s="121">
        <v>58060.0</v>
      </c>
    </row>
    <row r="5221">
      <c r="A5221" s="121">
        <v>58061.0</v>
      </c>
    </row>
    <row r="5222">
      <c r="A5222" s="121">
        <v>58062.0</v>
      </c>
    </row>
    <row r="5223">
      <c r="A5223" s="121">
        <v>58063.0</v>
      </c>
    </row>
    <row r="5224">
      <c r="A5224" s="121">
        <v>58064.0</v>
      </c>
    </row>
    <row r="5225">
      <c r="A5225" s="121">
        <v>58065.0</v>
      </c>
    </row>
    <row r="5226">
      <c r="A5226" s="121">
        <v>58066.0</v>
      </c>
    </row>
    <row r="5227">
      <c r="A5227" s="121">
        <v>58067.0</v>
      </c>
    </row>
    <row r="5228">
      <c r="A5228" s="121">
        <v>58068.0</v>
      </c>
    </row>
    <row r="5229">
      <c r="A5229" s="121">
        <v>58069.0</v>
      </c>
    </row>
    <row r="5230">
      <c r="A5230" s="121">
        <v>58070.0</v>
      </c>
    </row>
    <row r="5231">
      <c r="A5231" s="121">
        <v>58071.0</v>
      </c>
    </row>
    <row r="5232">
      <c r="A5232" s="121">
        <v>58072.0</v>
      </c>
    </row>
    <row r="5233">
      <c r="A5233" s="121">
        <v>58075.0</v>
      </c>
    </row>
    <row r="5234">
      <c r="A5234" s="121">
        <v>58076.0</v>
      </c>
    </row>
    <row r="5235">
      <c r="A5235" s="121">
        <v>58077.0</v>
      </c>
    </row>
    <row r="5236">
      <c r="A5236" s="121">
        <v>58078.0</v>
      </c>
    </row>
    <row r="5237">
      <c r="A5237" s="121">
        <v>58079.0</v>
      </c>
    </row>
    <row r="5238">
      <c r="A5238" s="121">
        <v>58080.0</v>
      </c>
    </row>
    <row r="5239">
      <c r="A5239" s="121">
        <v>58081.0</v>
      </c>
    </row>
    <row r="5240">
      <c r="A5240" s="121">
        <v>58082.0</v>
      </c>
    </row>
    <row r="5241">
      <c r="A5241" s="121">
        <v>58083.0</v>
      </c>
    </row>
    <row r="5242">
      <c r="A5242" s="121">
        <v>58084.0</v>
      </c>
    </row>
    <row r="5243">
      <c r="A5243" s="121">
        <v>58085.0</v>
      </c>
    </row>
    <row r="5244">
      <c r="A5244" s="121">
        <v>58086.0</v>
      </c>
    </row>
    <row r="5245">
      <c r="A5245" s="121">
        <v>58087.0</v>
      </c>
    </row>
    <row r="5246">
      <c r="A5246" s="121">
        <v>58088.0</v>
      </c>
    </row>
    <row r="5247">
      <c r="A5247" s="121">
        <v>58089.0</v>
      </c>
    </row>
    <row r="5248">
      <c r="A5248" s="121">
        <v>58090.0</v>
      </c>
    </row>
    <row r="5249">
      <c r="A5249" s="121">
        <v>58091.0</v>
      </c>
    </row>
    <row r="5250">
      <c r="A5250" s="121">
        <v>58092.0</v>
      </c>
    </row>
    <row r="5251">
      <c r="A5251" s="121">
        <v>58093.0</v>
      </c>
    </row>
    <row r="5252">
      <c r="A5252" s="121">
        <v>58094.0</v>
      </c>
    </row>
    <row r="5253">
      <c r="A5253" s="121">
        <v>58095.0</v>
      </c>
    </row>
    <row r="5254">
      <c r="A5254" s="121">
        <v>58096.0</v>
      </c>
    </row>
    <row r="5255">
      <c r="A5255" s="121">
        <v>58097.0</v>
      </c>
    </row>
    <row r="5256">
      <c r="A5256" s="121">
        <v>58098.0</v>
      </c>
    </row>
    <row r="5257">
      <c r="A5257" s="121">
        <v>58099.0</v>
      </c>
    </row>
    <row r="5258">
      <c r="A5258" s="121">
        <v>58100.0</v>
      </c>
    </row>
    <row r="5259">
      <c r="A5259" s="121">
        <v>58101.0</v>
      </c>
    </row>
    <row r="5260">
      <c r="A5260" s="121">
        <v>58102.0</v>
      </c>
    </row>
    <row r="5261">
      <c r="A5261" s="121">
        <v>58103.0</v>
      </c>
    </row>
    <row r="5262">
      <c r="A5262" s="121">
        <v>58104.0</v>
      </c>
    </row>
    <row r="5263">
      <c r="A5263" s="121">
        <v>58105.0</v>
      </c>
    </row>
    <row r="5264">
      <c r="A5264" s="121">
        <v>58106.0</v>
      </c>
    </row>
    <row r="5265">
      <c r="A5265" s="121">
        <v>58107.0</v>
      </c>
    </row>
    <row r="5266">
      <c r="A5266" s="121">
        <v>58108.0</v>
      </c>
    </row>
    <row r="5267">
      <c r="A5267" s="121">
        <v>58109.0</v>
      </c>
    </row>
    <row r="5268">
      <c r="A5268" s="121">
        <v>58110.0</v>
      </c>
    </row>
    <row r="5269">
      <c r="A5269" s="121">
        <v>58111.0</v>
      </c>
    </row>
    <row r="5270">
      <c r="A5270" s="121">
        <v>58112.0</v>
      </c>
    </row>
    <row r="5271">
      <c r="A5271" s="121">
        <v>58113.0</v>
      </c>
    </row>
    <row r="5272">
      <c r="A5272" s="121">
        <v>58114.0</v>
      </c>
    </row>
    <row r="5273">
      <c r="A5273" s="121">
        <v>58115.0</v>
      </c>
    </row>
    <row r="5274">
      <c r="A5274" s="121">
        <v>58116.0</v>
      </c>
    </row>
    <row r="5275">
      <c r="A5275" s="121">
        <v>58117.0</v>
      </c>
    </row>
    <row r="5276">
      <c r="A5276" s="121">
        <v>58118.0</v>
      </c>
    </row>
    <row r="5277">
      <c r="A5277" s="121">
        <v>58119.0</v>
      </c>
    </row>
    <row r="5278">
      <c r="A5278" s="121">
        <v>58120.0</v>
      </c>
    </row>
    <row r="5279">
      <c r="A5279" s="121">
        <v>58121.0</v>
      </c>
    </row>
    <row r="5280">
      <c r="A5280" s="121">
        <v>58122.0</v>
      </c>
    </row>
    <row r="5281">
      <c r="A5281" s="121">
        <v>58123.0</v>
      </c>
    </row>
    <row r="5282">
      <c r="A5282" s="121">
        <v>58124.0</v>
      </c>
    </row>
    <row r="5283">
      <c r="A5283" s="121">
        <v>58125.0</v>
      </c>
    </row>
    <row r="5284">
      <c r="A5284" s="121">
        <v>58126.0</v>
      </c>
    </row>
    <row r="5285">
      <c r="A5285" s="121">
        <v>58127.0</v>
      </c>
    </row>
    <row r="5286">
      <c r="A5286" s="121">
        <v>58128.0</v>
      </c>
    </row>
    <row r="5287">
      <c r="A5287" s="121">
        <v>58129.0</v>
      </c>
    </row>
    <row r="5288">
      <c r="A5288" s="121">
        <v>58130.0</v>
      </c>
    </row>
    <row r="5289">
      <c r="A5289" s="121">
        <v>58131.0</v>
      </c>
    </row>
    <row r="5290">
      <c r="A5290" s="121">
        <v>58132.0</v>
      </c>
    </row>
    <row r="5291">
      <c r="A5291" s="121">
        <v>58133.0</v>
      </c>
    </row>
    <row r="5292">
      <c r="A5292" s="121">
        <v>58134.0</v>
      </c>
    </row>
    <row r="5293">
      <c r="A5293" s="121">
        <v>58135.0</v>
      </c>
    </row>
    <row r="5294">
      <c r="A5294" s="121">
        <v>58136.0</v>
      </c>
    </row>
    <row r="5295">
      <c r="A5295" s="121">
        <v>58137.0</v>
      </c>
    </row>
    <row r="5296">
      <c r="A5296" s="121">
        <v>58138.0</v>
      </c>
    </row>
    <row r="5297">
      <c r="A5297" s="121">
        <v>58139.0</v>
      </c>
    </row>
    <row r="5298">
      <c r="A5298" s="121">
        <v>58140.0</v>
      </c>
    </row>
    <row r="5299">
      <c r="A5299" s="121">
        <v>58150.0</v>
      </c>
    </row>
    <row r="5300">
      <c r="A5300" s="121">
        <v>58151.0</v>
      </c>
    </row>
    <row r="5301">
      <c r="A5301" s="121">
        <v>58152.0</v>
      </c>
    </row>
    <row r="5302">
      <c r="A5302" s="121">
        <v>58153.0</v>
      </c>
    </row>
    <row r="5303">
      <c r="A5303" s="121">
        <v>58154.0</v>
      </c>
    </row>
    <row r="5304">
      <c r="A5304" s="121">
        <v>58155.0</v>
      </c>
    </row>
    <row r="5305">
      <c r="A5305" s="121">
        <v>58156.0</v>
      </c>
    </row>
    <row r="5306">
      <c r="A5306" s="121">
        <v>58157.0</v>
      </c>
    </row>
    <row r="5307">
      <c r="A5307" s="121">
        <v>58158.0</v>
      </c>
    </row>
    <row r="5308">
      <c r="A5308" s="121">
        <v>58159.0</v>
      </c>
    </row>
    <row r="5309">
      <c r="A5309" s="121">
        <v>58160.0</v>
      </c>
    </row>
    <row r="5310">
      <c r="A5310" s="121">
        <v>58161.0</v>
      </c>
    </row>
    <row r="5311">
      <c r="A5311" s="121">
        <v>58162.0</v>
      </c>
    </row>
    <row r="5312">
      <c r="A5312" s="121">
        <v>58163.0</v>
      </c>
    </row>
    <row r="5313">
      <c r="A5313" s="121">
        <v>58164.0</v>
      </c>
    </row>
    <row r="5314">
      <c r="A5314" s="121">
        <v>58165.0</v>
      </c>
    </row>
    <row r="5315">
      <c r="A5315" s="121">
        <v>58166.0</v>
      </c>
    </row>
    <row r="5316">
      <c r="A5316" s="121">
        <v>58167.0</v>
      </c>
    </row>
    <row r="5317">
      <c r="A5317" s="121">
        <v>58168.0</v>
      </c>
    </row>
    <row r="5318">
      <c r="A5318" s="121">
        <v>58169.0</v>
      </c>
    </row>
    <row r="5319">
      <c r="A5319" s="121">
        <v>58170.0</v>
      </c>
    </row>
    <row r="5320">
      <c r="A5320" s="121">
        <v>58171.0</v>
      </c>
    </row>
    <row r="5321">
      <c r="A5321" s="121">
        <v>58175.0</v>
      </c>
    </row>
    <row r="5322">
      <c r="A5322" s="121">
        <v>58176.0</v>
      </c>
    </row>
    <row r="5323">
      <c r="A5323" s="121">
        <v>58177.0</v>
      </c>
    </row>
    <row r="5324">
      <c r="A5324" s="121">
        <v>58178.0</v>
      </c>
    </row>
    <row r="5325">
      <c r="A5325" s="121">
        <v>58179.0</v>
      </c>
    </row>
    <row r="5326">
      <c r="A5326" s="121">
        <v>58180.0</v>
      </c>
    </row>
    <row r="5327">
      <c r="A5327" s="121">
        <v>58181.0</v>
      </c>
    </row>
    <row r="5328">
      <c r="A5328" s="121">
        <v>58182.0</v>
      </c>
    </row>
    <row r="5329">
      <c r="A5329" s="121">
        <v>58183.0</v>
      </c>
    </row>
    <row r="5330">
      <c r="A5330" s="121">
        <v>58184.0</v>
      </c>
    </row>
    <row r="5331">
      <c r="A5331" s="121">
        <v>58185.0</v>
      </c>
    </row>
    <row r="5332">
      <c r="A5332" s="121">
        <v>58186.0</v>
      </c>
    </row>
    <row r="5333">
      <c r="A5333" s="121">
        <v>58187.0</v>
      </c>
    </row>
    <row r="5334">
      <c r="A5334" s="121">
        <v>58188.0</v>
      </c>
    </row>
    <row r="5335">
      <c r="A5335" s="121">
        <v>58189.0</v>
      </c>
    </row>
    <row r="5336">
      <c r="A5336" s="121">
        <v>58190.0</v>
      </c>
    </row>
    <row r="5337">
      <c r="A5337" s="121">
        <v>58191.0</v>
      </c>
    </row>
    <row r="5338">
      <c r="A5338" s="121">
        <v>58192.0</v>
      </c>
    </row>
    <row r="5339">
      <c r="A5339" s="121">
        <v>58193.0</v>
      </c>
    </row>
    <row r="5340">
      <c r="A5340" s="121">
        <v>58194.0</v>
      </c>
    </row>
    <row r="5341">
      <c r="A5341" s="121">
        <v>58195.0</v>
      </c>
    </row>
    <row r="5342">
      <c r="A5342" s="121">
        <v>58196.0</v>
      </c>
    </row>
    <row r="5343">
      <c r="A5343" s="121">
        <v>58197.0</v>
      </c>
    </row>
    <row r="5344">
      <c r="A5344" s="121">
        <v>58206.0</v>
      </c>
    </row>
    <row r="5345">
      <c r="A5345" s="121">
        <v>58207.0</v>
      </c>
    </row>
    <row r="5346">
      <c r="A5346" s="121">
        <v>58208.0</v>
      </c>
    </row>
    <row r="5347">
      <c r="A5347" s="121">
        <v>58209.0</v>
      </c>
    </row>
    <row r="5348">
      <c r="A5348" s="121">
        <v>58210.0</v>
      </c>
    </row>
    <row r="5349">
      <c r="A5349" s="121">
        <v>58211.0</v>
      </c>
    </row>
    <row r="5350">
      <c r="A5350" s="121">
        <v>58212.0</v>
      </c>
    </row>
    <row r="5351">
      <c r="A5351" s="121">
        <v>58213.0</v>
      </c>
    </row>
    <row r="5352">
      <c r="A5352" s="121">
        <v>58214.0</v>
      </c>
    </row>
    <row r="5353">
      <c r="A5353" s="121">
        <v>58215.0</v>
      </c>
    </row>
    <row r="5354">
      <c r="A5354" s="121">
        <v>58216.0</v>
      </c>
      <c r="B5354" s="122">
        <v>45616.0</v>
      </c>
    </row>
    <row r="5355">
      <c r="A5355" s="121">
        <v>58217.0</v>
      </c>
    </row>
    <row r="5356">
      <c r="A5356" s="121">
        <v>58218.0</v>
      </c>
    </row>
    <row r="5357">
      <c r="A5357" s="121">
        <v>58219.0</v>
      </c>
    </row>
    <row r="5358">
      <c r="A5358" s="121">
        <v>58220.0</v>
      </c>
    </row>
    <row r="5359">
      <c r="A5359" s="121">
        <v>58221.0</v>
      </c>
    </row>
    <row r="5360">
      <c r="A5360" s="121">
        <v>58222.0</v>
      </c>
    </row>
    <row r="5361">
      <c r="A5361" s="121">
        <v>58223.0</v>
      </c>
    </row>
    <row r="5362">
      <c r="A5362" s="121">
        <v>58224.0</v>
      </c>
    </row>
    <row r="5363">
      <c r="A5363" s="121">
        <v>58225.0</v>
      </c>
    </row>
    <row r="5364">
      <c r="A5364" s="121">
        <v>58226.0</v>
      </c>
    </row>
    <row r="5365">
      <c r="A5365" s="121">
        <v>58227.0</v>
      </c>
    </row>
    <row r="5366">
      <c r="A5366" s="121">
        <v>58228.0</v>
      </c>
    </row>
    <row r="5367">
      <c r="A5367" s="121">
        <v>58230.0</v>
      </c>
    </row>
    <row r="5368">
      <c r="A5368" s="121">
        <v>58231.0</v>
      </c>
    </row>
    <row r="5369">
      <c r="A5369" s="121">
        <v>58232.0</v>
      </c>
    </row>
    <row r="5370">
      <c r="A5370" s="121">
        <v>58233.0</v>
      </c>
    </row>
    <row r="5371">
      <c r="A5371" s="121">
        <v>58234.0</v>
      </c>
    </row>
    <row r="5372">
      <c r="A5372" s="121">
        <v>58235.0</v>
      </c>
      <c r="B5372" s="122">
        <v>45919.0</v>
      </c>
    </row>
    <row r="5373">
      <c r="A5373" s="121">
        <v>58236.0</v>
      </c>
    </row>
    <row r="5374">
      <c r="A5374" s="121">
        <v>58237.0</v>
      </c>
    </row>
    <row r="5375">
      <c r="A5375" s="121">
        <v>58238.0</v>
      </c>
    </row>
    <row r="5376">
      <c r="A5376" s="121">
        <v>58239.0</v>
      </c>
    </row>
    <row r="5377">
      <c r="A5377" s="121">
        <v>58240.0</v>
      </c>
    </row>
    <row r="5378">
      <c r="A5378" s="121">
        <v>58241.0</v>
      </c>
    </row>
    <row r="5379">
      <c r="A5379" s="121">
        <v>58242.0</v>
      </c>
    </row>
    <row r="5380">
      <c r="A5380" s="121">
        <v>58243.0</v>
      </c>
    </row>
    <row r="5381">
      <c r="A5381" s="121">
        <v>58244.0</v>
      </c>
    </row>
    <row r="5382">
      <c r="A5382" s="121">
        <v>58245.0</v>
      </c>
    </row>
    <row r="5383">
      <c r="A5383" s="121">
        <v>58246.0</v>
      </c>
    </row>
    <row r="5384">
      <c r="A5384" s="121">
        <v>58247.0</v>
      </c>
    </row>
    <row r="5385">
      <c r="A5385" s="121">
        <v>58248.0</v>
      </c>
    </row>
    <row r="5386">
      <c r="A5386" s="121">
        <v>58249.0</v>
      </c>
    </row>
    <row r="5387">
      <c r="A5387" s="121">
        <v>58250.0</v>
      </c>
    </row>
    <row r="5388">
      <c r="A5388" s="121">
        <v>58251.0</v>
      </c>
    </row>
    <row r="5389">
      <c r="A5389" s="121">
        <v>58252.0</v>
      </c>
    </row>
    <row r="5390">
      <c r="A5390" s="121">
        <v>58351.0</v>
      </c>
      <c r="B5390" s="122">
        <v>45414.0</v>
      </c>
    </row>
    <row r="5391">
      <c r="A5391" s="121">
        <v>58352.0</v>
      </c>
    </row>
    <row r="5392">
      <c r="A5392" s="121">
        <v>58353.0</v>
      </c>
    </row>
    <row r="5393">
      <c r="A5393" s="121">
        <v>58354.0</v>
      </c>
    </row>
    <row r="5394">
      <c r="A5394" s="121">
        <v>58355.0</v>
      </c>
    </row>
    <row r="5395">
      <c r="A5395" s="121">
        <v>58356.0</v>
      </c>
    </row>
    <row r="5396">
      <c r="A5396" s="121">
        <v>58357.0</v>
      </c>
    </row>
    <row r="5397">
      <c r="A5397" s="121">
        <v>58358.0</v>
      </c>
    </row>
    <row r="5398">
      <c r="A5398" s="121">
        <v>58359.0</v>
      </c>
    </row>
    <row r="5399">
      <c r="A5399" s="121">
        <v>58360.0</v>
      </c>
    </row>
    <row r="5400">
      <c r="A5400" s="121">
        <v>58361.0</v>
      </c>
    </row>
    <row r="5401">
      <c r="A5401" s="121">
        <v>58362.0</v>
      </c>
    </row>
    <row r="5402">
      <c r="A5402" s="121">
        <v>58363.0</v>
      </c>
    </row>
    <row r="5403">
      <c r="A5403" s="121">
        <v>58364.0</v>
      </c>
    </row>
    <row r="5404">
      <c r="A5404" s="121">
        <v>58365.0</v>
      </c>
    </row>
    <row r="5405">
      <c r="A5405" s="121">
        <v>58366.0</v>
      </c>
    </row>
    <row r="5406">
      <c r="A5406" s="121">
        <v>58367.0</v>
      </c>
    </row>
    <row r="5407">
      <c r="A5407" s="121">
        <v>58368.0</v>
      </c>
    </row>
    <row r="5408">
      <c r="A5408" s="121">
        <v>58369.0</v>
      </c>
    </row>
    <row r="5409">
      <c r="A5409" s="121">
        <v>58370.0</v>
      </c>
    </row>
    <row r="5410">
      <c r="A5410" s="121">
        <v>58371.0</v>
      </c>
    </row>
    <row r="5411">
      <c r="A5411" s="121">
        <v>58372.0</v>
      </c>
    </row>
    <row r="5412">
      <c r="A5412" s="121">
        <v>58373.0</v>
      </c>
    </row>
    <row r="5413">
      <c r="A5413" s="121">
        <v>58374.0</v>
      </c>
    </row>
    <row r="5414">
      <c r="A5414" s="121">
        <v>58375.0</v>
      </c>
    </row>
    <row r="5415">
      <c r="A5415" s="121">
        <v>58376.0</v>
      </c>
    </row>
    <row r="5416">
      <c r="A5416" s="121">
        <v>58377.0</v>
      </c>
    </row>
    <row r="5417">
      <c r="A5417" s="121">
        <v>58378.0</v>
      </c>
    </row>
    <row r="5418">
      <c r="A5418" s="121">
        <v>58379.0</v>
      </c>
    </row>
    <row r="5419">
      <c r="A5419" s="121">
        <v>58380.0</v>
      </c>
    </row>
    <row r="5420">
      <c r="A5420" s="121">
        <v>58381.0</v>
      </c>
    </row>
    <row r="5421">
      <c r="A5421" s="121">
        <v>58382.0</v>
      </c>
    </row>
    <row r="5422">
      <c r="A5422" s="121">
        <v>58383.0</v>
      </c>
    </row>
    <row r="5423">
      <c r="A5423" s="121">
        <v>58384.0</v>
      </c>
    </row>
    <row r="5424">
      <c r="A5424" s="121">
        <v>58385.0</v>
      </c>
    </row>
    <row r="5425">
      <c r="A5425" s="121">
        <v>58386.0</v>
      </c>
    </row>
    <row r="5426">
      <c r="A5426" s="121">
        <v>58387.0</v>
      </c>
    </row>
    <row r="5427">
      <c r="A5427" s="121">
        <v>58388.0</v>
      </c>
    </row>
    <row r="5428">
      <c r="A5428" s="121">
        <v>58389.0</v>
      </c>
    </row>
    <row r="5429">
      <c r="A5429" s="121">
        <v>58390.0</v>
      </c>
    </row>
    <row r="5430">
      <c r="A5430" s="121">
        <v>58391.0</v>
      </c>
    </row>
    <row r="5431">
      <c r="A5431" s="121">
        <v>58392.0</v>
      </c>
      <c r="B5431" s="122">
        <v>45925.0</v>
      </c>
    </row>
    <row r="5432">
      <c r="A5432" s="121">
        <v>58393.0</v>
      </c>
    </row>
    <row r="5433">
      <c r="A5433" s="121">
        <v>58394.0</v>
      </c>
    </row>
    <row r="5434">
      <c r="A5434" s="121">
        <v>58395.0</v>
      </c>
    </row>
    <row r="5435">
      <c r="A5435" s="121">
        <v>58402.0</v>
      </c>
    </row>
    <row r="5436">
      <c r="A5436" s="121">
        <v>58403.0</v>
      </c>
    </row>
    <row r="5437">
      <c r="A5437" s="121">
        <v>58404.0</v>
      </c>
    </row>
    <row r="5438">
      <c r="A5438" s="121">
        <v>58405.0</v>
      </c>
    </row>
    <row r="5439">
      <c r="A5439" s="121">
        <v>58406.0</v>
      </c>
    </row>
    <row r="5440">
      <c r="A5440" s="121">
        <v>58407.0</v>
      </c>
    </row>
    <row r="5441">
      <c r="A5441" s="121">
        <v>58408.0</v>
      </c>
    </row>
    <row r="5442">
      <c r="A5442" s="121">
        <v>58409.0</v>
      </c>
    </row>
    <row r="5443">
      <c r="A5443" s="121">
        <v>58410.0</v>
      </c>
    </row>
    <row r="5444">
      <c r="A5444" s="121">
        <v>58411.0</v>
      </c>
    </row>
    <row r="5445">
      <c r="A5445" s="121">
        <v>58412.0</v>
      </c>
    </row>
    <row r="5446">
      <c r="A5446" s="121">
        <v>58413.0</v>
      </c>
    </row>
    <row r="5447">
      <c r="A5447" s="121">
        <v>58414.0</v>
      </c>
    </row>
    <row r="5448">
      <c r="A5448" s="121">
        <v>58415.0</v>
      </c>
    </row>
    <row r="5449">
      <c r="A5449" s="121">
        <v>58416.0</v>
      </c>
    </row>
    <row r="5450">
      <c r="A5450" s="121">
        <v>58417.0</v>
      </c>
    </row>
    <row r="5451">
      <c r="A5451" s="121">
        <v>58418.0</v>
      </c>
    </row>
    <row r="5452">
      <c r="A5452" s="121">
        <v>58419.0</v>
      </c>
    </row>
    <row r="5453">
      <c r="A5453" s="121">
        <v>58420.0</v>
      </c>
    </row>
    <row r="5454">
      <c r="A5454" s="121">
        <v>58421.0</v>
      </c>
    </row>
    <row r="5455">
      <c r="A5455" s="121">
        <v>58422.0</v>
      </c>
    </row>
    <row r="5456">
      <c r="A5456" s="121">
        <v>58423.0</v>
      </c>
    </row>
    <row r="5457">
      <c r="A5457" s="121">
        <v>58424.0</v>
      </c>
    </row>
    <row r="5458">
      <c r="A5458" s="121">
        <v>58437.0</v>
      </c>
    </row>
    <row r="5459">
      <c r="A5459" s="121">
        <v>58438.0</v>
      </c>
    </row>
    <row r="5460">
      <c r="A5460" s="121">
        <v>58439.0</v>
      </c>
    </row>
    <row r="5461">
      <c r="A5461" s="121">
        <v>58440.0</v>
      </c>
    </row>
    <row r="5462">
      <c r="A5462" s="121">
        <v>58441.0</v>
      </c>
    </row>
    <row r="5463">
      <c r="A5463" s="121">
        <v>58442.0</v>
      </c>
    </row>
    <row r="5464">
      <c r="A5464" s="121">
        <v>58443.0</v>
      </c>
    </row>
    <row r="5465">
      <c r="A5465" s="121">
        <v>58444.0</v>
      </c>
    </row>
    <row r="5466">
      <c r="A5466" s="121">
        <v>58445.0</v>
      </c>
    </row>
    <row r="5467">
      <c r="A5467" s="121">
        <v>58446.0</v>
      </c>
    </row>
    <row r="5468">
      <c r="A5468" s="121">
        <v>58447.0</v>
      </c>
    </row>
    <row r="5469">
      <c r="A5469" s="121">
        <v>58448.0</v>
      </c>
    </row>
    <row r="5470">
      <c r="A5470" s="121">
        <v>58449.0</v>
      </c>
    </row>
    <row r="5471">
      <c r="A5471" s="121">
        <v>58450.0</v>
      </c>
    </row>
    <row r="5472">
      <c r="A5472" s="121">
        <v>58451.0</v>
      </c>
    </row>
    <row r="5473">
      <c r="A5473" s="121">
        <v>58452.0</v>
      </c>
    </row>
    <row r="5474">
      <c r="A5474" s="121">
        <v>58453.0</v>
      </c>
    </row>
    <row r="5475">
      <c r="A5475" s="121">
        <v>58454.0</v>
      </c>
    </row>
    <row r="5476">
      <c r="A5476" s="121">
        <v>58455.0</v>
      </c>
    </row>
    <row r="5477">
      <c r="A5477" s="121">
        <v>58456.0</v>
      </c>
    </row>
    <row r="5478">
      <c r="A5478" s="121">
        <v>58457.0</v>
      </c>
    </row>
    <row r="5479">
      <c r="A5479" s="121">
        <v>58458.0</v>
      </c>
    </row>
    <row r="5480">
      <c r="A5480" s="121">
        <v>58459.0</v>
      </c>
    </row>
    <row r="5481">
      <c r="A5481" s="121">
        <v>58473.0</v>
      </c>
    </row>
    <row r="5482">
      <c r="A5482" s="121">
        <v>58474.0</v>
      </c>
    </row>
    <row r="5483">
      <c r="A5483" s="121">
        <v>58475.0</v>
      </c>
    </row>
    <row r="5484">
      <c r="A5484" s="121">
        <v>58476.0</v>
      </c>
    </row>
    <row r="5485">
      <c r="A5485" s="121">
        <v>58477.0</v>
      </c>
    </row>
    <row r="5486">
      <c r="A5486" s="121">
        <v>58478.0</v>
      </c>
    </row>
    <row r="5487">
      <c r="A5487" s="121">
        <v>58479.0</v>
      </c>
      <c r="B5487" s="122">
        <v>45603.0</v>
      </c>
    </row>
    <row r="5488">
      <c r="A5488" s="121">
        <v>58480.0</v>
      </c>
    </row>
    <row r="5489">
      <c r="A5489" s="121">
        <v>58481.0</v>
      </c>
    </row>
    <row r="5490">
      <c r="A5490" s="121">
        <v>58482.0</v>
      </c>
    </row>
    <row r="5491">
      <c r="A5491" s="121">
        <v>58483.0</v>
      </c>
    </row>
    <row r="5492">
      <c r="A5492" s="121">
        <v>58484.0</v>
      </c>
    </row>
    <row r="5493">
      <c r="A5493" s="121">
        <v>58485.0</v>
      </c>
    </row>
    <row r="5494">
      <c r="A5494" s="121">
        <v>58486.0</v>
      </c>
    </row>
    <row r="5495">
      <c r="A5495" s="121">
        <v>58487.0</v>
      </c>
    </row>
    <row r="5496">
      <c r="A5496" s="121">
        <v>58488.0</v>
      </c>
    </row>
    <row r="5497">
      <c r="A5497" s="121">
        <v>58489.0</v>
      </c>
    </row>
    <row r="5498">
      <c r="A5498" s="121">
        <v>58490.0</v>
      </c>
    </row>
    <row r="5499">
      <c r="A5499" s="121">
        <v>58491.0</v>
      </c>
    </row>
    <row r="5500">
      <c r="A5500" s="121">
        <v>58492.0</v>
      </c>
    </row>
    <row r="5501">
      <c r="A5501" s="121">
        <v>58493.0</v>
      </c>
    </row>
    <row r="5502">
      <c r="A5502" s="121">
        <v>58494.0</v>
      </c>
    </row>
    <row r="5503">
      <c r="A5503" s="121">
        <v>58495.0</v>
      </c>
    </row>
    <row r="5504">
      <c r="A5504" s="121">
        <v>58508.0</v>
      </c>
    </row>
    <row r="5505">
      <c r="A5505" s="121">
        <v>58509.0</v>
      </c>
    </row>
    <row r="5506">
      <c r="A5506" s="121">
        <v>58510.0</v>
      </c>
    </row>
    <row r="5507">
      <c r="A5507" s="121">
        <v>58511.0</v>
      </c>
    </row>
    <row r="5508">
      <c r="A5508" s="121">
        <v>58512.0</v>
      </c>
    </row>
    <row r="5509">
      <c r="A5509" s="121">
        <v>58513.0</v>
      </c>
    </row>
    <row r="5510">
      <c r="A5510" s="121">
        <v>58514.0</v>
      </c>
    </row>
    <row r="5511">
      <c r="A5511" s="121">
        <v>58515.0</v>
      </c>
    </row>
    <row r="5512">
      <c r="A5512" s="121">
        <v>58516.0</v>
      </c>
    </row>
    <row r="5513">
      <c r="A5513" s="121">
        <v>58517.0</v>
      </c>
    </row>
    <row r="5514">
      <c r="A5514" s="121">
        <v>58518.0</v>
      </c>
    </row>
    <row r="5515">
      <c r="A5515" s="121">
        <v>58519.0</v>
      </c>
    </row>
    <row r="5516">
      <c r="A5516" s="121">
        <v>58520.0</v>
      </c>
    </row>
    <row r="5517">
      <c r="A5517" s="121">
        <v>58521.0</v>
      </c>
    </row>
    <row r="5518">
      <c r="A5518" s="121">
        <v>58522.0</v>
      </c>
    </row>
    <row r="5519">
      <c r="A5519" s="121">
        <v>58523.0</v>
      </c>
    </row>
    <row r="5520">
      <c r="A5520" s="121">
        <v>58524.0</v>
      </c>
    </row>
    <row r="5521">
      <c r="A5521" s="121">
        <v>58525.0</v>
      </c>
    </row>
    <row r="5522">
      <c r="A5522" s="121">
        <v>58526.0</v>
      </c>
    </row>
    <row r="5523">
      <c r="A5523" s="121">
        <v>58527.0</v>
      </c>
    </row>
    <row r="5524">
      <c r="A5524" s="121">
        <v>58528.0</v>
      </c>
    </row>
    <row r="5525">
      <c r="A5525" s="121">
        <v>58529.0</v>
      </c>
    </row>
    <row r="5526">
      <c r="A5526" s="121">
        <v>58530.0</v>
      </c>
    </row>
    <row r="5527">
      <c r="A5527" s="121">
        <v>58531.0</v>
      </c>
    </row>
    <row r="5528">
      <c r="A5528" s="121">
        <v>58532.0</v>
      </c>
    </row>
    <row r="5529">
      <c r="A5529" s="121">
        <v>58533.0</v>
      </c>
    </row>
    <row r="5530">
      <c r="A5530" s="121">
        <v>58534.0</v>
      </c>
    </row>
    <row r="5531">
      <c r="A5531" s="121">
        <v>58535.0</v>
      </c>
    </row>
    <row r="5532">
      <c r="A5532" s="121">
        <v>58536.0</v>
      </c>
    </row>
    <row r="5533">
      <c r="A5533" s="121">
        <v>58537.0</v>
      </c>
    </row>
    <row r="5534">
      <c r="A5534" s="121">
        <v>58538.0</v>
      </c>
    </row>
    <row r="5535">
      <c r="A5535" s="121">
        <v>58539.0</v>
      </c>
    </row>
    <row r="5536">
      <c r="A5536" s="121">
        <v>58540.0</v>
      </c>
    </row>
    <row r="5537">
      <c r="A5537" s="121">
        <v>58541.0</v>
      </c>
    </row>
    <row r="5538">
      <c r="A5538" s="121">
        <v>58542.0</v>
      </c>
    </row>
    <row r="5539">
      <c r="A5539" s="121">
        <v>58543.0</v>
      </c>
    </row>
    <row r="5540">
      <c r="A5540" s="121">
        <v>58544.0</v>
      </c>
    </row>
    <row r="5541">
      <c r="A5541" s="121">
        <v>58545.0</v>
      </c>
    </row>
    <row r="5542">
      <c r="A5542" s="121">
        <v>58546.0</v>
      </c>
    </row>
    <row r="5543">
      <c r="A5543" s="121">
        <v>58547.0</v>
      </c>
    </row>
    <row r="5544">
      <c r="A5544" s="121">
        <v>58548.0</v>
      </c>
    </row>
    <row r="5545">
      <c r="A5545" s="121">
        <v>58549.0</v>
      </c>
    </row>
    <row r="5546">
      <c r="A5546" s="121">
        <v>58550.0</v>
      </c>
    </row>
    <row r="5547">
      <c r="A5547" s="121">
        <v>58551.0</v>
      </c>
    </row>
    <row r="5548">
      <c r="A5548" s="121">
        <v>58552.0</v>
      </c>
    </row>
    <row r="5549">
      <c r="A5549" s="121">
        <v>58589.0</v>
      </c>
    </row>
    <row r="5550">
      <c r="A5550" s="121">
        <v>58590.0</v>
      </c>
    </row>
    <row r="5551">
      <c r="A5551" s="121">
        <v>58591.0</v>
      </c>
      <c r="B5551" s="122">
        <v>45785.0</v>
      </c>
    </row>
    <row r="5552">
      <c r="A5552" s="121">
        <v>58592.0</v>
      </c>
    </row>
    <row r="5553">
      <c r="A5553" s="121">
        <v>58593.0</v>
      </c>
    </row>
    <row r="5554">
      <c r="A5554" s="121">
        <v>58594.0</v>
      </c>
    </row>
    <row r="5555">
      <c r="A5555" s="121">
        <v>58595.0</v>
      </c>
    </row>
    <row r="5556">
      <c r="A5556" s="121">
        <v>58596.0</v>
      </c>
    </row>
    <row r="5557">
      <c r="A5557" s="121">
        <v>58597.0</v>
      </c>
    </row>
    <row r="5558">
      <c r="A5558" s="121">
        <v>58598.0</v>
      </c>
    </row>
    <row r="5559">
      <c r="A5559" s="121">
        <v>58599.0</v>
      </c>
      <c r="B5559" s="122">
        <v>45800.0</v>
      </c>
    </row>
    <row r="5560">
      <c r="A5560" s="121">
        <v>58600.0</v>
      </c>
    </row>
    <row r="5561">
      <c r="A5561" s="121">
        <v>58601.0</v>
      </c>
    </row>
    <row r="5562">
      <c r="A5562" s="121">
        <v>58602.0</v>
      </c>
    </row>
    <row r="5563">
      <c r="A5563" s="121">
        <v>58603.0</v>
      </c>
    </row>
    <row r="5564">
      <c r="A5564" s="121">
        <v>58604.0</v>
      </c>
    </row>
    <row r="5565">
      <c r="A5565" s="121">
        <v>58605.0</v>
      </c>
    </row>
    <row r="5566">
      <c r="A5566" s="121">
        <v>58606.0</v>
      </c>
    </row>
    <row r="5567">
      <c r="A5567" s="121">
        <v>58607.0</v>
      </c>
    </row>
    <row r="5568">
      <c r="A5568" s="121">
        <v>58608.0</v>
      </c>
    </row>
    <row r="5569">
      <c r="A5569" s="121">
        <v>58609.0</v>
      </c>
    </row>
    <row r="5570">
      <c r="A5570" s="121">
        <v>58610.0</v>
      </c>
    </row>
    <row r="5571">
      <c r="A5571" s="121">
        <v>58611.0</v>
      </c>
    </row>
    <row r="5572">
      <c r="A5572" s="121">
        <v>58618.0</v>
      </c>
      <c r="B5572" s="122">
        <v>45286.0</v>
      </c>
    </row>
    <row r="5573">
      <c r="A5573" s="121">
        <v>58619.0</v>
      </c>
    </row>
    <row r="5574">
      <c r="A5574" s="121">
        <v>58620.0</v>
      </c>
      <c r="B5574" s="122">
        <v>45624.0</v>
      </c>
    </row>
    <row r="5575">
      <c r="A5575" s="121">
        <v>58621.0</v>
      </c>
    </row>
    <row r="5576">
      <c r="A5576" s="121">
        <v>58622.0</v>
      </c>
    </row>
    <row r="5577">
      <c r="A5577" s="121">
        <v>58623.0</v>
      </c>
    </row>
    <row r="5578">
      <c r="A5578" s="121">
        <v>58624.0</v>
      </c>
    </row>
    <row r="5579">
      <c r="A5579" s="121">
        <v>58625.0</v>
      </c>
    </row>
    <row r="5580">
      <c r="A5580" s="121">
        <v>58626.0</v>
      </c>
    </row>
    <row r="5581">
      <c r="A5581" s="121">
        <v>58627.0</v>
      </c>
    </row>
    <row r="5582">
      <c r="A5582" s="121">
        <v>58628.0</v>
      </c>
    </row>
    <row r="5583">
      <c r="A5583" s="121">
        <v>58629.0</v>
      </c>
    </row>
    <row r="5584">
      <c r="A5584" s="121">
        <v>58630.0</v>
      </c>
    </row>
    <row r="5585">
      <c r="A5585" s="121">
        <v>58631.0</v>
      </c>
    </row>
    <row r="5586">
      <c r="A5586" s="121">
        <v>58632.0</v>
      </c>
    </row>
    <row r="5587">
      <c r="A5587" s="121">
        <v>58633.0</v>
      </c>
    </row>
    <row r="5588">
      <c r="A5588" s="121">
        <v>58634.0</v>
      </c>
    </row>
    <row r="5589">
      <c r="A5589" s="121">
        <v>58635.0</v>
      </c>
    </row>
    <row r="5590">
      <c r="A5590" s="121">
        <v>58636.0</v>
      </c>
    </row>
    <row r="5591">
      <c r="A5591" s="121">
        <v>58637.0</v>
      </c>
    </row>
    <row r="5592">
      <c r="A5592" s="121">
        <v>58638.0</v>
      </c>
    </row>
    <row r="5593">
      <c r="A5593" s="121">
        <v>58639.0</v>
      </c>
    </row>
    <row r="5594">
      <c r="A5594" s="121">
        <v>58640.0</v>
      </c>
    </row>
    <row r="5595">
      <c r="A5595" s="121">
        <v>58667.0</v>
      </c>
      <c r="B5595" s="122">
        <v>45295.0</v>
      </c>
    </row>
    <row r="5596">
      <c r="A5596" s="121">
        <v>58668.0</v>
      </c>
    </row>
    <row r="5597">
      <c r="A5597" s="121">
        <v>58669.0</v>
      </c>
    </row>
    <row r="5598">
      <c r="A5598" s="121">
        <v>58670.0</v>
      </c>
    </row>
    <row r="5599">
      <c r="A5599" s="121">
        <v>58671.0</v>
      </c>
    </row>
    <row r="5600">
      <c r="A5600" s="121">
        <v>58672.0</v>
      </c>
    </row>
    <row r="5601">
      <c r="A5601" s="121">
        <v>58673.0</v>
      </c>
    </row>
    <row r="5602">
      <c r="A5602" s="121">
        <v>58674.0</v>
      </c>
    </row>
    <row r="5603">
      <c r="A5603" s="121">
        <v>58675.0</v>
      </c>
    </row>
    <row r="5604">
      <c r="A5604" s="121">
        <v>58676.0</v>
      </c>
    </row>
    <row r="5605">
      <c r="A5605" s="121">
        <v>58677.0</v>
      </c>
    </row>
    <row r="5606">
      <c r="A5606" s="121">
        <v>58678.0</v>
      </c>
    </row>
    <row r="5607">
      <c r="A5607" s="121">
        <v>58679.0</v>
      </c>
    </row>
    <row r="5608">
      <c r="A5608" s="121">
        <v>58680.0</v>
      </c>
    </row>
    <row r="5609">
      <c r="A5609" s="121">
        <v>58681.0</v>
      </c>
    </row>
    <row r="5610">
      <c r="A5610" s="121">
        <v>58682.0</v>
      </c>
    </row>
    <row r="5611">
      <c r="A5611" s="121">
        <v>58683.0</v>
      </c>
    </row>
    <row r="5612">
      <c r="A5612" s="121">
        <v>58684.0</v>
      </c>
    </row>
    <row r="5613">
      <c r="A5613" s="121">
        <v>58685.0</v>
      </c>
    </row>
    <row r="5614">
      <c r="A5614" s="121">
        <v>58686.0</v>
      </c>
    </row>
    <row r="5615">
      <c r="A5615" s="121">
        <v>58687.0</v>
      </c>
      <c r="B5615" s="122">
        <v>45430.0</v>
      </c>
    </row>
    <row r="5616">
      <c r="A5616" s="121">
        <v>58688.0</v>
      </c>
    </row>
    <row r="5617">
      <c r="A5617" s="121">
        <v>58689.0</v>
      </c>
    </row>
    <row r="5618">
      <c r="A5618" s="121">
        <v>58705.0</v>
      </c>
    </row>
    <row r="5619">
      <c r="A5619" s="121">
        <v>58706.0</v>
      </c>
    </row>
    <row r="5620">
      <c r="A5620" s="121">
        <v>58707.0</v>
      </c>
    </row>
    <row r="5621">
      <c r="A5621" s="121">
        <v>58708.0</v>
      </c>
    </row>
    <row r="5622">
      <c r="A5622" s="121">
        <v>58709.0</v>
      </c>
    </row>
    <row r="5623">
      <c r="A5623" s="121">
        <v>58710.0</v>
      </c>
    </row>
    <row r="5624">
      <c r="A5624" s="121">
        <v>58711.0</v>
      </c>
    </row>
    <row r="5625">
      <c r="A5625" s="121">
        <v>58712.0</v>
      </c>
    </row>
    <row r="5626">
      <c r="A5626" s="121">
        <v>58713.0</v>
      </c>
    </row>
    <row r="5627">
      <c r="A5627" s="121">
        <v>58714.0</v>
      </c>
    </row>
    <row r="5628">
      <c r="A5628" s="121">
        <v>58715.0</v>
      </c>
    </row>
    <row r="5629">
      <c r="A5629" s="121">
        <v>58716.0</v>
      </c>
    </row>
    <row r="5630">
      <c r="A5630" s="121">
        <v>58717.0</v>
      </c>
    </row>
    <row r="5631">
      <c r="A5631" s="121">
        <v>58718.0</v>
      </c>
    </row>
    <row r="5632">
      <c r="A5632" s="121">
        <v>58719.0</v>
      </c>
    </row>
    <row r="5633">
      <c r="A5633" s="121">
        <v>58720.0</v>
      </c>
    </row>
    <row r="5634">
      <c r="A5634" s="121">
        <v>58721.0</v>
      </c>
    </row>
    <row r="5635">
      <c r="A5635" s="121">
        <v>58722.0</v>
      </c>
    </row>
    <row r="5636">
      <c r="A5636" s="121">
        <v>58723.0</v>
      </c>
    </row>
    <row r="5637">
      <c r="A5637" s="121">
        <v>58724.0</v>
      </c>
    </row>
    <row r="5638">
      <c r="A5638" s="121">
        <v>58725.0</v>
      </c>
    </row>
    <row r="5639">
      <c r="A5639" s="121">
        <v>58728.0</v>
      </c>
      <c r="B5639" s="122">
        <v>45747.0</v>
      </c>
    </row>
    <row r="5640">
      <c r="A5640" s="121">
        <v>58729.0</v>
      </c>
    </row>
    <row r="5641">
      <c r="A5641" s="121">
        <v>58730.0</v>
      </c>
      <c r="B5641" s="122">
        <v>45829.0</v>
      </c>
    </row>
    <row r="5642">
      <c r="A5642" s="121">
        <v>58731.0</v>
      </c>
      <c r="B5642" s="122">
        <v>45912.0</v>
      </c>
    </row>
    <row r="5643">
      <c r="A5643" s="121">
        <v>58732.0</v>
      </c>
    </row>
    <row r="5644">
      <c r="A5644" s="121">
        <v>58733.0</v>
      </c>
    </row>
    <row r="5645">
      <c r="A5645" s="121">
        <v>58734.0</v>
      </c>
    </row>
    <row r="5646">
      <c r="A5646" s="121">
        <v>58735.0</v>
      </c>
    </row>
    <row r="5647">
      <c r="A5647" s="121">
        <v>58736.0</v>
      </c>
    </row>
    <row r="5648">
      <c r="A5648" s="121">
        <v>58737.0</v>
      </c>
    </row>
    <row r="5649">
      <c r="A5649" s="121">
        <v>58738.0</v>
      </c>
    </row>
    <row r="5650">
      <c r="A5650" s="121">
        <v>58739.0</v>
      </c>
    </row>
    <row r="5651">
      <c r="A5651" s="121">
        <v>58740.0</v>
      </c>
    </row>
    <row r="5652">
      <c r="A5652" s="121">
        <v>58741.0</v>
      </c>
    </row>
    <row r="5653">
      <c r="A5653" s="121">
        <v>58742.0</v>
      </c>
    </row>
    <row r="5654">
      <c r="A5654" s="121">
        <v>58743.0</v>
      </c>
    </row>
    <row r="5655">
      <c r="A5655" s="121">
        <v>58744.0</v>
      </c>
    </row>
    <row r="5656">
      <c r="A5656" s="121">
        <v>58745.0</v>
      </c>
    </row>
    <row r="5657">
      <c r="A5657" s="121">
        <v>58746.0</v>
      </c>
    </row>
    <row r="5658">
      <c r="A5658" s="121">
        <v>58747.0</v>
      </c>
    </row>
    <row r="5659">
      <c r="A5659" s="121">
        <v>58748.0</v>
      </c>
    </row>
    <row r="5660">
      <c r="A5660" s="121">
        <v>58749.0</v>
      </c>
    </row>
    <row r="5661">
      <c r="A5661" s="121">
        <v>58750.0</v>
      </c>
    </row>
    <row r="5662">
      <c r="A5662" s="121">
        <v>58765.0</v>
      </c>
    </row>
    <row r="5663">
      <c r="A5663" s="121">
        <v>58766.0</v>
      </c>
    </row>
    <row r="5664">
      <c r="A5664" s="121">
        <v>58767.0</v>
      </c>
    </row>
    <row r="5665">
      <c r="A5665" s="121">
        <v>58768.0</v>
      </c>
    </row>
    <row r="5666">
      <c r="A5666" s="121">
        <v>58769.0</v>
      </c>
    </row>
    <row r="5667">
      <c r="A5667" s="121">
        <v>58770.0</v>
      </c>
    </row>
    <row r="5668">
      <c r="A5668" s="121">
        <v>58771.0</v>
      </c>
    </row>
    <row r="5669">
      <c r="A5669" s="121">
        <v>58772.0</v>
      </c>
    </row>
    <row r="5670">
      <c r="A5670" s="121">
        <v>58773.0</v>
      </c>
    </row>
    <row r="5671">
      <c r="A5671" s="121">
        <v>58774.0</v>
      </c>
    </row>
    <row r="5672">
      <c r="A5672" s="121">
        <v>58775.0</v>
      </c>
    </row>
    <row r="5673">
      <c r="A5673" s="121">
        <v>58776.0</v>
      </c>
    </row>
    <row r="5674">
      <c r="A5674" s="121">
        <v>58777.0</v>
      </c>
    </row>
    <row r="5675">
      <c r="A5675" s="121">
        <v>58778.0</v>
      </c>
    </row>
    <row r="5676">
      <c r="A5676" s="121">
        <v>58779.0</v>
      </c>
    </row>
    <row r="5677">
      <c r="A5677" s="121">
        <v>58780.0</v>
      </c>
      <c r="B5677" s="122">
        <v>45531.0</v>
      </c>
    </row>
    <row r="5678">
      <c r="A5678" s="121">
        <v>58781.0</v>
      </c>
    </row>
    <row r="5679">
      <c r="A5679" s="121">
        <v>58782.0</v>
      </c>
      <c r="B5679" s="122">
        <v>45997.0</v>
      </c>
    </row>
    <row r="5680">
      <c r="A5680" s="121">
        <v>58783.0</v>
      </c>
    </row>
    <row r="5681">
      <c r="A5681" s="121">
        <v>58784.0</v>
      </c>
    </row>
    <row r="5682">
      <c r="A5682" s="121">
        <v>58785.0</v>
      </c>
    </row>
    <row r="5683">
      <c r="A5683" s="121">
        <v>58786.0</v>
      </c>
    </row>
    <row r="5684">
      <c r="A5684" s="121">
        <v>58787.0</v>
      </c>
    </row>
    <row r="5685">
      <c r="A5685" s="121">
        <v>58788.0</v>
      </c>
    </row>
    <row r="5686">
      <c r="A5686" s="121">
        <v>58789.0</v>
      </c>
    </row>
    <row r="5687">
      <c r="A5687" s="121">
        <v>58790.0</v>
      </c>
    </row>
    <row r="5688">
      <c r="A5688" s="121">
        <v>58791.0</v>
      </c>
    </row>
    <row r="5689">
      <c r="A5689" s="121">
        <v>58792.0</v>
      </c>
      <c r="B5689" s="122">
        <v>45449.0</v>
      </c>
    </row>
    <row r="5690">
      <c r="A5690" s="121">
        <v>58793.0</v>
      </c>
    </row>
    <row r="5691">
      <c r="A5691" s="121">
        <v>58794.0</v>
      </c>
    </row>
    <row r="5692">
      <c r="A5692" s="121">
        <v>58795.0</v>
      </c>
    </row>
    <row r="5693">
      <c r="A5693" s="121">
        <v>58796.0</v>
      </c>
    </row>
    <row r="5694">
      <c r="A5694" s="121">
        <v>58797.0</v>
      </c>
    </row>
    <row r="5695">
      <c r="A5695" s="121">
        <v>58798.0</v>
      </c>
    </row>
    <row r="5696">
      <c r="A5696" s="121">
        <v>58799.0</v>
      </c>
      <c r="B5696" s="122">
        <v>45534.0</v>
      </c>
    </row>
    <row r="5697">
      <c r="A5697" s="121">
        <v>58800.0</v>
      </c>
    </row>
    <row r="5698">
      <c r="A5698" s="121">
        <v>58801.0</v>
      </c>
    </row>
    <row r="5699">
      <c r="A5699" s="121">
        <v>58802.0</v>
      </c>
      <c r="B5699" s="122">
        <v>45727.0</v>
      </c>
    </row>
    <row r="5700">
      <c r="A5700" s="121">
        <v>58803.0</v>
      </c>
    </row>
    <row r="5701">
      <c r="A5701" s="121">
        <v>58804.0</v>
      </c>
    </row>
    <row r="5702">
      <c r="A5702" s="121">
        <v>58805.0</v>
      </c>
      <c r="B5702" s="122">
        <v>45536.0</v>
      </c>
    </row>
    <row r="5703">
      <c r="A5703" s="121">
        <v>58806.0</v>
      </c>
    </row>
    <row r="5704">
      <c r="A5704" s="121">
        <v>58807.0</v>
      </c>
    </row>
    <row r="5705">
      <c r="A5705" s="121">
        <v>58808.0</v>
      </c>
    </row>
    <row r="5706">
      <c r="A5706" s="121">
        <v>58809.0</v>
      </c>
    </row>
    <row r="5707">
      <c r="A5707" s="121">
        <v>58826.0</v>
      </c>
    </row>
    <row r="5708">
      <c r="A5708" s="121">
        <v>58827.0</v>
      </c>
    </row>
    <row r="5709">
      <c r="A5709" s="121">
        <v>58828.0</v>
      </c>
    </row>
    <row r="5710">
      <c r="A5710" s="121">
        <v>58829.0</v>
      </c>
    </row>
    <row r="5711">
      <c r="A5711" s="121">
        <v>58830.0</v>
      </c>
    </row>
    <row r="5712">
      <c r="A5712" s="121">
        <v>58831.0</v>
      </c>
    </row>
    <row r="5713">
      <c r="A5713" s="121">
        <v>58832.0</v>
      </c>
    </row>
    <row r="5714">
      <c r="A5714" s="121">
        <v>58833.0</v>
      </c>
      <c r="B5714" s="122">
        <v>45692.0</v>
      </c>
    </row>
    <row r="5715">
      <c r="A5715" s="121">
        <v>58834.0</v>
      </c>
    </row>
    <row r="5716">
      <c r="A5716" s="121">
        <v>58835.0</v>
      </c>
    </row>
    <row r="5717">
      <c r="A5717" s="121">
        <v>58836.0</v>
      </c>
    </row>
    <row r="5718">
      <c r="A5718" s="121">
        <v>58837.0</v>
      </c>
      <c r="B5718" s="122">
        <v>45752.0</v>
      </c>
    </row>
    <row r="5719">
      <c r="A5719" s="121">
        <v>58838.0</v>
      </c>
    </row>
    <row r="5720">
      <c r="A5720" s="121">
        <v>58839.0</v>
      </c>
    </row>
    <row r="5721">
      <c r="A5721" s="121">
        <v>58840.0</v>
      </c>
    </row>
    <row r="5722">
      <c r="A5722" s="121">
        <v>58841.0</v>
      </c>
    </row>
    <row r="5723">
      <c r="A5723" s="121">
        <v>58842.0</v>
      </c>
    </row>
    <row r="5724">
      <c r="A5724" s="121">
        <v>58843.0</v>
      </c>
    </row>
    <row r="5725">
      <c r="A5725" s="121">
        <v>58844.0</v>
      </c>
    </row>
    <row r="5726">
      <c r="A5726" s="121">
        <v>58845.0</v>
      </c>
    </row>
    <row r="5727">
      <c r="A5727" s="121">
        <v>58846.0</v>
      </c>
    </row>
    <row r="5728">
      <c r="A5728" s="121">
        <v>58847.0</v>
      </c>
    </row>
    <row r="5729">
      <c r="A5729" s="121">
        <v>58853.0</v>
      </c>
    </row>
    <row r="5730">
      <c r="A5730" s="121">
        <v>58854.0</v>
      </c>
    </row>
    <row r="5731">
      <c r="A5731" s="121">
        <v>58855.0</v>
      </c>
    </row>
    <row r="5732">
      <c r="A5732" s="121">
        <v>58856.0</v>
      </c>
    </row>
    <row r="5733">
      <c r="A5733" s="121">
        <v>58857.0</v>
      </c>
      <c r="B5733" s="122">
        <v>45936.0</v>
      </c>
    </row>
    <row r="5734">
      <c r="A5734" s="121">
        <v>58858.0</v>
      </c>
    </row>
    <row r="5735">
      <c r="A5735" s="121">
        <v>58859.0</v>
      </c>
    </row>
    <row r="5736">
      <c r="A5736" s="121">
        <v>58860.0</v>
      </c>
    </row>
    <row r="5737">
      <c r="A5737" s="121">
        <v>58861.0</v>
      </c>
    </row>
    <row r="5738">
      <c r="A5738" s="121">
        <v>58862.0</v>
      </c>
    </row>
    <row r="5739">
      <c r="A5739" s="121">
        <v>58863.0</v>
      </c>
    </row>
    <row r="5740">
      <c r="A5740" s="121">
        <v>58864.0</v>
      </c>
    </row>
    <row r="5741">
      <c r="A5741" s="121">
        <v>58865.0</v>
      </c>
    </row>
    <row r="5742">
      <c r="A5742" s="121">
        <v>58866.0</v>
      </c>
    </row>
    <row r="5743">
      <c r="A5743" s="121">
        <v>58867.0</v>
      </c>
    </row>
    <row r="5744">
      <c r="A5744" s="121">
        <v>58868.0</v>
      </c>
    </row>
    <row r="5745">
      <c r="A5745" s="121">
        <v>58869.0</v>
      </c>
    </row>
    <row r="5746">
      <c r="A5746" s="121">
        <v>58870.0</v>
      </c>
    </row>
    <row r="5747">
      <c r="A5747" s="121">
        <v>58871.0</v>
      </c>
    </row>
    <row r="5748">
      <c r="A5748" s="121">
        <v>58872.0</v>
      </c>
    </row>
    <row r="5749">
      <c r="A5749" s="121">
        <v>58873.0</v>
      </c>
    </row>
    <row r="5750">
      <c r="A5750" s="121">
        <v>58874.0</v>
      </c>
    </row>
    <row r="5751">
      <c r="A5751" s="121">
        <v>58875.0</v>
      </c>
    </row>
    <row r="5752">
      <c r="A5752" s="121">
        <v>58876.0</v>
      </c>
    </row>
    <row r="5753">
      <c r="A5753" s="121">
        <v>58877.0</v>
      </c>
    </row>
    <row r="5754">
      <c r="A5754" s="121">
        <v>58878.0</v>
      </c>
    </row>
    <row r="5755">
      <c r="A5755" s="121">
        <v>58879.0</v>
      </c>
    </row>
    <row r="5756">
      <c r="A5756" s="121">
        <v>58880.0</v>
      </c>
    </row>
    <row r="5757">
      <c r="A5757" s="121">
        <v>58881.0</v>
      </c>
    </row>
    <row r="5758">
      <c r="A5758" s="121">
        <v>58882.0</v>
      </c>
    </row>
    <row r="5759">
      <c r="A5759" s="121">
        <v>58883.0</v>
      </c>
    </row>
    <row r="5760">
      <c r="A5760" s="121">
        <v>58884.0</v>
      </c>
    </row>
    <row r="5761">
      <c r="A5761" s="121">
        <v>58885.0</v>
      </c>
    </row>
    <row r="5762">
      <c r="A5762" s="121">
        <v>58886.0</v>
      </c>
    </row>
    <row r="5763">
      <c r="A5763" s="121">
        <v>58887.0</v>
      </c>
    </row>
    <row r="5764">
      <c r="A5764" s="121">
        <v>58888.0</v>
      </c>
      <c r="B5764" s="122">
        <v>45544.0</v>
      </c>
    </row>
    <row r="5765">
      <c r="A5765" s="121">
        <v>58889.0</v>
      </c>
    </row>
    <row r="5766">
      <c r="A5766" s="121">
        <v>58890.0</v>
      </c>
    </row>
    <row r="5767">
      <c r="A5767" s="121">
        <v>58891.0</v>
      </c>
    </row>
    <row r="5768">
      <c r="A5768" s="121">
        <v>58892.0</v>
      </c>
      <c r="B5768" s="122">
        <v>46041.0</v>
      </c>
    </row>
    <row r="5769">
      <c r="A5769" s="121">
        <v>58893.0</v>
      </c>
    </row>
    <row r="5770">
      <c r="A5770" s="121">
        <v>58894.0</v>
      </c>
    </row>
    <row r="5771">
      <c r="A5771" s="121">
        <v>58895.0</v>
      </c>
    </row>
    <row r="5772">
      <c r="A5772" s="121">
        <v>58896.0</v>
      </c>
      <c r="B5772" s="122">
        <v>45938.0</v>
      </c>
    </row>
    <row r="5773">
      <c r="A5773" s="121">
        <v>58897.0</v>
      </c>
    </row>
    <row r="5774">
      <c r="A5774" s="121">
        <v>58931.0</v>
      </c>
    </row>
    <row r="5775">
      <c r="A5775" s="121">
        <v>58932.0</v>
      </c>
    </row>
    <row r="5776">
      <c r="A5776" s="121">
        <v>58933.0</v>
      </c>
    </row>
    <row r="5777">
      <c r="A5777" s="121">
        <v>58934.0</v>
      </c>
    </row>
    <row r="5778">
      <c r="A5778" s="121">
        <v>58935.0</v>
      </c>
    </row>
    <row r="5779">
      <c r="A5779" s="121">
        <v>58936.0</v>
      </c>
    </row>
    <row r="5780">
      <c r="A5780" s="121">
        <v>58937.0</v>
      </c>
    </row>
    <row r="5781">
      <c r="A5781" s="121">
        <v>58938.0</v>
      </c>
    </row>
    <row r="5782">
      <c r="A5782" s="121">
        <v>58939.0</v>
      </c>
    </row>
    <row r="5783">
      <c r="A5783" s="121">
        <v>58940.0</v>
      </c>
    </row>
    <row r="5784">
      <c r="A5784" s="121">
        <v>58941.0</v>
      </c>
    </row>
    <row r="5785">
      <c r="A5785" s="121">
        <v>58942.0</v>
      </c>
    </row>
    <row r="5786">
      <c r="A5786" s="121">
        <v>58943.0</v>
      </c>
    </row>
    <row r="5787">
      <c r="A5787" s="121">
        <v>58944.0</v>
      </c>
    </row>
    <row r="5788">
      <c r="A5788" s="121">
        <v>58945.0</v>
      </c>
    </row>
    <row r="5789">
      <c r="A5789" s="121">
        <v>58946.0</v>
      </c>
    </row>
    <row r="5790">
      <c r="A5790" s="121">
        <v>58947.0</v>
      </c>
    </row>
    <row r="5791">
      <c r="A5791" s="121">
        <v>58948.0</v>
      </c>
    </row>
    <row r="5792">
      <c r="A5792" s="121">
        <v>58949.0</v>
      </c>
    </row>
    <row r="5793">
      <c r="A5793" s="121">
        <v>58950.0</v>
      </c>
      <c r="B5793" s="122">
        <v>45355.0</v>
      </c>
    </row>
    <row r="5794">
      <c r="A5794" s="121">
        <v>58951.0</v>
      </c>
    </row>
    <row r="5795">
      <c r="A5795" s="121">
        <v>58952.0</v>
      </c>
    </row>
    <row r="5796">
      <c r="A5796" s="121">
        <v>58965.0</v>
      </c>
    </row>
    <row r="5797">
      <c r="A5797" s="121">
        <v>58966.0</v>
      </c>
    </row>
    <row r="5798">
      <c r="A5798" s="121">
        <v>58967.0</v>
      </c>
    </row>
    <row r="5799">
      <c r="A5799" s="121">
        <v>58968.0</v>
      </c>
    </row>
    <row r="5800">
      <c r="A5800" s="121">
        <v>58969.0</v>
      </c>
    </row>
    <row r="5801">
      <c r="A5801" s="121">
        <v>58970.0</v>
      </c>
    </row>
    <row r="5802">
      <c r="A5802" s="121">
        <v>58971.0</v>
      </c>
    </row>
    <row r="5803">
      <c r="A5803" s="121">
        <v>58972.0</v>
      </c>
    </row>
    <row r="5804">
      <c r="A5804" s="121">
        <v>58973.0</v>
      </c>
    </row>
    <row r="5805">
      <c r="A5805" s="121">
        <v>58974.0</v>
      </c>
    </row>
    <row r="5806">
      <c r="A5806" s="121">
        <v>58975.0</v>
      </c>
    </row>
    <row r="5807">
      <c r="A5807" s="121">
        <v>58976.0</v>
      </c>
    </row>
    <row r="5808">
      <c r="A5808" s="121">
        <v>58977.0</v>
      </c>
    </row>
    <row r="5809">
      <c r="A5809" s="121">
        <v>58978.0</v>
      </c>
    </row>
    <row r="5810">
      <c r="A5810" s="121">
        <v>58979.0</v>
      </c>
    </row>
    <row r="5811">
      <c r="A5811" s="121">
        <v>58980.0</v>
      </c>
    </row>
    <row r="5812">
      <c r="A5812" s="121">
        <v>58981.0</v>
      </c>
    </row>
    <row r="5813">
      <c r="A5813" s="121">
        <v>58982.0</v>
      </c>
      <c r="B5813" s="122">
        <v>45696.0</v>
      </c>
    </row>
    <row r="5814">
      <c r="A5814" s="121">
        <v>58983.0</v>
      </c>
    </row>
    <row r="5815">
      <c r="A5815" s="121">
        <v>58984.0</v>
      </c>
    </row>
    <row r="5816">
      <c r="A5816" s="121">
        <v>58985.0</v>
      </c>
    </row>
    <row r="5817">
      <c r="A5817" s="121">
        <v>58986.0</v>
      </c>
    </row>
    <row r="5818">
      <c r="A5818" s="121">
        <v>58998.0</v>
      </c>
    </row>
    <row r="5819">
      <c r="A5819" s="121">
        <v>58999.0</v>
      </c>
    </row>
    <row r="5820">
      <c r="A5820" s="121">
        <v>59000.0</v>
      </c>
    </row>
    <row r="5821">
      <c r="A5821" s="121">
        <v>59001.0</v>
      </c>
      <c r="B5821" s="122">
        <v>45444.0</v>
      </c>
    </row>
    <row r="5822">
      <c r="A5822" s="121">
        <v>59002.0</v>
      </c>
    </row>
    <row r="5823">
      <c r="A5823" s="121">
        <v>59003.0</v>
      </c>
      <c r="B5823" s="122">
        <v>45592.0</v>
      </c>
    </row>
    <row r="5824">
      <c r="A5824" s="121">
        <v>59004.0</v>
      </c>
    </row>
    <row r="5825">
      <c r="A5825" s="121">
        <v>59005.0</v>
      </c>
    </row>
    <row r="5826">
      <c r="A5826" s="121">
        <v>59006.0</v>
      </c>
    </row>
    <row r="5827">
      <c r="A5827" s="121">
        <v>59007.0</v>
      </c>
    </row>
    <row r="5828">
      <c r="A5828" s="121">
        <v>59008.0</v>
      </c>
    </row>
    <row r="5829">
      <c r="A5829" s="121">
        <v>59009.0</v>
      </c>
    </row>
    <row r="5830">
      <c r="A5830" s="121">
        <v>59010.0</v>
      </c>
    </row>
    <row r="5831">
      <c r="A5831" s="121">
        <v>59011.0</v>
      </c>
    </row>
    <row r="5832">
      <c r="A5832" s="121">
        <v>59012.0</v>
      </c>
    </row>
    <row r="5833">
      <c r="A5833" s="121">
        <v>59013.0</v>
      </c>
    </row>
    <row r="5834">
      <c r="A5834" s="121">
        <v>59014.0</v>
      </c>
    </row>
    <row r="5835">
      <c r="A5835" s="121">
        <v>59015.0</v>
      </c>
    </row>
    <row r="5836">
      <c r="A5836" s="121">
        <v>59016.0</v>
      </c>
    </row>
    <row r="5837">
      <c r="A5837" s="121">
        <v>59017.0</v>
      </c>
    </row>
    <row r="5838">
      <c r="A5838" s="121">
        <v>59018.0</v>
      </c>
    </row>
    <row r="5839">
      <c r="A5839" s="121">
        <v>59019.0</v>
      </c>
    </row>
    <row r="5840">
      <c r="A5840" s="121">
        <v>59023.0</v>
      </c>
    </row>
    <row r="5841">
      <c r="A5841" s="121">
        <v>59024.0</v>
      </c>
    </row>
    <row r="5842">
      <c r="A5842" s="121">
        <v>59025.0</v>
      </c>
    </row>
    <row r="5843">
      <c r="A5843" s="121">
        <v>59026.0</v>
      </c>
      <c r="B5843" s="122">
        <v>46050.0</v>
      </c>
    </row>
    <row r="5844">
      <c r="A5844" s="121">
        <v>59027.0</v>
      </c>
    </row>
    <row r="5845">
      <c r="A5845" s="121">
        <v>59028.0</v>
      </c>
    </row>
    <row r="5846">
      <c r="A5846" s="121">
        <v>59029.0</v>
      </c>
    </row>
    <row r="5847">
      <c r="A5847" s="121">
        <v>59030.0</v>
      </c>
    </row>
    <row r="5848">
      <c r="A5848" s="121">
        <v>59031.0</v>
      </c>
    </row>
    <row r="5849">
      <c r="A5849" s="121">
        <v>59032.0</v>
      </c>
    </row>
    <row r="5850">
      <c r="A5850" s="121">
        <v>59033.0</v>
      </c>
    </row>
    <row r="5851">
      <c r="A5851" s="121">
        <v>59034.0</v>
      </c>
    </row>
    <row r="5852">
      <c r="A5852" s="121">
        <v>59035.0</v>
      </c>
    </row>
    <row r="5853">
      <c r="A5853" s="121">
        <v>59036.0</v>
      </c>
    </row>
    <row r="5854">
      <c r="A5854" s="121">
        <v>59037.0</v>
      </c>
    </row>
    <row r="5855">
      <c r="A5855" s="121">
        <v>59038.0</v>
      </c>
    </row>
    <row r="5856">
      <c r="A5856" s="121">
        <v>59039.0</v>
      </c>
    </row>
    <row r="5857">
      <c r="A5857" s="121">
        <v>59040.0</v>
      </c>
    </row>
    <row r="5858">
      <c r="A5858" s="121">
        <v>59041.0</v>
      </c>
    </row>
    <row r="5859">
      <c r="A5859" s="121">
        <v>59042.0</v>
      </c>
    </row>
    <row r="5860">
      <c r="A5860" s="121">
        <v>59043.0</v>
      </c>
    </row>
    <row r="5861">
      <c r="A5861" s="121">
        <v>59044.0</v>
      </c>
    </row>
    <row r="5862">
      <c r="A5862" s="121">
        <v>59045.0</v>
      </c>
    </row>
    <row r="5863">
      <c r="A5863" s="121">
        <v>59046.0</v>
      </c>
    </row>
    <row r="5864">
      <c r="A5864" s="121">
        <v>59074.0</v>
      </c>
    </row>
    <row r="5865">
      <c r="A5865" s="121">
        <v>59075.0</v>
      </c>
    </row>
    <row r="5866">
      <c r="A5866" s="121">
        <v>59076.0</v>
      </c>
    </row>
    <row r="5867">
      <c r="A5867" s="121">
        <v>59077.0</v>
      </c>
    </row>
    <row r="5868">
      <c r="A5868" s="121">
        <v>59078.0</v>
      </c>
    </row>
    <row r="5869">
      <c r="A5869" s="121">
        <v>59079.0</v>
      </c>
    </row>
    <row r="5870">
      <c r="A5870" s="121">
        <v>59080.0</v>
      </c>
    </row>
    <row r="5871">
      <c r="A5871" s="121">
        <v>59081.0</v>
      </c>
    </row>
    <row r="5872">
      <c r="A5872" s="121">
        <v>59082.0</v>
      </c>
    </row>
    <row r="5873">
      <c r="A5873" s="121">
        <v>59083.0</v>
      </c>
    </row>
    <row r="5874">
      <c r="A5874" s="121">
        <v>59084.0</v>
      </c>
    </row>
    <row r="5875">
      <c r="A5875" s="121">
        <v>59085.0</v>
      </c>
    </row>
    <row r="5876">
      <c r="A5876" s="121">
        <v>59086.0</v>
      </c>
    </row>
    <row r="5877">
      <c r="A5877" s="121">
        <v>59087.0</v>
      </c>
    </row>
    <row r="5878">
      <c r="A5878" s="121">
        <v>59088.0</v>
      </c>
    </row>
    <row r="5879">
      <c r="A5879" s="121">
        <v>59089.0</v>
      </c>
    </row>
    <row r="5880">
      <c r="A5880" s="121">
        <v>59090.0</v>
      </c>
    </row>
    <row r="5881">
      <c r="A5881" s="121">
        <v>59091.0</v>
      </c>
      <c r="B5881" s="122">
        <v>45387.0</v>
      </c>
    </row>
    <row r="5882">
      <c r="A5882" s="121">
        <v>59092.0</v>
      </c>
    </row>
    <row r="5883">
      <c r="A5883" s="121">
        <v>59093.0</v>
      </c>
    </row>
    <row r="5884">
      <c r="A5884" s="121">
        <v>59094.0</v>
      </c>
      <c r="B5884" s="122">
        <v>45535.0</v>
      </c>
    </row>
    <row r="5885">
      <c r="A5885" s="121">
        <v>59095.0</v>
      </c>
    </row>
    <row r="5886">
      <c r="A5886" s="121">
        <v>59096.0</v>
      </c>
    </row>
    <row r="5887">
      <c r="A5887" s="121">
        <v>59152.0</v>
      </c>
    </row>
    <row r="5888">
      <c r="A5888" s="121">
        <v>59153.0</v>
      </c>
    </row>
    <row r="5889">
      <c r="A5889" s="121">
        <v>59154.0</v>
      </c>
    </row>
    <row r="5890">
      <c r="A5890" s="121">
        <v>59155.0</v>
      </c>
    </row>
    <row r="5891">
      <c r="A5891" s="121">
        <v>59156.0</v>
      </c>
    </row>
    <row r="5892">
      <c r="A5892" s="121">
        <v>59157.0</v>
      </c>
    </row>
    <row r="5893">
      <c r="A5893" s="121">
        <v>59158.0</v>
      </c>
    </row>
    <row r="5894">
      <c r="A5894" s="121">
        <v>59159.0</v>
      </c>
    </row>
    <row r="5895">
      <c r="A5895" s="121">
        <v>59160.0</v>
      </c>
    </row>
    <row r="5896">
      <c r="A5896" s="121">
        <v>59161.0</v>
      </c>
    </row>
    <row r="5897">
      <c r="A5897" s="121">
        <v>59162.0</v>
      </c>
    </row>
    <row r="5898">
      <c r="A5898" s="121">
        <v>59163.0</v>
      </c>
    </row>
    <row r="5899">
      <c r="A5899" s="121">
        <v>59164.0</v>
      </c>
    </row>
    <row r="5900">
      <c r="A5900" s="121">
        <v>59165.0</v>
      </c>
    </row>
    <row r="5901">
      <c r="A5901" s="121">
        <v>59166.0</v>
      </c>
    </row>
    <row r="5902">
      <c r="A5902" s="121">
        <v>59167.0</v>
      </c>
    </row>
    <row r="5903">
      <c r="A5903" s="121">
        <v>59168.0</v>
      </c>
    </row>
    <row r="5904">
      <c r="A5904" s="121">
        <v>59169.0</v>
      </c>
    </row>
    <row r="5905">
      <c r="A5905" s="121">
        <v>59170.0</v>
      </c>
    </row>
    <row r="5906">
      <c r="A5906" s="121">
        <v>59171.0</v>
      </c>
    </row>
    <row r="5907">
      <c r="A5907" s="121">
        <v>59172.0</v>
      </c>
    </row>
    <row r="5908">
      <c r="A5908" s="121">
        <v>59173.0</v>
      </c>
    </row>
    <row r="5909">
      <c r="A5909" s="121">
        <v>59174.0</v>
      </c>
    </row>
    <row r="5910">
      <c r="A5910" s="121">
        <v>59178.0</v>
      </c>
    </row>
    <row r="5911">
      <c r="A5911" s="121">
        <v>59179.0</v>
      </c>
    </row>
    <row r="5912">
      <c r="A5912" s="121">
        <v>59180.0</v>
      </c>
    </row>
    <row r="5913">
      <c r="A5913" s="121">
        <v>59181.0</v>
      </c>
    </row>
    <row r="5914">
      <c r="A5914" s="121">
        <v>59182.0</v>
      </c>
    </row>
    <row r="5915">
      <c r="A5915" s="121">
        <v>59183.0</v>
      </c>
      <c r="B5915" s="122">
        <v>45760.0</v>
      </c>
    </row>
    <row r="5916">
      <c r="A5916" s="121">
        <v>59184.0</v>
      </c>
    </row>
    <row r="5917">
      <c r="A5917" s="121">
        <v>59185.0</v>
      </c>
    </row>
    <row r="5918">
      <c r="A5918" s="121">
        <v>59186.0</v>
      </c>
    </row>
    <row r="5919">
      <c r="A5919" s="121">
        <v>59187.0</v>
      </c>
    </row>
    <row r="5920">
      <c r="A5920" s="121">
        <v>59188.0</v>
      </c>
    </row>
    <row r="5921">
      <c r="A5921" s="121">
        <v>59189.0</v>
      </c>
    </row>
    <row r="5922">
      <c r="A5922" s="121">
        <v>59190.0</v>
      </c>
    </row>
    <row r="5923">
      <c r="A5923" s="121">
        <v>59191.0</v>
      </c>
    </row>
    <row r="5924">
      <c r="A5924" s="121">
        <v>59192.0</v>
      </c>
    </row>
    <row r="5925">
      <c r="A5925" s="121">
        <v>59193.0</v>
      </c>
    </row>
    <row r="5926">
      <c r="A5926" s="121">
        <v>59194.0</v>
      </c>
    </row>
    <row r="5927">
      <c r="A5927" s="121">
        <v>59195.0</v>
      </c>
    </row>
    <row r="5928">
      <c r="A5928" s="121">
        <v>59196.0</v>
      </c>
    </row>
    <row r="5929">
      <c r="A5929" s="121">
        <v>59197.0</v>
      </c>
    </row>
    <row r="5930">
      <c r="A5930" s="121">
        <v>59198.0</v>
      </c>
    </row>
    <row r="5931">
      <c r="A5931" s="121">
        <v>59199.0</v>
      </c>
    </row>
    <row r="5932">
      <c r="A5932" s="121">
        <v>59200.0</v>
      </c>
    </row>
    <row r="5933">
      <c r="A5933" s="121">
        <v>59201.0</v>
      </c>
    </row>
    <row r="5934">
      <c r="A5934" s="121">
        <v>59202.0</v>
      </c>
    </row>
    <row r="5935">
      <c r="A5935" s="121">
        <v>59203.0</v>
      </c>
    </row>
    <row r="5936">
      <c r="A5936" s="121">
        <v>59204.0</v>
      </c>
    </row>
    <row r="5937">
      <c r="A5937" s="121">
        <v>59205.0</v>
      </c>
    </row>
    <row r="5938">
      <c r="A5938" s="121">
        <v>59206.0</v>
      </c>
    </row>
    <row r="5939">
      <c r="A5939" s="121">
        <v>59207.0</v>
      </c>
    </row>
    <row r="5940">
      <c r="A5940" s="121">
        <v>59208.0</v>
      </c>
    </row>
    <row r="5941">
      <c r="A5941" s="121">
        <v>59209.0</v>
      </c>
    </row>
    <row r="5942">
      <c r="A5942" s="121">
        <v>59210.0</v>
      </c>
    </row>
    <row r="5943">
      <c r="A5943" s="121">
        <v>59211.0</v>
      </c>
    </row>
    <row r="5944">
      <c r="A5944" s="121">
        <v>59212.0</v>
      </c>
    </row>
    <row r="5945">
      <c r="A5945" s="121">
        <v>59213.0</v>
      </c>
    </row>
    <row r="5946">
      <c r="A5946" s="121">
        <v>59214.0</v>
      </c>
    </row>
    <row r="5947">
      <c r="A5947" s="121">
        <v>59215.0</v>
      </c>
    </row>
    <row r="5948">
      <c r="A5948" s="121">
        <v>59216.0</v>
      </c>
    </row>
    <row r="5949">
      <c r="A5949" s="121">
        <v>59217.0</v>
      </c>
    </row>
    <row r="5950">
      <c r="A5950" s="121">
        <v>59218.0</v>
      </c>
    </row>
    <row r="5951">
      <c r="A5951" s="121">
        <v>59219.0</v>
      </c>
    </row>
    <row r="5952">
      <c r="A5952" s="121">
        <v>59220.0</v>
      </c>
    </row>
    <row r="5953">
      <c r="A5953" s="121">
        <v>59221.0</v>
      </c>
    </row>
    <row r="5954">
      <c r="A5954" s="121">
        <v>59222.0</v>
      </c>
    </row>
    <row r="5955">
      <c r="A5955" s="121">
        <v>59223.0</v>
      </c>
    </row>
    <row r="5956">
      <c r="A5956" s="121">
        <v>59231.0</v>
      </c>
    </row>
    <row r="5957">
      <c r="A5957" s="121">
        <v>59232.0</v>
      </c>
    </row>
    <row r="5958">
      <c r="A5958" s="121">
        <v>59233.0</v>
      </c>
    </row>
    <row r="5959">
      <c r="A5959" s="121">
        <v>59234.0</v>
      </c>
    </row>
    <row r="5960">
      <c r="A5960" s="121">
        <v>59235.0</v>
      </c>
    </row>
    <row r="5961">
      <c r="A5961" s="121">
        <v>59236.0</v>
      </c>
    </row>
    <row r="5962">
      <c r="A5962" s="121">
        <v>59237.0</v>
      </c>
    </row>
    <row r="5963">
      <c r="A5963" s="121">
        <v>59238.0</v>
      </c>
    </row>
    <row r="5964">
      <c r="A5964" s="121">
        <v>59239.0</v>
      </c>
    </row>
    <row r="5965">
      <c r="A5965" s="121">
        <v>59240.0</v>
      </c>
    </row>
    <row r="5966">
      <c r="A5966" s="121">
        <v>59241.0</v>
      </c>
    </row>
    <row r="5967">
      <c r="A5967" s="121">
        <v>59242.0</v>
      </c>
    </row>
    <row r="5968">
      <c r="A5968" s="121">
        <v>59243.0</v>
      </c>
    </row>
    <row r="5969">
      <c r="A5969" s="121">
        <v>59244.0</v>
      </c>
    </row>
    <row r="5970">
      <c r="A5970" s="121">
        <v>59245.0</v>
      </c>
    </row>
    <row r="5971">
      <c r="A5971" s="121">
        <v>59246.0</v>
      </c>
    </row>
    <row r="5972">
      <c r="A5972" s="121">
        <v>59247.0</v>
      </c>
    </row>
    <row r="5973">
      <c r="A5973" s="121">
        <v>59248.0</v>
      </c>
    </row>
    <row r="5974">
      <c r="A5974" s="121">
        <v>59249.0</v>
      </c>
    </row>
    <row r="5975">
      <c r="A5975" s="121">
        <v>59250.0</v>
      </c>
    </row>
    <row r="5976">
      <c r="A5976" s="121">
        <v>59251.0</v>
      </c>
      <c r="B5976" s="122">
        <v>45733.0</v>
      </c>
    </row>
    <row r="5977">
      <c r="A5977" s="121">
        <v>59252.0</v>
      </c>
    </row>
    <row r="5978">
      <c r="A5978" s="121">
        <v>59253.0</v>
      </c>
    </row>
    <row r="5979">
      <c r="A5979" s="121">
        <v>59254.0</v>
      </c>
    </row>
    <row r="5980">
      <c r="A5980" s="121">
        <v>59255.0</v>
      </c>
    </row>
    <row r="5981">
      <c r="A5981" s="121">
        <v>59256.0</v>
      </c>
    </row>
    <row r="5982">
      <c r="A5982" s="121">
        <v>59257.0</v>
      </c>
    </row>
    <row r="5983">
      <c r="A5983" s="121">
        <v>59258.0</v>
      </c>
    </row>
    <row r="5984">
      <c r="A5984" s="121">
        <v>59259.0</v>
      </c>
    </row>
    <row r="5985">
      <c r="A5985" s="121">
        <v>59260.0</v>
      </c>
      <c r="B5985" s="122">
        <v>45933.0</v>
      </c>
    </row>
    <row r="5986">
      <c r="A5986" s="121">
        <v>59261.0</v>
      </c>
    </row>
    <row r="5987">
      <c r="A5987" s="121">
        <v>59262.0</v>
      </c>
      <c r="B5987" s="122">
        <v>45840.0</v>
      </c>
    </row>
    <row r="5988">
      <c r="A5988" s="121">
        <v>59263.0</v>
      </c>
    </row>
    <row r="5989">
      <c r="A5989" s="121">
        <v>59264.0</v>
      </c>
    </row>
    <row r="5990">
      <c r="A5990" s="121">
        <v>59265.0</v>
      </c>
    </row>
    <row r="5991">
      <c r="A5991" s="121">
        <v>59266.0</v>
      </c>
    </row>
    <row r="5992">
      <c r="A5992" s="121">
        <v>59267.0</v>
      </c>
    </row>
    <row r="5993">
      <c r="A5993" s="121">
        <v>59268.0</v>
      </c>
    </row>
    <row r="5994">
      <c r="A5994" s="121">
        <v>59269.0</v>
      </c>
    </row>
    <row r="5995">
      <c r="A5995" s="121">
        <v>59270.0</v>
      </c>
    </row>
    <row r="5996">
      <c r="A5996" s="121">
        <v>59271.0</v>
      </c>
    </row>
    <row r="5997">
      <c r="A5997" s="121">
        <v>59272.0</v>
      </c>
    </row>
    <row r="5998">
      <c r="A5998" s="121">
        <v>59273.0</v>
      </c>
    </row>
    <row r="5999">
      <c r="A5999" s="121">
        <v>59296.0</v>
      </c>
    </row>
    <row r="6000">
      <c r="A6000" s="121">
        <v>59297.0</v>
      </c>
    </row>
    <row r="6001">
      <c r="A6001" s="121">
        <v>59298.0</v>
      </c>
    </row>
    <row r="6002">
      <c r="A6002" s="121">
        <v>59299.0</v>
      </c>
    </row>
    <row r="6003">
      <c r="A6003" s="121">
        <v>59300.0</v>
      </c>
    </row>
    <row r="6004">
      <c r="A6004" s="121">
        <v>59301.0</v>
      </c>
    </row>
    <row r="6005">
      <c r="A6005" s="121">
        <v>59302.0</v>
      </c>
    </row>
    <row r="6006">
      <c r="A6006" s="121">
        <v>59303.0</v>
      </c>
    </row>
    <row r="6007">
      <c r="A6007" s="121">
        <v>59304.0</v>
      </c>
    </row>
    <row r="6008">
      <c r="A6008" s="121">
        <v>59305.0</v>
      </c>
    </row>
    <row r="6009">
      <c r="A6009" s="121">
        <v>59306.0</v>
      </c>
    </row>
    <row r="6010">
      <c r="A6010" s="121">
        <v>59307.0</v>
      </c>
    </row>
    <row r="6011">
      <c r="A6011" s="121">
        <v>59308.0</v>
      </c>
    </row>
    <row r="6012">
      <c r="A6012" s="121">
        <v>59309.0</v>
      </c>
    </row>
    <row r="6013">
      <c r="A6013" s="121">
        <v>59310.0</v>
      </c>
    </row>
    <row r="6014">
      <c r="A6014" s="121">
        <v>59311.0</v>
      </c>
      <c r="B6014" s="122">
        <v>45456.0</v>
      </c>
    </row>
    <row r="6015">
      <c r="A6015" s="121">
        <v>59312.0</v>
      </c>
    </row>
    <row r="6016">
      <c r="A6016" s="121">
        <v>59313.0</v>
      </c>
    </row>
    <row r="6017">
      <c r="A6017" s="121">
        <v>59314.0</v>
      </c>
    </row>
    <row r="6018">
      <c r="A6018" s="121">
        <v>59315.0</v>
      </c>
    </row>
    <row r="6019">
      <c r="A6019" s="121">
        <v>59316.0</v>
      </c>
    </row>
    <row r="6020">
      <c r="A6020" s="121">
        <v>59317.0</v>
      </c>
    </row>
    <row r="6021">
      <c r="A6021" s="121">
        <v>59318.0</v>
      </c>
    </row>
    <row r="6022">
      <c r="A6022" s="121">
        <v>59320.0</v>
      </c>
    </row>
    <row r="6023">
      <c r="A6023" s="121">
        <v>59321.0</v>
      </c>
    </row>
    <row r="6024">
      <c r="A6024" s="121">
        <v>59322.0</v>
      </c>
    </row>
    <row r="6025">
      <c r="A6025" s="121">
        <v>59323.0</v>
      </c>
    </row>
    <row r="6026">
      <c r="A6026" s="121">
        <v>59324.0</v>
      </c>
    </row>
    <row r="6027">
      <c r="A6027" s="121">
        <v>59325.0</v>
      </c>
    </row>
    <row r="6028">
      <c r="A6028" s="121">
        <v>59326.0</v>
      </c>
    </row>
    <row r="6029">
      <c r="A6029" s="121">
        <v>59327.0</v>
      </c>
    </row>
    <row r="6030">
      <c r="A6030" s="121">
        <v>59328.0</v>
      </c>
    </row>
    <row r="6031">
      <c r="A6031" s="121">
        <v>59329.0</v>
      </c>
    </row>
    <row r="6032">
      <c r="A6032" s="121">
        <v>59330.0</v>
      </c>
    </row>
    <row r="6033">
      <c r="A6033" s="121">
        <v>59331.0</v>
      </c>
    </row>
    <row r="6034">
      <c r="A6034" s="121">
        <v>59332.0</v>
      </c>
    </row>
    <row r="6035">
      <c r="A6035" s="121">
        <v>59333.0</v>
      </c>
    </row>
    <row r="6036">
      <c r="A6036" s="121">
        <v>59334.0</v>
      </c>
    </row>
    <row r="6037">
      <c r="A6037" s="121">
        <v>59335.0</v>
      </c>
    </row>
    <row r="6038">
      <c r="A6038" s="121">
        <v>59336.0</v>
      </c>
    </row>
    <row r="6039">
      <c r="A6039" s="121">
        <v>59337.0</v>
      </c>
    </row>
    <row r="6040">
      <c r="A6040" s="121">
        <v>59338.0</v>
      </c>
    </row>
    <row r="6041">
      <c r="A6041" s="121">
        <v>59339.0</v>
      </c>
    </row>
    <row r="6042">
      <c r="A6042" s="121">
        <v>59340.0</v>
      </c>
    </row>
    <row r="6043">
      <c r="A6043" s="121">
        <v>59341.0</v>
      </c>
    </row>
    <row r="6044">
      <c r="A6044" s="121">
        <v>59342.0</v>
      </c>
    </row>
    <row r="6045">
      <c r="A6045" s="121">
        <v>59348.0</v>
      </c>
    </row>
    <row r="6046">
      <c r="A6046" s="121">
        <v>59349.0</v>
      </c>
    </row>
    <row r="6047">
      <c r="A6047" s="121">
        <v>59350.0</v>
      </c>
    </row>
    <row r="6048">
      <c r="A6048" s="121">
        <v>59351.0</v>
      </c>
    </row>
    <row r="6049">
      <c r="A6049" s="121">
        <v>59352.0</v>
      </c>
    </row>
    <row r="6050">
      <c r="A6050" s="121">
        <v>59353.0</v>
      </c>
    </row>
    <row r="6051">
      <c r="A6051" s="121">
        <v>59354.0</v>
      </c>
    </row>
    <row r="6052">
      <c r="A6052" s="121">
        <v>59355.0</v>
      </c>
    </row>
    <row r="6053">
      <c r="A6053" s="121">
        <v>59356.0</v>
      </c>
    </row>
    <row r="6054">
      <c r="A6054" s="121">
        <v>59357.0</v>
      </c>
    </row>
    <row r="6055">
      <c r="A6055" s="121">
        <v>59358.0</v>
      </c>
    </row>
    <row r="6056">
      <c r="A6056" s="121">
        <v>59359.0</v>
      </c>
    </row>
    <row r="6057">
      <c r="A6057" s="121">
        <v>59360.0</v>
      </c>
    </row>
    <row r="6058">
      <c r="A6058" s="121">
        <v>59361.0</v>
      </c>
    </row>
    <row r="6059">
      <c r="A6059" s="121">
        <v>59362.0</v>
      </c>
    </row>
    <row r="6060">
      <c r="A6060" s="121">
        <v>59363.0</v>
      </c>
    </row>
    <row r="6061">
      <c r="A6061" s="121">
        <v>59364.0</v>
      </c>
    </row>
    <row r="6062">
      <c r="A6062" s="121">
        <v>59365.0</v>
      </c>
    </row>
    <row r="6063">
      <c r="A6063" s="121">
        <v>59366.0</v>
      </c>
    </row>
    <row r="6064">
      <c r="A6064" s="121">
        <v>59367.0</v>
      </c>
    </row>
    <row r="6065">
      <c r="A6065" s="121">
        <v>59368.0</v>
      </c>
    </row>
    <row r="6066">
      <c r="A6066" s="121">
        <v>59369.0</v>
      </c>
    </row>
    <row r="6067">
      <c r="A6067" s="121">
        <v>59370.0</v>
      </c>
    </row>
    <row r="6068">
      <c r="A6068" s="121">
        <v>59374.0</v>
      </c>
    </row>
    <row r="6069">
      <c r="A6069" s="121">
        <v>59375.0</v>
      </c>
    </row>
    <row r="6070">
      <c r="A6070" s="121">
        <v>59376.0</v>
      </c>
    </row>
    <row r="6071">
      <c r="A6071" s="121">
        <v>59377.0</v>
      </c>
    </row>
    <row r="6072">
      <c r="A6072" s="121">
        <v>59378.0</v>
      </c>
    </row>
    <row r="6073">
      <c r="A6073" s="121">
        <v>59379.0</v>
      </c>
    </row>
    <row r="6074">
      <c r="A6074" s="121">
        <v>59380.0</v>
      </c>
    </row>
    <row r="6075">
      <c r="A6075" s="121">
        <v>59381.0</v>
      </c>
    </row>
    <row r="6076">
      <c r="A6076" s="121">
        <v>59382.0</v>
      </c>
    </row>
    <row r="6077">
      <c r="A6077" s="121">
        <v>59383.0</v>
      </c>
      <c r="B6077" s="122">
        <v>45800.0</v>
      </c>
    </row>
    <row r="6078">
      <c r="A6078" s="121">
        <v>59384.0</v>
      </c>
    </row>
    <row r="6079">
      <c r="A6079" s="121">
        <v>59385.0</v>
      </c>
    </row>
    <row r="6080">
      <c r="A6080" s="121">
        <v>59386.0</v>
      </c>
    </row>
    <row r="6081">
      <c r="A6081" s="121">
        <v>59387.0</v>
      </c>
    </row>
    <row r="6082">
      <c r="A6082" s="121">
        <v>59388.0</v>
      </c>
    </row>
    <row r="6083">
      <c r="A6083" s="121">
        <v>59389.0</v>
      </c>
    </row>
    <row r="6084">
      <c r="A6084" s="121">
        <v>59390.0</v>
      </c>
    </row>
    <row r="6085">
      <c r="A6085" s="121">
        <v>59391.0</v>
      </c>
    </row>
    <row r="6086">
      <c r="A6086" s="121">
        <v>59392.0</v>
      </c>
    </row>
    <row r="6087">
      <c r="A6087" s="121">
        <v>59393.0</v>
      </c>
    </row>
    <row r="6088">
      <c r="A6088" s="121">
        <v>59394.0</v>
      </c>
    </row>
    <row r="6089">
      <c r="A6089" s="121">
        <v>59397.0</v>
      </c>
    </row>
    <row r="6090">
      <c r="A6090" s="121">
        <v>59398.0</v>
      </c>
    </row>
    <row r="6091">
      <c r="A6091" s="121">
        <v>59399.0</v>
      </c>
    </row>
    <row r="6092">
      <c r="A6092" s="121">
        <v>59400.0</v>
      </c>
    </row>
    <row r="6093">
      <c r="A6093" s="121">
        <v>59401.0</v>
      </c>
    </row>
    <row r="6094">
      <c r="A6094" s="121">
        <v>59402.0</v>
      </c>
    </row>
    <row r="6095">
      <c r="A6095" s="121">
        <v>59403.0</v>
      </c>
    </row>
    <row r="6096">
      <c r="A6096" s="121">
        <v>59404.0</v>
      </c>
    </row>
    <row r="6097">
      <c r="A6097" s="121">
        <v>59405.0</v>
      </c>
    </row>
    <row r="6098">
      <c r="A6098" s="121">
        <v>59406.0</v>
      </c>
    </row>
    <row r="6099">
      <c r="A6099" s="121">
        <v>59407.0</v>
      </c>
    </row>
    <row r="6100">
      <c r="A6100" s="121">
        <v>59408.0</v>
      </c>
      <c r="B6100" s="122">
        <v>45710.0</v>
      </c>
    </row>
    <row r="6101">
      <c r="A6101" s="121">
        <v>59409.0</v>
      </c>
    </row>
    <row r="6102">
      <c r="A6102" s="121">
        <v>59410.0</v>
      </c>
    </row>
    <row r="6103">
      <c r="A6103" s="121">
        <v>59411.0</v>
      </c>
    </row>
    <row r="6104">
      <c r="A6104" s="121">
        <v>59412.0</v>
      </c>
    </row>
    <row r="6105">
      <c r="A6105" s="121">
        <v>59413.0</v>
      </c>
    </row>
    <row r="6106">
      <c r="A6106" s="121">
        <v>59414.0</v>
      </c>
    </row>
    <row r="6107">
      <c r="A6107" s="121">
        <v>59415.0</v>
      </c>
    </row>
    <row r="6108">
      <c r="A6108" s="121">
        <v>59416.0</v>
      </c>
    </row>
    <row r="6109">
      <c r="A6109" s="121">
        <v>59417.0</v>
      </c>
    </row>
    <row r="6110">
      <c r="A6110" s="121">
        <v>59418.0</v>
      </c>
    </row>
    <row r="6111">
      <c r="A6111" s="121">
        <v>59419.0</v>
      </c>
    </row>
    <row r="6112">
      <c r="A6112" s="121">
        <v>59420.0</v>
      </c>
    </row>
    <row r="6113">
      <c r="A6113" s="121">
        <v>59421.0</v>
      </c>
    </row>
    <row r="6114">
      <c r="A6114" s="121">
        <v>59422.0</v>
      </c>
    </row>
    <row r="6115">
      <c r="A6115" s="121">
        <v>59423.0</v>
      </c>
    </row>
    <row r="6116">
      <c r="A6116" s="121">
        <v>59424.0</v>
      </c>
    </row>
    <row r="6117">
      <c r="A6117" s="121">
        <v>59425.0</v>
      </c>
    </row>
    <row r="6118">
      <c r="A6118" s="121">
        <v>59426.0</v>
      </c>
    </row>
    <row r="6119">
      <c r="A6119" s="121">
        <v>59427.0</v>
      </c>
    </row>
    <row r="6120">
      <c r="A6120" s="121">
        <v>59428.0</v>
      </c>
      <c r="B6120" s="122">
        <v>45560.0</v>
      </c>
    </row>
    <row r="6121">
      <c r="A6121" s="121">
        <v>59429.0</v>
      </c>
    </row>
    <row r="6122">
      <c r="A6122" s="121">
        <v>59430.0</v>
      </c>
    </row>
    <row r="6123">
      <c r="A6123" s="121">
        <v>59431.0</v>
      </c>
    </row>
    <row r="6124">
      <c r="A6124" s="121">
        <v>59432.0</v>
      </c>
    </row>
    <row r="6125">
      <c r="A6125" s="121">
        <v>59433.0</v>
      </c>
    </row>
    <row r="6126">
      <c r="A6126" s="121">
        <v>59434.0</v>
      </c>
    </row>
    <row r="6127">
      <c r="A6127" s="121">
        <v>59435.0</v>
      </c>
    </row>
    <row r="6128">
      <c r="A6128" s="121">
        <v>59436.0</v>
      </c>
    </row>
    <row r="6129">
      <c r="A6129" s="121">
        <v>59437.0</v>
      </c>
    </row>
    <row r="6130">
      <c r="A6130" s="121">
        <v>59438.0</v>
      </c>
    </row>
    <row r="6131">
      <c r="A6131" s="121">
        <v>59439.0</v>
      </c>
    </row>
    <row r="6132">
      <c r="A6132" s="121">
        <v>59440.0</v>
      </c>
      <c r="B6132" s="122">
        <v>45576.0</v>
      </c>
    </row>
    <row r="6133">
      <c r="A6133" s="121">
        <v>59441.0</v>
      </c>
    </row>
    <row r="6134">
      <c r="A6134" s="121">
        <v>59455.0</v>
      </c>
      <c r="B6134" s="122">
        <v>45779.0</v>
      </c>
    </row>
    <row r="6135">
      <c r="A6135" s="121">
        <v>59456.0</v>
      </c>
    </row>
    <row r="6136">
      <c r="A6136" s="121">
        <v>59457.0</v>
      </c>
    </row>
    <row r="6137">
      <c r="A6137" s="121">
        <v>59458.0</v>
      </c>
    </row>
    <row r="6138">
      <c r="A6138" s="121">
        <v>59459.0</v>
      </c>
    </row>
    <row r="6139">
      <c r="A6139" s="121">
        <v>59460.0</v>
      </c>
    </row>
    <row r="6140">
      <c r="A6140" s="121">
        <v>59461.0</v>
      </c>
      <c r="B6140" s="122">
        <v>45514.0</v>
      </c>
    </row>
    <row r="6141">
      <c r="A6141" s="121">
        <v>59462.0</v>
      </c>
    </row>
    <row r="6142">
      <c r="A6142" s="121">
        <v>59463.0</v>
      </c>
    </row>
    <row r="6143">
      <c r="A6143" s="121">
        <v>59464.0</v>
      </c>
    </row>
    <row r="6144">
      <c r="A6144" s="121">
        <v>59465.0</v>
      </c>
    </row>
    <row r="6145">
      <c r="A6145" s="121">
        <v>59466.0</v>
      </c>
    </row>
    <row r="6146">
      <c r="A6146" s="121">
        <v>59467.0</v>
      </c>
    </row>
    <row r="6147">
      <c r="A6147" s="121">
        <v>59468.0</v>
      </c>
    </row>
    <row r="6148">
      <c r="A6148" s="121">
        <v>59469.0</v>
      </c>
    </row>
    <row r="6149">
      <c r="A6149" s="121">
        <v>59470.0</v>
      </c>
    </row>
    <row r="6150">
      <c r="A6150" s="121">
        <v>59471.0</v>
      </c>
    </row>
    <row r="6151">
      <c r="A6151" s="121">
        <v>59472.0</v>
      </c>
      <c r="B6151" s="122">
        <v>45599.0</v>
      </c>
    </row>
    <row r="6152">
      <c r="A6152" s="121">
        <v>59473.0</v>
      </c>
    </row>
    <row r="6153">
      <c r="A6153" s="121">
        <v>59474.0</v>
      </c>
    </row>
    <row r="6154">
      <c r="A6154" s="121">
        <v>59475.0</v>
      </c>
    </row>
    <row r="6155">
      <c r="A6155" s="121">
        <v>59476.0</v>
      </c>
    </row>
    <row r="6156">
      <c r="A6156" s="121">
        <v>59477.0</v>
      </c>
    </row>
    <row r="6157">
      <c r="A6157" s="121">
        <v>59484.0</v>
      </c>
    </row>
    <row r="6158">
      <c r="A6158" s="121">
        <v>59485.0</v>
      </c>
      <c r="B6158" s="122">
        <v>45714.0</v>
      </c>
    </row>
    <row r="6159">
      <c r="A6159" s="121">
        <v>59486.0</v>
      </c>
    </row>
    <row r="6160">
      <c r="A6160" s="121">
        <v>59487.0</v>
      </c>
    </row>
    <row r="6161">
      <c r="A6161" s="121">
        <v>59488.0</v>
      </c>
    </row>
    <row r="6162">
      <c r="A6162" s="121">
        <v>59489.0</v>
      </c>
    </row>
    <row r="6163">
      <c r="A6163" s="121">
        <v>59490.0</v>
      </c>
    </row>
    <row r="6164">
      <c r="A6164" s="121">
        <v>59491.0</v>
      </c>
    </row>
    <row r="6165">
      <c r="A6165" s="121">
        <v>59492.0</v>
      </c>
    </row>
    <row r="6166">
      <c r="A6166" s="121">
        <v>59493.0</v>
      </c>
    </row>
    <row r="6167">
      <c r="A6167" s="121">
        <v>59494.0</v>
      </c>
    </row>
    <row r="6168">
      <c r="A6168" s="121">
        <v>59495.0</v>
      </c>
    </row>
    <row r="6169">
      <c r="A6169" s="121">
        <v>59496.0</v>
      </c>
    </row>
    <row r="6170">
      <c r="A6170" s="121">
        <v>59497.0</v>
      </c>
    </row>
    <row r="6171">
      <c r="A6171" s="121">
        <v>59498.0</v>
      </c>
    </row>
    <row r="6172">
      <c r="A6172" s="121">
        <v>59499.0</v>
      </c>
    </row>
    <row r="6173">
      <c r="A6173" s="121">
        <v>59500.0</v>
      </c>
    </row>
    <row r="6174">
      <c r="A6174" s="121">
        <v>59501.0</v>
      </c>
    </row>
    <row r="6175">
      <c r="A6175" s="121">
        <v>59502.0</v>
      </c>
    </row>
    <row r="6176">
      <c r="A6176" s="121">
        <v>59503.0</v>
      </c>
    </row>
    <row r="6177">
      <c r="A6177" s="121">
        <v>59504.0</v>
      </c>
    </row>
    <row r="6178">
      <c r="A6178" s="121">
        <v>59505.0</v>
      </c>
    </row>
    <row r="6179">
      <c r="A6179" s="121">
        <v>59506.0</v>
      </c>
    </row>
    <row r="6180">
      <c r="A6180" s="121">
        <v>59511.0</v>
      </c>
    </row>
    <row r="6181">
      <c r="A6181" s="121">
        <v>59512.0</v>
      </c>
    </row>
    <row r="6182">
      <c r="A6182" s="121">
        <v>59513.0</v>
      </c>
    </row>
    <row r="6183">
      <c r="A6183" s="121">
        <v>59514.0</v>
      </c>
      <c r="B6183" s="122">
        <v>45711.0</v>
      </c>
    </row>
    <row r="6184">
      <c r="A6184" s="121">
        <v>59515.0</v>
      </c>
    </row>
    <row r="6185">
      <c r="A6185" s="121">
        <v>59516.0</v>
      </c>
    </row>
    <row r="6186">
      <c r="A6186" s="121">
        <v>59517.0</v>
      </c>
    </row>
    <row r="6187">
      <c r="A6187" s="121">
        <v>59518.0</v>
      </c>
      <c r="B6187" s="122">
        <v>45517.0</v>
      </c>
    </row>
    <row r="6188">
      <c r="A6188" s="121">
        <v>59519.0</v>
      </c>
    </row>
    <row r="6189">
      <c r="A6189" s="121">
        <v>59520.0</v>
      </c>
    </row>
    <row r="6190">
      <c r="A6190" s="121">
        <v>59521.0</v>
      </c>
    </row>
    <row r="6191">
      <c r="A6191" s="121">
        <v>59522.0</v>
      </c>
    </row>
    <row r="6192">
      <c r="A6192" s="121">
        <v>59523.0</v>
      </c>
    </row>
    <row r="6193">
      <c r="A6193" s="121">
        <v>59524.0</v>
      </c>
      <c r="B6193" s="122">
        <v>45915.0</v>
      </c>
    </row>
    <row r="6194">
      <c r="A6194" s="121">
        <v>59525.0</v>
      </c>
    </row>
    <row r="6195">
      <c r="A6195" s="121">
        <v>59526.0</v>
      </c>
    </row>
    <row r="6196">
      <c r="A6196" s="121">
        <v>59527.0</v>
      </c>
    </row>
    <row r="6197">
      <c r="A6197" s="121">
        <v>59528.0</v>
      </c>
      <c r="B6197" s="122">
        <v>45994.0</v>
      </c>
    </row>
    <row r="6198">
      <c r="A6198" s="121">
        <v>59529.0</v>
      </c>
    </row>
    <row r="6199">
      <c r="A6199" s="121">
        <v>59530.0</v>
      </c>
    </row>
    <row r="6200">
      <c r="A6200" s="121">
        <v>59531.0</v>
      </c>
    </row>
    <row r="6201">
      <c r="A6201" s="121">
        <v>59532.0</v>
      </c>
      <c r="B6201" s="122">
        <v>45891.0</v>
      </c>
    </row>
    <row r="6202">
      <c r="A6202" s="121">
        <v>59533.0</v>
      </c>
    </row>
    <row r="6203">
      <c r="A6203" s="121">
        <v>59534.0</v>
      </c>
    </row>
    <row r="6204">
      <c r="A6204" s="121">
        <v>59535.0</v>
      </c>
    </row>
    <row r="6205">
      <c r="A6205" s="121">
        <v>59536.0</v>
      </c>
    </row>
    <row r="6206">
      <c r="A6206" s="121">
        <v>59537.0</v>
      </c>
    </row>
    <row r="6207">
      <c r="A6207" s="121">
        <v>59538.0</v>
      </c>
    </row>
    <row r="6208">
      <c r="A6208" s="121">
        <v>59539.0</v>
      </c>
    </row>
    <row r="6209">
      <c r="A6209" s="121">
        <v>59540.0</v>
      </c>
    </row>
    <row r="6210">
      <c r="A6210" s="121">
        <v>59541.0</v>
      </c>
    </row>
    <row r="6211">
      <c r="A6211" s="121">
        <v>59542.0</v>
      </c>
    </row>
    <row r="6212">
      <c r="A6212" s="121">
        <v>59543.0</v>
      </c>
    </row>
    <row r="6213">
      <c r="A6213" s="121">
        <v>59544.0</v>
      </c>
    </row>
    <row r="6214">
      <c r="A6214" s="121">
        <v>59545.0</v>
      </c>
    </row>
    <row r="6215">
      <c r="A6215" s="121">
        <v>59546.0</v>
      </c>
    </row>
    <row r="6216">
      <c r="A6216" s="121">
        <v>59547.0</v>
      </c>
    </row>
    <row r="6217">
      <c r="A6217" s="121">
        <v>59548.0</v>
      </c>
    </row>
    <row r="6218">
      <c r="A6218" s="121">
        <v>59549.0</v>
      </c>
    </row>
    <row r="6219">
      <c r="A6219" s="121">
        <v>59550.0</v>
      </c>
    </row>
    <row r="6220">
      <c r="A6220" s="121">
        <v>59551.0</v>
      </c>
    </row>
    <row r="6221">
      <c r="A6221" s="121">
        <v>59552.0</v>
      </c>
    </row>
    <row r="6222">
      <c r="A6222" s="121">
        <v>59553.0</v>
      </c>
    </row>
    <row r="6223">
      <c r="A6223" s="121">
        <v>59554.0</v>
      </c>
    </row>
    <row r="6224">
      <c r="A6224" s="121">
        <v>59555.0</v>
      </c>
    </row>
    <row r="6225">
      <c r="A6225" s="121">
        <v>59556.0</v>
      </c>
    </row>
    <row r="6226">
      <c r="A6226" s="121">
        <v>59564.0</v>
      </c>
    </row>
    <row r="6227">
      <c r="A6227" s="121">
        <v>59565.0</v>
      </c>
    </row>
    <row r="6228">
      <c r="A6228" s="121">
        <v>59566.0</v>
      </c>
    </row>
    <row r="6229">
      <c r="A6229" s="121">
        <v>59567.0</v>
      </c>
    </row>
    <row r="6230">
      <c r="A6230" s="121">
        <v>59568.0</v>
      </c>
    </row>
    <row r="6231">
      <c r="A6231" s="121">
        <v>59569.0</v>
      </c>
    </row>
    <row r="6232">
      <c r="A6232" s="121">
        <v>59570.0</v>
      </c>
    </row>
    <row r="6233">
      <c r="A6233" s="121">
        <v>59571.0</v>
      </c>
    </row>
    <row r="6234">
      <c r="A6234" s="121">
        <v>59572.0</v>
      </c>
    </row>
    <row r="6235">
      <c r="A6235" s="121">
        <v>59573.0</v>
      </c>
    </row>
    <row r="6236">
      <c r="A6236" s="121">
        <v>59574.0</v>
      </c>
    </row>
    <row r="6237">
      <c r="A6237" s="121">
        <v>59575.0</v>
      </c>
    </row>
    <row r="6238">
      <c r="A6238" s="121">
        <v>59576.0</v>
      </c>
    </row>
    <row r="6239">
      <c r="A6239" s="121">
        <v>59577.0</v>
      </c>
    </row>
    <row r="6240">
      <c r="A6240" s="121">
        <v>59578.0</v>
      </c>
    </row>
    <row r="6241">
      <c r="A6241" s="121">
        <v>59579.0</v>
      </c>
    </row>
    <row r="6242">
      <c r="A6242" s="121">
        <v>59580.0</v>
      </c>
    </row>
    <row r="6243">
      <c r="A6243" s="121">
        <v>59581.0</v>
      </c>
    </row>
    <row r="6244">
      <c r="A6244" s="121">
        <v>59582.0</v>
      </c>
    </row>
    <row r="6245">
      <c r="A6245" s="121">
        <v>59583.0</v>
      </c>
    </row>
    <row r="6246">
      <c r="A6246" s="121">
        <v>59584.0</v>
      </c>
    </row>
    <row r="6247">
      <c r="A6247" s="121">
        <v>59585.0</v>
      </c>
    </row>
    <row r="6248">
      <c r="A6248" s="121">
        <v>59586.0</v>
      </c>
    </row>
    <row r="6249">
      <c r="A6249" s="121">
        <v>59601.0</v>
      </c>
    </row>
    <row r="6250">
      <c r="A6250" s="121">
        <v>59602.0</v>
      </c>
    </row>
    <row r="6251">
      <c r="A6251" s="121">
        <v>59603.0</v>
      </c>
    </row>
    <row r="6252">
      <c r="A6252" s="121">
        <v>59604.0</v>
      </c>
    </row>
    <row r="6253">
      <c r="A6253" s="121">
        <v>59605.0</v>
      </c>
    </row>
    <row r="6254">
      <c r="A6254" s="121">
        <v>59606.0</v>
      </c>
    </row>
    <row r="6255">
      <c r="A6255" s="121">
        <v>59607.0</v>
      </c>
    </row>
    <row r="6256">
      <c r="A6256" s="121">
        <v>59608.0</v>
      </c>
    </row>
    <row r="6257">
      <c r="A6257" s="121">
        <v>59609.0</v>
      </c>
    </row>
    <row r="6258">
      <c r="A6258" s="121">
        <v>59610.0</v>
      </c>
    </row>
    <row r="6259">
      <c r="A6259" s="121">
        <v>59611.0</v>
      </c>
    </row>
    <row r="6260">
      <c r="A6260" s="121">
        <v>59612.0</v>
      </c>
    </row>
    <row r="6261">
      <c r="A6261" s="121">
        <v>59613.0</v>
      </c>
    </row>
    <row r="6262">
      <c r="A6262" s="121">
        <v>59614.0</v>
      </c>
    </row>
    <row r="6263">
      <c r="A6263" s="121">
        <v>59615.0</v>
      </c>
    </row>
    <row r="6264">
      <c r="A6264" s="121">
        <v>59616.0</v>
      </c>
    </row>
    <row r="6265">
      <c r="A6265" s="121">
        <v>59617.0</v>
      </c>
    </row>
    <row r="6266">
      <c r="A6266" s="121">
        <v>59618.0</v>
      </c>
    </row>
    <row r="6267">
      <c r="A6267" s="121">
        <v>59619.0</v>
      </c>
    </row>
    <row r="6268">
      <c r="A6268" s="121">
        <v>59620.0</v>
      </c>
      <c r="B6268" s="122">
        <v>46015.0</v>
      </c>
    </row>
    <row r="6269">
      <c r="A6269" s="121">
        <v>59621.0</v>
      </c>
    </row>
    <row r="6270">
      <c r="A6270" s="121">
        <v>59622.0</v>
      </c>
    </row>
    <row r="6271">
      <c r="A6271" s="121">
        <v>59623.0</v>
      </c>
    </row>
    <row r="6272">
      <c r="A6272" s="121">
        <v>59631.0</v>
      </c>
    </row>
    <row r="6273">
      <c r="A6273" s="121">
        <v>59632.0</v>
      </c>
    </row>
    <row r="6274">
      <c r="A6274" s="121">
        <v>59633.0</v>
      </c>
    </row>
    <row r="6275">
      <c r="A6275" s="121">
        <v>59634.0</v>
      </c>
    </row>
    <row r="6276">
      <c r="A6276" s="121">
        <v>59635.0</v>
      </c>
    </row>
    <row r="6277">
      <c r="A6277" s="121">
        <v>59636.0</v>
      </c>
    </row>
    <row r="6278">
      <c r="A6278" s="121">
        <v>59637.0</v>
      </c>
    </row>
    <row r="6279">
      <c r="A6279" s="121">
        <v>59638.0</v>
      </c>
    </row>
    <row r="6280">
      <c r="A6280" s="121">
        <v>59639.0</v>
      </c>
    </row>
    <row r="6281">
      <c r="A6281" s="121">
        <v>59640.0</v>
      </c>
    </row>
    <row r="6282">
      <c r="A6282" s="121">
        <v>59641.0</v>
      </c>
    </row>
    <row r="6283">
      <c r="A6283" s="121">
        <v>59642.0</v>
      </c>
    </row>
    <row r="6284">
      <c r="A6284" s="121">
        <v>59643.0</v>
      </c>
    </row>
    <row r="6285">
      <c r="A6285" s="121">
        <v>59644.0</v>
      </c>
    </row>
    <row r="6286">
      <c r="A6286" s="121">
        <v>59645.0</v>
      </c>
    </row>
    <row r="6287">
      <c r="A6287" s="121">
        <v>59646.0</v>
      </c>
    </row>
    <row r="6288">
      <c r="A6288" s="121">
        <v>59647.0</v>
      </c>
    </row>
    <row r="6289">
      <c r="A6289" s="121">
        <v>59648.0</v>
      </c>
      <c r="B6289" s="122">
        <v>45891.0</v>
      </c>
    </row>
    <row r="6290">
      <c r="A6290" s="121">
        <v>59649.0</v>
      </c>
      <c r="B6290" s="122">
        <v>45780.0</v>
      </c>
    </row>
    <row r="6291">
      <c r="A6291" s="121">
        <v>59650.0</v>
      </c>
    </row>
    <row r="6292">
      <c r="A6292" s="121">
        <v>59651.0</v>
      </c>
    </row>
    <row r="6293">
      <c r="A6293" s="121">
        <v>59652.0</v>
      </c>
    </row>
    <row r="6294">
      <c r="A6294" s="121">
        <v>59653.0</v>
      </c>
    </row>
    <row r="6295">
      <c r="A6295" s="121">
        <v>59654.0</v>
      </c>
    </row>
    <row r="6296">
      <c r="A6296" s="121">
        <v>59655.0</v>
      </c>
    </row>
    <row r="6297">
      <c r="A6297" s="121">
        <v>59656.0</v>
      </c>
    </row>
    <row r="6298">
      <c r="A6298" s="121">
        <v>59657.0</v>
      </c>
    </row>
    <row r="6299">
      <c r="A6299" s="121">
        <v>59658.0</v>
      </c>
    </row>
    <row r="6300">
      <c r="A6300" s="121">
        <v>59659.0</v>
      </c>
    </row>
    <row r="6301">
      <c r="A6301" s="121">
        <v>59660.0</v>
      </c>
    </row>
    <row r="6302">
      <c r="A6302" s="121">
        <v>59661.0</v>
      </c>
    </row>
    <row r="6303">
      <c r="A6303" s="121">
        <v>59662.0</v>
      </c>
    </row>
    <row r="6304">
      <c r="A6304" s="121">
        <v>59663.0</v>
      </c>
    </row>
    <row r="6305">
      <c r="A6305" s="121">
        <v>59664.0</v>
      </c>
    </row>
    <row r="6306">
      <c r="A6306" s="121">
        <v>59665.0</v>
      </c>
      <c r="B6306" s="122">
        <v>45554.0</v>
      </c>
    </row>
    <row r="6307">
      <c r="A6307" s="121">
        <v>59666.0</v>
      </c>
    </row>
    <row r="6308">
      <c r="A6308" s="121">
        <v>59667.0</v>
      </c>
    </row>
    <row r="6309">
      <c r="A6309" s="121">
        <v>59668.0</v>
      </c>
    </row>
    <row r="6310">
      <c r="A6310" s="121">
        <v>59669.0</v>
      </c>
    </row>
    <row r="6311">
      <c r="A6311" s="121">
        <v>59670.0</v>
      </c>
    </row>
    <row r="6312">
      <c r="A6312" s="121">
        <v>59671.0</v>
      </c>
    </row>
    <row r="6313">
      <c r="A6313" s="121">
        <v>59672.0</v>
      </c>
    </row>
    <row r="6314">
      <c r="A6314" s="121">
        <v>59673.0</v>
      </c>
    </row>
    <row r="6315">
      <c r="A6315" s="121">
        <v>59674.0</v>
      </c>
    </row>
    <row r="6316">
      <c r="A6316" s="121">
        <v>59675.0</v>
      </c>
    </row>
    <row r="6317">
      <c r="A6317" s="121">
        <v>59676.0</v>
      </c>
    </row>
    <row r="6318">
      <c r="A6318" s="121">
        <v>59682.0</v>
      </c>
    </row>
    <row r="6319">
      <c r="A6319" s="121">
        <v>59683.0</v>
      </c>
    </row>
    <row r="6320">
      <c r="A6320" s="121">
        <v>59684.0</v>
      </c>
    </row>
    <row r="6321">
      <c r="A6321" s="121">
        <v>59685.0</v>
      </c>
    </row>
    <row r="6322">
      <c r="A6322" s="121">
        <v>59686.0</v>
      </c>
    </row>
    <row r="6323">
      <c r="A6323" s="121">
        <v>59687.0</v>
      </c>
    </row>
    <row r="6324">
      <c r="A6324" s="121">
        <v>59688.0</v>
      </c>
    </row>
    <row r="6325">
      <c r="A6325" s="121">
        <v>59689.0</v>
      </c>
    </row>
    <row r="6326">
      <c r="A6326" s="121">
        <v>59690.0</v>
      </c>
    </row>
    <row r="6327">
      <c r="A6327" s="121">
        <v>59691.0</v>
      </c>
    </row>
    <row r="6328">
      <c r="A6328" s="121">
        <v>59692.0</v>
      </c>
      <c r="B6328" s="122">
        <v>45762.0</v>
      </c>
    </row>
    <row r="6329">
      <c r="A6329" s="121">
        <v>59693.0</v>
      </c>
    </row>
    <row r="6330">
      <c r="A6330" s="121">
        <v>59694.0</v>
      </c>
    </row>
    <row r="6331">
      <c r="A6331" s="121">
        <v>59695.0</v>
      </c>
    </row>
    <row r="6332">
      <c r="A6332" s="121">
        <v>59696.0</v>
      </c>
    </row>
    <row r="6333">
      <c r="A6333" s="121">
        <v>59697.0</v>
      </c>
    </row>
    <row r="6334">
      <c r="A6334" s="121">
        <v>59698.0</v>
      </c>
    </row>
    <row r="6335">
      <c r="A6335" s="121">
        <v>59699.0</v>
      </c>
    </row>
    <row r="6336">
      <c r="A6336" s="121">
        <v>59700.0</v>
      </c>
    </row>
    <row r="6337">
      <c r="A6337" s="121">
        <v>59701.0</v>
      </c>
    </row>
    <row r="6338">
      <c r="A6338" s="121">
        <v>59702.0</v>
      </c>
    </row>
    <row r="6339">
      <c r="A6339" s="121">
        <v>59703.0</v>
      </c>
    </row>
    <row r="6340">
      <c r="A6340" s="121">
        <v>59704.0</v>
      </c>
    </row>
    <row r="6341">
      <c r="A6341" s="121">
        <v>59708.0</v>
      </c>
    </row>
    <row r="6342">
      <c r="A6342" s="121">
        <v>59709.0</v>
      </c>
    </row>
    <row r="6343">
      <c r="A6343" s="121">
        <v>59710.0</v>
      </c>
    </row>
    <row r="6344">
      <c r="A6344" s="121">
        <v>59711.0</v>
      </c>
    </row>
    <row r="6345">
      <c r="A6345" s="121">
        <v>59712.0</v>
      </c>
    </row>
    <row r="6346">
      <c r="A6346" s="121">
        <v>59713.0</v>
      </c>
    </row>
    <row r="6347">
      <c r="A6347" s="121">
        <v>59714.0</v>
      </c>
    </row>
    <row r="6348">
      <c r="A6348" s="121">
        <v>59715.0</v>
      </c>
    </row>
    <row r="6349">
      <c r="A6349" s="121">
        <v>59716.0</v>
      </c>
    </row>
    <row r="6350">
      <c r="A6350" s="121">
        <v>59717.0</v>
      </c>
    </row>
    <row r="6351">
      <c r="A6351" s="121">
        <v>59718.0</v>
      </c>
    </row>
    <row r="6352">
      <c r="A6352" s="121">
        <v>59719.0</v>
      </c>
    </row>
    <row r="6353">
      <c r="A6353" s="121">
        <v>59720.0</v>
      </c>
    </row>
    <row r="6354">
      <c r="A6354" s="121">
        <v>59721.0</v>
      </c>
    </row>
    <row r="6355">
      <c r="A6355" s="121">
        <v>59722.0</v>
      </c>
    </row>
    <row r="6356">
      <c r="A6356" s="121">
        <v>59723.0</v>
      </c>
    </row>
    <row r="6357">
      <c r="A6357" s="121">
        <v>59724.0</v>
      </c>
    </row>
    <row r="6358">
      <c r="A6358" s="121">
        <v>59725.0</v>
      </c>
    </row>
    <row r="6359">
      <c r="A6359" s="121">
        <v>59726.0</v>
      </c>
    </row>
    <row r="6360">
      <c r="A6360" s="121">
        <v>59727.0</v>
      </c>
    </row>
    <row r="6361">
      <c r="A6361" s="121">
        <v>59730.0</v>
      </c>
    </row>
    <row r="6362">
      <c r="A6362" s="121">
        <v>59731.0</v>
      </c>
    </row>
    <row r="6363">
      <c r="A6363" s="121">
        <v>59732.0</v>
      </c>
      <c r="B6363" s="122">
        <v>45997.0</v>
      </c>
    </row>
    <row r="6364">
      <c r="A6364" s="121">
        <v>59733.0</v>
      </c>
    </row>
    <row r="6365">
      <c r="A6365" s="121">
        <v>59734.0</v>
      </c>
    </row>
    <row r="6366">
      <c r="A6366" s="121">
        <v>59735.0</v>
      </c>
    </row>
    <row r="6367">
      <c r="A6367" s="121">
        <v>59736.0</v>
      </c>
    </row>
    <row r="6368">
      <c r="A6368" s="121">
        <v>59737.0</v>
      </c>
    </row>
    <row r="6369">
      <c r="A6369" s="121">
        <v>59738.0</v>
      </c>
    </row>
    <row r="6370">
      <c r="A6370" s="121">
        <v>59739.0</v>
      </c>
    </row>
    <row r="6371">
      <c r="A6371" s="121">
        <v>59740.0</v>
      </c>
    </row>
    <row r="6372">
      <c r="A6372" s="121">
        <v>59741.0</v>
      </c>
    </row>
    <row r="6373">
      <c r="A6373" s="121">
        <v>59742.0</v>
      </c>
    </row>
    <row r="6374">
      <c r="A6374" s="121">
        <v>59743.0</v>
      </c>
    </row>
    <row r="6375">
      <c r="A6375" s="121">
        <v>59744.0</v>
      </c>
    </row>
    <row r="6376">
      <c r="A6376" s="121">
        <v>59745.0</v>
      </c>
    </row>
    <row r="6377">
      <c r="A6377" s="121">
        <v>59746.0</v>
      </c>
    </row>
    <row r="6378">
      <c r="A6378" s="121">
        <v>59747.0</v>
      </c>
    </row>
    <row r="6379">
      <c r="A6379" s="121">
        <v>59748.0</v>
      </c>
    </row>
    <row r="6380">
      <c r="A6380" s="121">
        <v>59749.0</v>
      </c>
    </row>
    <row r="6381">
      <c r="A6381" s="121">
        <v>59750.0</v>
      </c>
    </row>
    <row r="6382">
      <c r="A6382" s="121">
        <v>59751.0</v>
      </c>
    </row>
    <row r="6383">
      <c r="A6383" s="121">
        <v>59752.0</v>
      </c>
    </row>
    <row r="6384">
      <c r="A6384" s="121">
        <v>59753.0</v>
      </c>
      <c r="B6384" s="122">
        <v>45822.0</v>
      </c>
    </row>
    <row r="6385">
      <c r="A6385" s="121">
        <v>59754.0</v>
      </c>
    </row>
    <row r="6386">
      <c r="A6386" s="121">
        <v>59755.0</v>
      </c>
    </row>
    <row r="6387">
      <c r="A6387" s="121">
        <v>59756.0</v>
      </c>
    </row>
    <row r="6388">
      <c r="A6388" s="121">
        <v>59757.0</v>
      </c>
    </row>
    <row r="6389">
      <c r="A6389" s="121">
        <v>59758.0</v>
      </c>
    </row>
    <row r="6390">
      <c r="A6390" s="121">
        <v>59759.0</v>
      </c>
    </row>
    <row r="6391">
      <c r="A6391" s="121">
        <v>59760.0</v>
      </c>
    </row>
    <row r="6392">
      <c r="A6392" s="121">
        <v>59761.0</v>
      </c>
    </row>
    <row r="6393">
      <c r="A6393" s="121">
        <v>59762.0</v>
      </c>
    </row>
    <row r="6394">
      <c r="A6394" s="121">
        <v>59763.0</v>
      </c>
    </row>
    <row r="6395">
      <c r="A6395" s="121">
        <v>59764.0</v>
      </c>
    </row>
    <row r="6396">
      <c r="A6396" s="121">
        <v>59765.0</v>
      </c>
    </row>
    <row r="6397">
      <c r="A6397" s="121">
        <v>59766.0</v>
      </c>
    </row>
    <row r="6398">
      <c r="A6398" s="121">
        <v>59767.0</v>
      </c>
    </row>
    <row r="6399">
      <c r="A6399" s="121">
        <v>59768.0</v>
      </c>
    </row>
    <row r="6400">
      <c r="A6400" s="121">
        <v>59769.0</v>
      </c>
    </row>
    <row r="6401">
      <c r="A6401" s="121">
        <v>59770.0</v>
      </c>
    </row>
    <row r="6402">
      <c r="A6402" s="121">
        <v>59771.0</v>
      </c>
    </row>
    <row r="6403">
      <c r="A6403" s="121">
        <v>59772.0</v>
      </c>
    </row>
    <row r="6404">
      <c r="A6404" s="121">
        <v>59782.0</v>
      </c>
    </row>
    <row r="6405">
      <c r="A6405" s="121">
        <v>59783.0</v>
      </c>
    </row>
    <row r="6406">
      <c r="A6406" s="121">
        <v>59784.0</v>
      </c>
    </row>
    <row r="6407">
      <c r="A6407" s="121">
        <v>59785.0</v>
      </c>
    </row>
    <row r="6408">
      <c r="A6408" s="121">
        <v>59786.0</v>
      </c>
    </row>
    <row r="6409">
      <c r="A6409" s="121">
        <v>59787.0</v>
      </c>
    </row>
    <row r="6410">
      <c r="A6410" s="121">
        <v>59788.0</v>
      </c>
    </row>
    <row r="6411">
      <c r="A6411" s="121">
        <v>59789.0</v>
      </c>
    </row>
    <row r="6412">
      <c r="A6412" s="121">
        <v>59790.0</v>
      </c>
    </row>
    <row r="6413">
      <c r="A6413" s="121">
        <v>59791.0</v>
      </c>
    </row>
    <row r="6414">
      <c r="A6414" s="121">
        <v>59792.0</v>
      </c>
      <c r="B6414" s="122">
        <v>45755.0</v>
      </c>
    </row>
    <row r="6415">
      <c r="A6415" s="121">
        <v>59793.0</v>
      </c>
      <c r="B6415" s="122">
        <v>45746.0</v>
      </c>
    </row>
    <row r="6416">
      <c r="A6416" s="121">
        <v>59794.0</v>
      </c>
    </row>
    <row r="6417">
      <c r="A6417" s="121">
        <v>59795.0</v>
      </c>
    </row>
    <row r="6418">
      <c r="A6418" s="121">
        <v>59796.0</v>
      </c>
      <c r="B6418" s="122">
        <v>45446.0</v>
      </c>
    </row>
    <row r="6419">
      <c r="A6419" s="121">
        <v>59797.0</v>
      </c>
    </row>
    <row r="6420">
      <c r="A6420" s="121">
        <v>59798.0</v>
      </c>
    </row>
    <row r="6421">
      <c r="A6421" s="121">
        <v>59799.0</v>
      </c>
    </row>
    <row r="6422">
      <c r="A6422" s="121">
        <v>59800.0</v>
      </c>
    </row>
    <row r="6423">
      <c r="A6423" s="121">
        <v>59801.0</v>
      </c>
    </row>
    <row r="6424">
      <c r="A6424" s="121">
        <v>59802.0</v>
      </c>
    </row>
    <row r="6425">
      <c r="A6425" s="121">
        <v>59803.0</v>
      </c>
    </row>
    <row r="6426">
      <c r="A6426" s="121">
        <v>59804.0</v>
      </c>
    </row>
    <row r="6427">
      <c r="A6427" s="121">
        <v>59835.0</v>
      </c>
    </row>
    <row r="6428">
      <c r="A6428" s="121">
        <v>59836.0</v>
      </c>
    </row>
    <row r="6429">
      <c r="A6429" s="121">
        <v>59837.0</v>
      </c>
    </row>
    <row r="6430">
      <c r="A6430" s="121">
        <v>59838.0</v>
      </c>
    </row>
    <row r="6431">
      <c r="A6431" s="121">
        <v>59839.0</v>
      </c>
    </row>
    <row r="6432">
      <c r="A6432" s="121">
        <v>59840.0</v>
      </c>
      <c r="B6432" s="122">
        <v>46035.0</v>
      </c>
    </row>
    <row r="6433">
      <c r="A6433" s="121">
        <v>59841.0</v>
      </c>
    </row>
    <row r="6434">
      <c r="A6434" s="121">
        <v>59842.0</v>
      </c>
    </row>
    <row r="6435">
      <c r="A6435" s="121">
        <v>59843.0</v>
      </c>
    </row>
    <row r="6436">
      <c r="A6436" s="121">
        <v>59844.0</v>
      </c>
    </row>
    <row r="6437">
      <c r="A6437" s="121">
        <v>59845.0</v>
      </c>
    </row>
    <row r="6438">
      <c r="A6438" s="121">
        <v>59846.0</v>
      </c>
    </row>
    <row r="6439">
      <c r="A6439" s="121">
        <v>59847.0</v>
      </c>
    </row>
    <row r="6440">
      <c r="A6440" s="121">
        <v>59848.0</v>
      </c>
    </row>
    <row r="6441">
      <c r="A6441" s="121">
        <v>59849.0</v>
      </c>
    </row>
    <row r="6442">
      <c r="A6442" s="121">
        <v>59850.0</v>
      </c>
    </row>
    <row r="6443">
      <c r="A6443" s="121">
        <v>59851.0</v>
      </c>
    </row>
    <row r="6444">
      <c r="A6444" s="121">
        <v>59852.0</v>
      </c>
      <c r="B6444" s="122">
        <v>45942.0</v>
      </c>
    </row>
    <row r="6445">
      <c r="A6445" s="121">
        <v>59853.0</v>
      </c>
    </row>
    <row r="6446">
      <c r="A6446" s="121">
        <v>59854.0</v>
      </c>
    </row>
    <row r="6447">
      <c r="A6447" s="121">
        <v>59855.0</v>
      </c>
    </row>
    <row r="6448">
      <c r="A6448" s="121">
        <v>59856.0</v>
      </c>
    </row>
    <row r="6449">
      <c r="A6449" s="121">
        <v>59857.0</v>
      </c>
    </row>
    <row r="6450">
      <c r="A6450" s="121">
        <v>59858.0</v>
      </c>
    </row>
    <row r="6451">
      <c r="A6451" s="121">
        <v>59859.0</v>
      </c>
    </row>
    <row r="6452">
      <c r="A6452" s="121">
        <v>59860.0</v>
      </c>
    </row>
    <row r="6453">
      <c r="A6453" s="121">
        <v>59861.0</v>
      </c>
      <c r="B6453" s="122">
        <v>45602.0</v>
      </c>
    </row>
    <row r="6454">
      <c r="A6454" s="121">
        <v>59862.0</v>
      </c>
    </row>
    <row r="6455">
      <c r="A6455" s="121">
        <v>59863.0</v>
      </c>
    </row>
    <row r="6456">
      <c r="A6456" s="121">
        <v>59864.0</v>
      </c>
    </row>
    <row r="6457">
      <c r="A6457" s="121">
        <v>59865.0</v>
      </c>
    </row>
    <row r="6458">
      <c r="A6458" s="121">
        <v>59866.0</v>
      </c>
    </row>
    <row r="6459">
      <c r="A6459" s="121">
        <v>59867.0</v>
      </c>
    </row>
    <row r="6460">
      <c r="A6460" s="121">
        <v>59868.0</v>
      </c>
    </row>
    <row r="6461">
      <c r="A6461" s="121">
        <v>59869.0</v>
      </c>
    </row>
    <row r="6462">
      <c r="A6462" s="121">
        <v>59870.0</v>
      </c>
    </row>
    <row r="6463">
      <c r="A6463" s="121">
        <v>59871.0</v>
      </c>
    </row>
    <row r="6464">
      <c r="A6464" s="121">
        <v>59872.0</v>
      </c>
      <c r="B6464" s="122">
        <v>45519.0</v>
      </c>
    </row>
    <row r="6465">
      <c r="A6465" s="121">
        <v>59873.0</v>
      </c>
    </row>
    <row r="6466">
      <c r="A6466" s="121">
        <v>59874.0</v>
      </c>
    </row>
    <row r="6467">
      <c r="A6467" s="121">
        <v>59875.0</v>
      </c>
    </row>
    <row r="6468">
      <c r="A6468" s="121">
        <v>59876.0</v>
      </c>
    </row>
    <row r="6469">
      <c r="A6469" s="121">
        <v>59877.0</v>
      </c>
    </row>
    <row r="6470">
      <c r="A6470" s="121">
        <v>59878.0</v>
      </c>
    </row>
    <row r="6471">
      <c r="A6471" s="121">
        <v>59879.0</v>
      </c>
    </row>
    <row r="6472">
      <c r="A6472" s="121">
        <v>59880.0</v>
      </c>
    </row>
    <row r="6473">
      <c r="A6473" s="121">
        <v>59885.0</v>
      </c>
    </row>
    <row r="6474">
      <c r="A6474" s="121">
        <v>59886.0</v>
      </c>
    </row>
    <row r="6475">
      <c r="A6475" s="121">
        <v>59887.0</v>
      </c>
    </row>
    <row r="6476">
      <c r="A6476" s="121">
        <v>59888.0</v>
      </c>
    </row>
    <row r="6477">
      <c r="A6477" s="121">
        <v>59889.0</v>
      </c>
    </row>
    <row r="6478">
      <c r="A6478" s="121">
        <v>59890.0</v>
      </c>
    </row>
    <row r="6479">
      <c r="A6479" s="121">
        <v>59891.0</v>
      </c>
    </row>
    <row r="6480">
      <c r="A6480" s="121">
        <v>59892.0</v>
      </c>
    </row>
    <row r="6481">
      <c r="A6481" s="121">
        <v>59893.0</v>
      </c>
    </row>
    <row r="6482">
      <c r="A6482" s="121">
        <v>59894.0</v>
      </c>
    </row>
    <row r="6483">
      <c r="A6483" s="121">
        <v>59895.0</v>
      </c>
    </row>
    <row r="6484">
      <c r="A6484" s="121">
        <v>59896.0</v>
      </c>
    </row>
    <row r="6485">
      <c r="A6485" s="121">
        <v>59897.0</v>
      </c>
    </row>
    <row r="6486">
      <c r="A6486" s="121">
        <v>59898.0</v>
      </c>
    </row>
    <row r="6487">
      <c r="A6487" s="121">
        <v>59899.0</v>
      </c>
    </row>
    <row r="6488">
      <c r="A6488" s="121">
        <v>59900.0</v>
      </c>
    </row>
    <row r="6489">
      <c r="A6489" s="121">
        <v>59901.0</v>
      </c>
    </row>
    <row r="6490">
      <c r="A6490" s="121">
        <v>59902.0</v>
      </c>
    </row>
    <row r="6491">
      <c r="A6491" s="121">
        <v>59903.0</v>
      </c>
    </row>
    <row r="6492">
      <c r="A6492" s="121">
        <v>59904.0</v>
      </c>
    </row>
    <row r="6493">
      <c r="A6493" s="121">
        <v>59905.0</v>
      </c>
    </row>
    <row r="6494">
      <c r="A6494" s="121">
        <v>59906.0</v>
      </c>
    </row>
    <row r="6495">
      <c r="A6495" s="121">
        <v>59907.0</v>
      </c>
    </row>
    <row r="6496">
      <c r="A6496" s="121">
        <v>59922.0</v>
      </c>
    </row>
    <row r="6497">
      <c r="A6497" s="121">
        <v>59923.0</v>
      </c>
    </row>
    <row r="6498">
      <c r="A6498" s="121">
        <v>59924.0</v>
      </c>
    </row>
    <row r="6499">
      <c r="A6499" s="121">
        <v>59925.0</v>
      </c>
    </row>
    <row r="6500">
      <c r="A6500" s="121">
        <v>59926.0</v>
      </c>
    </row>
    <row r="6501">
      <c r="A6501" s="121">
        <v>59927.0</v>
      </c>
    </row>
    <row r="6502">
      <c r="A6502" s="121">
        <v>59928.0</v>
      </c>
    </row>
    <row r="6503">
      <c r="A6503" s="121">
        <v>59929.0</v>
      </c>
    </row>
    <row r="6504">
      <c r="A6504" s="121">
        <v>59930.0</v>
      </c>
    </row>
    <row r="6505">
      <c r="A6505" s="121">
        <v>59931.0</v>
      </c>
    </row>
    <row r="6506">
      <c r="A6506" s="121">
        <v>59932.0</v>
      </c>
    </row>
    <row r="6507">
      <c r="A6507" s="121">
        <v>59933.0</v>
      </c>
    </row>
    <row r="6508">
      <c r="A6508" s="121">
        <v>59934.0</v>
      </c>
    </row>
    <row r="6509">
      <c r="A6509" s="121">
        <v>59935.0</v>
      </c>
      <c r="B6509" s="122">
        <v>45515.0</v>
      </c>
    </row>
    <row r="6510">
      <c r="A6510" s="121">
        <v>59936.0</v>
      </c>
    </row>
    <row r="6511">
      <c r="A6511" s="121">
        <v>59937.0</v>
      </c>
    </row>
    <row r="6512">
      <c r="A6512" s="121">
        <v>59938.0</v>
      </c>
    </row>
    <row r="6513">
      <c r="A6513" s="121">
        <v>59939.0</v>
      </c>
    </row>
    <row r="6514">
      <c r="A6514" s="121">
        <v>59940.0</v>
      </c>
    </row>
    <row r="6515">
      <c r="A6515" s="121">
        <v>59941.0</v>
      </c>
    </row>
    <row r="6516">
      <c r="A6516" s="121">
        <v>59942.0</v>
      </c>
    </row>
    <row r="6517">
      <c r="A6517" s="121">
        <v>59943.0</v>
      </c>
    </row>
    <row r="6518">
      <c r="A6518" s="121">
        <v>59944.0</v>
      </c>
    </row>
    <row r="6519">
      <c r="A6519" s="121">
        <v>59945.0</v>
      </c>
    </row>
    <row r="6520">
      <c r="A6520" s="121">
        <v>59946.0</v>
      </c>
      <c r="B6520" s="122">
        <v>45749.0</v>
      </c>
    </row>
    <row r="6521">
      <c r="A6521" s="121">
        <v>59947.0</v>
      </c>
    </row>
    <row r="6522">
      <c r="A6522" s="121">
        <v>59948.0</v>
      </c>
    </row>
    <row r="6523">
      <c r="A6523" s="121">
        <v>59949.0</v>
      </c>
    </row>
    <row r="6524">
      <c r="A6524" s="121">
        <v>59950.0</v>
      </c>
    </row>
    <row r="6525">
      <c r="A6525" s="121">
        <v>59951.0</v>
      </c>
      <c r="B6525" s="122">
        <v>45768.0</v>
      </c>
    </row>
    <row r="6526">
      <c r="A6526" s="121">
        <v>59952.0</v>
      </c>
    </row>
    <row r="6527">
      <c r="A6527" s="121">
        <v>59953.0</v>
      </c>
    </row>
    <row r="6528">
      <c r="A6528" s="121">
        <v>59954.0</v>
      </c>
    </row>
    <row r="6529">
      <c r="A6529" s="121">
        <v>59955.0</v>
      </c>
    </row>
    <row r="6530">
      <c r="A6530" s="121">
        <v>59956.0</v>
      </c>
    </row>
    <row r="6531">
      <c r="A6531" s="121">
        <v>59957.0</v>
      </c>
    </row>
    <row r="6532">
      <c r="A6532" s="121">
        <v>59958.0</v>
      </c>
    </row>
    <row r="6533">
      <c r="A6533" s="121">
        <v>59959.0</v>
      </c>
    </row>
    <row r="6534">
      <c r="A6534" s="121">
        <v>59960.0</v>
      </c>
    </row>
    <row r="6535">
      <c r="A6535" s="121">
        <v>59961.0</v>
      </c>
    </row>
    <row r="6536">
      <c r="A6536" s="121">
        <v>59962.0</v>
      </c>
    </row>
    <row r="6537">
      <c r="A6537" s="121">
        <v>59963.0</v>
      </c>
    </row>
    <row r="6538">
      <c r="A6538" s="121">
        <v>59964.0</v>
      </c>
    </row>
    <row r="6539">
      <c r="A6539" s="121">
        <v>60016.0</v>
      </c>
    </row>
    <row r="6540">
      <c r="A6540" s="121">
        <v>60017.0</v>
      </c>
    </row>
    <row r="6541">
      <c r="A6541" s="121">
        <v>60018.0</v>
      </c>
    </row>
    <row r="6542">
      <c r="A6542" s="121">
        <v>60019.0</v>
      </c>
    </row>
    <row r="6543">
      <c r="A6543" s="121">
        <v>60020.0</v>
      </c>
    </row>
    <row r="6544">
      <c r="A6544" s="121">
        <v>60021.0</v>
      </c>
    </row>
    <row r="6545">
      <c r="A6545" s="121">
        <v>60022.0</v>
      </c>
    </row>
    <row r="6546">
      <c r="A6546" s="121">
        <v>60023.0</v>
      </c>
    </row>
    <row r="6547">
      <c r="A6547" s="121">
        <v>60024.0</v>
      </c>
    </row>
    <row r="6548">
      <c r="A6548" s="121">
        <v>60025.0</v>
      </c>
      <c r="B6548" s="122">
        <v>46019.0</v>
      </c>
    </row>
    <row r="6549">
      <c r="A6549" s="121">
        <v>60026.0</v>
      </c>
    </row>
    <row r="6550">
      <c r="A6550" s="121">
        <v>60027.0</v>
      </c>
    </row>
    <row r="6551">
      <c r="A6551" s="121">
        <v>60028.0</v>
      </c>
    </row>
    <row r="6552">
      <c r="A6552" s="121">
        <v>60029.0</v>
      </c>
    </row>
    <row r="6553">
      <c r="A6553" s="121">
        <v>60030.0</v>
      </c>
    </row>
    <row r="6554">
      <c r="A6554" s="121">
        <v>60031.0</v>
      </c>
    </row>
    <row r="6555">
      <c r="A6555" s="121">
        <v>60032.0</v>
      </c>
    </row>
    <row r="6556">
      <c r="A6556" s="121">
        <v>60033.0</v>
      </c>
      <c r="B6556" s="122">
        <v>45856.0</v>
      </c>
    </row>
    <row r="6557">
      <c r="A6557" s="121">
        <v>60034.0</v>
      </c>
    </row>
    <row r="6558">
      <c r="A6558" s="121">
        <v>60035.0</v>
      </c>
    </row>
    <row r="6559">
      <c r="A6559" s="121">
        <v>60036.0</v>
      </c>
    </row>
    <row r="6560">
      <c r="A6560" s="121">
        <v>60037.0</v>
      </c>
    </row>
    <row r="6561">
      <c r="A6561" s="121">
        <v>60038.0</v>
      </c>
    </row>
    <row r="6562">
      <c r="A6562" s="121">
        <v>60039.0</v>
      </c>
    </row>
    <row r="6563">
      <c r="A6563" s="121">
        <v>60040.0</v>
      </c>
    </row>
    <row r="6564">
      <c r="A6564" s="121">
        <v>60041.0</v>
      </c>
    </row>
    <row r="6565">
      <c r="A6565" s="121">
        <v>60042.0</v>
      </c>
    </row>
    <row r="6566">
      <c r="A6566" s="121">
        <v>60043.0</v>
      </c>
    </row>
    <row r="6567">
      <c r="A6567" s="121">
        <v>60044.0</v>
      </c>
    </row>
    <row r="6568">
      <c r="A6568" s="121">
        <v>60045.0</v>
      </c>
    </row>
    <row r="6569">
      <c r="A6569" s="121">
        <v>60046.0</v>
      </c>
    </row>
    <row r="6570">
      <c r="A6570" s="121">
        <v>60047.0</v>
      </c>
    </row>
    <row r="6571">
      <c r="A6571" s="121">
        <v>60048.0</v>
      </c>
    </row>
    <row r="6572">
      <c r="A6572" s="121">
        <v>60049.0</v>
      </c>
    </row>
    <row r="6573">
      <c r="A6573" s="121">
        <v>60050.0</v>
      </c>
    </row>
    <row r="6574">
      <c r="A6574" s="121">
        <v>60051.0</v>
      </c>
    </row>
    <row r="6575">
      <c r="A6575" s="121">
        <v>60052.0</v>
      </c>
    </row>
    <row r="6576">
      <c r="A6576" s="121">
        <v>60053.0</v>
      </c>
    </row>
    <row r="6577">
      <c r="A6577" s="121">
        <v>60054.0</v>
      </c>
    </row>
    <row r="6578">
      <c r="A6578" s="121">
        <v>60055.0</v>
      </c>
    </row>
    <row r="6579">
      <c r="A6579" s="121">
        <v>60056.0</v>
      </c>
    </row>
    <row r="6580">
      <c r="A6580" s="121">
        <v>60057.0</v>
      </c>
    </row>
    <row r="6581">
      <c r="A6581" s="121">
        <v>60059.0</v>
      </c>
    </row>
    <row r="6582">
      <c r="A6582" s="121">
        <v>60060.0</v>
      </c>
    </row>
    <row r="6583">
      <c r="A6583" s="121">
        <v>60061.0</v>
      </c>
    </row>
    <row r="6584">
      <c r="A6584" s="121">
        <v>60062.0</v>
      </c>
    </row>
    <row r="6585">
      <c r="A6585" s="121">
        <v>60063.0</v>
      </c>
    </row>
    <row r="6586">
      <c r="A6586" s="121">
        <v>60064.0</v>
      </c>
    </row>
    <row r="6587">
      <c r="A6587" s="121">
        <v>60065.0</v>
      </c>
    </row>
    <row r="6588">
      <c r="A6588" s="121">
        <v>60066.0</v>
      </c>
    </row>
    <row r="6589">
      <c r="A6589" s="121">
        <v>60067.0</v>
      </c>
    </row>
    <row r="6590">
      <c r="A6590" s="121">
        <v>60068.0</v>
      </c>
    </row>
    <row r="6591">
      <c r="A6591" s="121">
        <v>60069.0</v>
      </c>
    </row>
    <row r="6592">
      <c r="A6592" s="121">
        <v>60070.0</v>
      </c>
    </row>
    <row r="6593">
      <c r="A6593" s="121">
        <v>60071.0</v>
      </c>
    </row>
    <row r="6594">
      <c r="A6594" s="121">
        <v>60072.0</v>
      </c>
      <c r="B6594" s="122">
        <v>45481.0</v>
      </c>
    </row>
    <row r="6595">
      <c r="A6595" s="121">
        <v>60073.0</v>
      </c>
      <c r="B6595" s="122">
        <v>45486.0</v>
      </c>
    </row>
    <row r="6596">
      <c r="A6596" s="121">
        <v>60074.0</v>
      </c>
      <c r="B6596" s="122">
        <v>45486.0</v>
      </c>
    </row>
    <row r="6597">
      <c r="A6597" s="121">
        <v>60075.0</v>
      </c>
      <c r="B6597" s="122">
        <v>45483.0</v>
      </c>
    </row>
    <row r="6598">
      <c r="A6598" s="121">
        <v>60076.0</v>
      </c>
      <c r="B6598" s="122">
        <v>45487.0</v>
      </c>
    </row>
    <row r="6599">
      <c r="A6599" s="121">
        <v>60077.0</v>
      </c>
    </row>
    <row r="6600">
      <c r="A6600" s="121">
        <v>60078.0</v>
      </c>
      <c r="B6600" s="122">
        <v>45484.0</v>
      </c>
    </row>
    <row r="6601">
      <c r="A6601" s="121">
        <v>60091.0</v>
      </c>
    </row>
    <row r="6602">
      <c r="A6602" s="121">
        <v>60092.0</v>
      </c>
    </row>
    <row r="6603">
      <c r="A6603" s="121">
        <v>60093.0</v>
      </c>
    </row>
    <row r="6604">
      <c r="A6604" s="121">
        <v>60094.0</v>
      </c>
    </row>
    <row r="6605">
      <c r="A6605" s="121">
        <v>60095.0</v>
      </c>
    </row>
    <row r="6606">
      <c r="A6606" s="121">
        <v>60096.0</v>
      </c>
    </row>
    <row r="6607">
      <c r="A6607" s="121">
        <v>60097.0</v>
      </c>
    </row>
    <row r="6608">
      <c r="A6608" s="121">
        <v>60098.0</v>
      </c>
    </row>
    <row r="6609">
      <c r="A6609" s="121">
        <v>60099.0</v>
      </c>
    </row>
    <row r="6610">
      <c r="A6610" s="121">
        <v>60100.0</v>
      </c>
    </row>
    <row r="6611">
      <c r="A6611" s="121">
        <v>60101.0</v>
      </c>
    </row>
    <row r="6612">
      <c r="A6612" s="121">
        <v>60102.0</v>
      </c>
    </row>
    <row r="6613">
      <c r="A6613" s="121">
        <v>60103.0</v>
      </c>
    </row>
    <row r="6614">
      <c r="A6614" s="121">
        <v>60104.0</v>
      </c>
    </row>
    <row r="6615">
      <c r="A6615" s="121">
        <v>60105.0</v>
      </c>
    </row>
    <row r="6616">
      <c r="A6616" s="121">
        <v>60106.0</v>
      </c>
    </row>
    <row r="6617">
      <c r="A6617" s="121">
        <v>60107.0</v>
      </c>
    </row>
    <row r="6618">
      <c r="A6618" s="121">
        <v>60108.0</v>
      </c>
    </row>
    <row r="6619">
      <c r="A6619" s="121">
        <v>60109.0</v>
      </c>
    </row>
    <row r="6620">
      <c r="A6620" s="121">
        <v>60110.0</v>
      </c>
    </row>
    <row r="6621">
      <c r="A6621" s="121">
        <v>60111.0</v>
      </c>
    </row>
    <row r="6622">
      <c r="A6622" s="121">
        <v>60112.0</v>
      </c>
    </row>
    <row r="6623">
      <c r="A6623" s="121">
        <v>60113.0</v>
      </c>
    </row>
    <row r="6624">
      <c r="A6624" s="121">
        <v>60114.0</v>
      </c>
    </row>
    <row r="6625">
      <c r="A6625" s="121">
        <v>60115.0</v>
      </c>
    </row>
    <row r="6626">
      <c r="A6626" s="121">
        <v>60116.0</v>
      </c>
    </row>
    <row r="6627">
      <c r="A6627" s="121">
        <v>60117.0</v>
      </c>
    </row>
    <row r="6628">
      <c r="A6628" s="121">
        <v>60118.0</v>
      </c>
    </row>
    <row r="6629">
      <c r="A6629" s="121">
        <v>60119.0</v>
      </c>
    </row>
    <row r="6630">
      <c r="A6630" s="121">
        <v>60120.0</v>
      </c>
    </row>
    <row r="6631">
      <c r="A6631" s="121">
        <v>60121.0</v>
      </c>
    </row>
    <row r="6632">
      <c r="A6632" s="121">
        <v>60122.0</v>
      </c>
    </row>
    <row r="6633">
      <c r="A6633" s="121">
        <v>60123.0</v>
      </c>
    </row>
    <row r="6634">
      <c r="A6634" s="121">
        <v>60124.0</v>
      </c>
    </row>
    <row r="6635">
      <c r="A6635" s="121">
        <v>60125.0</v>
      </c>
    </row>
    <row r="6636">
      <c r="A6636" s="121">
        <v>60126.0</v>
      </c>
    </row>
    <row r="6637">
      <c r="A6637" s="121">
        <v>60127.0</v>
      </c>
    </row>
    <row r="6638">
      <c r="A6638" s="121">
        <v>60128.0</v>
      </c>
    </row>
    <row r="6639">
      <c r="A6639" s="121">
        <v>60129.0</v>
      </c>
    </row>
    <row r="6640">
      <c r="A6640" s="121">
        <v>60130.0</v>
      </c>
    </row>
    <row r="6641">
      <c r="A6641" s="121">
        <v>60131.0</v>
      </c>
    </row>
    <row r="6642">
      <c r="A6642" s="121">
        <v>60132.0</v>
      </c>
    </row>
    <row r="6643">
      <c r="A6643" s="121">
        <v>60135.0</v>
      </c>
    </row>
    <row r="6644">
      <c r="A6644" s="121">
        <v>60136.0</v>
      </c>
    </row>
    <row r="6645">
      <c r="A6645" s="121">
        <v>60137.0</v>
      </c>
    </row>
    <row r="6646">
      <c r="A6646" s="121">
        <v>60138.0</v>
      </c>
    </row>
    <row r="6647">
      <c r="A6647" s="121">
        <v>60139.0</v>
      </c>
    </row>
    <row r="6648">
      <c r="A6648" s="121">
        <v>60140.0</v>
      </c>
    </row>
    <row r="6649">
      <c r="A6649" s="121">
        <v>60141.0</v>
      </c>
    </row>
    <row r="6650">
      <c r="A6650" s="121">
        <v>60142.0</v>
      </c>
    </row>
    <row r="6651">
      <c r="A6651" s="121">
        <v>60143.0</v>
      </c>
    </row>
    <row r="6652">
      <c r="A6652" s="121">
        <v>60144.0</v>
      </c>
    </row>
    <row r="6653">
      <c r="A6653" s="121">
        <v>60145.0</v>
      </c>
    </row>
    <row r="6654">
      <c r="A6654" s="121">
        <v>60146.0</v>
      </c>
    </row>
    <row r="6655">
      <c r="A6655" s="121">
        <v>60147.0</v>
      </c>
    </row>
    <row r="6656">
      <c r="A6656" s="121">
        <v>60148.0</v>
      </c>
    </row>
    <row r="6657">
      <c r="A6657" s="121">
        <v>60149.0</v>
      </c>
    </row>
    <row r="6658">
      <c r="A6658" s="121">
        <v>60150.0</v>
      </c>
    </row>
    <row r="6659">
      <c r="A6659" s="121">
        <v>60151.0</v>
      </c>
    </row>
    <row r="6660">
      <c r="A6660" s="121">
        <v>60152.0</v>
      </c>
    </row>
    <row r="6661">
      <c r="A6661" s="121">
        <v>60153.0</v>
      </c>
    </row>
    <row r="6662">
      <c r="A6662" s="121">
        <v>60154.0</v>
      </c>
    </row>
    <row r="6663">
      <c r="A6663" s="121">
        <v>60155.0</v>
      </c>
    </row>
    <row r="6664">
      <c r="A6664" s="121">
        <v>60156.0</v>
      </c>
    </row>
    <row r="6665">
      <c r="A6665" s="121">
        <v>60157.0</v>
      </c>
    </row>
    <row r="6666">
      <c r="A6666" s="121">
        <v>60183.0</v>
      </c>
    </row>
    <row r="6667">
      <c r="A6667" s="121">
        <v>60184.0</v>
      </c>
    </row>
    <row r="6668">
      <c r="A6668" s="121">
        <v>60185.0</v>
      </c>
    </row>
    <row r="6669">
      <c r="A6669" s="121">
        <v>60186.0</v>
      </c>
    </row>
    <row r="6670">
      <c r="A6670" s="121">
        <v>60187.0</v>
      </c>
    </row>
    <row r="6671">
      <c r="A6671" s="121">
        <v>60188.0</v>
      </c>
    </row>
    <row r="6672">
      <c r="A6672" s="121">
        <v>60189.0</v>
      </c>
    </row>
    <row r="6673">
      <c r="A6673" s="121">
        <v>60190.0</v>
      </c>
    </row>
    <row r="6674">
      <c r="A6674" s="121">
        <v>60191.0</v>
      </c>
    </row>
    <row r="6675">
      <c r="A6675" s="121">
        <v>60192.0</v>
      </c>
    </row>
    <row r="6676">
      <c r="A6676" s="121">
        <v>60193.0</v>
      </c>
    </row>
    <row r="6677">
      <c r="A6677" s="121">
        <v>60194.0</v>
      </c>
    </row>
    <row r="6678">
      <c r="A6678" s="121">
        <v>60195.0</v>
      </c>
    </row>
    <row r="6679">
      <c r="A6679" s="121">
        <v>60196.0</v>
      </c>
    </row>
    <row r="6680">
      <c r="A6680" s="121">
        <v>60197.0</v>
      </c>
    </row>
    <row r="6681">
      <c r="A6681" s="121">
        <v>60198.0</v>
      </c>
    </row>
    <row r="6682">
      <c r="A6682" s="121">
        <v>60199.0</v>
      </c>
    </row>
    <row r="6683">
      <c r="A6683" s="121">
        <v>60200.0</v>
      </c>
    </row>
    <row r="6684">
      <c r="A6684" s="121">
        <v>60201.0</v>
      </c>
    </row>
    <row r="6685">
      <c r="A6685" s="121">
        <v>60202.0</v>
      </c>
    </row>
    <row r="6686">
      <c r="A6686" s="121">
        <v>60244.0</v>
      </c>
      <c r="B6686" s="122">
        <v>45489.0</v>
      </c>
    </row>
    <row r="6687">
      <c r="A6687" s="121">
        <v>60245.0</v>
      </c>
      <c r="B6687" s="122">
        <v>45493.0</v>
      </c>
    </row>
    <row r="6688">
      <c r="A6688" s="121">
        <v>60255.0</v>
      </c>
    </row>
    <row r="6689">
      <c r="A6689" s="121">
        <v>60256.0</v>
      </c>
    </row>
    <row r="6690">
      <c r="A6690" s="121">
        <v>60257.0</v>
      </c>
    </row>
    <row r="6691">
      <c r="A6691" s="121">
        <v>60258.0</v>
      </c>
    </row>
    <row r="6692">
      <c r="A6692" s="121">
        <v>60259.0</v>
      </c>
    </row>
    <row r="6693">
      <c r="A6693" s="121">
        <v>60260.0</v>
      </c>
    </row>
    <row r="6694">
      <c r="A6694" s="121">
        <v>60261.0</v>
      </c>
    </row>
    <row r="6695">
      <c r="A6695" s="121">
        <v>60262.0</v>
      </c>
    </row>
    <row r="6696">
      <c r="A6696" s="121">
        <v>60263.0</v>
      </c>
    </row>
    <row r="6697">
      <c r="A6697" s="121">
        <v>60264.0</v>
      </c>
    </row>
    <row r="6698">
      <c r="A6698" s="121">
        <v>60265.0</v>
      </c>
    </row>
    <row r="6699">
      <c r="A6699" s="121">
        <v>60266.0</v>
      </c>
    </row>
    <row r="6700">
      <c r="A6700" s="121">
        <v>60267.0</v>
      </c>
    </row>
    <row r="6701">
      <c r="A6701" s="121">
        <v>60268.0</v>
      </c>
    </row>
    <row r="6702">
      <c r="A6702" s="121">
        <v>60269.0</v>
      </c>
    </row>
    <row r="6703">
      <c r="A6703" s="121">
        <v>60270.0</v>
      </c>
    </row>
    <row r="6704">
      <c r="A6704" s="121">
        <v>60271.0</v>
      </c>
    </row>
    <row r="6705">
      <c r="A6705" s="121">
        <v>60272.0</v>
      </c>
    </row>
    <row r="6706">
      <c r="A6706" s="121">
        <v>60273.0</v>
      </c>
    </row>
    <row r="6707">
      <c r="A6707" s="121">
        <v>60274.0</v>
      </c>
    </row>
    <row r="6708">
      <c r="A6708" s="121">
        <v>60275.0</v>
      </c>
    </row>
    <row r="6709">
      <c r="A6709" s="121">
        <v>60276.0</v>
      </c>
    </row>
    <row r="6710">
      <c r="A6710" s="121">
        <v>60277.0</v>
      </c>
    </row>
    <row r="6711">
      <c r="A6711" s="121">
        <v>60278.0</v>
      </c>
    </row>
    <row r="6712">
      <c r="A6712" s="121">
        <v>60279.0</v>
      </c>
    </row>
    <row r="6713">
      <c r="A6713" s="121">
        <v>60280.0</v>
      </c>
    </row>
    <row r="6714">
      <c r="A6714" s="121">
        <v>60281.0</v>
      </c>
    </row>
    <row r="6715">
      <c r="A6715" s="121">
        <v>60282.0</v>
      </c>
    </row>
    <row r="6716">
      <c r="A6716" s="121">
        <v>60283.0</v>
      </c>
    </row>
    <row r="6717">
      <c r="A6717" s="121">
        <v>60284.0</v>
      </c>
    </row>
    <row r="6718">
      <c r="A6718" s="121">
        <v>60285.0</v>
      </c>
    </row>
    <row r="6719">
      <c r="A6719" s="121">
        <v>60286.0</v>
      </c>
    </row>
    <row r="6720">
      <c r="A6720" s="121">
        <v>60287.0</v>
      </c>
    </row>
    <row r="6721">
      <c r="A6721" s="121">
        <v>60288.0</v>
      </c>
    </row>
    <row r="6722">
      <c r="A6722" s="121">
        <v>60289.0</v>
      </c>
    </row>
    <row r="6723">
      <c r="A6723" s="121">
        <v>60290.0</v>
      </c>
    </row>
    <row r="6724">
      <c r="A6724" s="121">
        <v>60291.0</v>
      </c>
    </row>
    <row r="6725">
      <c r="A6725" s="121">
        <v>60292.0</v>
      </c>
    </row>
    <row r="6726">
      <c r="A6726" s="121">
        <v>60293.0</v>
      </c>
    </row>
    <row r="6727">
      <c r="A6727" s="121">
        <v>60294.0</v>
      </c>
    </row>
    <row r="6728">
      <c r="A6728" s="121">
        <v>60295.0</v>
      </c>
    </row>
    <row r="6729">
      <c r="A6729" s="121">
        <v>60296.0</v>
      </c>
    </row>
    <row r="6730">
      <c r="A6730" s="121">
        <v>60297.0</v>
      </c>
    </row>
    <row r="6731">
      <c r="A6731" s="121">
        <v>60298.0</v>
      </c>
    </row>
    <row r="6732">
      <c r="A6732" s="121">
        <v>60299.0</v>
      </c>
    </row>
    <row r="6733">
      <c r="A6733" s="121">
        <v>60300.0</v>
      </c>
    </row>
    <row r="6734">
      <c r="A6734" s="121">
        <v>60301.0</v>
      </c>
    </row>
    <row r="6735">
      <c r="A6735" s="121">
        <v>60302.0</v>
      </c>
    </row>
    <row r="6736">
      <c r="A6736" s="121">
        <v>60303.0</v>
      </c>
    </row>
    <row r="6737">
      <c r="A6737" s="121">
        <v>60304.0</v>
      </c>
    </row>
    <row r="6738">
      <c r="A6738" s="121">
        <v>60305.0</v>
      </c>
    </row>
    <row r="6739">
      <c r="A6739" s="121">
        <v>60306.0</v>
      </c>
    </row>
    <row r="6740">
      <c r="A6740" s="121">
        <v>60307.0</v>
      </c>
    </row>
    <row r="6741">
      <c r="A6741" s="121">
        <v>60308.0</v>
      </c>
    </row>
    <row r="6742">
      <c r="A6742" s="121">
        <v>60309.0</v>
      </c>
    </row>
    <row r="6743">
      <c r="A6743" s="121">
        <v>60310.0</v>
      </c>
    </row>
    <row r="6744">
      <c r="A6744" s="121">
        <v>60311.0</v>
      </c>
      <c r="B6744" s="122">
        <v>45823.0</v>
      </c>
    </row>
    <row r="6745">
      <c r="A6745" s="121">
        <v>60312.0</v>
      </c>
    </row>
    <row r="6746">
      <c r="A6746" s="121">
        <v>60313.0</v>
      </c>
    </row>
    <row r="6747">
      <c r="A6747" s="121">
        <v>60314.0</v>
      </c>
    </row>
    <row r="6748">
      <c r="A6748" s="121">
        <v>60315.0</v>
      </c>
    </row>
    <row r="6749">
      <c r="A6749" s="121">
        <v>60316.0</v>
      </c>
    </row>
    <row r="6750">
      <c r="A6750" s="121">
        <v>60317.0</v>
      </c>
    </row>
    <row r="6751">
      <c r="A6751" s="121">
        <v>60318.0</v>
      </c>
    </row>
    <row r="6752">
      <c r="A6752" s="121">
        <v>60319.0</v>
      </c>
    </row>
    <row r="6753">
      <c r="A6753" s="121">
        <v>60320.0</v>
      </c>
    </row>
    <row r="6754">
      <c r="A6754" s="121">
        <v>60321.0</v>
      </c>
    </row>
    <row r="6755">
      <c r="A6755" s="121">
        <v>60329.0</v>
      </c>
    </row>
    <row r="6756">
      <c r="A6756" s="121">
        <v>60330.0</v>
      </c>
    </row>
    <row r="6757">
      <c r="A6757" s="121">
        <v>60331.0</v>
      </c>
    </row>
    <row r="6758">
      <c r="A6758" s="121">
        <v>60332.0</v>
      </c>
    </row>
    <row r="6759">
      <c r="A6759" s="121">
        <v>60333.0</v>
      </c>
    </row>
    <row r="6760">
      <c r="A6760" s="121">
        <v>60334.0</v>
      </c>
    </row>
    <row r="6761">
      <c r="A6761" s="121">
        <v>60335.0</v>
      </c>
    </row>
    <row r="6762">
      <c r="A6762" s="121">
        <v>60336.0</v>
      </c>
    </row>
    <row r="6763">
      <c r="A6763" s="121">
        <v>60337.0</v>
      </c>
      <c r="B6763" s="122">
        <v>45560.0</v>
      </c>
    </row>
    <row r="6764">
      <c r="A6764" s="121">
        <v>60338.0</v>
      </c>
    </row>
    <row r="6765">
      <c r="A6765" s="121">
        <v>60339.0</v>
      </c>
    </row>
    <row r="6766">
      <c r="A6766" s="121">
        <v>60340.0</v>
      </c>
    </row>
    <row r="6767">
      <c r="A6767" s="121">
        <v>60341.0</v>
      </c>
    </row>
    <row r="6768">
      <c r="A6768" s="121">
        <v>60342.0</v>
      </c>
    </row>
    <row r="6769">
      <c r="A6769" s="121">
        <v>60343.0</v>
      </c>
    </row>
    <row r="6770">
      <c r="A6770" s="121">
        <v>60344.0</v>
      </c>
    </row>
    <row r="6771">
      <c r="A6771" s="121">
        <v>60345.0</v>
      </c>
    </row>
    <row r="6772">
      <c r="A6772" s="121">
        <v>60346.0</v>
      </c>
    </row>
    <row r="6773">
      <c r="A6773" s="121">
        <v>60347.0</v>
      </c>
    </row>
    <row r="6774">
      <c r="A6774" s="121">
        <v>60348.0</v>
      </c>
    </row>
    <row r="6775">
      <c r="A6775" s="121">
        <v>60349.0</v>
      </c>
    </row>
    <row r="6776">
      <c r="A6776" s="121">
        <v>60350.0</v>
      </c>
    </row>
    <row r="6777">
      <c r="A6777" s="121">
        <v>60351.0</v>
      </c>
    </row>
    <row r="6778">
      <c r="A6778" s="121">
        <v>60355.0</v>
      </c>
    </row>
    <row r="6779">
      <c r="A6779" s="121">
        <v>60356.0</v>
      </c>
    </row>
    <row r="6780">
      <c r="A6780" s="121">
        <v>60357.0</v>
      </c>
      <c r="B6780" s="122">
        <v>45571.0</v>
      </c>
    </row>
    <row r="6781">
      <c r="A6781" s="121">
        <v>60358.0</v>
      </c>
    </row>
    <row r="6782">
      <c r="A6782" s="121">
        <v>60359.0</v>
      </c>
    </row>
    <row r="6783">
      <c r="A6783" s="121">
        <v>60360.0</v>
      </c>
    </row>
    <row r="6784">
      <c r="A6784" s="121">
        <v>60361.0</v>
      </c>
    </row>
    <row r="6785">
      <c r="A6785" s="121">
        <v>60362.0</v>
      </c>
    </row>
    <row r="6786">
      <c r="A6786" s="121">
        <v>60363.0</v>
      </c>
    </row>
    <row r="6787">
      <c r="A6787" s="121">
        <v>60364.0</v>
      </c>
    </row>
    <row r="6788">
      <c r="A6788" s="121">
        <v>60365.0</v>
      </c>
    </row>
    <row r="6789">
      <c r="A6789" s="121">
        <v>60366.0</v>
      </c>
    </row>
    <row r="6790">
      <c r="A6790" s="121">
        <v>60367.0</v>
      </c>
    </row>
    <row r="6791">
      <c r="A6791" s="121">
        <v>60368.0</v>
      </c>
    </row>
    <row r="6792">
      <c r="A6792" s="121">
        <v>60369.0</v>
      </c>
    </row>
    <row r="6793">
      <c r="A6793" s="121">
        <v>60370.0</v>
      </c>
    </row>
    <row r="6794">
      <c r="A6794" s="121">
        <v>60371.0</v>
      </c>
    </row>
    <row r="6795">
      <c r="A6795" s="121">
        <v>60372.0</v>
      </c>
    </row>
    <row r="6796">
      <c r="A6796" s="121">
        <v>60373.0</v>
      </c>
    </row>
    <row r="6797">
      <c r="A6797" s="121">
        <v>60374.0</v>
      </c>
    </row>
    <row r="6798">
      <c r="A6798" s="121">
        <v>60375.0</v>
      </c>
    </row>
    <row r="6799">
      <c r="A6799" s="121">
        <v>60376.0</v>
      </c>
    </row>
    <row r="6800">
      <c r="A6800" s="121">
        <v>60377.0</v>
      </c>
    </row>
    <row r="6801">
      <c r="A6801" s="121">
        <v>60398.0</v>
      </c>
    </row>
    <row r="6802">
      <c r="A6802" s="121">
        <v>60399.0</v>
      </c>
    </row>
    <row r="6803">
      <c r="A6803" s="121">
        <v>60400.0</v>
      </c>
    </row>
    <row r="6804">
      <c r="A6804" s="121">
        <v>60401.0</v>
      </c>
    </row>
    <row r="6805">
      <c r="A6805" s="121">
        <v>60402.0</v>
      </c>
    </row>
    <row r="6806">
      <c r="A6806" s="121">
        <v>60403.0</v>
      </c>
    </row>
    <row r="6807">
      <c r="A6807" s="121">
        <v>60404.0</v>
      </c>
    </row>
    <row r="6808">
      <c r="A6808" s="121">
        <v>60405.0</v>
      </c>
    </row>
    <row r="6809">
      <c r="A6809" s="121">
        <v>60406.0</v>
      </c>
    </row>
    <row r="6810">
      <c r="A6810" s="121">
        <v>60407.0</v>
      </c>
    </row>
    <row r="6811">
      <c r="A6811" s="121">
        <v>60408.0</v>
      </c>
    </row>
    <row r="6812">
      <c r="A6812" s="121">
        <v>60409.0</v>
      </c>
    </row>
    <row r="6813">
      <c r="A6813" s="121">
        <v>60410.0</v>
      </c>
    </row>
    <row r="6814">
      <c r="A6814" s="121">
        <v>60411.0</v>
      </c>
    </row>
    <row r="6815">
      <c r="A6815" s="121">
        <v>60412.0</v>
      </c>
    </row>
    <row r="6816">
      <c r="A6816" s="121">
        <v>60413.0</v>
      </c>
    </row>
    <row r="6817">
      <c r="A6817" s="121">
        <v>60414.0</v>
      </c>
    </row>
    <row r="6818">
      <c r="A6818" s="121">
        <v>60415.0</v>
      </c>
    </row>
    <row r="6819">
      <c r="A6819" s="121">
        <v>60416.0</v>
      </c>
    </row>
    <row r="6820">
      <c r="A6820" s="121">
        <v>60417.0</v>
      </c>
    </row>
    <row r="6821">
      <c r="A6821" s="121">
        <v>60418.0</v>
      </c>
    </row>
    <row r="6822">
      <c r="A6822" s="121">
        <v>60425.0</v>
      </c>
    </row>
    <row r="6823">
      <c r="A6823" s="121">
        <v>60426.0</v>
      </c>
    </row>
    <row r="6824">
      <c r="A6824" s="121">
        <v>60427.0</v>
      </c>
    </row>
    <row r="6825">
      <c r="A6825" s="121">
        <v>60428.0</v>
      </c>
    </row>
    <row r="6826">
      <c r="A6826" s="121">
        <v>60429.0</v>
      </c>
    </row>
    <row r="6827">
      <c r="A6827" s="121">
        <v>60430.0</v>
      </c>
    </row>
    <row r="6828">
      <c r="A6828" s="121">
        <v>60431.0</v>
      </c>
    </row>
    <row r="6829">
      <c r="A6829" s="121">
        <v>60432.0</v>
      </c>
    </row>
    <row r="6830">
      <c r="A6830" s="121">
        <v>60433.0</v>
      </c>
    </row>
    <row r="6831">
      <c r="A6831" s="121">
        <v>60434.0</v>
      </c>
    </row>
    <row r="6832">
      <c r="A6832" s="121">
        <v>60435.0</v>
      </c>
    </row>
    <row r="6833">
      <c r="A6833" s="121">
        <v>60436.0</v>
      </c>
    </row>
    <row r="6834">
      <c r="A6834" s="121">
        <v>60437.0</v>
      </c>
    </row>
    <row r="6835">
      <c r="A6835" s="121">
        <v>60438.0</v>
      </c>
    </row>
    <row r="6836">
      <c r="A6836" s="121">
        <v>60439.0</v>
      </c>
    </row>
    <row r="6837">
      <c r="A6837" s="121">
        <v>60440.0</v>
      </c>
    </row>
    <row r="6838">
      <c r="A6838" s="121">
        <v>60441.0</v>
      </c>
    </row>
    <row r="6839">
      <c r="A6839" s="121">
        <v>60442.0</v>
      </c>
    </row>
    <row r="6840">
      <c r="A6840" s="121">
        <v>60443.0</v>
      </c>
    </row>
    <row r="6841">
      <c r="A6841" s="121">
        <v>60444.0</v>
      </c>
    </row>
    <row r="6842">
      <c r="A6842" s="121">
        <v>60445.0</v>
      </c>
    </row>
    <row r="6843">
      <c r="A6843" s="121">
        <v>60446.0</v>
      </c>
    </row>
    <row r="6844">
      <c r="A6844" s="121">
        <v>60447.0</v>
      </c>
    </row>
    <row r="6845">
      <c r="A6845" s="121">
        <v>60583.0</v>
      </c>
    </row>
    <row r="6846">
      <c r="A6846" s="121">
        <v>60584.0</v>
      </c>
    </row>
    <row r="6847">
      <c r="A6847" s="121">
        <v>60585.0</v>
      </c>
    </row>
    <row r="6848">
      <c r="A6848" s="121">
        <v>60586.0</v>
      </c>
    </row>
    <row r="6849">
      <c r="A6849" s="121">
        <v>60587.0</v>
      </c>
    </row>
    <row r="6850">
      <c r="A6850" s="121">
        <v>60588.0</v>
      </c>
    </row>
    <row r="6851">
      <c r="A6851" s="121">
        <v>60589.0</v>
      </c>
    </row>
    <row r="6852">
      <c r="A6852" s="121">
        <v>60590.0</v>
      </c>
    </row>
    <row r="6853">
      <c r="A6853" s="121">
        <v>60591.0</v>
      </c>
    </row>
    <row r="6854">
      <c r="A6854" s="121">
        <v>60592.0</v>
      </c>
    </row>
    <row r="6855">
      <c r="A6855" s="121">
        <v>60593.0</v>
      </c>
    </row>
    <row r="6856">
      <c r="A6856" s="121">
        <v>60594.0</v>
      </c>
    </row>
    <row r="6857">
      <c r="A6857" s="121">
        <v>60595.0</v>
      </c>
    </row>
    <row r="6858">
      <c r="A6858" s="121">
        <v>60596.0</v>
      </c>
    </row>
    <row r="6859">
      <c r="A6859" s="121">
        <v>60597.0</v>
      </c>
    </row>
    <row r="6860">
      <c r="A6860" s="121">
        <v>60598.0</v>
      </c>
    </row>
    <row r="6861">
      <c r="A6861" s="121">
        <v>60599.0</v>
      </c>
    </row>
    <row r="6862">
      <c r="A6862" s="121">
        <v>60600.0</v>
      </c>
    </row>
    <row r="6863">
      <c r="A6863" s="121">
        <v>60601.0</v>
      </c>
    </row>
    <row r="6864">
      <c r="A6864" s="121">
        <v>60602.0</v>
      </c>
    </row>
    <row r="6865">
      <c r="A6865" s="121">
        <v>60603.0</v>
      </c>
    </row>
    <row r="6866">
      <c r="A6866" s="121">
        <v>60604.0</v>
      </c>
    </row>
    <row r="6867">
      <c r="A6867" s="121">
        <v>60720.0</v>
      </c>
    </row>
    <row r="6868">
      <c r="A6868" s="121">
        <v>60721.0</v>
      </c>
    </row>
    <row r="6869">
      <c r="A6869" s="121">
        <v>60722.0</v>
      </c>
    </row>
    <row r="6870">
      <c r="A6870" s="121">
        <v>60723.0</v>
      </c>
    </row>
    <row r="6871">
      <c r="A6871" s="121">
        <v>60724.0</v>
      </c>
    </row>
    <row r="6872">
      <c r="A6872" s="121">
        <v>60725.0</v>
      </c>
    </row>
    <row r="6873">
      <c r="A6873" s="121">
        <v>60726.0</v>
      </c>
    </row>
    <row r="6874">
      <c r="A6874" s="121">
        <v>60727.0</v>
      </c>
    </row>
    <row r="6875">
      <c r="A6875" s="121">
        <v>60728.0</v>
      </c>
    </row>
    <row r="6876">
      <c r="A6876" s="121">
        <v>60729.0</v>
      </c>
    </row>
    <row r="6877">
      <c r="A6877" s="121">
        <v>60730.0</v>
      </c>
    </row>
    <row r="6878">
      <c r="A6878" s="121">
        <v>60731.0</v>
      </c>
    </row>
    <row r="6879">
      <c r="A6879" s="121">
        <v>60732.0</v>
      </c>
    </row>
    <row r="6880">
      <c r="A6880" s="121">
        <v>60733.0</v>
      </c>
    </row>
    <row r="6881">
      <c r="A6881" s="121">
        <v>60734.0</v>
      </c>
    </row>
    <row r="6882">
      <c r="A6882" s="121">
        <v>60735.0</v>
      </c>
    </row>
    <row r="6883">
      <c r="A6883" s="121">
        <v>60736.0</v>
      </c>
      <c r="B6883" s="122">
        <v>45945.0</v>
      </c>
    </row>
    <row r="6884">
      <c r="A6884" s="121">
        <v>60737.0</v>
      </c>
    </row>
    <row r="6885">
      <c r="A6885" s="121">
        <v>60738.0</v>
      </c>
    </row>
    <row r="6886">
      <c r="A6886" s="121">
        <v>60739.0</v>
      </c>
    </row>
    <row r="6887">
      <c r="A6887" s="121">
        <v>60740.0</v>
      </c>
    </row>
    <row r="6888">
      <c r="A6888" s="121">
        <v>60903.0</v>
      </c>
    </row>
    <row r="6889">
      <c r="A6889" s="121">
        <v>60904.0</v>
      </c>
    </row>
    <row r="6890">
      <c r="A6890" s="121">
        <v>60905.0</v>
      </c>
    </row>
    <row r="6891">
      <c r="A6891" s="121">
        <v>60906.0</v>
      </c>
    </row>
    <row r="6892">
      <c r="A6892" s="121">
        <v>60907.0</v>
      </c>
    </row>
    <row r="6893">
      <c r="A6893" s="121">
        <v>60908.0</v>
      </c>
    </row>
    <row r="6894">
      <c r="A6894" s="121">
        <v>60909.0</v>
      </c>
    </row>
    <row r="6895">
      <c r="A6895" s="121">
        <v>60910.0</v>
      </c>
    </row>
    <row r="6896">
      <c r="A6896" s="121">
        <v>60911.0</v>
      </c>
    </row>
    <row r="6897">
      <c r="A6897" s="121">
        <v>60912.0</v>
      </c>
    </row>
    <row r="6898">
      <c r="A6898" s="121">
        <v>60913.0</v>
      </c>
    </row>
    <row r="6899">
      <c r="A6899" s="121">
        <v>60914.0</v>
      </c>
      <c r="B6899" s="122">
        <v>46021.0</v>
      </c>
    </row>
    <row r="6900">
      <c r="A6900" s="121">
        <v>60915.0</v>
      </c>
    </row>
    <row r="6901">
      <c r="A6901" s="121">
        <v>60916.0</v>
      </c>
    </row>
    <row r="6902">
      <c r="A6902" s="121">
        <v>60917.0</v>
      </c>
    </row>
    <row r="6903">
      <c r="A6903" s="121">
        <v>60918.0</v>
      </c>
    </row>
    <row r="6904">
      <c r="A6904" s="121">
        <v>60919.0</v>
      </c>
    </row>
    <row r="6905">
      <c r="A6905" s="121">
        <v>60920.0</v>
      </c>
    </row>
    <row r="6906">
      <c r="A6906" s="121">
        <v>60921.0</v>
      </c>
    </row>
    <row r="6907">
      <c r="A6907" s="121">
        <v>60922.0</v>
      </c>
    </row>
    <row r="6908">
      <c r="A6908" s="121">
        <v>60923.0</v>
      </c>
    </row>
    <row r="6909">
      <c r="A6909" s="121">
        <v>60924.0</v>
      </c>
    </row>
    <row r="6910">
      <c r="A6910" s="121">
        <v>60925.0</v>
      </c>
    </row>
    <row r="6911">
      <c r="A6911" s="121">
        <v>60926.0</v>
      </c>
    </row>
    <row r="6912">
      <c r="A6912" s="121">
        <v>60927.0</v>
      </c>
    </row>
    <row r="6913">
      <c r="A6913" s="121">
        <v>60928.0</v>
      </c>
    </row>
    <row r="6914">
      <c r="A6914" s="121">
        <v>60929.0</v>
      </c>
    </row>
    <row r="6915">
      <c r="A6915" s="121">
        <v>60930.0</v>
      </c>
    </row>
    <row r="6916">
      <c r="A6916" s="121">
        <v>60931.0</v>
      </c>
    </row>
    <row r="6917">
      <c r="A6917" s="121">
        <v>60932.0</v>
      </c>
    </row>
    <row r="6918">
      <c r="A6918" s="121">
        <v>60933.0</v>
      </c>
    </row>
    <row r="6919">
      <c r="A6919" s="121">
        <v>60934.0</v>
      </c>
    </row>
    <row r="6920">
      <c r="A6920" s="121">
        <v>60935.0</v>
      </c>
    </row>
    <row r="6921">
      <c r="A6921" s="121">
        <v>60936.0</v>
      </c>
    </row>
    <row r="6922">
      <c r="A6922" s="121">
        <v>60937.0</v>
      </c>
    </row>
    <row r="6923">
      <c r="A6923" s="121">
        <v>60938.0</v>
      </c>
    </row>
    <row r="6924">
      <c r="A6924" s="121">
        <v>60939.0</v>
      </c>
    </row>
    <row r="6925">
      <c r="A6925" s="121">
        <v>60940.0</v>
      </c>
    </row>
    <row r="6926">
      <c r="A6926" s="121">
        <v>60941.0</v>
      </c>
    </row>
    <row r="6927">
      <c r="A6927" s="121">
        <v>60942.0</v>
      </c>
    </row>
    <row r="6928">
      <c r="A6928" s="121">
        <v>60943.0</v>
      </c>
    </row>
    <row r="6929">
      <c r="A6929" s="121">
        <v>60944.0</v>
      </c>
    </row>
    <row r="6930">
      <c r="A6930" s="121">
        <v>60990.0</v>
      </c>
      <c r="B6930" s="122">
        <v>45547.0</v>
      </c>
    </row>
    <row r="6931">
      <c r="A6931" s="121">
        <v>60991.0</v>
      </c>
    </row>
    <row r="6932">
      <c r="A6932" s="121">
        <v>60992.0</v>
      </c>
    </row>
    <row r="6933">
      <c r="A6933" s="121">
        <v>60993.0</v>
      </c>
    </row>
    <row r="6934">
      <c r="A6934" s="121">
        <v>60994.0</v>
      </c>
    </row>
    <row r="6935">
      <c r="A6935" s="121">
        <v>60995.0</v>
      </c>
    </row>
    <row r="6936">
      <c r="A6936" s="121">
        <v>60996.0</v>
      </c>
    </row>
    <row r="6937">
      <c r="A6937" s="121">
        <v>60997.0</v>
      </c>
    </row>
    <row r="6938">
      <c r="A6938" s="121">
        <v>60998.0</v>
      </c>
    </row>
    <row r="6939">
      <c r="A6939" s="121">
        <v>60999.0</v>
      </c>
    </row>
    <row r="6940">
      <c r="A6940" s="121">
        <v>61000.0</v>
      </c>
    </row>
    <row r="6941">
      <c r="A6941" s="121">
        <v>61001.0</v>
      </c>
    </row>
    <row r="6942">
      <c r="A6942" s="121">
        <v>61002.0</v>
      </c>
    </row>
    <row r="6943">
      <c r="A6943" s="121">
        <v>61003.0</v>
      </c>
    </row>
    <row r="6944">
      <c r="A6944" s="121">
        <v>61004.0</v>
      </c>
    </row>
    <row r="6945">
      <c r="A6945" s="121">
        <v>61005.0</v>
      </c>
    </row>
    <row r="6946">
      <c r="A6946" s="121">
        <v>61006.0</v>
      </c>
    </row>
    <row r="6947">
      <c r="A6947" s="121">
        <v>61007.0</v>
      </c>
    </row>
    <row r="6948">
      <c r="A6948" s="121">
        <v>61008.0</v>
      </c>
    </row>
    <row r="6949">
      <c r="A6949" s="121">
        <v>61009.0</v>
      </c>
      <c r="B6949" s="122">
        <v>45981.0</v>
      </c>
    </row>
    <row r="6950">
      <c r="A6950" s="121">
        <v>61010.0</v>
      </c>
    </row>
    <row r="6951">
      <c r="A6951" s="121">
        <v>61050.0</v>
      </c>
    </row>
    <row r="6952">
      <c r="A6952" s="121">
        <v>61051.0</v>
      </c>
    </row>
    <row r="6953">
      <c r="A6953" s="121">
        <v>61052.0</v>
      </c>
      <c r="B6953" s="122">
        <v>45938.0</v>
      </c>
    </row>
    <row r="6954">
      <c r="A6954" s="121">
        <v>61053.0</v>
      </c>
    </row>
    <row r="6955">
      <c r="A6955" s="121">
        <v>61054.0</v>
      </c>
    </row>
    <row r="6956">
      <c r="A6956" s="121">
        <v>61055.0</v>
      </c>
    </row>
    <row r="6957">
      <c r="A6957" s="121">
        <v>61056.0</v>
      </c>
    </row>
    <row r="6958">
      <c r="A6958" s="121">
        <v>61057.0</v>
      </c>
    </row>
    <row r="6959">
      <c r="A6959" s="121">
        <v>61058.0</v>
      </c>
    </row>
    <row r="6960">
      <c r="A6960" s="121">
        <v>61059.0</v>
      </c>
    </row>
    <row r="6961">
      <c r="A6961" s="121">
        <v>61060.0</v>
      </c>
    </row>
    <row r="6962">
      <c r="A6962" s="121">
        <v>61061.0</v>
      </c>
    </row>
    <row r="6963">
      <c r="A6963" s="121">
        <v>61062.0</v>
      </c>
    </row>
    <row r="6964">
      <c r="A6964" s="121">
        <v>61063.0</v>
      </c>
    </row>
    <row r="6965">
      <c r="A6965" s="121">
        <v>61064.0</v>
      </c>
    </row>
    <row r="6966">
      <c r="A6966" s="121">
        <v>61065.0</v>
      </c>
    </row>
    <row r="6967">
      <c r="A6967" s="121">
        <v>61066.0</v>
      </c>
    </row>
    <row r="6968">
      <c r="A6968" s="121">
        <v>61067.0</v>
      </c>
      <c r="B6968" s="122">
        <v>45644.0</v>
      </c>
    </row>
    <row r="6969">
      <c r="A6969" s="121">
        <v>61068.0</v>
      </c>
    </row>
    <row r="6970">
      <c r="A6970" s="121">
        <v>61069.0</v>
      </c>
    </row>
    <row r="6971">
      <c r="A6971" s="121">
        <v>61070.0</v>
      </c>
    </row>
    <row r="6972">
      <c r="A6972" s="121">
        <v>61200.0</v>
      </c>
    </row>
    <row r="6973">
      <c r="A6973" s="121">
        <v>61201.0</v>
      </c>
    </row>
    <row r="6974">
      <c r="A6974" s="121">
        <v>61202.0</v>
      </c>
    </row>
    <row r="6975">
      <c r="A6975" s="121">
        <v>61203.0</v>
      </c>
    </row>
    <row r="6976">
      <c r="A6976" s="121">
        <v>61204.0</v>
      </c>
    </row>
    <row r="6977">
      <c r="A6977" s="121">
        <v>61205.0</v>
      </c>
    </row>
    <row r="6978">
      <c r="A6978" s="121">
        <v>61206.0</v>
      </c>
    </row>
    <row r="6979">
      <c r="A6979" s="121">
        <v>61207.0</v>
      </c>
    </row>
    <row r="6980">
      <c r="A6980" s="121">
        <v>61208.0</v>
      </c>
    </row>
    <row r="6981">
      <c r="A6981" s="121">
        <v>61209.0</v>
      </c>
    </row>
    <row r="6982">
      <c r="A6982" s="121">
        <v>61210.0</v>
      </c>
    </row>
    <row r="6983">
      <c r="A6983" s="121">
        <v>61211.0</v>
      </c>
    </row>
    <row r="6984">
      <c r="A6984" s="121">
        <v>61212.0</v>
      </c>
    </row>
    <row r="6985">
      <c r="A6985" s="121">
        <v>61213.0</v>
      </c>
    </row>
    <row r="6986">
      <c r="A6986" s="121">
        <v>61214.0</v>
      </c>
    </row>
    <row r="6987">
      <c r="A6987" s="121">
        <v>61215.0</v>
      </c>
    </row>
    <row r="6988">
      <c r="A6988" s="121">
        <v>61216.0</v>
      </c>
    </row>
    <row r="6989">
      <c r="A6989" s="121">
        <v>61217.0</v>
      </c>
    </row>
    <row r="6990">
      <c r="A6990" s="121">
        <v>61218.0</v>
      </c>
    </row>
    <row r="6991">
      <c r="A6991" s="121">
        <v>61219.0</v>
      </c>
    </row>
    <row r="6992">
      <c r="A6992" s="121">
        <v>61243.0</v>
      </c>
    </row>
    <row r="6993">
      <c r="A6993" s="121">
        <v>61244.0</v>
      </c>
    </row>
    <row r="6994">
      <c r="A6994" s="121">
        <v>61245.0</v>
      </c>
    </row>
    <row r="6995">
      <c r="A6995" s="121">
        <v>61246.0</v>
      </c>
    </row>
    <row r="6996">
      <c r="A6996" s="121">
        <v>61247.0</v>
      </c>
    </row>
    <row r="6997">
      <c r="A6997" s="121">
        <v>61248.0</v>
      </c>
    </row>
    <row r="6998">
      <c r="A6998" s="121">
        <v>61249.0</v>
      </c>
    </row>
    <row r="6999">
      <c r="A6999" s="121">
        <v>61250.0</v>
      </c>
      <c r="B6999" s="122">
        <v>45936.0</v>
      </c>
    </row>
    <row r="7000">
      <c r="A7000" s="121">
        <v>61251.0</v>
      </c>
    </row>
    <row r="7001">
      <c r="A7001" s="121">
        <v>61252.0</v>
      </c>
    </row>
    <row r="7002">
      <c r="A7002" s="121">
        <v>61253.0</v>
      </c>
    </row>
    <row r="7003">
      <c r="A7003" s="121">
        <v>61254.0</v>
      </c>
    </row>
    <row r="7004">
      <c r="A7004" s="121">
        <v>61255.0</v>
      </c>
    </row>
    <row r="7005">
      <c r="A7005" s="121">
        <v>61256.0</v>
      </c>
    </row>
    <row r="7006">
      <c r="A7006" s="121">
        <v>61257.0</v>
      </c>
    </row>
    <row r="7007">
      <c r="A7007" s="121">
        <v>61258.0</v>
      </c>
    </row>
    <row r="7008">
      <c r="A7008" s="121">
        <v>61259.0</v>
      </c>
    </row>
    <row r="7009">
      <c r="A7009" s="121">
        <v>61260.0</v>
      </c>
    </row>
    <row r="7010">
      <c r="A7010" s="121">
        <v>61261.0</v>
      </c>
    </row>
    <row r="7011">
      <c r="A7011" s="121">
        <v>61262.0</v>
      </c>
    </row>
    <row r="7012">
      <c r="A7012" s="121">
        <v>61509.0</v>
      </c>
    </row>
    <row r="7013">
      <c r="A7013" s="121">
        <v>61510.0</v>
      </c>
    </row>
    <row r="7014">
      <c r="A7014" s="121">
        <v>61511.0</v>
      </c>
    </row>
    <row r="7015">
      <c r="A7015" s="121">
        <v>61512.0</v>
      </c>
    </row>
    <row r="7016">
      <c r="A7016" s="121">
        <v>61513.0</v>
      </c>
    </row>
    <row r="7017">
      <c r="A7017" s="121">
        <v>61514.0</v>
      </c>
    </row>
    <row r="7018">
      <c r="A7018" s="121">
        <v>61515.0</v>
      </c>
    </row>
    <row r="7019">
      <c r="A7019" s="121">
        <v>61516.0</v>
      </c>
    </row>
    <row r="7020">
      <c r="A7020" s="121">
        <v>61517.0</v>
      </c>
    </row>
    <row r="7021">
      <c r="A7021" s="121">
        <v>61518.0</v>
      </c>
    </row>
    <row r="7022">
      <c r="A7022" s="121">
        <v>61519.0</v>
      </c>
    </row>
    <row r="7023">
      <c r="A7023" s="121">
        <v>61520.0</v>
      </c>
    </row>
    <row r="7024">
      <c r="A7024" s="121">
        <v>61521.0</v>
      </c>
    </row>
    <row r="7025">
      <c r="A7025" s="121">
        <v>61522.0</v>
      </c>
    </row>
    <row r="7026">
      <c r="A7026" s="121">
        <v>61523.0</v>
      </c>
    </row>
    <row r="7027">
      <c r="A7027" s="121">
        <v>61524.0</v>
      </c>
    </row>
    <row r="7028">
      <c r="A7028" s="121">
        <v>61525.0</v>
      </c>
    </row>
    <row r="7029">
      <c r="A7029" s="121">
        <v>61526.0</v>
      </c>
    </row>
    <row r="7030">
      <c r="A7030" s="121">
        <v>61527.0</v>
      </c>
    </row>
    <row r="7031">
      <c r="A7031" s="121">
        <v>61528.0</v>
      </c>
    </row>
    <row r="7032">
      <c r="A7032" s="121">
        <v>61529.0</v>
      </c>
    </row>
    <row r="7033">
      <c r="A7033" s="121">
        <v>61530.0</v>
      </c>
    </row>
    <row r="7034">
      <c r="A7034" s="121">
        <v>61531.0</v>
      </c>
    </row>
    <row r="7035">
      <c r="A7035" s="121">
        <v>61532.0</v>
      </c>
    </row>
    <row r="7036">
      <c r="A7036" s="121">
        <v>61533.0</v>
      </c>
    </row>
    <row r="7037">
      <c r="A7037" s="121">
        <v>61534.0</v>
      </c>
    </row>
    <row r="7038">
      <c r="A7038" s="121">
        <v>61535.0</v>
      </c>
    </row>
    <row r="7039">
      <c r="A7039" s="121">
        <v>61536.0</v>
      </c>
    </row>
    <row r="7040">
      <c r="A7040" s="121">
        <v>61537.0</v>
      </c>
    </row>
    <row r="7041">
      <c r="A7041" s="121">
        <v>61538.0</v>
      </c>
    </row>
    <row r="7042">
      <c r="A7042" s="121">
        <v>61539.0</v>
      </c>
    </row>
    <row r="7043">
      <c r="A7043" s="121">
        <v>61540.0</v>
      </c>
    </row>
    <row r="7044">
      <c r="A7044" s="121">
        <v>61541.0</v>
      </c>
    </row>
    <row r="7045">
      <c r="A7045" s="121">
        <v>61542.0</v>
      </c>
    </row>
    <row r="7046">
      <c r="A7046" s="121">
        <v>61543.0</v>
      </c>
    </row>
    <row r="7047">
      <c r="A7047" s="121">
        <v>61544.0</v>
      </c>
    </row>
    <row r="7048">
      <c r="A7048" s="121">
        <v>61545.0</v>
      </c>
    </row>
    <row r="7049">
      <c r="A7049" s="121">
        <v>61546.0</v>
      </c>
    </row>
    <row r="7050">
      <c r="A7050" s="121">
        <v>61547.0</v>
      </c>
    </row>
    <row r="7051">
      <c r="A7051" s="121">
        <v>61548.0</v>
      </c>
    </row>
    <row r="7052">
      <c r="A7052" s="121">
        <v>61549.0</v>
      </c>
    </row>
    <row r="7053">
      <c r="A7053" s="121">
        <v>61550.0</v>
      </c>
    </row>
    <row r="7054">
      <c r="A7054" s="121">
        <v>61551.0</v>
      </c>
    </row>
    <row r="7055">
      <c r="A7055" s="121">
        <v>61574.0</v>
      </c>
    </row>
    <row r="7056">
      <c r="A7056" s="121">
        <v>61575.0</v>
      </c>
    </row>
    <row r="7057">
      <c r="A7057" s="121">
        <v>61576.0</v>
      </c>
    </row>
    <row r="7058">
      <c r="A7058" s="121">
        <v>61577.0</v>
      </c>
    </row>
    <row r="7059">
      <c r="A7059" s="121">
        <v>61578.0</v>
      </c>
    </row>
    <row r="7060">
      <c r="A7060" s="121">
        <v>61579.0</v>
      </c>
    </row>
    <row r="7061">
      <c r="A7061" s="121">
        <v>61580.0</v>
      </c>
    </row>
    <row r="7062">
      <c r="A7062" s="121">
        <v>61581.0</v>
      </c>
    </row>
    <row r="7063">
      <c r="A7063" s="121">
        <v>61582.0</v>
      </c>
    </row>
    <row r="7064">
      <c r="A7064" s="121">
        <v>61583.0</v>
      </c>
    </row>
    <row r="7065">
      <c r="A7065" s="121">
        <v>61584.0</v>
      </c>
    </row>
    <row r="7066">
      <c r="A7066" s="121">
        <v>61585.0</v>
      </c>
    </row>
    <row r="7067">
      <c r="A7067" s="121">
        <v>61586.0</v>
      </c>
    </row>
    <row r="7068">
      <c r="A7068" s="121">
        <v>61587.0</v>
      </c>
    </row>
    <row r="7069">
      <c r="A7069" s="121">
        <v>61588.0</v>
      </c>
    </row>
    <row r="7070">
      <c r="A7070" s="121">
        <v>61589.0</v>
      </c>
    </row>
    <row r="7071">
      <c r="A7071" s="121">
        <v>61590.0</v>
      </c>
    </row>
    <row r="7072">
      <c r="A7072" s="121">
        <v>61591.0</v>
      </c>
    </row>
    <row r="7073">
      <c r="A7073" s="121">
        <v>61592.0</v>
      </c>
    </row>
    <row r="7074">
      <c r="A7074" s="121">
        <v>61593.0</v>
      </c>
    </row>
    <row r="7075">
      <c r="A7075" s="121">
        <v>61621.0</v>
      </c>
    </row>
    <row r="7076">
      <c r="A7076" s="121">
        <v>61622.0</v>
      </c>
    </row>
    <row r="7077">
      <c r="A7077" s="121">
        <v>61623.0</v>
      </c>
    </row>
    <row r="7078">
      <c r="A7078" s="121">
        <v>61624.0</v>
      </c>
    </row>
    <row r="7079">
      <c r="A7079" s="121">
        <v>61625.0</v>
      </c>
    </row>
    <row r="7080">
      <c r="A7080" s="121">
        <v>61626.0</v>
      </c>
    </row>
    <row r="7081">
      <c r="A7081" s="121">
        <v>61627.0</v>
      </c>
    </row>
    <row r="7082">
      <c r="A7082" s="121">
        <v>61628.0</v>
      </c>
    </row>
    <row r="7083">
      <c r="A7083" s="121">
        <v>61629.0</v>
      </c>
    </row>
    <row r="7084">
      <c r="A7084" s="121">
        <v>61630.0</v>
      </c>
    </row>
    <row r="7085">
      <c r="A7085" s="121">
        <v>61631.0</v>
      </c>
    </row>
    <row r="7086">
      <c r="A7086" s="121">
        <v>61632.0</v>
      </c>
    </row>
    <row r="7087">
      <c r="A7087" s="121">
        <v>61633.0</v>
      </c>
    </row>
    <row r="7088">
      <c r="A7088" s="121">
        <v>61634.0</v>
      </c>
    </row>
    <row r="7089">
      <c r="A7089" s="121">
        <v>61635.0</v>
      </c>
    </row>
    <row r="7090">
      <c r="A7090" s="121">
        <v>61636.0</v>
      </c>
    </row>
    <row r="7091">
      <c r="A7091" s="121">
        <v>61637.0</v>
      </c>
    </row>
    <row r="7092">
      <c r="A7092" s="121">
        <v>61638.0</v>
      </c>
    </row>
    <row r="7093">
      <c r="A7093" s="121">
        <v>61639.0</v>
      </c>
    </row>
    <row r="7094">
      <c r="A7094" s="121">
        <v>61640.0</v>
      </c>
    </row>
    <row r="7095">
      <c r="A7095" s="121">
        <v>61641.0</v>
      </c>
    </row>
    <row r="7096">
      <c r="A7096" s="121">
        <v>61642.0</v>
      </c>
    </row>
    <row r="7097">
      <c r="A7097" s="121">
        <v>61643.0</v>
      </c>
    </row>
    <row r="7098">
      <c r="A7098" s="121">
        <v>61661.0</v>
      </c>
    </row>
    <row r="7099">
      <c r="A7099" s="121">
        <v>61662.0</v>
      </c>
    </row>
    <row r="7100">
      <c r="A7100" s="121">
        <v>61663.0</v>
      </c>
    </row>
    <row r="7101">
      <c r="A7101" s="121">
        <v>61664.0</v>
      </c>
    </row>
    <row r="7102">
      <c r="A7102" s="121">
        <v>61665.0</v>
      </c>
    </row>
    <row r="7103">
      <c r="A7103" s="121">
        <v>61666.0</v>
      </c>
    </row>
    <row r="7104">
      <c r="A7104" s="121">
        <v>61667.0</v>
      </c>
    </row>
    <row r="7105">
      <c r="A7105" s="121">
        <v>61668.0</v>
      </c>
    </row>
    <row r="7106">
      <c r="A7106" s="121">
        <v>61669.0</v>
      </c>
    </row>
    <row r="7107">
      <c r="A7107" s="121">
        <v>61670.0</v>
      </c>
    </row>
    <row r="7108">
      <c r="A7108" s="121">
        <v>61671.0</v>
      </c>
    </row>
    <row r="7109">
      <c r="A7109" s="121">
        <v>61672.0</v>
      </c>
    </row>
    <row r="7110">
      <c r="A7110" s="121">
        <v>61673.0</v>
      </c>
    </row>
    <row r="7111">
      <c r="A7111" s="121">
        <v>61674.0</v>
      </c>
    </row>
    <row r="7112">
      <c r="A7112" s="121">
        <v>61675.0</v>
      </c>
    </row>
    <row r="7113">
      <c r="A7113" s="121">
        <v>61676.0</v>
      </c>
    </row>
    <row r="7114">
      <c r="A7114" s="121">
        <v>61677.0</v>
      </c>
    </row>
    <row r="7115">
      <c r="A7115" s="121">
        <v>61678.0</v>
      </c>
    </row>
    <row r="7116">
      <c r="A7116" s="121">
        <v>61679.0</v>
      </c>
    </row>
    <row r="7117">
      <c r="A7117" s="121">
        <v>61680.0</v>
      </c>
    </row>
    <row r="7118">
      <c r="A7118" s="121">
        <v>61681.0</v>
      </c>
    </row>
    <row r="7119">
      <c r="A7119" s="121">
        <v>61682.0</v>
      </c>
    </row>
    <row r="7120">
      <c r="A7120" s="121">
        <v>61687.0</v>
      </c>
    </row>
    <row r="7121">
      <c r="A7121" s="121">
        <v>61688.0</v>
      </c>
    </row>
    <row r="7122">
      <c r="A7122" s="121">
        <v>61689.0</v>
      </c>
    </row>
    <row r="7123">
      <c r="A7123" s="121">
        <v>61690.0</v>
      </c>
    </row>
    <row r="7124">
      <c r="A7124" s="121">
        <v>61691.0</v>
      </c>
    </row>
    <row r="7125">
      <c r="A7125" s="121">
        <v>61692.0</v>
      </c>
    </row>
    <row r="7126">
      <c r="A7126" s="121">
        <v>61693.0</v>
      </c>
    </row>
    <row r="7127">
      <c r="A7127" s="121">
        <v>61694.0</v>
      </c>
    </row>
    <row r="7128">
      <c r="A7128" s="121">
        <v>61695.0</v>
      </c>
    </row>
    <row r="7129">
      <c r="A7129" s="121">
        <v>61696.0</v>
      </c>
    </row>
    <row r="7130">
      <c r="A7130" s="121">
        <v>61697.0</v>
      </c>
    </row>
    <row r="7131">
      <c r="A7131" s="121">
        <v>61698.0</v>
      </c>
      <c r="B7131" s="122">
        <v>46002.0</v>
      </c>
    </row>
    <row r="7132">
      <c r="A7132" s="121">
        <v>61699.0</v>
      </c>
    </row>
    <row r="7133">
      <c r="A7133" s="121">
        <v>61700.0</v>
      </c>
    </row>
    <row r="7134">
      <c r="A7134" s="121">
        <v>61701.0</v>
      </c>
    </row>
    <row r="7135">
      <c r="A7135" s="121">
        <v>61702.0</v>
      </c>
    </row>
    <row r="7136">
      <c r="A7136" s="121">
        <v>61703.0</v>
      </c>
    </row>
    <row r="7137">
      <c r="A7137" s="121">
        <v>61704.0</v>
      </c>
    </row>
    <row r="7138">
      <c r="A7138" s="121">
        <v>61705.0</v>
      </c>
    </row>
    <row r="7139">
      <c r="A7139" s="121">
        <v>61706.0</v>
      </c>
    </row>
    <row r="7140">
      <c r="A7140" s="121">
        <v>61707.0</v>
      </c>
    </row>
    <row r="7141">
      <c r="A7141" s="121">
        <v>61708.0</v>
      </c>
    </row>
    <row r="7142">
      <c r="A7142" s="121">
        <v>61709.0</v>
      </c>
    </row>
    <row r="7143">
      <c r="A7143" s="121">
        <v>61710.0</v>
      </c>
    </row>
    <row r="7144">
      <c r="A7144" s="121">
        <v>61711.0</v>
      </c>
    </row>
    <row r="7145">
      <c r="A7145" s="121">
        <v>61712.0</v>
      </c>
    </row>
    <row r="7146">
      <c r="A7146" s="121">
        <v>61713.0</v>
      </c>
    </row>
    <row r="7147">
      <c r="A7147" s="121">
        <v>61714.0</v>
      </c>
    </row>
    <row r="7148">
      <c r="A7148" s="121">
        <v>61715.0</v>
      </c>
    </row>
    <row r="7149">
      <c r="A7149" s="121">
        <v>61716.0</v>
      </c>
    </row>
    <row r="7150">
      <c r="A7150" s="121">
        <v>61717.0</v>
      </c>
    </row>
    <row r="7151">
      <c r="A7151" s="121">
        <v>61718.0</v>
      </c>
    </row>
    <row r="7152">
      <c r="A7152" s="121">
        <v>61719.0</v>
      </c>
    </row>
    <row r="7153">
      <c r="A7153" s="121">
        <v>61720.0</v>
      </c>
    </row>
    <row r="7154">
      <c r="A7154" s="121">
        <v>61721.0</v>
      </c>
    </row>
    <row r="7155">
      <c r="A7155" s="121">
        <v>61722.0</v>
      </c>
    </row>
    <row r="7156">
      <c r="A7156" s="121">
        <v>61723.0</v>
      </c>
    </row>
    <row r="7157">
      <c r="A7157" s="121">
        <v>61724.0</v>
      </c>
    </row>
    <row r="7158">
      <c r="A7158" s="121">
        <v>61725.0</v>
      </c>
    </row>
    <row r="7159">
      <c r="A7159" s="121">
        <v>61726.0</v>
      </c>
    </row>
    <row r="7160">
      <c r="A7160" s="121">
        <v>61727.0</v>
      </c>
    </row>
    <row r="7161">
      <c r="A7161" s="121">
        <v>61728.0</v>
      </c>
    </row>
    <row r="7162">
      <c r="A7162" s="121">
        <v>61729.0</v>
      </c>
    </row>
    <row r="7163">
      <c r="A7163" s="121">
        <v>61845.0</v>
      </c>
    </row>
    <row r="7164">
      <c r="A7164" s="121">
        <v>61846.0</v>
      </c>
    </row>
    <row r="7165">
      <c r="A7165" s="121">
        <v>61847.0</v>
      </c>
    </row>
    <row r="7166">
      <c r="A7166" s="121">
        <v>61848.0</v>
      </c>
    </row>
    <row r="7167">
      <c r="A7167" s="121">
        <v>61849.0</v>
      </c>
    </row>
    <row r="7168">
      <c r="A7168" s="121">
        <v>61850.0</v>
      </c>
    </row>
    <row r="7169">
      <c r="A7169" s="121">
        <v>61851.0</v>
      </c>
    </row>
    <row r="7170">
      <c r="A7170" s="121">
        <v>61852.0</v>
      </c>
    </row>
    <row r="7171">
      <c r="A7171" s="121">
        <v>61853.0</v>
      </c>
    </row>
    <row r="7172">
      <c r="A7172" s="121">
        <v>61854.0</v>
      </c>
    </row>
    <row r="7173">
      <c r="A7173" s="121">
        <v>61855.0</v>
      </c>
    </row>
    <row r="7174">
      <c r="A7174" s="121">
        <v>61856.0</v>
      </c>
    </row>
    <row r="7175">
      <c r="A7175" s="121">
        <v>61857.0</v>
      </c>
    </row>
    <row r="7176">
      <c r="A7176" s="121">
        <v>61858.0</v>
      </c>
    </row>
    <row r="7177">
      <c r="A7177" s="121">
        <v>61859.0</v>
      </c>
    </row>
    <row r="7178">
      <c r="A7178" s="121">
        <v>61860.0</v>
      </c>
    </row>
    <row r="7179">
      <c r="A7179" s="121">
        <v>61861.0</v>
      </c>
    </row>
    <row r="7180">
      <c r="A7180" s="121">
        <v>61862.0</v>
      </c>
    </row>
    <row r="7181">
      <c r="A7181" s="121">
        <v>61863.0</v>
      </c>
    </row>
    <row r="7182">
      <c r="A7182" s="121">
        <v>61864.0</v>
      </c>
    </row>
    <row r="7183">
      <c r="A7183" s="121">
        <v>61865.0</v>
      </c>
    </row>
    <row r="7184">
      <c r="A7184" s="121">
        <v>61866.0</v>
      </c>
    </row>
    <row r="7185">
      <c r="A7185" s="121">
        <v>61867.0</v>
      </c>
    </row>
    <row r="7186">
      <c r="A7186" s="121">
        <v>61874.0</v>
      </c>
    </row>
    <row r="7187">
      <c r="A7187" s="121">
        <v>61875.0</v>
      </c>
    </row>
    <row r="7188">
      <c r="A7188" s="121">
        <v>61876.0</v>
      </c>
    </row>
    <row r="7189">
      <c r="A7189" s="121">
        <v>61877.0</v>
      </c>
    </row>
    <row r="7190">
      <c r="A7190" s="121">
        <v>61878.0</v>
      </c>
    </row>
    <row r="7191">
      <c r="A7191" s="121">
        <v>61879.0</v>
      </c>
    </row>
    <row r="7192">
      <c r="A7192" s="121">
        <v>61880.0</v>
      </c>
    </row>
    <row r="7193">
      <c r="A7193" s="121">
        <v>61881.0</v>
      </c>
    </row>
    <row r="7194">
      <c r="A7194" s="121">
        <v>61882.0</v>
      </c>
    </row>
    <row r="7195">
      <c r="A7195" s="121">
        <v>61883.0</v>
      </c>
    </row>
    <row r="7196">
      <c r="A7196" s="121">
        <v>61884.0</v>
      </c>
    </row>
    <row r="7197">
      <c r="A7197" s="121">
        <v>61885.0</v>
      </c>
    </row>
    <row r="7198">
      <c r="A7198" s="121">
        <v>61886.0</v>
      </c>
    </row>
    <row r="7199">
      <c r="A7199" s="121">
        <v>61887.0</v>
      </c>
    </row>
    <row r="7200">
      <c r="A7200" s="121">
        <v>61888.0</v>
      </c>
    </row>
    <row r="7201">
      <c r="A7201" s="121">
        <v>61889.0</v>
      </c>
    </row>
    <row r="7202">
      <c r="A7202" s="121">
        <v>61890.0</v>
      </c>
    </row>
    <row r="7203">
      <c r="A7203" s="121">
        <v>61891.0</v>
      </c>
    </row>
    <row r="7204">
      <c r="A7204" s="121">
        <v>61892.0</v>
      </c>
    </row>
    <row r="7205">
      <c r="A7205" s="121">
        <v>61893.0</v>
      </c>
    </row>
    <row r="7206">
      <c r="A7206" s="121">
        <v>61912.0</v>
      </c>
    </row>
    <row r="7207">
      <c r="A7207" s="121">
        <v>61913.0</v>
      </c>
    </row>
    <row r="7208">
      <c r="A7208" s="121">
        <v>61914.0</v>
      </c>
    </row>
    <row r="7209">
      <c r="A7209" s="121">
        <v>61915.0</v>
      </c>
    </row>
    <row r="7210">
      <c r="A7210" s="121">
        <v>61916.0</v>
      </c>
    </row>
    <row r="7211">
      <c r="A7211" s="121">
        <v>61917.0</v>
      </c>
    </row>
    <row r="7212">
      <c r="A7212" s="121">
        <v>61918.0</v>
      </c>
    </row>
    <row r="7213">
      <c r="A7213" s="121">
        <v>61919.0</v>
      </c>
    </row>
    <row r="7214">
      <c r="A7214" s="121">
        <v>61920.0</v>
      </c>
    </row>
    <row r="7215">
      <c r="A7215" s="121">
        <v>61921.0</v>
      </c>
    </row>
    <row r="7216">
      <c r="A7216" s="121">
        <v>61922.0</v>
      </c>
    </row>
    <row r="7217">
      <c r="A7217" s="121">
        <v>61923.0</v>
      </c>
    </row>
    <row r="7218">
      <c r="A7218" s="121">
        <v>61924.0</v>
      </c>
    </row>
    <row r="7219">
      <c r="A7219" s="121">
        <v>61925.0</v>
      </c>
    </row>
    <row r="7220">
      <c r="A7220" s="121">
        <v>61926.0</v>
      </c>
    </row>
    <row r="7221">
      <c r="A7221" s="121">
        <v>61927.0</v>
      </c>
    </row>
    <row r="7222">
      <c r="A7222" s="121">
        <v>61928.0</v>
      </c>
    </row>
    <row r="7223">
      <c r="A7223" s="121">
        <v>61929.0</v>
      </c>
    </row>
    <row r="7224">
      <c r="A7224" s="121">
        <v>61930.0</v>
      </c>
    </row>
    <row r="7225">
      <c r="A7225" s="121">
        <v>61931.0</v>
      </c>
    </row>
    <row r="7226">
      <c r="A7226" s="121">
        <v>61932.0</v>
      </c>
    </row>
    <row r="7227">
      <c r="A7227" s="121">
        <v>61933.0</v>
      </c>
    </row>
    <row r="7228">
      <c r="A7228" s="121">
        <v>61934.0</v>
      </c>
      <c r="B7228" s="122">
        <v>45810.0</v>
      </c>
    </row>
    <row r="7229">
      <c r="A7229" s="121">
        <v>61935.0</v>
      </c>
    </row>
    <row r="7230">
      <c r="A7230" s="121">
        <v>61939.0</v>
      </c>
    </row>
    <row r="7231">
      <c r="A7231" s="121">
        <v>61940.0</v>
      </c>
    </row>
    <row r="7232">
      <c r="A7232" s="121">
        <v>61941.0</v>
      </c>
    </row>
    <row r="7233">
      <c r="A7233" s="121">
        <v>61942.0</v>
      </c>
    </row>
    <row r="7234">
      <c r="A7234" s="121">
        <v>61943.0</v>
      </c>
    </row>
    <row r="7235">
      <c r="A7235" s="121">
        <v>61944.0</v>
      </c>
    </row>
    <row r="7236">
      <c r="A7236" s="121">
        <v>61945.0</v>
      </c>
    </row>
    <row r="7237">
      <c r="A7237" s="121">
        <v>61946.0</v>
      </c>
    </row>
    <row r="7238">
      <c r="A7238" s="121">
        <v>61947.0</v>
      </c>
    </row>
    <row r="7239">
      <c r="A7239" s="121">
        <v>61948.0</v>
      </c>
    </row>
    <row r="7240">
      <c r="A7240" s="121">
        <v>61949.0</v>
      </c>
    </row>
    <row r="7241">
      <c r="A7241" s="121">
        <v>61950.0</v>
      </c>
    </row>
    <row r="7242">
      <c r="A7242" s="121">
        <v>61951.0</v>
      </c>
    </row>
    <row r="7243">
      <c r="A7243" s="121">
        <v>61952.0</v>
      </c>
    </row>
    <row r="7244">
      <c r="A7244" s="121">
        <v>61953.0</v>
      </c>
    </row>
    <row r="7245">
      <c r="A7245" s="121">
        <v>61954.0</v>
      </c>
    </row>
    <row r="7246">
      <c r="A7246" s="121">
        <v>61955.0</v>
      </c>
    </row>
    <row r="7247">
      <c r="A7247" s="121">
        <v>61956.0</v>
      </c>
    </row>
    <row r="7248">
      <c r="A7248" s="121">
        <v>61957.0</v>
      </c>
    </row>
    <row r="7249">
      <c r="A7249" s="121">
        <v>61958.0</v>
      </c>
    </row>
    <row r="7250">
      <c r="A7250" s="121">
        <v>61959.0</v>
      </c>
    </row>
    <row r="7251">
      <c r="A7251" s="121">
        <v>61960.0</v>
      </c>
    </row>
    <row r="7252">
      <c r="A7252" s="121">
        <v>61961.0</v>
      </c>
    </row>
    <row r="7253">
      <c r="A7253" s="121">
        <v>61962.0</v>
      </c>
    </row>
    <row r="7254">
      <c r="A7254" s="121">
        <v>61963.0</v>
      </c>
    </row>
    <row r="7255">
      <c r="A7255" s="121">
        <v>61964.0</v>
      </c>
    </row>
    <row r="7256">
      <c r="A7256" s="121">
        <v>61965.0</v>
      </c>
    </row>
    <row r="7257">
      <c r="A7257" s="121">
        <v>61966.0</v>
      </c>
    </row>
    <row r="7258">
      <c r="A7258" s="121">
        <v>61967.0</v>
      </c>
    </row>
    <row r="7259">
      <c r="A7259" s="121">
        <v>61968.0</v>
      </c>
    </row>
    <row r="7260">
      <c r="A7260" s="121">
        <v>61969.0</v>
      </c>
    </row>
    <row r="7261">
      <c r="A7261" s="121">
        <v>61970.0</v>
      </c>
    </row>
    <row r="7262">
      <c r="A7262" s="121">
        <v>61971.0</v>
      </c>
    </row>
    <row r="7263">
      <c r="A7263" s="121">
        <v>61972.0</v>
      </c>
    </row>
    <row r="7264">
      <c r="A7264" s="121">
        <v>61973.0</v>
      </c>
    </row>
    <row r="7265">
      <c r="A7265" s="121">
        <v>61974.0</v>
      </c>
    </row>
    <row r="7266">
      <c r="A7266" s="121">
        <v>61975.0</v>
      </c>
    </row>
    <row r="7267">
      <c r="A7267" s="121">
        <v>61976.0</v>
      </c>
    </row>
    <row r="7268">
      <c r="A7268" s="121">
        <v>61977.0</v>
      </c>
    </row>
    <row r="7269">
      <c r="A7269" s="121">
        <v>61978.0</v>
      </c>
    </row>
    <row r="7270">
      <c r="A7270" s="121">
        <v>61979.0</v>
      </c>
    </row>
    <row r="7271">
      <c r="A7271" s="121">
        <v>61980.0</v>
      </c>
    </row>
    <row r="7272">
      <c r="A7272" s="121">
        <v>61981.0</v>
      </c>
    </row>
    <row r="7273">
      <c r="A7273" s="121">
        <v>61982.0</v>
      </c>
    </row>
    <row r="7274">
      <c r="A7274" s="121">
        <v>62008.0</v>
      </c>
    </row>
    <row r="7275">
      <c r="A7275" s="121">
        <v>62009.0</v>
      </c>
    </row>
    <row r="7276">
      <c r="A7276" s="121">
        <v>62010.0</v>
      </c>
    </row>
    <row r="7277">
      <c r="A7277" s="121">
        <v>62011.0</v>
      </c>
    </row>
    <row r="7278">
      <c r="A7278" s="121">
        <v>62012.0</v>
      </c>
    </row>
    <row r="7279">
      <c r="A7279" s="121">
        <v>62013.0</v>
      </c>
    </row>
    <row r="7280">
      <c r="A7280" s="121">
        <v>62014.0</v>
      </c>
    </row>
    <row r="7281">
      <c r="A7281" s="121">
        <v>62015.0</v>
      </c>
    </row>
    <row r="7282">
      <c r="A7282" s="121">
        <v>62016.0</v>
      </c>
    </row>
    <row r="7283">
      <c r="A7283" s="121">
        <v>62017.0</v>
      </c>
    </row>
    <row r="7284">
      <c r="A7284" s="121">
        <v>62018.0</v>
      </c>
    </row>
    <row r="7285">
      <c r="A7285" s="121">
        <v>62019.0</v>
      </c>
    </row>
    <row r="7286">
      <c r="A7286" s="121">
        <v>62020.0</v>
      </c>
    </row>
    <row r="7287">
      <c r="A7287" s="121">
        <v>62021.0</v>
      </c>
    </row>
    <row r="7288">
      <c r="A7288" s="121">
        <v>62022.0</v>
      </c>
    </row>
    <row r="7289">
      <c r="A7289" s="121">
        <v>62023.0</v>
      </c>
    </row>
    <row r="7290">
      <c r="A7290" s="121">
        <v>62024.0</v>
      </c>
    </row>
    <row r="7291">
      <c r="A7291" s="121">
        <v>62025.0</v>
      </c>
    </row>
    <row r="7292">
      <c r="A7292" s="121">
        <v>62026.0</v>
      </c>
    </row>
    <row r="7293">
      <c r="A7293" s="121">
        <v>62027.0</v>
      </c>
    </row>
    <row r="7294">
      <c r="A7294" s="121">
        <v>62032.0</v>
      </c>
    </row>
    <row r="7295">
      <c r="A7295" s="121">
        <v>62033.0</v>
      </c>
    </row>
    <row r="7296">
      <c r="A7296" s="121">
        <v>62034.0</v>
      </c>
    </row>
    <row r="7297">
      <c r="A7297" s="121">
        <v>62035.0</v>
      </c>
    </row>
    <row r="7298">
      <c r="A7298" s="121">
        <v>62036.0</v>
      </c>
    </row>
    <row r="7299">
      <c r="A7299" s="121">
        <v>62037.0</v>
      </c>
    </row>
    <row r="7300">
      <c r="A7300" s="121">
        <v>62038.0</v>
      </c>
    </row>
    <row r="7301">
      <c r="A7301" s="121">
        <v>62039.0</v>
      </c>
    </row>
    <row r="7302">
      <c r="A7302" s="121">
        <v>62040.0</v>
      </c>
    </row>
    <row r="7303">
      <c r="A7303" s="121">
        <v>62041.0</v>
      </c>
    </row>
    <row r="7304">
      <c r="A7304" s="121">
        <v>62042.0</v>
      </c>
    </row>
    <row r="7305">
      <c r="A7305" s="121">
        <v>62043.0</v>
      </c>
    </row>
    <row r="7306">
      <c r="A7306" s="121">
        <v>62044.0</v>
      </c>
    </row>
    <row r="7307">
      <c r="A7307" s="121">
        <v>62045.0</v>
      </c>
    </row>
    <row r="7308">
      <c r="A7308" s="121">
        <v>62046.0</v>
      </c>
    </row>
    <row r="7309">
      <c r="A7309" s="121">
        <v>62047.0</v>
      </c>
    </row>
    <row r="7310">
      <c r="A7310" s="121">
        <v>62048.0</v>
      </c>
    </row>
    <row r="7311">
      <c r="A7311" s="121">
        <v>62049.0</v>
      </c>
    </row>
    <row r="7312">
      <c r="A7312" s="121">
        <v>62050.0</v>
      </c>
    </row>
    <row r="7313">
      <c r="A7313" s="121">
        <v>62051.0</v>
      </c>
    </row>
    <row r="7314">
      <c r="A7314" s="121">
        <v>62052.0</v>
      </c>
    </row>
    <row r="7315">
      <c r="A7315" s="121">
        <v>62053.0</v>
      </c>
    </row>
    <row r="7316">
      <c r="A7316" s="121">
        <v>62054.0</v>
      </c>
    </row>
    <row r="7317">
      <c r="A7317" s="121">
        <v>62055.0</v>
      </c>
    </row>
    <row r="7318">
      <c r="A7318" s="121">
        <v>62057.0</v>
      </c>
    </row>
    <row r="7319">
      <c r="A7319" s="121">
        <v>62058.0</v>
      </c>
    </row>
    <row r="7320">
      <c r="A7320" s="121">
        <v>62059.0</v>
      </c>
    </row>
    <row r="7321">
      <c r="A7321" s="121">
        <v>62060.0</v>
      </c>
    </row>
    <row r="7322">
      <c r="A7322" s="121">
        <v>62061.0</v>
      </c>
    </row>
    <row r="7323">
      <c r="A7323" s="121">
        <v>62062.0</v>
      </c>
    </row>
    <row r="7324">
      <c r="A7324" s="121">
        <v>62063.0</v>
      </c>
    </row>
    <row r="7325">
      <c r="A7325" s="121">
        <v>62064.0</v>
      </c>
    </row>
    <row r="7326">
      <c r="A7326" s="121">
        <v>62065.0</v>
      </c>
    </row>
    <row r="7327">
      <c r="A7327" s="121">
        <v>62066.0</v>
      </c>
    </row>
    <row r="7328">
      <c r="A7328" s="121">
        <v>62067.0</v>
      </c>
    </row>
    <row r="7329">
      <c r="A7329" s="121">
        <v>62068.0</v>
      </c>
    </row>
    <row r="7330">
      <c r="A7330" s="121">
        <v>62069.0</v>
      </c>
    </row>
    <row r="7331">
      <c r="A7331" s="121">
        <v>62070.0</v>
      </c>
    </row>
    <row r="7332">
      <c r="A7332" s="121">
        <v>62071.0</v>
      </c>
    </row>
    <row r="7333">
      <c r="A7333" s="121">
        <v>62072.0</v>
      </c>
    </row>
    <row r="7334">
      <c r="A7334" s="121">
        <v>62073.0</v>
      </c>
    </row>
    <row r="7335">
      <c r="A7335" s="121">
        <v>62074.0</v>
      </c>
    </row>
    <row r="7336">
      <c r="A7336" s="121">
        <v>62075.0</v>
      </c>
    </row>
    <row r="7337">
      <c r="A7337" s="121">
        <v>62076.0</v>
      </c>
    </row>
    <row r="7338">
      <c r="A7338" s="121">
        <v>62088.0</v>
      </c>
    </row>
    <row r="7339">
      <c r="A7339" s="121">
        <v>62089.0</v>
      </c>
    </row>
    <row r="7340">
      <c r="A7340" s="121">
        <v>62090.0</v>
      </c>
    </row>
    <row r="7341">
      <c r="A7341" s="121">
        <v>62091.0</v>
      </c>
    </row>
    <row r="7342">
      <c r="A7342" s="121">
        <v>62092.0</v>
      </c>
    </row>
    <row r="7343">
      <c r="A7343" s="121">
        <v>62093.0</v>
      </c>
    </row>
    <row r="7344">
      <c r="A7344" s="121">
        <v>62094.0</v>
      </c>
    </row>
    <row r="7345">
      <c r="A7345" s="121">
        <v>62095.0</v>
      </c>
    </row>
    <row r="7346">
      <c r="A7346" s="121">
        <v>62096.0</v>
      </c>
    </row>
    <row r="7347">
      <c r="A7347" s="121">
        <v>62097.0</v>
      </c>
    </row>
    <row r="7348">
      <c r="A7348" s="121">
        <v>62098.0</v>
      </c>
    </row>
    <row r="7349">
      <c r="A7349" s="121">
        <v>62099.0</v>
      </c>
    </row>
    <row r="7350">
      <c r="A7350" s="121">
        <v>62100.0</v>
      </c>
    </row>
    <row r="7351">
      <c r="A7351" s="121">
        <v>62101.0</v>
      </c>
    </row>
    <row r="7352">
      <c r="A7352" s="121">
        <v>62102.0</v>
      </c>
    </row>
    <row r="7353">
      <c r="A7353" s="121">
        <v>62103.0</v>
      </c>
    </row>
    <row r="7354">
      <c r="A7354" s="121">
        <v>62104.0</v>
      </c>
    </row>
    <row r="7355">
      <c r="A7355" s="121">
        <v>62105.0</v>
      </c>
      <c r="B7355" s="122">
        <v>45885.0</v>
      </c>
    </row>
    <row r="7356">
      <c r="A7356" s="121">
        <v>62106.0</v>
      </c>
      <c r="B7356" s="122">
        <v>45883.0</v>
      </c>
    </row>
    <row r="7357">
      <c r="A7357" s="121">
        <v>62107.0</v>
      </c>
    </row>
    <row r="7358">
      <c r="A7358" s="121">
        <v>62108.0</v>
      </c>
    </row>
    <row r="7359">
      <c r="A7359" s="121">
        <v>62109.0</v>
      </c>
    </row>
    <row r="7360">
      <c r="A7360" s="121">
        <v>62110.0</v>
      </c>
    </row>
    <row r="7361">
      <c r="A7361" s="121">
        <v>62114.0</v>
      </c>
    </row>
    <row r="7362">
      <c r="A7362" s="121">
        <v>62115.0</v>
      </c>
    </row>
    <row r="7363">
      <c r="A7363" s="121">
        <v>62116.0</v>
      </c>
    </row>
    <row r="7364">
      <c r="A7364" s="121">
        <v>62117.0</v>
      </c>
    </row>
    <row r="7365">
      <c r="A7365" s="121">
        <v>62118.0</v>
      </c>
    </row>
    <row r="7366">
      <c r="A7366" s="121">
        <v>62119.0</v>
      </c>
    </row>
    <row r="7367">
      <c r="A7367" s="121">
        <v>62120.0</v>
      </c>
    </row>
    <row r="7368">
      <c r="A7368" s="121">
        <v>62121.0</v>
      </c>
    </row>
    <row r="7369">
      <c r="A7369" s="121">
        <v>62122.0</v>
      </c>
    </row>
    <row r="7370">
      <c r="A7370" s="121">
        <v>62123.0</v>
      </c>
    </row>
    <row r="7371">
      <c r="A7371" s="121">
        <v>62124.0</v>
      </c>
    </row>
    <row r="7372">
      <c r="A7372" s="121">
        <v>62125.0</v>
      </c>
    </row>
    <row r="7373">
      <c r="A7373" s="121">
        <v>62126.0</v>
      </c>
    </row>
    <row r="7374">
      <c r="A7374" s="121">
        <v>62127.0</v>
      </c>
    </row>
    <row r="7375">
      <c r="A7375" s="121">
        <v>62128.0</v>
      </c>
    </row>
    <row r="7376">
      <c r="A7376" s="121">
        <v>62129.0</v>
      </c>
    </row>
    <row r="7377">
      <c r="A7377" s="121">
        <v>62130.0</v>
      </c>
    </row>
    <row r="7378">
      <c r="A7378" s="121">
        <v>62131.0</v>
      </c>
    </row>
    <row r="7379">
      <c r="A7379" s="121">
        <v>62132.0</v>
      </c>
    </row>
    <row r="7380">
      <c r="A7380" s="121">
        <v>62133.0</v>
      </c>
    </row>
    <row r="7381">
      <c r="A7381" s="121">
        <v>62134.0</v>
      </c>
    </row>
    <row r="7382">
      <c r="A7382" s="121">
        <v>62135.0</v>
      </c>
    </row>
    <row r="7383">
      <c r="A7383" s="121">
        <v>62136.0</v>
      </c>
    </row>
    <row r="7384">
      <c r="A7384" s="121">
        <v>62137.0</v>
      </c>
    </row>
    <row r="7385">
      <c r="A7385" s="121">
        <v>62139.0</v>
      </c>
    </row>
    <row r="7386">
      <c r="A7386" s="121">
        <v>62140.0</v>
      </c>
    </row>
    <row r="7387">
      <c r="A7387" s="121">
        <v>62141.0</v>
      </c>
    </row>
    <row r="7388">
      <c r="A7388" s="121">
        <v>62142.0</v>
      </c>
    </row>
    <row r="7389">
      <c r="A7389" s="121">
        <v>62143.0</v>
      </c>
    </row>
    <row r="7390">
      <c r="A7390" s="121">
        <v>62144.0</v>
      </c>
    </row>
    <row r="7391">
      <c r="A7391" s="121">
        <v>62145.0</v>
      </c>
    </row>
    <row r="7392">
      <c r="A7392" s="121">
        <v>62146.0</v>
      </c>
    </row>
    <row r="7393">
      <c r="A7393" s="121">
        <v>62147.0</v>
      </c>
    </row>
    <row r="7394">
      <c r="A7394" s="121">
        <v>62148.0</v>
      </c>
    </row>
    <row r="7395">
      <c r="A7395" s="121">
        <v>62149.0</v>
      </c>
    </row>
    <row r="7396">
      <c r="A7396" s="121">
        <v>62150.0</v>
      </c>
    </row>
    <row r="7397">
      <c r="A7397" s="121">
        <v>62151.0</v>
      </c>
    </row>
    <row r="7398">
      <c r="A7398" s="121">
        <v>62152.0</v>
      </c>
    </row>
    <row r="7399">
      <c r="A7399" s="121">
        <v>62153.0</v>
      </c>
    </row>
    <row r="7400">
      <c r="A7400" s="121">
        <v>62154.0</v>
      </c>
    </row>
    <row r="7401">
      <c r="A7401" s="121">
        <v>62155.0</v>
      </c>
    </row>
    <row r="7402">
      <c r="A7402" s="121">
        <v>62156.0</v>
      </c>
    </row>
    <row r="7403">
      <c r="A7403" s="121">
        <v>62157.0</v>
      </c>
    </row>
    <row r="7404">
      <c r="A7404" s="121">
        <v>62158.0</v>
      </c>
    </row>
    <row r="7405">
      <c r="A7405" s="121">
        <v>62159.0</v>
      </c>
    </row>
    <row r="7406">
      <c r="A7406" s="121">
        <v>62160.0</v>
      </c>
    </row>
    <row r="7407">
      <c r="A7407" s="121">
        <v>62161.0</v>
      </c>
    </row>
    <row r="7408">
      <c r="A7408" s="121">
        <v>62162.0</v>
      </c>
    </row>
    <row r="7409">
      <c r="A7409" s="121">
        <v>62165.0</v>
      </c>
    </row>
    <row r="7410">
      <c r="A7410" s="121">
        <v>62166.0</v>
      </c>
    </row>
    <row r="7411">
      <c r="A7411" s="121">
        <v>62167.0</v>
      </c>
    </row>
    <row r="7412">
      <c r="A7412" s="121">
        <v>62168.0</v>
      </c>
    </row>
    <row r="7413">
      <c r="A7413" s="121">
        <v>62169.0</v>
      </c>
    </row>
    <row r="7414">
      <c r="A7414" s="121">
        <v>62170.0</v>
      </c>
    </row>
    <row r="7415">
      <c r="A7415" s="121">
        <v>62171.0</v>
      </c>
    </row>
    <row r="7416">
      <c r="A7416" s="121">
        <v>62172.0</v>
      </c>
    </row>
    <row r="7417">
      <c r="A7417" s="121">
        <v>62173.0</v>
      </c>
    </row>
    <row r="7418">
      <c r="A7418" s="121">
        <v>62174.0</v>
      </c>
    </row>
    <row r="7419">
      <c r="A7419" s="121">
        <v>62175.0</v>
      </c>
    </row>
    <row r="7420">
      <c r="A7420" s="121">
        <v>62176.0</v>
      </c>
    </row>
    <row r="7421">
      <c r="A7421" s="121">
        <v>62177.0</v>
      </c>
    </row>
    <row r="7422">
      <c r="A7422" s="121">
        <v>62178.0</v>
      </c>
    </row>
    <row r="7423">
      <c r="A7423" s="121">
        <v>62179.0</v>
      </c>
    </row>
    <row r="7424">
      <c r="A7424" s="121">
        <v>62180.0</v>
      </c>
    </row>
    <row r="7425">
      <c r="A7425" s="121">
        <v>62181.0</v>
      </c>
    </row>
    <row r="7426">
      <c r="A7426" s="121">
        <v>62182.0</v>
      </c>
    </row>
    <row r="7427">
      <c r="A7427" s="121">
        <v>62183.0</v>
      </c>
    </row>
    <row r="7428">
      <c r="A7428" s="121">
        <v>62184.0</v>
      </c>
    </row>
    <row r="7429">
      <c r="A7429" s="121">
        <v>62192.0</v>
      </c>
    </row>
    <row r="7430">
      <c r="A7430" s="121">
        <v>62193.0</v>
      </c>
    </row>
    <row r="7431">
      <c r="A7431" s="121">
        <v>62194.0</v>
      </c>
    </row>
    <row r="7432">
      <c r="A7432" s="121">
        <v>62195.0</v>
      </c>
    </row>
    <row r="7433">
      <c r="A7433" s="121">
        <v>62196.0</v>
      </c>
    </row>
    <row r="7434">
      <c r="A7434" s="121">
        <v>62197.0</v>
      </c>
    </row>
    <row r="7435">
      <c r="A7435" s="121">
        <v>62198.0</v>
      </c>
    </row>
    <row r="7436">
      <c r="A7436" s="121">
        <v>62199.0</v>
      </c>
    </row>
    <row r="7437">
      <c r="A7437" s="121">
        <v>62200.0</v>
      </c>
    </row>
    <row r="7438">
      <c r="A7438" s="121">
        <v>62201.0</v>
      </c>
    </row>
    <row r="7439">
      <c r="A7439" s="121">
        <v>62202.0</v>
      </c>
    </row>
    <row r="7440">
      <c r="A7440" s="121">
        <v>62203.0</v>
      </c>
    </row>
    <row r="7441">
      <c r="A7441" s="121">
        <v>62204.0</v>
      </c>
    </row>
    <row r="7442">
      <c r="A7442" s="121">
        <v>62205.0</v>
      </c>
    </row>
    <row r="7443">
      <c r="A7443" s="121">
        <v>62206.0</v>
      </c>
    </row>
    <row r="7444">
      <c r="A7444" s="121">
        <v>62207.0</v>
      </c>
    </row>
    <row r="7445">
      <c r="A7445" s="121">
        <v>62208.0</v>
      </c>
    </row>
    <row r="7446">
      <c r="A7446" s="121">
        <v>62209.0</v>
      </c>
    </row>
    <row r="7447">
      <c r="A7447" s="121">
        <v>62210.0</v>
      </c>
    </row>
    <row r="7448">
      <c r="A7448" s="121">
        <v>62211.0</v>
      </c>
    </row>
    <row r="7449">
      <c r="A7449" s="121">
        <v>62212.0</v>
      </c>
    </row>
    <row r="7450">
      <c r="A7450" s="121">
        <v>62213.0</v>
      </c>
    </row>
    <row r="7451">
      <c r="A7451" s="121">
        <v>62214.0</v>
      </c>
    </row>
    <row r="7452">
      <c r="A7452" s="121">
        <v>62215.0</v>
      </c>
    </row>
    <row r="7453">
      <c r="A7453" s="121">
        <v>62218.0</v>
      </c>
    </row>
    <row r="7454">
      <c r="A7454" s="121">
        <v>62219.0</v>
      </c>
    </row>
    <row r="7455">
      <c r="A7455" s="121">
        <v>62220.0</v>
      </c>
    </row>
    <row r="7456">
      <c r="A7456" s="121">
        <v>62221.0</v>
      </c>
    </row>
    <row r="7457">
      <c r="A7457" s="121">
        <v>62222.0</v>
      </c>
    </row>
    <row r="7458">
      <c r="A7458" s="121">
        <v>62223.0</v>
      </c>
    </row>
    <row r="7459">
      <c r="A7459" s="121">
        <v>62224.0</v>
      </c>
    </row>
    <row r="7460">
      <c r="A7460" s="121">
        <v>62225.0</v>
      </c>
    </row>
    <row r="7461">
      <c r="A7461" s="121">
        <v>62226.0</v>
      </c>
    </row>
    <row r="7462">
      <c r="A7462" s="121">
        <v>62227.0</v>
      </c>
    </row>
    <row r="7463">
      <c r="A7463" s="121">
        <v>62228.0</v>
      </c>
    </row>
    <row r="7464">
      <c r="A7464" s="121">
        <v>62229.0</v>
      </c>
    </row>
    <row r="7465">
      <c r="A7465" s="121">
        <v>62230.0</v>
      </c>
    </row>
    <row r="7466">
      <c r="A7466" s="121">
        <v>62231.0</v>
      </c>
    </row>
    <row r="7467">
      <c r="A7467" s="121">
        <v>62232.0</v>
      </c>
    </row>
    <row r="7468">
      <c r="A7468" s="121">
        <v>62233.0</v>
      </c>
    </row>
    <row r="7469">
      <c r="A7469" s="121">
        <v>62234.0</v>
      </c>
    </row>
    <row r="7470">
      <c r="A7470" s="121">
        <v>62235.0</v>
      </c>
    </row>
    <row r="7471">
      <c r="A7471" s="121">
        <v>62236.0</v>
      </c>
    </row>
    <row r="7472">
      <c r="A7472" s="121">
        <v>62262.0</v>
      </c>
    </row>
    <row r="7473">
      <c r="A7473" s="121">
        <v>62267.0</v>
      </c>
    </row>
    <row r="7474">
      <c r="A7474" s="121">
        <v>62268.0</v>
      </c>
    </row>
    <row r="7475">
      <c r="A7475" s="121">
        <v>62269.0</v>
      </c>
    </row>
    <row r="7476">
      <c r="A7476" s="121">
        <v>62270.0</v>
      </c>
    </row>
    <row r="7477">
      <c r="A7477" s="121">
        <v>62271.0</v>
      </c>
    </row>
    <row r="7478">
      <c r="A7478" s="121">
        <v>62272.0</v>
      </c>
    </row>
    <row r="7479">
      <c r="A7479" s="121">
        <v>62273.0</v>
      </c>
    </row>
    <row r="7480">
      <c r="A7480" s="121">
        <v>62274.0</v>
      </c>
    </row>
    <row r="7481">
      <c r="A7481" s="121">
        <v>62275.0</v>
      </c>
    </row>
    <row r="7482">
      <c r="A7482" s="121">
        <v>62276.0</v>
      </c>
    </row>
    <row r="7483">
      <c r="A7483" s="121">
        <v>62277.0</v>
      </c>
    </row>
    <row r="7484">
      <c r="A7484" s="121">
        <v>62278.0</v>
      </c>
    </row>
    <row r="7485">
      <c r="A7485" s="121">
        <v>62279.0</v>
      </c>
    </row>
    <row r="7486">
      <c r="A7486" s="121">
        <v>62280.0</v>
      </c>
    </row>
    <row r="7487">
      <c r="A7487" s="121">
        <v>62281.0</v>
      </c>
    </row>
    <row r="7488">
      <c r="A7488" s="121">
        <v>62282.0</v>
      </c>
    </row>
    <row r="7489">
      <c r="A7489" s="121">
        <v>62283.0</v>
      </c>
    </row>
    <row r="7490">
      <c r="A7490" s="121">
        <v>62284.0</v>
      </c>
    </row>
    <row r="7491">
      <c r="A7491" s="121">
        <v>62285.0</v>
      </c>
    </row>
    <row r="7492">
      <c r="A7492" s="121">
        <v>62286.0</v>
      </c>
    </row>
    <row r="7493">
      <c r="A7493" s="121">
        <v>62287.0</v>
      </c>
    </row>
    <row r="7494">
      <c r="A7494" s="121">
        <v>62288.0</v>
      </c>
    </row>
    <row r="7495">
      <c r="A7495" s="121">
        <v>62289.0</v>
      </c>
    </row>
    <row r="7496">
      <c r="A7496" s="121">
        <v>62301.0</v>
      </c>
    </row>
    <row r="7497">
      <c r="A7497" s="121">
        <v>62302.0</v>
      </c>
    </row>
    <row r="7498">
      <c r="A7498" s="121">
        <v>62303.0</v>
      </c>
    </row>
    <row r="7499">
      <c r="A7499" s="121">
        <v>62304.0</v>
      </c>
    </row>
    <row r="7500">
      <c r="A7500" s="121">
        <v>62305.0</v>
      </c>
    </row>
    <row r="7501">
      <c r="A7501" s="121">
        <v>62306.0</v>
      </c>
    </row>
    <row r="7502">
      <c r="A7502" s="121">
        <v>62307.0</v>
      </c>
    </row>
    <row r="7503">
      <c r="A7503" s="121">
        <v>62308.0</v>
      </c>
    </row>
    <row r="7504">
      <c r="A7504" s="121">
        <v>62309.0</v>
      </c>
    </row>
    <row r="7505">
      <c r="A7505" s="121">
        <v>62310.0</v>
      </c>
    </row>
    <row r="7506">
      <c r="A7506" s="121">
        <v>62311.0</v>
      </c>
    </row>
    <row r="7507">
      <c r="A7507" s="121">
        <v>62312.0</v>
      </c>
    </row>
    <row r="7508">
      <c r="A7508" s="121">
        <v>62313.0</v>
      </c>
    </row>
    <row r="7509">
      <c r="A7509" s="121">
        <v>62314.0</v>
      </c>
    </row>
    <row r="7510">
      <c r="A7510" s="121">
        <v>62315.0</v>
      </c>
    </row>
    <row r="7511">
      <c r="A7511" s="121">
        <v>62316.0</v>
      </c>
    </row>
    <row r="7512">
      <c r="A7512" s="121">
        <v>62317.0</v>
      </c>
    </row>
    <row r="7513">
      <c r="A7513" s="121">
        <v>62318.0</v>
      </c>
      <c r="B7513" s="122">
        <v>45857.0</v>
      </c>
    </row>
    <row r="7514">
      <c r="A7514" s="121">
        <v>62319.0</v>
      </c>
    </row>
    <row r="7515">
      <c r="A7515" s="121">
        <v>62320.0</v>
      </c>
    </row>
    <row r="7516">
      <c r="A7516" s="121">
        <v>62321.0</v>
      </c>
    </row>
    <row r="7517">
      <c r="A7517" s="121">
        <v>62322.0</v>
      </c>
    </row>
    <row r="7518">
      <c r="A7518" s="121">
        <v>62409.0</v>
      </c>
    </row>
    <row r="7519">
      <c r="A7519" s="121">
        <v>62410.0</v>
      </c>
    </row>
    <row r="7520">
      <c r="A7520" s="121">
        <v>62411.0</v>
      </c>
    </row>
    <row r="7521">
      <c r="A7521" s="121">
        <v>62412.0</v>
      </c>
    </row>
    <row r="7522">
      <c r="A7522" s="121">
        <v>62413.0</v>
      </c>
    </row>
    <row r="7523">
      <c r="A7523" s="121">
        <v>62414.0</v>
      </c>
    </row>
    <row r="7524">
      <c r="A7524" s="121">
        <v>62415.0</v>
      </c>
    </row>
    <row r="7525">
      <c r="A7525" s="121">
        <v>62416.0</v>
      </c>
    </row>
    <row r="7526">
      <c r="A7526" s="121">
        <v>62417.0</v>
      </c>
    </row>
    <row r="7527">
      <c r="A7527" s="121">
        <v>62418.0</v>
      </c>
    </row>
    <row r="7528">
      <c r="A7528" s="121">
        <v>62419.0</v>
      </c>
    </row>
    <row r="7529">
      <c r="A7529" s="121">
        <v>62420.0</v>
      </c>
    </row>
    <row r="7530">
      <c r="A7530" s="121">
        <v>62421.0</v>
      </c>
    </row>
    <row r="7531">
      <c r="A7531" s="121">
        <v>62422.0</v>
      </c>
    </row>
    <row r="7532">
      <c r="A7532" s="121">
        <v>62423.0</v>
      </c>
    </row>
    <row r="7533">
      <c r="A7533" s="121">
        <v>62424.0</v>
      </c>
    </row>
    <row r="7534">
      <c r="A7534" s="121">
        <v>62425.0</v>
      </c>
    </row>
    <row r="7535">
      <c r="A7535" s="121">
        <v>62426.0</v>
      </c>
    </row>
    <row r="7536">
      <c r="A7536" s="121">
        <v>62427.0</v>
      </c>
    </row>
    <row r="7537">
      <c r="A7537" s="121">
        <v>62428.0</v>
      </c>
    </row>
    <row r="7538">
      <c r="A7538" s="121">
        <v>62429.0</v>
      </c>
    </row>
    <row r="7539">
      <c r="A7539" s="121">
        <v>62432.0</v>
      </c>
    </row>
    <row r="7540">
      <c r="A7540" s="121">
        <v>62433.0</v>
      </c>
    </row>
    <row r="7541">
      <c r="A7541" s="121">
        <v>62434.0</v>
      </c>
    </row>
    <row r="7542">
      <c r="A7542" s="121">
        <v>62435.0</v>
      </c>
    </row>
    <row r="7543">
      <c r="A7543" s="121">
        <v>62436.0</v>
      </c>
    </row>
    <row r="7544">
      <c r="A7544" s="121">
        <v>62437.0</v>
      </c>
    </row>
    <row r="7545">
      <c r="A7545" s="121">
        <v>62438.0</v>
      </c>
    </row>
    <row r="7546">
      <c r="A7546" s="121">
        <v>62439.0</v>
      </c>
    </row>
    <row r="7547">
      <c r="A7547" s="121">
        <v>62440.0</v>
      </c>
    </row>
    <row r="7548">
      <c r="A7548" s="121">
        <v>62441.0</v>
      </c>
    </row>
    <row r="7549">
      <c r="A7549" s="121">
        <v>62442.0</v>
      </c>
    </row>
    <row r="7550">
      <c r="A7550" s="121">
        <v>62443.0</v>
      </c>
    </row>
    <row r="7551">
      <c r="A7551" s="121">
        <v>62444.0</v>
      </c>
    </row>
    <row r="7552">
      <c r="A7552" s="121">
        <v>62445.0</v>
      </c>
    </row>
    <row r="7553">
      <c r="A7553" s="121">
        <v>62446.0</v>
      </c>
    </row>
    <row r="7554">
      <c r="A7554" s="121">
        <v>62447.0</v>
      </c>
    </row>
    <row r="7555">
      <c r="A7555" s="121">
        <v>62448.0</v>
      </c>
    </row>
    <row r="7556">
      <c r="A7556" s="121">
        <v>62449.0</v>
      </c>
    </row>
    <row r="7557">
      <c r="A7557" s="121">
        <v>62450.0</v>
      </c>
    </row>
    <row r="7558">
      <c r="A7558" s="121">
        <v>62451.0</v>
      </c>
    </row>
    <row r="7559">
      <c r="A7559" s="121">
        <v>62452.0</v>
      </c>
    </row>
    <row r="7560">
      <c r="A7560" s="121">
        <v>62453.0</v>
      </c>
    </row>
    <row r="7561">
      <c r="A7561" s="121">
        <v>62462.0</v>
      </c>
    </row>
    <row r="7562">
      <c r="A7562" s="121">
        <v>62463.0</v>
      </c>
    </row>
    <row r="7563">
      <c r="A7563" s="121">
        <v>62464.0</v>
      </c>
      <c r="B7563" s="122">
        <v>46024.0</v>
      </c>
    </row>
    <row r="7564">
      <c r="A7564" s="121">
        <v>62465.0</v>
      </c>
    </row>
    <row r="7565">
      <c r="A7565" s="121">
        <v>62466.0</v>
      </c>
    </row>
    <row r="7566">
      <c r="A7566" s="121">
        <v>62467.0</v>
      </c>
    </row>
    <row r="7567">
      <c r="A7567" s="121">
        <v>62468.0</v>
      </c>
    </row>
    <row r="7568">
      <c r="A7568" s="121">
        <v>62469.0</v>
      </c>
    </row>
    <row r="7569">
      <c r="A7569" s="121">
        <v>62470.0</v>
      </c>
    </row>
    <row r="7570">
      <c r="A7570" s="121">
        <v>62471.0</v>
      </c>
    </row>
    <row r="7571">
      <c r="A7571" s="121">
        <v>62472.0</v>
      </c>
    </row>
    <row r="7572">
      <c r="A7572" s="121">
        <v>62473.0</v>
      </c>
    </row>
    <row r="7573">
      <c r="A7573" s="121">
        <v>62474.0</v>
      </c>
    </row>
    <row r="7574">
      <c r="A7574" s="121">
        <v>62475.0</v>
      </c>
    </row>
    <row r="7575">
      <c r="A7575" s="121">
        <v>62476.0</v>
      </c>
    </row>
    <row r="7576">
      <c r="A7576" s="121">
        <v>62477.0</v>
      </c>
    </row>
    <row r="7577">
      <c r="A7577" s="121">
        <v>62478.0</v>
      </c>
    </row>
    <row r="7578">
      <c r="A7578" s="121">
        <v>62479.0</v>
      </c>
    </row>
    <row r="7579">
      <c r="A7579" s="121">
        <v>62480.0</v>
      </c>
    </row>
    <row r="7580">
      <c r="A7580" s="121">
        <v>62481.0</v>
      </c>
    </row>
    <row r="7581">
      <c r="A7581" s="121">
        <v>62482.0</v>
      </c>
    </row>
    <row r="7582">
      <c r="A7582" s="121">
        <v>62487.0</v>
      </c>
    </row>
    <row r="7583">
      <c r="A7583" s="121">
        <v>62488.0</v>
      </c>
    </row>
    <row r="7584">
      <c r="A7584" s="121">
        <v>62489.0</v>
      </c>
    </row>
    <row r="7585">
      <c r="A7585" s="121">
        <v>62490.0</v>
      </c>
    </row>
    <row r="7586">
      <c r="A7586" s="121">
        <v>62491.0</v>
      </c>
    </row>
    <row r="7587">
      <c r="A7587" s="121">
        <v>62492.0</v>
      </c>
    </row>
    <row r="7588">
      <c r="A7588" s="121">
        <v>62493.0</v>
      </c>
    </row>
    <row r="7589">
      <c r="A7589" s="121">
        <v>62494.0</v>
      </c>
    </row>
    <row r="7590">
      <c r="A7590" s="121">
        <v>62495.0</v>
      </c>
    </row>
    <row r="7591">
      <c r="A7591" s="121">
        <v>62496.0</v>
      </c>
    </row>
    <row r="7592">
      <c r="A7592" s="121">
        <v>62497.0</v>
      </c>
    </row>
    <row r="7593">
      <c r="A7593" s="121">
        <v>62498.0</v>
      </c>
    </row>
    <row r="7594">
      <c r="A7594" s="121">
        <v>62499.0</v>
      </c>
    </row>
    <row r="7595">
      <c r="A7595" s="121">
        <v>62500.0</v>
      </c>
    </row>
    <row r="7596">
      <c r="A7596" s="121">
        <v>62501.0</v>
      </c>
    </row>
    <row r="7597">
      <c r="A7597" s="121">
        <v>62502.0</v>
      </c>
    </row>
    <row r="7598">
      <c r="A7598" s="121">
        <v>62503.0</v>
      </c>
    </row>
    <row r="7599">
      <c r="A7599" s="121">
        <v>62504.0</v>
      </c>
    </row>
    <row r="7600">
      <c r="A7600" s="121">
        <v>62505.0</v>
      </c>
    </row>
    <row r="7601">
      <c r="A7601" s="121">
        <v>62506.0</v>
      </c>
    </row>
    <row r="7602">
      <c r="A7602" s="121">
        <v>62507.0</v>
      </c>
    </row>
    <row r="7603">
      <c r="A7603" s="121">
        <v>62508.0</v>
      </c>
    </row>
    <row r="7604">
      <c r="A7604" s="121">
        <v>62509.0</v>
      </c>
    </row>
    <row r="7605">
      <c r="A7605" s="121">
        <v>62510.0</v>
      </c>
    </row>
    <row r="7606">
      <c r="A7606" s="121">
        <v>62511.0</v>
      </c>
    </row>
    <row r="7607">
      <c r="A7607" s="121">
        <v>62512.0</v>
      </c>
    </row>
    <row r="7608">
      <c r="A7608" s="121">
        <v>62513.0</v>
      </c>
    </row>
    <row r="7609">
      <c r="A7609" s="121">
        <v>62514.0</v>
      </c>
    </row>
    <row r="7610">
      <c r="A7610" s="121">
        <v>62515.0</v>
      </c>
    </row>
    <row r="7611">
      <c r="A7611" s="121">
        <v>62516.0</v>
      </c>
    </row>
    <row r="7612">
      <c r="A7612" s="121">
        <v>62517.0</v>
      </c>
    </row>
    <row r="7613">
      <c r="A7613" s="121">
        <v>62518.0</v>
      </c>
    </row>
    <row r="7614">
      <c r="A7614" s="121">
        <v>62519.0</v>
      </c>
    </row>
    <row r="7615">
      <c r="A7615" s="121">
        <v>62520.0</v>
      </c>
    </row>
    <row r="7616">
      <c r="A7616" s="121">
        <v>62521.0</v>
      </c>
    </row>
    <row r="7617">
      <c r="A7617" s="121">
        <v>62522.0</v>
      </c>
    </row>
    <row r="7618">
      <c r="A7618" s="121">
        <v>62523.0</v>
      </c>
    </row>
    <row r="7619">
      <c r="A7619" s="121">
        <v>62524.0</v>
      </c>
    </row>
    <row r="7620">
      <c r="A7620" s="121">
        <v>62525.0</v>
      </c>
    </row>
    <row r="7621">
      <c r="A7621" s="121">
        <v>62526.0</v>
      </c>
    </row>
    <row r="7622">
      <c r="A7622" s="121">
        <v>62527.0</v>
      </c>
    </row>
    <row r="7623">
      <c r="A7623" s="121">
        <v>62528.0</v>
      </c>
    </row>
    <row r="7624">
      <c r="A7624" s="121">
        <v>62529.0</v>
      </c>
    </row>
    <row r="7625">
      <c r="A7625" s="121">
        <v>62530.0</v>
      </c>
    </row>
    <row r="7626">
      <c r="A7626" s="121">
        <v>62531.0</v>
      </c>
    </row>
    <row r="7627">
      <c r="A7627" s="121">
        <v>62554.0</v>
      </c>
    </row>
    <row r="7628">
      <c r="A7628" s="121">
        <v>62555.0</v>
      </c>
    </row>
    <row r="7629">
      <c r="A7629" s="121">
        <v>62556.0</v>
      </c>
    </row>
    <row r="7630">
      <c r="A7630" s="121">
        <v>62557.0</v>
      </c>
    </row>
    <row r="7631">
      <c r="A7631" s="121">
        <v>62558.0</v>
      </c>
    </row>
    <row r="7632">
      <c r="A7632" s="121">
        <v>62559.0</v>
      </c>
    </row>
    <row r="7633">
      <c r="A7633" s="121">
        <v>62560.0</v>
      </c>
    </row>
    <row r="7634">
      <c r="A7634" s="121">
        <v>62561.0</v>
      </c>
    </row>
    <row r="7635">
      <c r="A7635" s="121">
        <v>62562.0</v>
      </c>
    </row>
    <row r="7636">
      <c r="A7636" s="121">
        <v>62563.0</v>
      </c>
    </row>
    <row r="7637">
      <c r="A7637" s="121">
        <v>62564.0</v>
      </c>
    </row>
    <row r="7638">
      <c r="A7638" s="121">
        <v>62565.0</v>
      </c>
    </row>
    <row r="7639">
      <c r="A7639" s="121">
        <v>62566.0</v>
      </c>
    </row>
    <row r="7640">
      <c r="A7640" s="121">
        <v>62567.0</v>
      </c>
    </row>
    <row r="7641">
      <c r="A7641" s="121">
        <v>62568.0</v>
      </c>
    </row>
    <row r="7642">
      <c r="A7642" s="121">
        <v>62569.0</v>
      </c>
    </row>
    <row r="7643">
      <c r="A7643" s="121">
        <v>62570.0</v>
      </c>
    </row>
    <row r="7644">
      <c r="A7644" s="121">
        <v>62571.0</v>
      </c>
    </row>
    <row r="7645">
      <c r="A7645" s="121">
        <v>62572.0</v>
      </c>
    </row>
    <row r="7646">
      <c r="A7646" s="121">
        <v>62573.0</v>
      </c>
    </row>
    <row r="7647">
      <c r="A7647" s="121">
        <v>62574.0</v>
      </c>
    </row>
    <row r="7648">
      <c r="A7648" s="121">
        <v>62587.0</v>
      </c>
    </row>
    <row r="7649">
      <c r="A7649" s="121">
        <v>62588.0</v>
      </c>
    </row>
    <row r="7650">
      <c r="A7650" s="121">
        <v>62589.0</v>
      </c>
    </row>
    <row r="7651">
      <c r="A7651" s="121">
        <v>62590.0</v>
      </c>
    </row>
    <row r="7652">
      <c r="A7652" s="121">
        <v>62591.0</v>
      </c>
    </row>
    <row r="7653">
      <c r="A7653" s="121">
        <v>62592.0</v>
      </c>
    </row>
    <row r="7654">
      <c r="A7654" s="121">
        <v>62593.0</v>
      </c>
    </row>
    <row r="7655">
      <c r="A7655" s="121">
        <v>62594.0</v>
      </c>
    </row>
    <row r="7656">
      <c r="A7656" s="121">
        <v>62595.0</v>
      </c>
    </row>
    <row r="7657">
      <c r="A7657" s="121">
        <v>62596.0</v>
      </c>
      <c r="B7657" s="122">
        <v>45872.0</v>
      </c>
    </row>
    <row r="7658">
      <c r="A7658" s="121">
        <v>62597.0</v>
      </c>
    </row>
    <row r="7659">
      <c r="A7659" s="121">
        <v>62598.0</v>
      </c>
    </row>
    <row r="7660">
      <c r="A7660" s="121">
        <v>62599.0</v>
      </c>
    </row>
    <row r="7661">
      <c r="A7661" s="121">
        <v>62600.0</v>
      </c>
    </row>
    <row r="7662">
      <c r="A7662" s="121">
        <v>62601.0</v>
      </c>
    </row>
    <row r="7663">
      <c r="A7663" s="121">
        <v>62602.0</v>
      </c>
    </row>
    <row r="7664">
      <c r="A7664" s="121">
        <v>62603.0</v>
      </c>
    </row>
    <row r="7665">
      <c r="A7665" s="121">
        <v>62604.0</v>
      </c>
    </row>
    <row r="7666">
      <c r="A7666" s="121">
        <v>62605.0</v>
      </c>
    </row>
    <row r="7667">
      <c r="A7667" s="121">
        <v>62606.0</v>
      </c>
    </row>
    <row r="7668">
      <c r="A7668" s="121">
        <v>62607.0</v>
      </c>
    </row>
    <row r="7669">
      <c r="A7669" s="121">
        <v>62735.0</v>
      </c>
    </row>
    <row r="7670">
      <c r="A7670" s="121">
        <v>62736.0</v>
      </c>
    </row>
    <row r="7671">
      <c r="A7671" s="121">
        <v>62737.0</v>
      </c>
    </row>
    <row r="7672">
      <c r="A7672" s="121">
        <v>62738.0</v>
      </c>
    </row>
    <row r="7673">
      <c r="A7673" s="121">
        <v>62739.0</v>
      </c>
    </row>
    <row r="7674">
      <c r="A7674" s="121">
        <v>62740.0</v>
      </c>
    </row>
    <row r="7675">
      <c r="A7675" s="121">
        <v>62741.0</v>
      </c>
    </row>
    <row r="7676">
      <c r="A7676" s="121">
        <v>62742.0</v>
      </c>
    </row>
    <row r="7677">
      <c r="A7677" s="121">
        <v>62743.0</v>
      </c>
    </row>
    <row r="7678">
      <c r="A7678" s="121">
        <v>62744.0</v>
      </c>
    </row>
    <row r="7679">
      <c r="A7679" s="121">
        <v>62745.0</v>
      </c>
    </row>
    <row r="7680">
      <c r="A7680" s="121">
        <v>62746.0</v>
      </c>
    </row>
    <row r="7681">
      <c r="A7681" s="121">
        <v>62747.0</v>
      </c>
    </row>
    <row r="7682">
      <c r="A7682" s="121">
        <v>62748.0</v>
      </c>
    </row>
    <row r="7683">
      <c r="A7683" s="121">
        <v>62749.0</v>
      </c>
    </row>
    <row r="7684">
      <c r="A7684" s="121">
        <v>62750.0</v>
      </c>
    </row>
    <row r="7685">
      <c r="A7685" s="121">
        <v>62751.0</v>
      </c>
    </row>
    <row r="7686">
      <c r="A7686" s="121">
        <v>62752.0</v>
      </c>
    </row>
    <row r="7687">
      <c r="A7687" s="121">
        <v>62753.0</v>
      </c>
    </row>
    <row r="7688">
      <c r="A7688" s="121">
        <v>62754.0</v>
      </c>
    </row>
    <row r="7689">
      <c r="A7689" s="121">
        <v>62755.0</v>
      </c>
    </row>
    <row r="7690">
      <c r="A7690" s="121">
        <v>62758.0</v>
      </c>
    </row>
    <row r="7691">
      <c r="A7691" s="121">
        <v>62759.0</v>
      </c>
    </row>
    <row r="7692">
      <c r="A7692" s="121">
        <v>62760.0</v>
      </c>
    </row>
    <row r="7693">
      <c r="A7693" s="121">
        <v>62761.0</v>
      </c>
    </row>
    <row r="7694">
      <c r="A7694" s="121">
        <v>62762.0</v>
      </c>
    </row>
    <row r="7695">
      <c r="A7695" s="121">
        <v>62763.0</v>
      </c>
    </row>
    <row r="7696">
      <c r="A7696" s="121">
        <v>62764.0</v>
      </c>
    </row>
    <row r="7697">
      <c r="A7697" s="121">
        <v>62765.0</v>
      </c>
    </row>
    <row r="7698">
      <c r="A7698" s="121">
        <v>62766.0</v>
      </c>
    </row>
    <row r="7699">
      <c r="A7699" s="121">
        <v>62767.0</v>
      </c>
    </row>
    <row r="7700">
      <c r="A7700" s="121">
        <v>62768.0</v>
      </c>
    </row>
    <row r="7701">
      <c r="A7701" s="121">
        <v>62769.0</v>
      </c>
    </row>
    <row r="7702">
      <c r="A7702" s="121">
        <v>62770.0</v>
      </c>
    </row>
    <row r="7703">
      <c r="A7703" s="121">
        <v>62771.0</v>
      </c>
    </row>
    <row r="7704">
      <c r="A7704" s="121">
        <v>62772.0</v>
      </c>
    </row>
    <row r="7705">
      <c r="A7705" s="121">
        <v>62773.0</v>
      </c>
    </row>
    <row r="7706">
      <c r="A7706" s="121">
        <v>62774.0</v>
      </c>
    </row>
    <row r="7707">
      <c r="A7707" s="121">
        <v>62775.0</v>
      </c>
    </row>
    <row r="7708">
      <c r="A7708" s="121">
        <v>62776.0</v>
      </c>
    </row>
    <row r="7709">
      <c r="A7709" s="121">
        <v>62777.0</v>
      </c>
    </row>
    <row r="7710">
      <c r="A7710" s="121">
        <v>62778.0</v>
      </c>
    </row>
    <row r="7711">
      <c r="A7711" s="121">
        <v>62779.0</v>
      </c>
    </row>
    <row r="7712">
      <c r="A7712" s="121">
        <v>62780.0</v>
      </c>
    </row>
    <row r="7713">
      <c r="A7713" s="121">
        <v>62781.0</v>
      </c>
    </row>
    <row r="7714">
      <c r="A7714" s="121">
        <v>62782.0</v>
      </c>
    </row>
    <row r="7715">
      <c r="A7715" s="121">
        <v>62783.0</v>
      </c>
    </row>
    <row r="7716">
      <c r="A7716" s="121">
        <v>62784.0</v>
      </c>
    </row>
    <row r="7717">
      <c r="A7717" s="121">
        <v>62806.0</v>
      </c>
    </row>
    <row r="7718">
      <c r="A7718" s="121">
        <v>62807.0</v>
      </c>
    </row>
    <row r="7719">
      <c r="A7719" s="121">
        <v>62808.0</v>
      </c>
    </row>
    <row r="7720">
      <c r="A7720" s="121">
        <v>62809.0</v>
      </c>
    </row>
    <row r="7721">
      <c r="A7721" s="121">
        <v>62810.0</v>
      </c>
    </row>
    <row r="7722">
      <c r="A7722" s="121">
        <v>62811.0</v>
      </c>
    </row>
    <row r="7723">
      <c r="A7723" s="121">
        <v>62812.0</v>
      </c>
    </row>
    <row r="7724">
      <c r="A7724" s="121">
        <v>62813.0</v>
      </c>
    </row>
    <row r="7725">
      <c r="A7725" s="121">
        <v>62814.0</v>
      </c>
    </row>
    <row r="7726">
      <c r="A7726" s="121">
        <v>62815.0</v>
      </c>
    </row>
    <row r="7727">
      <c r="A7727" s="121">
        <v>62816.0</v>
      </c>
    </row>
    <row r="7728">
      <c r="A7728" s="121">
        <v>62817.0</v>
      </c>
    </row>
    <row r="7729">
      <c r="A7729" s="121">
        <v>62818.0</v>
      </c>
    </row>
    <row r="7730">
      <c r="A7730" s="121">
        <v>62819.0</v>
      </c>
    </row>
    <row r="7731">
      <c r="A7731" s="121">
        <v>62820.0</v>
      </c>
    </row>
    <row r="7732">
      <c r="A7732" s="121">
        <v>62821.0</v>
      </c>
    </row>
    <row r="7733">
      <c r="A7733" s="121">
        <v>62822.0</v>
      </c>
    </row>
    <row r="7734">
      <c r="A7734" s="121">
        <v>62823.0</v>
      </c>
    </row>
    <row r="7735">
      <c r="A7735" s="121">
        <v>62824.0</v>
      </c>
    </row>
    <row r="7736">
      <c r="A7736" s="121">
        <v>62825.0</v>
      </c>
    </row>
    <row r="7737">
      <c r="A7737" s="121">
        <v>62826.0</v>
      </c>
    </row>
    <row r="7738">
      <c r="A7738" s="121">
        <v>62827.0</v>
      </c>
      <c r="B7738" s="122">
        <v>46027.0</v>
      </c>
    </row>
    <row r="7739">
      <c r="A7739" s="121">
        <v>62828.0</v>
      </c>
    </row>
    <row r="7740">
      <c r="A7740" s="121">
        <v>62829.0</v>
      </c>
    </row>
    <row r="7741">
      <c r="A7741" s="121">
        <v>62830.0</v>
      </c>
    </row>
    <row r="7742">
      <c r="A7742" s="121">
        <v>62831.0</v>
      </c>
    </row>
    <row r="7743">
      <c r="A7743" s="121">
        <v>62832.0</v>
      </c>
    </row>
    <row r="7744">
      <c r="A7744" s="121">
        <v>62833.0</v>
      </c>
    </row>
    <row r="7745">
      <c r="A7745" s="121">
        <v>62834.0</v>
      </c>
    </row>
    <row r="7746">
      <c r="A7746" s="121">
        <v>62835.0</v>
      </c>
    </row>
    <row r="7747">
      <c r="A7747" s="121">
        <v>62836.0</v>
      </c>
    </row>
    <row r="7748">
      <c r="A7748" s="121">
        <v>62837.0</v>
      </c>
    </row>
    <row r="7749">
      <c r="A7749" s="121">
        <v>62838.0</v>
      </c>
    </row>
    <row r="7750">
      <c r="A7750" s="121">
        <v>62839.0</v>
      </c>
    </row>
    <row r="7751">
      <c r="A7751" s="121">
        <v>62840.0</v>
      </c>
    </row>
    <row r="7752">
      <c r="A7752" s="121">
        <v>62841.0</v>
      </c>
    </row>
    <row r="7753">
      <c r="A7753" s="121">
        <v>62842.0</v>
      </c>
    </row>
    <row r="7754">
      <c r="A7754" s="121">
        <v>62843.0</v>
      </c>
    </row>
    <row r="7755">
      <c r="A7755" s="121">
        <v>62844.0</v>
      </c>
    </row>
    <row r="7756">
      <c r="A7756" s="121">
        <v>62845.0</v>
      </c>
    </row>
    <row r="7757">
      <c r="A7757" s="121">
        <v>62846.0</v>
      </c>
    </row>
    <row r="7758">
      <c r="A7758" s="121">
        <v>62847.0</v>
      </c>
    </row>
    <row r="7759">
      <c r="A7759" s="121">
        <v>62848.0</v>
      </c>
    </row>
    <row r="7760">
      <c r="A7760" s="121">
        <v>62849.0</v>
      </c>
    </row>
    <row r="7761">
      <c r="A7761" s="121">
        <v>62854.0</v>
      </c>
    </row>
    <row r="7762">
      <c r="A7762" s="121">
        <v>62855.0</v>
      </c>
    </row>
    <row r="7763">
      <c r="A7763" s="121">
        <v>62856.0</v>
      </c>
    </row>
    <row r="7764">
      <c r="A7764" s="121">
        <v>62857.0</v>
      </c>
    </row>
    <row r="7765">
      <c r="A7765" s="121">
        <v>62858.0</v>
      </c>
    </row>
    <row r="7766">
      <c r="A7766" s="121">
        <v>62859.0</v>
      </c>
    </row>
    <row r="7767">
      <c r="A7767" s="121">
        <v>62860.0</v>
      </c>
    </row>
    <row r="7768">
      <c r="A7768" s="121">
        <v>62861.0</v>
      </c>
    </row>
    <row r="7769">
      <c r="A7769" s="121">
        <v>62862.0</v>
      </c>
    </row>
    <row r="7770">
      <c r="A7770" s="121">
        <v>62863.0</v>
      </c>
    </row>
    <row r="7771">
      <c r="A7771" s="121">
        <v>62864.0</v>
      </c>
    </row>
    <row r="7772">
      <c r="A7772" s="121">
        <v>62865.0</v>
      </c>
    </row>
    <row r="7773">
      <c r="A7773" s="121">
        <v>62866.0</v>
      </c>
    </row>
    <row r="7774">
      <c r="A7774" s="121">
        <v>62867.0</v>
      </c>
    </row>
    <row r="7775">
      <c r="A7775" s="121">
        <v>62868.0</v>
      </c>
    </row>
    <row r="7776">
      <c r="A7776" s="121">
        <v>62869.0</v>
      </c>
    </row>
    <row r="7777">
      <c r="A7777" s="121">
        <v>62870.0</v>
      </c>
    </row>
    <row r="7778">
      <c r="A7778" s="121">
        <v>62871.0</v>
      </c>
    </row>
    <row r="7779">
      <c r="A7779" s="121">
        <v>62872.0</v>
      </c>
    </row>
    <row r="7780">
      <c r="A7780" s="121">
        <v>62873.0</v>
      </c>
    </row>
    <row r="7781">
      <c r="A7781" s="121">
        <v>62874.0</v>
      </c>
    </row>
    <row r="7782">
      <c r="A7782" s="121">
        <v>62875.0</v>
      </c>
    </row>
    <row r="7783">
      <c r="A7783" s="121">
        <v>62879.0</v>
      </c>
    </row>
    <row r="7784">
      <c r="A7784" s="121">
        <v>62880.0</v>
      </c>
    </row>
    <row r="7785">
      <c r="A7785" s="121">
        <v>62881.0</v>
      </c>
    </row>
    <row r="7786">
      <c r="A7786" s="121">
        <v>62882.0</v>
      </c>
    </row>
    <row r="7787">
      <c r="A7787" s="121">
        <v>62883.0</v>
      </c>
    </row>
    <row r="7788">
      <c r="A7788" s="121">
        <v>62884.0</v>
      </c>
    </row>
    <row r="7789">
      <c r="A7789" s="121">
        <v>62885.0</v>
      </c>
    </row>
    <row r="7790">
      <c r="A7790" s="121">
        <v>62886.0</v>
      </c>
    </row>
    <row r="7791">
      <c r="A7791" s="121">
        <v>62887.0</v>
      </c>
    </row>
    <row r="7792">
      <c r="A7792" s="121">
        <v>62888.0</v>
      </c>
    </row>
    <row r="7793">
      <c r="A7793" s="121">
        <v>62889.0</v>
      </c>
    </row>
    <row r="7794">
      <c r="A7794" s="121">
        <v>62890.0</v>
      </c>
    </row>
    <row r="7795">
      <c r="A7795" s="121">
        <v>62891.0</v>
      </c>
    </row>
    <row r="7796">
      <c r="A7796" s="121">
        <v>62892.0</v>
      </c>
    </row>
    <row r="7797">
      <c r="A7797" s="121">
        <v>62893.0</v>
      </c>
    </row>
    <row r="7798">
      <c r="A7798" s="121">
        <v>62894.0</v>
      </c>
    </row>
    <row r="7799">
      <c r="A7799" s="121">
        <v>62895.0</v>
      </c>
    </row>
    <row r="7800">
      <c r="A7800" s="121">
        <v>62896.0</v>
      </c>
    </row>
    <row r="7801">
      <c r="A7801" s="121">
        <v>62897.0</v>
      </c>
    </row>
    <row r="7802">
      <c r="A7802" s="121">
        <v>62898.0</v>
      </c>
    </row>
    <row r="7803">
      <c r="A7803" s="121">
        <v>62899.0</v>
      </c>
    </row>
    <row r="7804">
      <c r="A7804" s="121">
        <v>62907.0</v>
      </c>
    </row>
    <row r="7805">
      <c r="A7805" s="121">
        <v>62908.0</v>
      </c>
    </row>
    <row r="7806">
      <c r="A7806" s="121">
        <v>62909.0</v>
      </c>
    </row>
    <row r="7807">
      <c r="A7807" s="121">
        <v>62910.0</v>
      </c>
    </row>
    <row r="7808">
      <c r="A7808" s="121">
        <v>62911.0</v>
      </c>
    </row>
    <row r="7809">
      <c r="A7809" s="121">
        <v>62912.0</v>
      </c>
    </row>
    <row r="7810">
      <c r="A7810" s="121">
        <v>62913.0</v>
      </c>
    </row>
    <row r="7811">
      <c r="A7811" s="121">
        <v>62914.0</v>
      </c>
    </row>
    <row r="7812">
      <c r="A7812" s="121">
        <v>62915.0</v>
      </c>
    </row>
    <row r="7813">
      <c r="A7813" s="121">
        <v>62916.0</v>
      </c>
    </row>
    <row r="7814">
      <c r="A7814" s="121">
        <v>62917.0</v>
      </c>
    </row>
    <row r="7815">
      <c r="A7815" s="121">
        <v>62918.0</v>
      </c>
    </row>
    <row r="7816">
      <c r="A7816" s="121">
        <v>62919.0</v>
      </c>
    </row>
    <row r="7817">
      <c r="A7817" s="121">
        <v>62920.0</v>
      </c>
    </row>
    <row r="7818">
      <c r="A7818" s="121">
        <v>62921.0</v>
      </c>
    </row>
    <row r="7819">
      <c r="A7819" s="121">
        <v>62922.0</v>
      </c>
    </row>
    <row r="7820">
      <c r="A7820" s="121">
        <v>62923.0</v>
      </c>
    </row>
    <row r="7821">
      <c r="A7821" s="121">
        <v>62924.0</v>
      </c>
    </row>
    <row r="7822">
      <c r="A7822" s="121">
        <v>62925.0</v>
      </c>
    </row>
    <row r="7823">
      <c r="A7823" s="121">
        <v>62926.0</v>
      </c>
    </row>
    <row r="7824">
      <c r="A7824" s="121">
        <v>62927.0</v>
      </c>
    </row>
    <row r="7825">
      <c r="A7825" s="121">
        <v>62948.0</v>
      </c>
    </row>
    <row r="7826">
      <c r="A7826" s="121">
        <v>62949.0</v>
      </c>
    </row>
    <row r="7827">
      <c r="A7827" s="121">
        <v>62950.0</v>
      </c>
    </row>
    <row r="7828">
      <c r="A7828" s="121">
        <v>62951.0</v>
      </c>
    </row>
    <row r="7829">
      <c r="A7829" s="121">
        <v>62952.0</v>
      </c>
    </row>
    <row r="7830">
      <c r="A7830" s="121">
        <v>62953.0</v>
      </c>
    </row>
    <row r="7831">
      <c r="A7831" s="121">
        <v>62954.0</v>
      </c>
    </row>
    <row r="7832">
      <c r="A7832" s="121">
        <v>62955.0</v>
      </c>
    </row>
    <row r="7833">
      <c r="A7833" s="121">
        <v>62956.0</v>
      </c>
    </row>
    <row r="7834">
      <c r="A7834" s="121">
        <v>62957.0</v>
      </c>
    </row>
    <row r="7835">
      <c r="A7835" s="121">
        <v>62958.0</v>
      </c>
    </row>
    <row r="7836">
      <c r="A7836" s="121">
        <v>62959.0</v>
      </c>
    </row>
    <row r="7837">
      <c r="A7837" s="121">
        <v>62960.0</v>
      </c>
    </row>
    <row r="7838">
      <c r="A7838" s="121">
        <v>62961.0</v>
      </c>
    </row>
    <row r="7839">
      <c r="A7839" s="121">
        <v>62962.0</v>
      </c>
    </row>
    <row r="7840">
      <c r="A7840" s="121">
        <v>62963.0</v>
      </c>
    </row>
    <row r="7841">
      <c r="A7841" s="121">
        <v>62964.0</v>
      </c>
    </row>
    <row r="7842">
      <c r="A7842" s="121">
        <v>62965.0</v>
      </c>
    </row>
    <row r="7843">
      <c r="A7843" s="121">
        <v>62966.0</v>
      </c>
    </row>
    <row r="7844">
      <c r="A7844" s="121">
        <v>62967.0</v>
      </c>
    </row>
    <row r="7845">
      <c r="A7845" s="121">
        <v>62968.0</v>
      </c>
    </row>
    <row r="7846">
      <c r="A7846" s="121">
        <v>62969.0</v>
      </c>
    </row>
    <row r="7847">
      <c r="A7847" s="121">
        <v>62970.0</v>
      </c>
    </row>
    <row r="7848">
      <c r="A7848" s="121">
        <v>62981.0</v>
      </c>
    </row>
    <row r="7849">
      <c r="A7849" s="121">
        <v>62982.0</v>
      </c>
    </row>
    <row r="7850">
      <c r="A7850" s="121">
        <v>62983.0</v>
      </c>
    </row>
    <row r="7851">
      <c r="A7851" s="121">
        <v>62984.0</v>
      </c>
    </row>
    <row r="7852">
      <c r="A7852" s="121">
        <v>62985.0</v>
      </c>
    </row>
    <row r="7853">
      <c r="A7853" s="121">
        <v>62986.0</v>
      </c>
    </row>
    <row r="7854">
      <c r="A7854" s="121">
        <v>62987.0</v>
      </c>
    </row>
    <row r="7855">
      <c r="A7855" s="121">
        <v>62988.0</v>
      </c>
    </row>
    <row r="7856">
      <c r="A7856" s="121">
        <v>62989.0</v>
      </c>
    </row>
    <row r="7857">
      <c r="A7857" s="121">
        <v>62990.0</v>
      </c>
    </row>
    <row r="7858">
      <c r="A7858" s="121">
        <v>62991.0</v>
      </c>
    </row>
    <row r="7859">
      <c r="A7859" s="121">
        <v>62992.0</v>
      </c>
    </row>
    <row r="7860">
      <c r="A7860" s="121">
        <v>62993.0</v>
      </c>
    </row>
    <row r="7861">
      <c r="A7861" s="121">
        <v>62994.0</v>
      </c>
    </row>
    <row r="7862">
      <c r="A7862" s="121">
        <v>62995.0</v>
      </c>
    </row>
    <row r="7863">
      <c r="A7863" s="121">
        <v>62996.0</v>
      </c>
    </row>
    <row r="7864">
      <c r="A7864" s="121">
        <v>62997.0</v>
      </c>
    </row>
    <row r="7865">
      <c r="A7865" s="121">
        <v>62998.0</v>
      </c>
    </row>
    <row r="7866">
      <c r="A7866" s="121">
        <v>62999.0</v>
      </c>
    </row>
    <row r="7867">
      <c r="A7867" s="121">
        <v>63000.0</v>
      </c>
    </row>
    <row r="7868">
      <c r="A7868" s="121">
        <v>63001.0</v>
      </c>
    </row>
    <row r="7869">
      <c r="A7869" s="121">
        <v>63005.0</v>
      </c>
    </row>
    <row r="7870">
      <c r="A7870" s="121">
        <v>63006.0</v>
      </c>
    </row>
    <row r="7871">
      <c r="A7871" s="121">
        <v>63007.0</v>
      </c>
    </row>
    <row r="7872">
      <c r="A7872" s="121">
        <v>63008.0</v>
      </c>
    </row>
    <row r="7873">
      <c r="A7873" s="121">
        <v>63009.0</v>
      </c>
    </row>
    <row r="7874">
      <c r="A7874" s="121">
        <v>63010.0</v>
      </c>
    </row>
    <row r="7875">
      <c r="A7875" s="121">
        <v>63011.0</v>
      </c>
    </row>
    <row r="7876">
      <c r="A7876" s="121">
        <v>63012.0</v>
      </c>
    </row>
    <row r="7877">
      <c r="A7877" s="121">
        <v>63013.0</v>
      </c>
    </row>
    <row r="7878">
      <c r="A7878" s="121">
        <v>63014.0</v>
      </c>
    </row>
    <row r="7879">
      <c r="A7879" s="121">
        <v>63015.0</v>
      </c>
    </row>
    <row r="7880">
      <c r="A7880" s="121">
        <v>63016.0</v>
      </c>
    </row>
    <row r="7881">
      <c r="A7881" s="121">
        <v>63017.0</v>
      </c>
    </row>
    <row r="7882">
      <c r="A7882" s="121">
        <v>63018.0</v>
      </c>
    </row>
    <row r="7883">
      <c r="A7883" s="121">
        <v>63019.0</v>
      </c>
    </row>
    <row r="7884">
      <c r="A7884" s="121">
        <v>63020.0</v>
      </c>
    </row>
    <row r="7885">
      <c r="A7885" s="121">
        <v>63021.0</v>
      </c>
    </row>
    <row r="7886">
      <c r="A7886" s="121">
        <v>63022.0</v>
      </c>
    </row>
    <row r="7887">
      <c r="A7887" s="121">
        <v>63023.0</v>
      </c>
    </row>
    <row r="7888">
      <c r="A7888" s="121">
        <v>63024.0</v>
      </c>
    </row>
    <row r="7889">
      <c r="A7889" s="121">
        <v>63025.0</v>
      </c>
    </row>
    <row r="7890">
      <c r="A7890" s="121">
        <v>63029.0</v>
      </c>
    </row>
    <row r="7891">
      <c r="A7891" s="121">
        <v>63030.0</v>
      </c>
    </row>
    <row r="7892">
      <c r="A7892" s="121">
        <v>63031.0</v>
      </c>
    </row>
    <row r="7893">
      <c r="A7893" s="121">
        <v>63032.0</v>
      </c>
    </row>
    <row r="7894">
      <c r="A7894" s="121">
        <v>63033.0</v>
      </c>
    </row>
    <row r="7895">
      <c r="A7895" s="121">
        <v>63034.0</v>
      </c>
    </row>
    <row r="7896">
      <c r="A7896" s="121">
        <v>63035.0</v>
      </c>
    </row>
    <row r="7897">
      <c r="A7897" s="121">
        <v>63036.0</v>
      </c>
    </row>
    <row r="7898">
      <c r="A7898" s="121">
        <v>63037.0</v>
      </c>
    </row>
    <row r="7899">
      <c r="A7899" s="121">
        <v>63038.0</v>
      </c>
    </row>
    <row r="7900">
      <c r="A7900" s="121">
        <v>63039.0</v>
      </c>
    </row>
    <row r="7901">
      <c r="A7901" s="121">
        <v>63040.0</v>
      </c>
    </row>
    <row r="7902">
      <c r="A7902" s="121">
        <v>63041.0</v>
      </c>
    </row>
    <row r="7903">
      <c r="A7903" s="121">
        <v>63042.0</v>
      </c>
    </row>
    <row r="7904">
      <c r="A7904" s="121">
        <v>63043.0</v>
      </c>
    </row>
    <row r="7905">
      <c r="A7905" s="121">
        <v>63044.0</v>
      </c>
    </row>
    <row r="7906">
      <c r="A7906" s="121">
        <v>63045.0</v>
      </c>
    </row>
    <row r="7907">
      <c r="A7907" s="121">
        <v>63046.0</v>
      </c>
    </row>
    <row r="7908">
      <c r="A7908" s="121">
        <v>63047.0</v>
      </c>
    </row>
    <row r="7909">
      <c r="A7909" s="121">
        <v>63048.0</v>
      </c>
    </row>
    <row r="7910">
      <c r="A7910" s="121">
        <v>63049.0</v>
      </c>
    </row>
    <row r="7911">
      <c r="A7911" s="121">
        <v>63050.0</v>
      </c>
    </row>
    <row r="7912">
      <c r="A7912" s="121">
        <v>63051.0</v>
      </c>
    </row>
    <row r="7913">
      <c r="A7913" s="121">
        <v>63052.0</v>
      </c>
    </row>
    <row r="7914">
      <c r="A7914" s="121">
        <v>63053.0</v>
      </c>
    </row>
    <row r="7915">
      <c r="A7915" s="121">
        <v>63054.0</v>
      </c>
    </row>
    <row r="7916">
      <c r="A7916" s="121">
        <v>63055.0</v>
      </c>
    </row>
    <row r="7917">
      <c r="A7917" s="121">
        <v>63056.0</v>
      </c>
    </row>
    <row r="7918">
      <c r="A7918" s="121">
        <v>63057.0</v>
      </c>
    </row>
    <row r="7919">
      <c r="A7919" s="121">
        <v>63058.0</v>
      </c>
    </row>
    <row r="7920">
      <c r="A7920" s="121">
        <v>63059.0</v>
      </c>
    </row>
    <row r="7921">
      <c r="A7921" s="121">
        <v>63060.0</v>
      </c>
    </row>
    <row r="7922">
      <c r="A7922" s="121">
        <v>63061.0</v>
      </c>
    </row>
    <row r="7923">
      <c r="A7923" s="121">
        <v>63062.0</v>
      </c>
    </row>
    <row r="7924">
      <c r="A7924" s="121">
        <v>63063.0</v>
      </c>
    </row>
    <row r="7925">
      <c r="A7925" s="121">
        <v>63064.0</v>
      </c>
    </row>
    <row r="7926">
      <c r="A7926" s="121">
        <v>63065.0</v>
      </c>
    </row>
    <row r="7927">
      <c r="A7927" s="121">
        <v>63066.0</v>
      </c>
    </row>
    <row r="7928">
      <c r="A7928" s="121">
        <v>63067.0</v>
      </c>
    </row>
    <row r="7929">
      <c r="A7929" s="121">
        <v>63068.0</v>
      </c>
    </row>
    <row r="7930">
      <c r="A7930" s="121">
        <v>63069.0</v>
      </c>
    </row>
    <row r="7931">
      <c r="A7931" s="121">
        <v>63070.0</v>
      </c>
    </row>
    <row r="7932">
      <c r="A7932" s="121">
        <v>63071.0</v>
      </c>
    </row>
    <row r="7933">
      <c r="A7933" s="121">
        <v>63072.0</v>
      </c>
    </row>
    <row r="7934">
      <c r="A7934" s="121">
        <v>63073.0</v>
      </c>
    </row>
    <row r="7935">
      <c r="A7935" s="121">
        <v>63074.0</v>
      </c>
    </row>
    <row r="7936">
      <c r="A7936" s="121">
        <v>63077.0</v>
      </c>
    </row>
    <row r="7937">
      <c r="A7937" s="121">
        <v>63078.0</v>
      </c>
    </row>
    <row r="7938">
      <c r="A7938" s="121">
        <v>63079.0</v>
      </c>
    </row>
    <row r="7939">
      <c r="A7939" s="121">
        <v>63080.0</v>
      </c>
    </row>
    <row r="7940">
      <c r="A7940" s="121">
        <v>63081.0</v>
      </c>
    </row>
    <row r="7941">
      <c r="A7941" s="121">
        <v>63082.0</v>
      </c>
    </row>
    <row r="7942">
      <c r="A7942" s="121">
        <v>63083.0</v>
      </c>
    </row>
    <row r="7943">
      <c r="A7943" s="121">
        <v>63084.0</v>
      </c>
    </row>
    <row r="7944">
      <c r="A7944" s="121">
        <v>63085.0</v>
      </c>
    </row>
    <row r="7945">
      <c r="A7945" s="121">
        <v>63086.0</v>
      </c>
    </row>
    <row r="7946">
      <c r="A7946" s="121">
        <v>63087.0</v>
      </c>
    </row>
    <row r="7947">
      <c r="A7947" s="121">
        <v>63088.0</v>
      </c>
    </row>
    <row r="7948">
      <c r="A7948" s="121">
        <v>63089.0</v>
      </c>
    </row>
    <row r="7949">
      <c r="A7949" s="121">
        <v>63090.0</v>
      </c>
    </row>
    <row r="7950">
      <c r="A7950" s="121">
        <v>63091.0</v>
      </c>
    </row>
    <row r="7951">
      <c r="A7951" s="121">
        <v>63092.0</v>
      </c>
    </row>
    <row r="7952">
      <c r="A7952" s="121">
        <v>63093.0</v>
      </c>
    </row>
    <row r="7953">
      <c r="A7953" s="121">
        <v>63094.0</v>
      </c>
    </row>
    <row r="7954">
      <c r="A7954" s="121">
        <v>63095.0</v>
      </c>
    </row>
    <row r="7955">
      <c r="A7955" s="121">
        <v>63096.0</v>
      </c>
    </row>
    <row r="7956">
      <c r="A7956" s="121">
        <v>63097.0</v>
      </c>
    </row>
    <row r="7957">
      <c r="A7957" s="121">
        <v>63098.0</v>
      </c>
    </row>
    <row r="7958">
      <c r="A7958" s="121">
        <v>63104.0</v>
      </c>
    </row>
    <row r="7959">
      <c r="A7959" s="121">
        <v>63105.0</v>
      </c>
    </row>
    <row r="7960">
      <c r="A7960" s="121">
        <v>63106.0</v>
      </c>
    </row>
    <row r="7961">
      <c r="A7961" s="121">
        <v>63107.0</v>
      </c>
    </row>
    <row r="7962">
      <c r="A7962" s="121">
        <v>63108.0</v>
      </c>
    </row>
    <row r="7963">
      <c r="A7963" s="121">
        <v>63109.0</v>
      </c>
    </row>
    <row r="7964">
      <c r="A7964" s="121">
        <v>63110.0</v>
      </c>
    </row>
    <row r="7965">
      <c r="A7965" s="121">
        <v>63111.0</v>
      </c>
    </row>
    <row r="7966">
      <c r="A7966" s="121">
        <v>63112.0</v>
      </c>
    </row>
    <row r="7967">
      <c r="A7967" s="121">
        <v>63113.0</v>
      </c>
    </row>
    <row r="7968">
      <c r="A7968" s="121">
        <v>63114.0</v>
      </c>
    </row>
    <row r="7969">
      <c r="A7969" s="121">
        <v>63115.0</v>
      </c>
    </row>
    <row r="7970">
      <c r="A7970" s="121">
        <v>63116.0</v>
      </c>
    </row>
    <row r="7971">
      <c r="A7971" s="121">
        <v>63117.0</v>
      </c>
    </row>
    <row r="7972">
      <c r="A7972" s="121">
        <v>63118.0</v>
      </c>
    </row>
    <row r="7973">
      <c r="A7973" s="121">
        <v>63119.0</v>
      </c>
    </row>
    <row r="7974">
      <c r="A7974" s="121">
        <v>63120.0</v>
      </c>
    </row>
    <row r="7975">
      <c r="A7975" s="121">
        <v>63121.0</v>
      </c>
    </row>
    <row r="7976">
      <c r="A7976" s="121">
        <v>63122.0</v>
      </c>
    </row>
    <row r="7977">
      <c r="A7977" s="121">
        <v>63123.0</v>
      </c>
    </row>
    <row r="7978">
      <c r="A7978" s="121">
        <v>63124.0</v>
      </c>
    </row>
    <row r="7979">
      <c r="A7979" s="121">
        <v>63132.0</v>
      </c>
    </row>
    <row r="7980">
      <c r="A7980" s="121">
        <v>63133.0</v>
      </c>
    </row>
    <row r="7981">
      <c r="A7981" s="121">
        <v>63134.0</v>
      </c>
    </row>
    <row r="7982">
      <c r="A7982" s="121">
        <v>63135.0</v>
      </c>
    </row>
    <row r="7983">
      <c r="A7983" s="121">
        <v>63136.0</v>
      </c>
    </row>
    <row r="7984">
      <c r="A7984" s="121">
        <v>63137.0</v>
      </c>
    </row>
    <row r="7985">
      <c r="A7985" s="121">
        <v>63138.0</v>
      </c>
    </row>
    <row r="7986">
      <c r="A7986" s="121">
        <v>63139.0</v>
      </c>
    </row>
    <row r="7987">
      <c r="A7987" s="121">
        <v>63140.0</v>
      </c>
    </row>
    <row r="7988">
      <c r="A7988" s="121">
        <v>63141.0</v>
      </c>
    </row>
    <row r="7989">
      <c r="A7989" s="121">
        <v>63142.0</v>
      </c>
    </row>
    <row r="7990">
      <c r="A7990" s="121">
        <v>63143.0</v>
      </c>
    </row>
    <row r="7991">
      <c r="A7991" s="121">
        <v>63144.0</v>
      </c>
    </row>
    <row r="7992">
      <c r="A7992" s="121">
        <v>63145.0</v>
      </c>
    </row>
    <row r="7993">
      <c r="A7993" s="121">
        <v>63146.0</v>
      </c>
    </row>
    <row r="7994">
      <c r="A7994" s="121">
        <v>63147.0</v>
      </c>
    </row>
    <row r="7995">
      <c r="A7995" s="121">
        <v>63148.0</v>
      </c>
    </row>
    <row r="7996">
      <c r="A7996" s="121">
        <v>63149.0</v>
      </c>
    </row>
    <row r="7997">
      <c r="A7997" s="121">
        <v>63150.0</v>
      </c>
    </row>
    <row r="7998">
      <c r="A7998" s="121">
        <v>63151.0</v>
      </c>
    </row>
    <row r="7999">
      <c r="A7999" s="121">
        <v>63152.0</v>
      </c>
    </row>
    <row r="8000">
      <c r="A8000" s="121">
        <v>63183.0</v>
      </c>
    </row>
    <row r="8001">
      <c r="A8001" s="121">
        <v>63184.0</v>
      </c>
    </row>
    <row r="8002">
      <c r="A8002" s="121">
        <v>63185.0</v>
      </c>
    </row>
    <row r="8003">
      <c r="A8003" s="121">
        <v>63186.0</v>
      </c>
    </row>
    <row r="8004">
      <c r="A8004" s="121">
        <v>63187.0</v>
      </c>
    </row>
    <row r="8005">
      <c r="A8005" s="121">
        <v>63188.0</v>
      </c>
    </row>
    <row r="8006">
      <c r="A8006" s="121">
        <v>63189.0</v>
      </c>
    </row>
    <row r="8007">
      <c r="A8007" s="121">
        <v>63190.0</v>
      </c>
    </row>
    <row r="8008">
      <c r="A8008" s="121">
        <v>63191.0</v>
      </c>
    </row>
    <row r="8009">
      <c r="A8009" s="121">
        <v>63192.0</v>
      </c>
    </row>
    <row r="8010">
      <c r="A8010" s="121">
        <v>63193.0</v>
      </c>
    </row>
    <row r="8011">
      <c r="A8011" s="121">
        <v>63194.0</v>
      </c>
    </row>
    <row r="8012">
      <c r="A8012" s="121">
        <v>63195.0</v>
      </c>
    </row>
    <row r="8013">
      <c r="A8013" s="121">
        <v>63196.0</v>
      </c>
    </row>
    <row r="8014">
      <c r="A8014" s="121">
        <v>63197.0</v>
      </c>
    </row>
    <row r="8015">
      <c r="A8015" s="121">
        <v>63198.0</v>
      </c>
    </row>
    <row r="8016">
      <c r="A8016" s="121">
        <v>63199.0</v>
      </c>
    </row>
    <row r="8017">
      <c r="A8017" s="121">
        <v>63200.0</v>
      </c>
    </row>
    <row r="8018">
      <c r="A8018" s="121">
        <v>63201.0</v>
      </c>
    </row>
    <row r="8019">
      <c r="A8019" s="121">
        <v>63202.0</v>
      </c>
    </row>
    <row r="8020">
      <c r="A8020" s="121">
        <v>63203.0</v>
      </c>
    </row>
    <row r="8021">
      <c r="A8021" s="121">
        <v>63265.0</v>
      </c>
    </row>
    <row r="8022">
      <c r="A8022" s="121">
        <v>63266.0</v>
      </c>
    </row>
    <row r="8023">
      <c r="A8023" s="121">
        <v>63267.0</v>
      </c>
    </row>
    <row r="8024">
      <c r="A8024" s="121">
        <v>63268.0</v>
      </c>
    </row>
    <row r="8025">
      <c r="A8025" s="121">
        <v>63269.0</v>
      </c>
    </row>
    <row r="8026">
      <c r="A8026" s="121">
        <v>63270.0</v>
      </c>
    </row>
    <row r="8027">
      <c r="A8027" s="121">
        <v>63271.0</v>
      </c>
    </row>
    <row r="8028">
      <c r="A8028" s="121">
        <v>63272.0</v>
      </c>
    </row>
    <row r="8029">
      <c r="A8029" s="121">
        <v>63273.0</v>
      </c>
    </row>
    <row r="8030">
      <c r="A8030" s="121">
        <v>63274.0</v>
      </c>
    </row>
    <row r="8031">
      <c r="A8031" s="121">
        <v>63275.0</v>
      </c>
    </row>
    <row r="8032">
      <c r="A8032" s="121">
        <v>63276.0</v>
      </c>
    </row>
    <row r="8033">
      <c r="A8033" s="121">
        <v>63277.0</v>
      </c>
      <c r="B8033" s="122">
        <v>45996.0</v>
      </c>
    </row>
    <row r="8034">
      <c r="A8034" s="121">
        <v>63278.0</v>
      </c>
    </row>
    <row r="8035">
      <c r="A8035" s="121">
        <v>63279.0</v>
      </c>
    </row>
    <row r="8036">
      <c r="A8036" s="121">
        <v>63280.0</v>
      </c>
    </row>
    <row r="8037">
      <c r="A8037" s="121">
        <v>63281.0</v>
      </c>
    </row>
    <row r="8038">
      <c r="A8038" s="121">
        <v>63282.0</v>
      </c>
    </row>
    <row r="8039">
      <c r="A8039" s="121">
        <v>63283.0</v>
      </c>
    </row>
    <row r="8040">
      <c r="A8040" s="121">
        <v>63284.0</v>
      </c>
    </row>
    <row r="8041">
      <c r="A8041" s="121">
        <v>63285.0</v>
      </c>
    </row>
    <row r="8042">
      <c r="A8042" s="121">
        <v>63286.0</v>
      </c>
    </row>
    <row r="8043">
      <c r="A8043" s="121">
        <v>63287.0</v>
      </c>
    </row>
    <row r="8044">
      <c r="A8044" s="121">
        <v>63307.0</v>
      </c>
    </row>
    <row r="8045">
      <c r="A8045" s="121">
        <v>63308.0</v>
      </c>
    </row>
    <row r="8046">
      <c r="A8046" s="121">
        <v>63309.0</v>
      </c>
    </row>
    <row r="8047">
      <c r="A8047" s="121">
        <v>63310.0</v>
      </c>
    </row>
    <row r="8048">
      <c r="A8048" s="121">
        <v>63311.0</v>
      </c>
    </row>
    <row r="8049">
      <c r="A8049" s="121">
        <v>63312.0</v>
      </c>
    </row>
    <row r="8050">
      <c r="A8050" s="121">
        <v>63313.0</v>
      </c>
    </row>
    <row r="8051">
      <c r="A8051" s="121">
        <v>63314.0</v>
      </c>
    </row>
    <row r="8052">
      <c r="A8052" s="121">
        <v>63315.0</v>
      </c>
    </row>
    <row r="8053">
      <c r="A8053" s="121">
        <v>63316.0</v>
      </c>
    </row>
    <row r="8054">
      <c r="A8054" s="121">
        <v>63317.0</v>
      </c>
    </row>
    <row r="8055">
      <c r="A8055" s="121">
        <v>63318.0</v>
      </c>
    </row>
    <row r="8056">
      <c r="A8056" s="121">
        <v>63319.0</v>
      </c>
    </row>
    <row r="8057">
      <c r="A8057" s="121">
        <v>63320.0</v>
      </c>
    </row>
    <row r="8058">
      <c r="A8058" s="121">
        <v>63321.0</v>
      </c>
    </row>
    <row r="8059">
      <c r="A8059" s="121">
        <v>63322.0</v>
      </c>
    </row>
    <row r="8060">
      <c r="A8060" s="121">
        <v>63323.0</v>
      </c>
    </row>
    <row r="8061">
      <c r="A8061" s="121">
        <v>63324.0</v>
      </c>
    </row>
    <row r="8062">
      <c r="A8062" s="121">
        <v>63325.0</v>
      </c>
    </row>
    <row r="8063">
      <c r="A8063" s="121">
        <v>63326.0</v>
      </c>
    </row>
    <row r="8064">
      <c r="A8064" s="121">
        <v>63327.0</v>
      </c>
    </row>
    <row r="8065">
      <c r="A8065" s="121">
        <v>63328.0</v>
      </c>
    </row>
    <row r="8066">
      <c r="A8066" s="121">
        <v>63329.0</v>
      </c>
    </row>
    <row r="8067">
      <c r="A8067" s="121">
        <v>63363.0</v>
      </c>
    </row>
    <row r="8068">
      <c r="A8068" s="121">
        <v>63364.0</v>
      </c>
    </row>
    <row r="8069">
      <c r="A8069" s="121">
        <v>63365.0</v>
      </c>
    </row>
    <row r="8070">
      <c r="A8070" s="121">
        <v>63366.0</v>
      </c>
    </row>
    <row r="8071">
      <c r="A8071" s="121">
        <v>63367.0</v>
      </c>
    </row>
    <row r="8072">
      <c r="A8072" s="121">
        <v>63368.0</v>
      </c>
    </row>
    <row r="8073">
      <c r="A8073" s="121">
        <v>63369.0</v>
      </c>
    </row>
    <row r="8074">
      <c r="A8074" s="121">
        <v>63370.0</v>
      </c>
    </row>
    <row r="8075">
      <c r="A8075" s="121">
        <v>63371.0</v>
      </c>
    </row>
    <row r="8076">
      <c r="A8076" s="121">
        <v>63372.0</v>
      </c>
    </row>
    <row r="8077">
      <c r="A8077" s="121">
        <v>63373.0</v>
      </c>
    </row>
    <row r="8078">
      <c r="A8078" s="121">
        <v>63374.0</v>
      </c>
    </row>
    <row r="8079">
      <c r="A8079" s="121">
        <v>63375.0</v>
      </c>
    </row>
    <row r="8080">
      <c r="A8080" s="121">
        <v>63376.0</v>
      </c>
    </row>
    <row r="8081">
      <c r="A8081" s="121">
        <v>63377.0</v>
      </c>
    </row>
    <row r="8082">
      <c r="A8082" s="121">
        <v>63378.0</v>
      </c>
    </row>
    <row r="8083">
      <c r="A8083" s="121">
        <v>63379.0</v>
      </c>
    </row>
    <row r="8084">
      <c r="A8084" s="121">
        <v>63380.0</v>
      </c>
    </row>
    <row r="8085">
      <c r="A8085" s="121">
        <v>63381.0</v>
      </c>
    </row>
    <row r="8086">
      <c r="A8086" s="121">
        <v>63382.0</v>
      </c>
    </row>
    <row r="8087">
      <c r="A8087" s="121">
        <v>63383.0</v>
      </c>
    </row>
    <row r="8088">
      <c r="A8088" s="121">
        <v>63384.0</v>
      </c>
    </row>
    <row r="8089">
      <c r="A8089" s="121">
        <v>63385.0</v>
      </c>
    </row>
    <row r="8090">
      <c r="A8090" s="121">
        <v>63386.0</v>
      </c>
    </row>
    <row r="8091">
      <c r="A8091" s="121">
        <v>63387.0</v>
      </c>
    </row>
    <row r="8092">
      <c r="A8092" s="121">
        <v>63388.0</v>
      </c>
    </row>
    <row r="8093">
      <c r="A8093" s="121">
        <v>63389.0</v>
      </c>
    </row>
    <row r="8094">
      <c r="A8094" s="121">
        <v>63399.0</v>
      </c>
    </row>
    <row r="8095">
      <c r="A8095" s="121">
        <v>63400.0</v>
      </c>
    </row>
    <row r="8096">
      <c r="A8096" s="121">
        <v>63401.0</v>
      </c>
    </row>
    <row r="8097">
      <c r="A8097" s="121">
        <v>63402.0</v>
      </c>
    </row>
    <row r="8098">
      <c r="A8098" s="121">
        <v>63403.0</v>
      </c>
    </row>
    <row r="8099">
      <c r="A8099" s="121">
        <v>63404.0</v>
      </c>
    </row>
    <row r="8100">
      <c r="A8100" s="121">
        <v>63405.0</v>
      </c>
    </row>
    <row r="8101">
      <c r="A8101" s="121">
        <v>63406.0</v>
      </c>
    </row>
    <row r="8102">
      <c r="A8102" s="121">
        <v>63407.0</v>
      </c>
    </row>
    <row r="8103">
      <c r="A8103" s="121">
        <v>63408.0</v>
      </c>
    </row>
    <row r="8104">
      <c r="A8104" s="121">
        <v>63409.0</v>
      </c>
    </row>
    <row r="8105">
      <c r="A8105" s="121">
        <v>63410.0</v>
      </c>
    </row>
    <row r="8106">
      <c r="A8106" s="121">
        <v>63411.0</v>
      </c>
    </row>
    <row r="8107">
      <c r="A8107" s="121">
        <v>63412.0</v>
      </c>
    </row>
    <row r="8108">
      <c r="A8108" s="121">
        <v>63413.0</v>
      </c>
    </row>
    <row r="8109">
      <c r="A8109" s="121">
        <v>63414.0</v>
      </c>
    </row>
    <row r="8110">
      <c r="A8110" s="121">
        <v>63415.0</v>
      </c>
    </row>
    <row r="8111">
      <c r="A8111" s="121">
        <v>63416.0</v>
      </c>
    </row>
    <row r="8112">
      <c r="A8112" s="121">
        <v>63417.0</v>
      </c>
    </row>
    <row r="8113">
      <c r="A8113" s="121">
        <v>63418.0</v>
      </c>
    </row>
    <row r="8114">
      <c r="A8114" s="121">
        <v>63419.0</v>
      </c>
    </row>
    <row r="8115">
      <c r="A8115" s="121">
        <v>63420.0</v>
      </c>
    </row>
    <row r="8116">
      <c r="A8116" s="121">
        <v>63421.0</v>
      </c>
    </row>
    <row r="8117">
      <c r="A8117" s="121">
        <v>63422.0</v>
      </c>
    </row>
    <row r="8118">
      <c r="A8118" s="121">
        <v>63423.0</v>
      </c>
    </row>
    <row r="8119">
      <c r="A8119" s="121">
        <v>63424.0</v>
      </c>
    </row>
    <row r="8120">
      <c r="A8120" s="121">
        <v>63425.0</v>
      </c>
    </row>
    <row r="8121">
      <c r="A8121" s="121">
        <v>63426.0</v>
      </c>
    </row>
    <row r="8122">
      <c r="A8122" s="121">
        <v>63433.0</v>
      </c>
    </row>
    <row r="8123">
      <c r="A8123" s="121">
        <v>63434.0</v>
      </c>
    </row>
    <row r="8124">
      <c r="A8124" s="121">
        <v>63435.0</v>
      </c>
    </row>
    <row r="8125">
      <c r="A8125" s="121">
        <v>63436.0</v>
      </c>
    </row>
    <row r="8126">
      <c r="A8126" s="121">
        <v>63437.0</v>
      </c>
    </row>
    <row r="8127">
      <c r="A8127" s="121">
        <v>63438.0</v>
      </c>
    </row>
    <row r="8128">
      <c r="A8128" s="121">
        <v>63439.0</v>
      </c>
    </row>
    <row r="8129">
      <c r="A8129" s="121">
        <v>63440.0</v>
      </c>
    </row>
    <row r="8130">
      <c r="A8130" s="121">
        <v>63441.0</v>
      </c>
    </row>
    <row r="8131">
      <c r="A8131" s="121">
        <v>63442.0</v>
      </c>
    </row>
    <row r="8132">
      <c r="A8132" s="121">
        <v>63443.0</v>
      </c>
    </row>
    <row r="8133">
      <c r="A8133" s="121">
        <v>63444.0</v>
      </c>
    </row>
    <row r="8134">
      <c r="A8134" s="121">
        <v>63445.0</v>
      </c>
    </row>
    <row r="8135">
      <c r="A8135" s="121">
        <v>63446.0</v>
      </c>
    </row>
    <row r="8136">
      <c r="A8136" s="121">
        <v>63447.0</v>
      </c>
    </row>
    <row r="8137">
      <c r="A8137" s="121">
        <v>63448.0</v>
      </c>
    </row>
    <row r="8138">
      <c r="A8138" s="121">
        <v>63449.0</v>
      </c>
    </row>
    <row r="8139">
      <c r="A8139" s="121">
        <v>63450.0</v>
      </c>
    </row>
    <row r="8140">
      <c r="A8140" s="121">
        <v>63451.0</v>
      </c>
    </row>
    <row r="8141">
      <c r="A8141" s="121">
        <v>63452.0</v>
      </c>
    </row>
    <row r="8142">
      <c r="A8142" s="121">
        <v>63453.0</v>
      </c>
    </row>
    <row r="8143">
      <c r="A8143" s="121">
        <v>63454.0</v>
      </c>
    </row>
    <row r="8144">
      <c r="A8144" s="121">
        <v>63455.0</v>
      </c>
    </row>
    <row r="8145">
      <c r="A8145" s="121">
        <v>63456.0</v>
      </c>
    </row>
    <row r="8146">
      <c r="A8146" s="121">
        <v>63457.0</v>
      </c>
    </row>
    <row r="8147">
      <c r="A8147" s="121">
        <v>63458.0</v>
      </c>
    </row>
    <row r="8148">
      <c r="A8148" s="121">
        <v>63459.0</v>
      </c>
    </row>
    <row r="8149">
      <c r="A8149" s="121">
        <v>63460.0</v>
      </c>
    </row>
    <row r="8150">
      <c r="A8150" s="121">
        <v>63461.0</v>
      </c>
    </row>
    <row r="8151">
      <c r="A8151" s="121">
        <v>63462.0</v>
      </c>
    </row>
    <row r="8152">
      <c r="A8152" s="121">
        <v>63463.0</v>
      </c>
    </row>
    <row r="8153">
      <c r="A8153" s="121">
        <v>63464.0</v>
      </c>
    </row>
    <row r="8154">
      <c r="A8154" s="121">
        <v>63465.0</v>
      </c>
    </row>
    <row r="8155">
      <c r="A8155" s="121">
        <v>63466.0</v>
      </c>
    </row>
    <row r="8156">
      <c r="A8156" s="121">
        <v>63467.0</v>
      </c>
    </row>
    <row r="8157">
      <c r="A8157" s="121">
        <v>63468.0</v>
      </c>
    </row>
    <row r="8158">
      <c r="A8158" s="121">
        <v>63469.0</v>
      </c>
    </row>
    <row r="8159">
      <c r="A8159" s="121">
        <v>63470.0</v>
      </c>
    </row>
    <row r="8160">
      <c r="A8160" s="121">
        <v>63471.0</v>
      </c>
    </row>
    <row r="8161">
      <c r="A8161" s="121">
        <v>63472.0</v>
      </c>
    </row>
    <row r="8162">
      <c r="A8162" s="121">
        <v>63473.0</v>
      </c>
    </row>
    <row r="8163">
      <c r="A8163" s="121">
        <v>63474.0</v>
      </c>
    </row>
    <row r="8164">
      <c r="A8164" s="121">
        <v>63475.0</v>
      </c>
    </row>
    <row r="8165">
      <c r="A8165" s="121">
        <v>63476.0</v>
      </c>
    </row>
    <row r="8166">
      <c r="A8166" s="121">
        <v>63477.0</v>
      </c>
    </row>
    <row r="8167">
      <c r="A8167" s="121">
        <v>63478.0</v>
      </c>
    </row>
    <row r="8168">
      <c r="A8168" s="121">
        <v>63479.0</v>
      </c>
    </row>
    <row r="8169">
      <c r="A8169" s="121">
        <v>63480.0</v>
      </c>
    </row>
    <row r="8170">
      <c r="A8170" s="121">
        <v>63481.0</v>
      </c>
    </row>
    <row r="8171">
      <c r="A8171" s="121">
        <v>63482.0</v>
      </c>
      <c r="B8171" s="122">
        <v>45973.0</v>
      </c>
    </row>
    <row r="8172">
      <c r="A8172" s="121">
        <v>63483.0</v>
      </c>
    </row>
    <row r="8173">
      <c r="A8173" s="121">
        <v>63484.0</v>
      </c>
    </row>
    <row r="8174">
      <c r="A8174" s="121">
        <v>63485.0</v>
      </c>
    </row>
    <row r="8175">
      <c r="A8175" s="121">
        <v>63486.0</v>
      </c>
    </row>
    <row r="8176">
      <c r="A8176" s="121">
        <v>63487.0</v>
      </c>
    </row>
    <row r="8177">
      <c r="A8177" s="121">
        <v>63493.0</v>
      </c>
    </row>
    <row r="8178">
      <c r="A8178" s="121">
        <v>63494.0</v>
      </c>
    </row>
    <row r="8179">
      <c r="A8179" s="121">
        <v>63495.0</v>
      </c>
    </row>
    <row r="8180">
      <c r="A8180" s="121">
        <v>63496.0</v>
      </c>
    </row>
    <row r="8181">
      <c r="A8181" s="121">
        <v>63497.0</v>
      </c>
    </row>
    <row r="8182">
      <c r="A8182" s="121">
        <v>63498.0</v>
      </c>
    </row>
    <row r="8183">
      <c r="A8183" s="121">
        <v>63499.0</v>
      </c>
    </row>
    <row r="8184">
      <c r="A8184" s="121">
        <v>63500.0</v>
      </c>
    </row>
    <row r="8185">
      <c r="A8185" s="121">
        <v>63501.0</v>
      </c>
    </row>
    <row r="8186">
      <c r="A8186" s="121">
        <v>63502.0</v>
      </c>
    </row>
    <row r="8187">
      <c r="A8187" s="121">
        <v>63503.0</v>
      </c>
    </row>
    <row r="8188">
      <c r="A8188" s="121">
        <v>63504.0</v>
      </c>
    </row>
    <row r="8189">
      <c r="A8189" s="121">
        <v>63505.0</v>
      </c>
    </row>
    <row r="8190">
      <c r="A8190" s="121">
        <v>63506.0</v>
      </c>
    </row>
    <row r="8191">
      <c r="A8191" s="121">
        <v>63507.0</v>
      </c>
    </row>
    <row r="8192">
      <c r="A8192" s="121">
        <v>63508.0</v>
      </c>
    </row>
    <row r="8193">
      <c r="A8193" s="121">
        <v>63509.0</v>
      </c>
    </row>
    <row r="8194">
      <c r="A8194" s="121">
        <v>63510.0</v>
      </c>
    </row>
    <row r="8195">
      <c r="A8195" s="121">
        <v>63511.0</v>
      </c>
    </row>
    <row r="8196">
      <c r="A8196" s="121">
        <v>63512.0</v>
      </c>
    </row>
    <row r="8197">
      <c r="A8197" s="121">
        <v>63513.0</v>
      </c>
    </row>
    <row r="8198">
      <c r="A8198" s="121">
        <v>63514.0</v>
      </c>
    </row>
    <row r="8199">
      <c r="A8199" s="121">
        <v>63515.0</v>
      </c>
    </row>
    <row r="8200">
      <c r="A8200" s="121">
        <v>63516.0</v>
      </c>
    </row>
    <row r="8201">
      <c r="A8201" s="121">
        <v>63517.0</v>
      </c>
    </row>
    <row r="8202">
      <c r="A8202" s="121">
        <v>63518.0</v>
      </c>
    </row>
    <row r="8203">
      <c r="A8203" s="121">
        <v>63519.0</v>
      </c>
    </row>
    <row r="8204">
      <c r="A8204" s="121">
        <v>63548.0</v>
      </c>
    </row>
    <row r="8205">
      <c r="A8205" s="121">
        <v>63549.0</v>
      </c>
    </row>
    <row r="8206">
      <c r="A8206" s="121">
        <v>63550.0</v>
      </c>
    </row>
    <row r="8207">
      <c r="A8207" s="121">
        <v>63551.0</v>
      </c>
    </row>
    <row r="8208">
      <c r="A8208" s="121">
        <v>63552.0</v>
      </c>
    </row>
    <row r="8209">
      <c r="A8209" s="121">
        <v>63553.0</v>
      </c>
    </row>
    <row r="8210">
      <c r="A8210" s="121">
        <v>63554.0</v>
      </c>
    </row>
    <row r="8211">
      <c r="A8211" s="121">
        <v>63555.0</v>
      </c>
    </row>
    <row r="8212">
      <c r="A8212" s="121">
        <v>63556.0</v>
      </c>
    </row>
    <row r="8213">
      <c r="A8213" s="121">
        <v>63557.0</v>
      </c>
    </row>
    <row r="8214">
      <c r="A8214" s="121">
        <v>63558.0</v>
      </c>
    </row>
    <row r="8215">
      <c r="A8215" s="121">
        <v>63559.0</v>
      </c>
    </row>
    <row r="8216">
      <c r="A8216" s="121">
        <v>63560.0</v>
      </c>
    </row>
    <row r="8217">
      <c r="A8217" s="121">
        <v>63561.0</v>
      </c>
    </row>
    <row r="8218">
      <c r="A8218" s="121">
        <v>63562.0</v>
      </c>
    </row>
    <row r="8219">
      <c r="A8219" s="121">
        <v>63563.0</v>
      </c>
    </row>
    <row r="8220">
      <c r="A8220" s="121">
        <v>63564.0</v>
      </c>
    </row>
    <row r="8221">
      <c r="A8221" s="121">
        <v>63565.0</v>
      </c>
    </row>
    <row r="8222">
      <c r="A8222" s="121">
        <v>63566.0</v>
      </c>
    </row>
    <row r="8223">
      <c r="A8223" s="121">
        <v>63567.0</v>
      </c>
    </row>
    <row r="8224">
      <c r="A8224" s="121">
        <v>63568.0</v>
      </c>
    </row>
    <row r="8225">
      <c r="A8225" s="121">
        <v>63569.0</v>
      </c>
    </row>
    <row r="8226">
      <c r="A8226" s="121">
        <v>63570.0</v>
      </c>
    </row>
    <row r="8227">
      <c r="A8227" s="121">
        <v>63571.0</v>
      </c>
    </row>
    <row r="8228">
      <c r="A8228" s="121">
        <v>63572.0</v>
      </c>
    </row>
    <row r="8229">
      <c r="A8229" s="121">
        <v>63573.0</v>
      </c>
    </row>
    <row r="8230">
      <c r="A8230" s="121">
        <v>63574.0</v>
      </c>
      <c r="B8230" s="122">
        <v>45809.0</v>
      </c>
    </row>
    <row r="8231">
      <c r="A8231" s="121">
        <v>63575.0</v>
      </c>
    </row>
    <row r="8232">
      <c r="A8232" s="121">
        <v>63576.0</v>
      </c>
    </row>
    <row r="8233">
      <c r="A8233" s="121">
        <v>63577.0</v>
      </c>
    </row>
    <row r="8234">
      <c r="A8234" s="121">
        <v>63578.0</v>
      </c>
    </row>
    <row r="8235">
      <c r="A8235" s="121">
        <v>63579.0</v>
      </c>
    </row>
    <row r="8236">
      <c r="A8236" s="121">
        <v>63580.0</v>
      </c>
    </row>
    <row r="8237">
      <c r="A8237" s="121">
        <v>63581.0</v>
      </c>
    </row>
    <row r="8238">
      <c r="A8238" s="121">
        <v>63582.0</v>
      </c>
    </row>
    <row r="8239">
      <c r="A8239" s="121">
        <v>63583.0</v>
      </c>
    </row>
    <row r="8240">
      <c r="A8240" s="121">
        <v>63584.0</v>
      </c>
    </row>
    <row r="8241">
      <c r="A8241" s="121">
        <v>63585.0</v>
      </c>
    </row>
    <row r="8242">
      <c r="A8242" s="121">
        <v>63586.0</v>
      </c>
    </row>
    <row r="8243">
      <c r="A8243" s="121">
        <v>63587.0</v>
      </c>
    </row>
    <row r="8244">
      <c r="A8244" s="121">
        <v>63588.0</v>
      </c>
    </row>
    <row r="8245">
      <c r="A8245" s="121">
        <v>63589.0</v>
      </c>
    </row>
    <row r="8246">
      <c r="A8246" s="121">
        <v>63590.0</v>
      </c>
    </row>
    <row r="8247">
      <c r="A8247" s="121">
        <v>63591.0</v>
      </c>
    </row>
    <row r="8248">
      <c r="A8248" s="121">
        <v>63592.0</v>
      </c>
    </row>
    <row r="8249">
      <c r="A8249" s="121">
        <v>63593.0</v>
      </c>
    </row>
    <row r="8250">
      <c r="A8250" s="121">
        <v>63594.0</v>
      </c>
    </row>
    <row r="8251">
      <c r="A8251" s="121">
        <v>63595.0</v>
      </c>
    </row>
    <row r="8252">
      <c r="A8252" s="121">
        <v>63634.0</v>
      </c>
    </row>
    <row r="8253">
      <c r="A8253" s="121">
        <v>63635.0</v>
      </c>
    </row>
    <row r="8254">
      <c r="A8254" s="121">
        <v>63636.0</v>
      </c>
    </row>
    <row r="8255">
      <c r="A8255" s="121">
        <v>63637.0</v>
      </c>
    </row>
    <row r="8256">
      <c r="A8256" s="121">
        <v>63638.0</v>
      </c>
    </row>
    <row r="8257">
      <c r="A8257" s="121">
        <v>63639.0</v>
      </c>
    </row>
    <row r="8258">
      <c r="A8258" s="121">
        <v>63640.0</v>
      </c>
    </row>
    <row r="8259">
      <c r="A8259" s="121">
        <v>63641.0</v>
      </c>
    </row>
    <row r="8260">
      <c r="A8260" s="121">
        <v>63642.0</v>
      </c>
    </row>
    <row r="8261">
      <c r="A8261" s="121">
        <v>63643.0</v>
      </c>
    </row>
    <row r="8262">
      <c r="A8262" s="121">
        <v>63644.0</v>
      </c>
    </row>
    <row r="8263">
      <c r="A8263" s="121">
        <v>63645.0</v>
      </c>
    </row>
    <row r="8264">
      <c r="A8264" s="121">
        <v>63646.0</v>
      </c>
    </row>
    <row r="8265">
      <c r="A8265" s="121">
        <v>63647.0</v>
      </c>
    </row>
    <row r="8266">
      <c r="A8266" s="121">
        <v>63648.0</v>
      </c>
    </row>
    <row r="8267">
      <c r="A8267" s="121">
        <v>63649.0</v>
      </c>
    </row>
    <row r="8268">
      <c r="A8268" s="121">
        <v>63650.0</v>
      </c>
    </row>
    <row r="8269">
      <c r="A8269" s="121">
        <v>63651.0</v>
      </c>
    </row>
    <row r="8270">
      <c r="A8270" s="121">
        <v>63652.0</v>
      </c>
    </row>
    <row r="8271">
      <c r="A8271" s="121">
        <v>63653.0</v>
      </c>
    </row>
    <row r="8272">
      <c r="A8272" s="121">
        <v>63654.0</v>
      </c>
    </row>
    <row r="8273">
      <c r="A8273" s="121">
        <v>63655.0</v>
      </c>
    </row>
    <row r="8274">
      <c r="A8274" s="121">
        <v>63656.0</v>
      </c>
    </row>
    <row r="8275">
      <c r="A8275" s="121">
        <v>63657.0</v>
      </c>
    </row>
    <row r="8276">
      <c r="A8276" s="121">
        <v>63658.0</v>
      </c>
    </row>
    <row r="8277">
      <c r="A8277" s="121">
        <v>63659.0</v>
      </c>
    </row>
    <row r="8278">
      <c r="A8278" s="121">
        <v>63660.0</v>
      </c>
    </row>
    <row r="8279">
      <c r="A8279" s="121">
        <v>63661.0</v>
      </c>
    </row>
    <row r="8280">
      <c r="A8280" s="121">
        <v>63664.0</v>
      </c>
    </row>
    <row r="8281">
      <c r="A8281" s="121">
        <v>63665.0</v>
      </c>
    </row>
    <row r="8282">
      <c r="A8282" s="121">
        <v>63666.0</v>
      </c>
    </row>
    <row r="8283">
      <c r="A8283" s="121">
        <v>63667.0</v>
      </c>
    </row>
    <row r="8284">
      <c r="A8284" s="121">
        <v>63668.0</v>
      </c>
    </row>
    <row r="8285">
      <c r="A8285" s="121">
        <v>63669.0</v>
      </c>
    </row>
    <row r="8286">
      <c r="A8286" s="121">
        <v>63670.0</v>
      </c>
    </row>
    <row r="8287">
      <c r="A8287" s="121">
        <v>63671.0</v>
      </c>
    </row>
    <row r="8288">
      <c r="A8288" s="121">
        <v>63672.0</v>
      </c>
    </row>
    <row r="8289">
      <c r="A8289" s="121">
        <v>63673.0</v>
      </c>
    </row>
    <row r="8290">
      <c r="A8290" s="121">
        <v>63674.0</v>
      </c>
    </row>
    <row r="8291">
      <c r="A8291" s="121">
        <v>63675.0</v>
      </c>
    </row>
    <row r="8292">
      <c r="A8292" s="121">
        <v>63676.0</v>
      </c>
    </row>
    <row r="8293">
      <c r="A8293" s="121">
        <v>63677.0</v>
      </c>
    </row>
    <row r="8294">
      <c r="A8294" s="121">
        <v>63678.0</v>
      </c>
    </row>
    <row r="8295">
      <c r="A8295" s="121">
        <v>63679.0</v>
      </c>
    </row>
    <row r="8296">
      <c r="A8296" s="121">
        <v>63680.0</v>
      </c>
    </row>
    <row r="8297">
      <c r="A8297" s="121">
        <v>63681.0</v>
      </c>
    </row>
    <row r="8298">
      <c r="A8298" s="121">
        <v>63682.0</v>
      </c>
    </row>
    <row r="8299">
      <c r="A8299" s="121">
        <v>63683.0</v>
      </c>
    </row>
    <row r="8300">
      <c r="A8300" s="121">
        <v>63684.0</v>
      </c>
    </row>
    <row r="8301">
      <c r="A8301" s="121">
        <v>63685.0</v>
      </c>
    </row>
    <row r="8302">
      <c r="A8302" s="121">
        <v>63686.0</v>
      </c>
    </row>
    <row r="8303">
      <c r="A8303" s="121">
        <v>63697.0</v>
      </c>
    </row>
    <row r="8304">
      <c r="A8304" s="121">
        <v>63698.0</v>
      </c>
    </row>
    <row r="8305">
      <c r="A8305" s="121">
        <v>63699.0</v>
      </c>
    </row>
    <row r="8306">
      <c r="A8306" s="121">
        <v>63700.0</v>
      </c>
    </row>
    <row r="8307">
      <c r="A8307" s="121">
        <v>63701.0</v>
      </c>
    </row>
    <row r="8308">
      <c r="A8308" s="121">
        <v>63702.0</v>
      </c>
    </row>
    <row r="8309">
      <c r="A8309" s="121">
        <v>63703.0</v>
      </c>
    </row>
    <row r="8310">
      <c r="A8310" s="121">
        <v>63704.0</v>
      </c>
    </row>
    <row r="8311">
      <c r="A8311" s="121">
        <v>63705.0</v>
      </c>
    </row>
    <row r="8312">
      <c r="A8312" s="121">
        <v>63706.0</v>
      </c>
    </row>
    <row r="8313">
      <c r="A8313" s="121">
        <v>63707.0</v>
      </c>
    </row>
    <row r="8314">
      <c r="A8314" s="121">
        <v>63708.0</v>
      </c>
    </row>
    <row r="8315">
      <c r="A8315" s="121">
        <v>63709.0</v>
      </c>
    </row>
    <row r="8316">
      <c r="A8316" s="121">
        <v>63710.0</v>
      </c>
    </row>
    <row r="8317">
      <c r="A8317" s="121">
        <v>63711.0</v>
      </c>
    </row>
    <row r="8318">
      <c r="A8318" s="121">
        <v>63712.0</v>
      </c>
    </row>
    <row r="8319">
      <c r="A8319" s="121">
        <v>63713.0</v>
      </c>
    </row>
    <row r="8320">
      <c r="A8320" s="121">
        <v>63714.0</v>
      </c>
    </row>
    <row r="8321">
      <c r="A8321" s="121">
        <v>63715.0</v>
      </c>
    </row>
    <row r="8322">
      <c r="A8322" s="121">
        <v>63716.0</v>
      </c>
    </row>
    <row r="8323">
      <c r="A8323" s="121">
        <v>63717.0</v>
      </c>
    </row>
    <row r="8324">
      <c r="A8324" s="121">
        <v>63718.0</v>
      </c>
    </row>
    <row r="8325">
      <c r="A8325" s="121">
        <v>63719.0</v>
      </c>
    </row>
    <row r="8326">
      <c r="A8326" s="121">
        <v>63720.0</v>
      </c>
    </row>
    <row r="8327">
      <c r="A8327" s="121">
        <v>63721.0</v>
      </c>
    </row>
    <row r="8328">
      <c r="A8328" s="121">
        <v>63722.0</v>
      </c>
    </row>
    <row r="8329">
      <c r="A8329" s="121">
        <v>63723.0</v>
      </c>
    </row>
    <row r="8330">
      <c r="A8330" s="121">
        <v>63751.0</v>
      </c>
    </row>
    <row r="8331">
      <c r="A8331" s="121">
        <v>63752.0</v>
      </c>
    </row>
    <row r="8332">
      <c r="A8332" s="121">
        <v>63753.0</v>
      </c>
    </row>
    <row r="8333">
      <c r="A8333" s="121">
        <v>63754.0</v>
      </c>
    </row>
    <row r="8334">
      <c r="A8334" s="121">
        <v>63755.0</v>
      </c>
    </row>
    <row r="8335">
      <c r="A8335" s="121">
        <v>63756.0</v>
      </c>
    </row>
    <row r="8336">
      <c r="A8336" s="121">
        <v>63757.0</v>
      </c>
    </row>
    <row r="8337">
      <c r="A8337" s="121">
        <v>63758.0</v>
      </c>
    </row>
    <row r="8338">
      <c r="A8338" s="121">
        <v>63759.0</v>
      </c>
    </row>
    <row r="8339">
      <c r="A8339" s="121">
        <v>63760.0</v>
      </c>
    </row>
    <row r="8340">
      <c r="A8340" s="121">
        <v>63761.0</v>
      </c>
    </row>
    <row r="8341">
      <c r="A8341" s="121">
        <v>63762.0</v>
      </c>
    </row>
    <row r="8342">
      <c r="A8342" s="121">
        <v>63763.0</v>
      </c>
    </row>
    <row r="8343">
      <c r="A8343" s="121">
        <v>63764.0</v>
      </c>
    </row>
    <row r="8344">
      <c r="A8344" s="121">
        <v>63765.0</v>
      </c>
    </row>
    <row r="8345">
      <c r="A8345" s="121">
        <v>63766.0</v>
      </c>
    </row>
    <row r="8346">
      <c r="A8346" s="121">
        <v>63767.0</v>
      </c>
    </row>
    <row r="8347">
      <c r="A8347" s="121">
        <v>63768.0</v>
      </c>
    </row>
    <row r="8348">
      <c r="A8348" s="121">
        <v>63769.0</v>
      </c>
    </row>
    <row r="8349">
      <c r="A8349" s="121">
        <v>63770.0</v>
      </c>
    </row>
    <row r="8350">
      <c r="A8350" s="121">
        <v>63771.0</v>
      </c>
    </row>
    <row r="8351">
      <c r="A8351" s="121">
        <v>63773.0</v>
      </c>
    </row>
    <row r="8352">
      <c r="A8352" s="121">
        <v>63774.0</v>
      </c>
    </row>
    <row r="8353">
      <c r="A8353" s="121">
        <v>63775.0</v>
      </c>
    </row>
    <row r="8354">
      <c r="A8354" s="121">
        <v>63776.0</v>
      </c>
    </row>
    <row r="8355">
      <c r="A8355" s="121">
        <v>63777.0</v>
      </c>
    </row>
    <row r="8356">
      <c r="A8356" s="121">
        <v>63778.0</v>
      </c>
    </row>
    <row r="8357">
      <c r="A8357" s="121">
        <v>63779.0</v>
      </c>
    </row>
    <row r="8358">
      <c r="A8358" s="121">
        <v>63780.0</v>
      </c>
    </row>
    <row r="8359">
      <c r="A8359" s="121">
        <v>63781.0</v>
      </c>
    </row>
    <row r="8360">
      <c r="A8360" s="121">
        <v>63782.0</v>
      </c>
    </row>
    <row r="8361">
      <c r="A8361" s="121">
        <v>63783.0</v>
      </c>
    </row>
    <row r="8362">
      <c r="A8362" s="121">
        <v>63784.0</v>
      </c>
    </row>
    <row r="8363">
      <c r="A8363" s="121">
        <v>63785.0</v>
      </c>
    </row>
    <row r="8364">
      <c r="A8364" s="121">
        <v>63786.0</v>
      </c>
    </row>
    <row r="8365">
      <c r="A8365" s="121">
        <v>63787.0</v>
      </c>
    </row>
    <row r="8366">
      <c r="A8366" s="121">
        <v>63788.0</v>
      </c>
    </row>
    <row r="8367">
      <c r="A8367" s="121">
        <v>63789.0</v>
      </c>
    </row>
    <row r="8368">
      <c r="A8368" s="121">
        <v>63790.0</v>
      </c>
    </row>
    <row r="8369">
      <c r="A8369" s="121">
        <v>63791.0</v>
      </c>
    </row>
    <row r="8370">
      <c r="A8370" s="121">
        <v>63792.0</v>
      </c>
    </row>
    <row r="8371">
      <c r="A8371" s="121">
        <v>63793.0</v>
      </c>
    </row>
    <row r="8372">
      <c r="A8372" s="121">
        <v>63794.0</v>
      </c>
    </row>
    <row r="8373">
      <c r="A8373" s="121">
        <v>63795.0</v>
      </c>
    </row>
    <row r="8374">
      <c r="A8374" s="121">
        <v>63796.0</v>
      </c>
    </row>
    <row r="8375">
      <c r="A8375" s="121">
        <v>63797.0</v>
      </c>
    </row>
    <row r="8376">
      <c r="A8376" s="121">
        <v>63798.0</v>
      </c>
    </row>
    <row r="8377">
      <c r="A8377" s="121">
        <v>63799.0</v>
      </c>
    </row>
    <row r="8378">
      <c r="A8378" s="121">
        <v>63800.0</v>
      </c>
    </row>
    <row r="8379">
      <c r="A8379" s="121">
        <v>63802.0</v>
      </c>
    </row>
    <row r="8380">
      <c r="A8380" s="121">
        <v>63803.0</v>
      </c>
    </row>
    <row r="8381">
      <c r="A8381" s="121">
        <v>63804.0</v>
      </c>
    </row>
    <row r="8382">
      <c r="A8382" s="121">
        <v>63805.0</v>
      </c>
    </row>
    <row r="8383">
      <c r="A8383" s="121">
        <v>63806.0</v>
      </c>
    </row>
    <row r="8384">
      <c r="A8384" s="121">
        <v>63807.0</v>
      </c>
    </row>
    <row r="8385">
      <c r="A8385" s="121">
        <v>63808.0</v>
      </c>
    </row>
    <row r="8386">
      <c r="A8386" s="121">
        <v>63809.0</v>
      </c>
    </row>
    <row r="8387">
      <c r="A8387" s="121">
        <v>63810.0</v>
      </c>
    </row>
    <row r="8388">
      <c r="A8388" s="121">
        <v>63811.0</v>
      </c>
    </row>
    <row r="8389">
      <c r="A8389" s="121">
        <v>63812.0</v>
      </c>
    </row>
    <row r="8390">
      <c r="A8390" s="121">
        <v>63813.0</v>
      </c>
    </row>
    <row r="8391">
      <c r="A8391" s="121">
        <v>63814.0</v>
      </c>
    </row>
    <row r="8392">
      <c r="A8392" s="121">
        <v>63815.0</v>
      </c>
    </row>
    <row r="8393">
      <c r="A8393" s="121">
        <v>63816.0</v>
      </c>
    </row>
    <row r="8394">
      <c r="A8394" s="121">
        <v>63817.0</v>
      </c>
    </row>
    <row r="8395">
      <c r="A8395" s="121">
        <v>63818.0</v>
      </c>
    </row>
    <row r="8396">
      <c r="A8396" s="121">
        <v>63819.0</v>
      </c>
    </row>
    <row r="8397">
      <c r="A8397" s="121">
        <v>63820.0</v>
      </c>
    </row>
    <row r="8398">
      <c r="A8398" s="121">
        <v>63821.0</v>
      </c>
    </row>
    <row r="8399">
      <c r="A8399" s="121">
        <v>63822.0</v>
      </c>
    </row>
    <row r="8400">
      <c r="A8400" s="121">
        <v>63823.0</v>
      </c>
    </row>
    <row r="8401">
      <c r="A8401" s="121">
        <v>63824.0</v>
      </c>
    </row>
    <row r="8402">
      <c r="A8402" s="121">
        <v>63825.0</v>
      </c>
    </row>
    <row r="8403">
      <c r="A8403" s="121">
        <v>63826.0</v>
      </c>
    </row>
    <row r="8404">
      <c r="A8404" s="121">
        <v>63827.0</v>
      </c>
    </row>
    <row r="8405">
      <c r="A8405" s="121">
        <v>63828.0</v>
      </c>
    </row>
    <row r="8406">
      <c r="A8406" s="121">
        <v>63829.0</v>
      </c>
    </row>
    <row r="8407">
      <c r="A8407" s="121">
        <v>63830.0</v>
      </c>
    </row>
    <row r="8408">
      <c r="A8408" s="121">
        <v>63831.0</v>
      </c>
    </row>
    <row r="8409">
      <c r="A8409" s="121">
        <v>63832.0</v>
      </c>
    </row>
    <row r="8410">
      <c r="A8410" s="121">
        <v>63836.0</v>
      </c>
    </row>
    <row r="8411">
      <c r="A8411" s="121">
        <v>63837.0</v>
      </c>
    </row>
    <row r="8412">
      <c r="A8412" s="121">
        <v>63838.0</v>
      </c>
    </row>
    <row r="8413">
      <c r="A8413" s="121">
        <v>63839.0</v>
      </c>
    </row>
    <row r="8414">
      <c r="A8414" s="121">
        <v>63840.0</v>
      </c>
    </row>
    <row r="8415">
      <c r="A8415" s="121">
        <v>63841.0</v>
      </c>
    </row>
    <row r="8416">
      <c r="A8416" s="121">
        <v>63842.0</v>
      </c>
    </row>
    <row r="8417">
      <c r="A8417" s="121">
        <v>63843.0</v>
      </c>
    </row>
    <row r="8418">
      <c r="A8418" s="121">
        <v>63844.0</v>
      </c>
    </row>
    <row r="8419">
      <c r="A8419" s="121">
        <v>63845.0</v>
      </c>
    </row>
    <row r="8420">
      <c r="A8420" s="121">
        <v>63846.0</v>
      </c>
    </row>
    <row r="8421">
      <c r="A8421" s="121">
        <v>63847.0</v>
      </c>
    </row>
    <row r="8422">
      <c r="A8422" s="121">
        <v>63848.0</v>
      </c>
    </row>
    <row r="8423">
      <c r="A8423" s="121">
        <v>63849.0</v>
      </c>
    </row>
    <row r="8424">
      <c r="A8424" s="121">
        <v>63850.0</v>
      </c>
    </row>
    <row r="8425">
      <c r="A8425" s="121">
        <v>63851.0</v>
      </c>
    </row>
    <row r="8426">
      <c r="A8426" s="121">
        <v>63852.0</v>
      </c>
      <c r="B8426" s="122">
        <v>45795.0</v>
      </c>
    </row>
    <row r="8427">
      <c r="A8427" s="121">
        <v>63853.0</v>
      </c>
    </row>
    <row r="8428">
      <c r="A8428" s="121">
        <v>63854.0</v>
      </c>
    </row>
    <row r="8429">
      <c r="A8429" s="121">
        <v>63855.0</v>
      </c>
    </row>
    <row r="8430">
      <c r="A8430" s="121">
        <v>63856.0</v>
      </c>
    </row>
    <row r="8431">
      <c r="A8431" s="121">
        <v>63857.0</v>
      </c>
    </row>
    <row r="8432">
      <c r="A8432" s="121">
        <v>63858.0</v>
      </c>
    </row>
    <row r="8433">
      <c r="A8433" s="121">
        <v>63859.0</v>
      </c>
    </row>
    <row r="8434">
      <c r="A8434" s="121">
        <v>63860.0</v>
      </c>
    </row>
    <row r="8435">
      <c r="A8435" s="121">
        <v>63861.0</v>
      </c>
    </row>
    <row r="8436">
      <c r="A8436" s="121">
        <v>63862.0</v>
      </c>
    </row>
    <row r="8437">
      <c r="A8437" s="121">
        <v>63863.0</v>
      </c>
    </row>
    <row r="8438">
      <c r="A8438" s="121">
        <v>63864.0</v>
      </c>
    </row>
    <row r="8439">
      <c r="A8439" s="121">
        <v>63865.0</v>
      </c>
    </row>
    <row r="8440">
      <c r="A8440" s="121">
        <v>63866.0</v>
      </c>
    </row>
    <row r="8441">
      <c r="A8441" s="121">
        <v>63867.0</v>
      </c>
    </row>
    <row r="8442">
      <c r="A8442" s="121">
        <v>63868.0</v>
      </c>
    </row>
    <row r="8443">
      <c r="A8443" s="121">
        <v>63869.0</v>
      </c>
    </row>
    <row r="8444">
      <c r="A8444" s="121">
        <v>63870.0</v>
      </c>
    </row>
    <row r="8445">
      <c r="A8445" s="121">
        <v>63871.0</v>
      </c>
    </row>
    <row r="8446">
      <c r="A8446" s="121">
        <v>63872.0</v>
      </c>
    </row>
    <row r="8447">
      <c r="A8447" s="121">
        <v>63873.0</v>
      </c>
    </row>
    <row r="8448">
      <c r="A8448" s="121">
        <v>63874.0</v>
      </c>
    </row>
    <row r="8449">
      <c r="A8449" s="121">
        <v>63875.0</v>
      </c>
    </row>
    <row r="8450">
      <c r="A8450" s="121">
        <v>63876.0</v>
      </c>
    </row>
    <row r="8451">
      <c r="A8451" s="121">
        <v>63877.0</v>
      </c>
    </row>
    <row r="8452">
      <c r="A8452" s="121">
        <v>63878.0</v>
      </c>
    </row>
    <row r="8453">
      <c r="A8453" s="121">
        <v>63879.0</v>
      </c>
    </row>
    <row r="8454">
      <c r="A8454" s="121">
        <v>63880.0</v>
      </c>
    </row>
    <row r="8455">
      <c r="A8455" s="121">
        <v>63881.0</v>
      </c>
    </row>
    <row r="8456">
      <c r="A8456" s="121">
        <v>63882.0</v>
      </c>
    </row>
    <row r="8457">
      <c r="A8457" s="121">
        <v>63883.0</v>
      </c>
    </row>
    <row r="8458">
      <c r="A8458" s="121">
        <v>63884.0</v>
      </c>
    </row>
    <row r="8459">
      <c r="A8459" s="121">
        <v>63885.0</v>
      </c>
    </row>
    <row r="8460">
      <c r="A8460" s="121">
        <v>63886.0</v>
      </c>
    </row>
    <row r="8461">
      <c r="A8461" s="121">
        <v>63887.0</v>
      </c>
    </row>
    <row r="8462">
      <c r="A8462" s="121">
        <v>63888.0</v>
      </c>
    </row>
    <row r="8463">
      <c r="A8463" s="121">
        <v>63889.0</v>
      </c>
    </row>
    <row r="8464">
      <c r="A8464" s="121">
        <v>63890.0</v>
      </c>
    </row>
    <row r="8465">
      <c r="A8465" s="121">
        <v>63891.0</v>
      </c>
    </row>
    <row r="8466">
      <c r="A8466" s="121">
        <v>63892.0</v>
      </c>
    </row>
    <row r="8467">
      <c r="A8467" s="121">
        <v>63893.0</v>
      </c>
    </row>
    <row r="8468">
      <c r="A8468" s="121">
        <v>63894.0</v>
      </c>
    </row>
    <row r="8469">
      <c r="A8469" s="121">
        <v>63895.0</v>
      </c>
    </row>
    <row r="8470">
      <c r="A8470" s="121">
        <v>63896.0</v>
      </c>
    </row>
    <row r="8471">
      <c r="A8471" s="121">
        <v>63897.0</v>
      </c>
    </row>
    <row r="8472">
      <c r="A8472" s="121">
        <v>63898.0</v>
      </c>
    </row>
    <row r="8473">
      <c r="A8473" s="121">
        <v>63899.0</v>
      </c>
    </row>
    <row r="8474">
      <c r="A8474" s="121">
        <v>63900.0</v>
      </c>
    </row>
    <row r="8475">
      <c r="A8475" s="121">
        <v>63901.0</v>
      </c>
    </row>
    <row r="8476">
      <c r="A8476" s="121">
        <v>63902.0</v>
      </c>
    </row>
    <row r="8477">
      <c r="A8477" s="121">
        <v>63903.0</v>
      </c>
    </row>
    <row r="8478">
      <c r="A8478" s="121">
        <v>63904.0</v>
      </c>
    </row>
    <row r="8479">
      <c r="A8479" s="121">
        <v>63905.0</v>
      </c>
    </row>
    <row r="8480">
      <c r="A8480" s="121">
        <v>63906.0</v>
      </c>
    </row>
    <row r="8481">
      <c r="A8481" s="121">
        <v>63907.0</v>
      </c>
    </row>
    <row r="8482">
      <c r="A8482" s="121">
        <v>63908.0</v>
      </c>
    </row>
    <row r="8483">
      <c r="A8483" s="121">
        <v>63909.0</v>
      </c>
    </row>
    <row r="8484">
      <c r="A8484" s="121">
        <v>63910.0</v>
      </c>
    </row>
    <row r="8485">
      <c r="A8485" s="121">
        <v>63911.0</v>
      </c>
    </row>
    <row r="8486">
      <c r="A8486" s="121">
        <v>63912.0</v>
      </c>
    </row>
    <row r="8487">
      <c r="A8487" s="121">
        <v>63913.0</v>
      </c>
    </row>
    <row r="8488">
      <c r="A8488" s="121">
        <v>63914.0</v>
      </c>
    </row>
    <row r="8489">
      <c r="A8489" s="121">
        <v>63915.0</v>
      </c>
    </row>
    <row r="8490">
      <c r="A8490" s="121">
        <v>63916.0</v>
      </c>
    </row>
    <row r="8491">
      <c r="A8491" s="121">
        <v>63917.0</v>
      </c>
    </row>
    <row r="8492">
      <c r="A8492" s="121">
        <v>63926.0</v>
      </c>
    </row>
    <row r="8493">
      <c r="A8493" s="121">
        <v>63927.0</v>
      </c>
    </row>
    <row r="8494">
      <c r="A8494" s="121">
        <v>63928.0</v>
      </c>
    </row>
    <row r="8495">
      <c r="A8495" s="121">
        <v>63929.0</v>
      </c>
    </row>
    <row r="8496">
      <c r="A8496" s="121">
        <v>63930.0</v>
      </c>
    </row>
    <row r="8497">
      <c r="A8497" s="121">
        <v>63931.0</v>
      </c>
    </row>
    <row r="8498">
      <c r="A8498" s="121">
        <v>63932.0</v>
      </c>
    </row>
    <row r="8499">
      <c r="A8499" s="121">
        <v>63933.0</v>
      </c>
    </row>
    <row r="8500">
      <c r="A8500" s="121">
        <v>63934.0</v>
      </c>
    </row>
    <row r="8501">
      <c r="A8501" s="121">
        <v>63935.0</v>
      </c>
    </row>
    <row r="8502">
      <c r="A8502" s="121">
        <v>63936.0</v>
      </c>
    </row>
    <row r="8503">
      <c r="A8503" s="121">
        <v>63937.0</v>
      </c>
    </row>
    <row r="8504">
      <c r="A8504" s="121">
        <v>63938.0</v>
      </c>
    </row>
    <row r="8505">
      <c r="A8505" s="121">
        <v>63939.0</v>
      </c>
    </row>
    <row r="8506">
      <c r="A8506" s="121">
        <v>63940.0</v>
      </c>
    </row>
    <row r="8507">
      <c r="A8507" s="121">
        <v>63941.0</v>
      </c>
    </row>
    <row r="8508">
      <c r="A8508" s="121">
        <v>63942.0</v>
      </c>
    </row>
    <row r="8509">
      <c r="A8509" s="121">
        <v>63943.0</v>
      </c>
    </row>
    <row r="8510">
      <c r="A8510" s="121">
        <v>63944.0</v>
      </c>
    </row>
    <row r="8511">
      <c r="A8511" s="121">
        <v>63945.0</v>
      </c>
    </row>
    <row r="8512">
      <c r="A8512" s="121">
        <v>63946.0</v>
      </c>
    </row>
    <row r="8513">
      <c r="A8513" s="121">
        <v>63947.0</v>
      </c>
    </row>
    <row r="8514">
      <c r="A8514" s="121">
        <v>63948.0</v>
      </c>
    </row>
    <row r="8515">
      <c r="A8515" s="121">
        <v>63949.0</v>
      </c>
    </row>
    <row r="8516">
      <c r="A8516" s="121">
        <v>63950.0</v>
      </c>
    </row>
    <row r="8517">
      <c r="A8517" s="121">
        <v>63951.0</v>
      </c>
    </row>
    <row r="8518">
      <c r="A8518" s="121">
        <v>63952.0</v>
      </c>
    </row>
    <row r="8519">
      <c r="A8519" s="121">
        <v>63953.0</v>
      </c>
    </row>
    <row r="8520">
      <c r="A8520" s="121">
        <v>63954.0</v>
      </c>
    </row>
    <row r="8521">
      <c r="A8521" s="121">
        <v>63955.0</v>
      </c>
    </row>
    <row r="8522">
      <c r="A8522" s="121">
        <v>63956.0</v>
      </c>
    </row>
    <row r="8523">
      <c r="A8523" s="121">
        <v>63957.0</v>
      </c>
    </row>
    <row r="8524">
      <c r="A8524" s="121">
        <v>63958.0</v>
      </c>
    </row>
    <row r="8525">
      <c r="A8525" s="121">
        <v>63959.0</v>
      </c>
    </row>
    <row r="8526">
      <c r="A8526" s="121">
        <v>63960.0</v>
      </c>
    </row>
    <row r="8527">
      <c r="A8527" s="121">
        <v>63961.0</v>
      </c>
    </row>
    <row r="8528">
      <c r="A8528" s="121">
        <v>63962.0</v>
      </c>
    </row>
    <row r="8529">
      <c r="A8529" s="121">
        <v>63963.0</v>
      </c>
    </row>
    <row r="8530">
      <c r="A8530" s="121">
        <v>63964.0</v>
      </c>
    </row>
    <row r="8531">
      <c r="A8531" s="121">
        <v>63965.0</v>
      </c>
    </row>
    <row r="8532">
      <c r="A8532" s="121">
        <v>63966.0</v>
      </c>
    </row>
    <row r="8533">
      <c r="A8533" s="121">
        <v>63967.0</v>
      </c>
    </row>
    <row r="8534">
      <c r="A8534" s="121">
        <v>63968.0</v>
      </c>
    </row>
    <row r="8535">
      <c r="A8535" s="121">
        <v>63969.0</v>
      </c>
    </row>
    <row r="8536">
      <c r="A8536" s="121">
        <v>63970.0</v>
      </c>
    </row>
    <row r="8537">
      <c r="A8537" s="121">
        <v>63971.0</v>
      </c>
    </row>
    <row r="8538">
      <c r="A8538" s="121">
        <v>63972.0</v>
      </c>
    </row>
    <row r="8539">
      <c r="A8539" s="121">
        <v>63973.0</v>
      </c>
    </row>
    <row r="8540">
      <c r="A8540" s="121">
        <v>63974.0</v>
      </c>
    </row>
    <row r="8541">
      <c r="A8541" s="121">
        <v>63975.0</v>
      </c>
    </row>
    <row r="8542">
      <c r="A8542" s="121">
        <v>63976.0</v>
      </c>
    </row>
    <row r="8543">
      <c r="A8543" s="121">
        <v>63977.0</v>
      </c>
    </row>
    <row r="8544">
      <c r="A8544" s="121">
        <v>63978.0</v>
      </c>
    </row>
    <row r="8545">
      <c r="A8545" s="121">
        <v>63979.0</v>
      </c>
    </row>
    <row r="8546">
      <c r="A8546" s="121">
        <v>63994.0</v>
      </c>
    </row>
    <row r="8547">
      <c r="A8547" s="121">
        <v>63995.0</v>
      </c>
    </row>
    <row r="8548">
      <c r="A8548" s="121">
        <v>63996.0</v>
      </c>
    </row>
    <row r="8549">
      <c r="A8549" s="121">
        <v>63997.0</v>
      </c>
    </row>
    <row r="8550">
      <c r="A8550" s="121">
        <v>63998.0</v>
      </c>
    </row>
    <row r="8551">
      <c r="A8551" s="121">
        <v>63999.0</v>
      </c>
    </row>
    <row r="8552">
      <c r="A8552" s="121">
        <v>64000.0</v>
      </c>
    </row>
    <row r="8553">
      <c r="A8553" s="121">
        <v>64001.0</v>
      </c>
    </row>
    <row r="8554">
      <c r="A8554" s="121">
        <v>64002.0</v>
      </c>
    </row>
    <row r="8555">
      <c r="A8555" s="121">
        <v>64003.0</v>
      </c>
    </row>
    <row r="8556">
      <c r="A8556" s="121">
        <v>64004.0</v>
      </c>
    </row>
    <row r="8557">
      <c r="A8557" s="121">
        <v>64005.0</v>
      </c>
    </row>
    <row r="8558">
      <c r="A8558" s="121">
        <v>64006.0</v>
      </c>
    </row>
    <row r="8559">
      <c r="A8559" s="121">
        <v>64007.0</v>
      </c>
    </row>
    <row r="8560">
      <c r="A8560" s="121">
        <v>64008.0</v>
      </c>
    </row>
    <row r="8561">
      <c r="A8561" s="121">
        <v>64009.0</v>
      </c>
    </row>
    <row r="8562">
      <c r="A8562" s="121">
        <v>64010.0</v>
      </c>
    </row>
    <row r="8563">
      <c r="A8563" s="121">
        <v>64011.0</v>
      </c>
    </row>
    <row r="8564">
      <c r="A8564" s="121">
        <v>64012.0</v>
      </c>
    </row>
    <row r="8565">
      <c r="A8565" s="121">
        <v>64013.0</v>
      </c>
    </row>
    <row r="8566">
      <c r="A8566" s="121">
        <v>64014.0</v>
      </c>
    </row>
    <row r="8567">
      <c r="A8567" s="121">
        <v>64015.0</v>
      </c>
    </row>
    <row r="8568">
      <c r="A8568" s="121">
        <v>64016.0</v>
      </c>
    </row>
    <row r="8569">
      <c r="A8569" s="121">
        <v>64017.0</v>
      </c>
    </row>
    <row r="8570">
      <c r="A8570" s="121">
        <v>64018.0</v>
      </c>
    </row>
    <row r="8571">
      <c r="A8571" s="121">
        <v>64019.0</v>
      </c>
    </row>
    <row r="8572">
      <c r="A8572" s="121">
        <v>64020.0</v>
      </c>
    </row>
    <row r="8573">
      <c r="A8573" s="121">
        <v>64021.0</v>
      </c>
    </row>
    <row r="8574">
      <c r="A8574" s="121">
        <v>64022.0</v>
      </c>
    </row>
    <row r="8575">
      <c r="A8575" s="121">
        <v>64023.0</v>
      </c>
    </row>
    <row r="8576">
      <c r="A8576" s="121">
        <v>64024.0</v>
      </c>
    </row>
    <row r="8577">
      <c r="A8577" s="121">
        <v>64025.0</v>
      </c>
    </row>
    <row r="8578">
      <c r="A8578" s="121">
        <v>64026.0</v>
      </c>
    </row>
    <row r="8579">
      <c r="A8579" s="121">
        <v>64027.0</v>
      </c>
    </row>
    <row r="8580">
      <c r="A8580" s="121">
        <v>64028.0</v>
      </c>
    </row>
    <row r="8581">
      <c r="A8581" s="121">
        <v>64029.0</v>
      </c>
    </row>
    <row r="8582">
      <c r="A8582" s="121">
        <v>64030.0</v>
      </c>
    </row>
    <row r="8583">
      <c r="A8583" s="121">
        <v>64031.0</v>
      </c>
    </row>
    <row r="8584">
      <c r="A8584" s="121">
        <v>64032.0</v>
      </c>
    </row>
    <row r="8585">
      <c r="A8585" s="121">
        <v>64033.0</v>
      </c>
    </row>
    <row r="8586">
      <c r="A8586" s="121">
        <v>64034.0</v>
      </c>
    </row>
    <row r="8587">
      <c r="A8587" s="121">
        <v>64035.0</v>
      </c>
    </row>
    <row r="8588">
      <c r="A8588" s="121">
        <v>64036.0</v>
      </c>
    </row>
    <row r="8589">
      <c r="A8589" s="121">
        <v>64037.0</v>
      </c>
    </row>
    <row r="8590">
      <c r="A8590" s="121">
        <v>64038.0</v>
      </c>
    </row>
    <row r="8591">
      <c r="A8591" s="121">
        <v>64039.0</v>
      </c>
    </row>
    <row r="8592">
      <c r="A8592" s="121">
        <v>64040.0</v>
      </c>
    </row>
    <row r="8593">
      <c r="A8593" s="121">
        <v>64041.0</v>
      </c>
    </row>
    <row r="8594">
      <c r="A8594" s="121">
        <v>64042.0</v>
      </c>
    </row>
    <row r="8595">
      <c r="A8595" s="121">
        <v>64043.0</v>
      </c>
    </row>
    <row r="8596">
      <c r="A8596" s="121">
        <v>64044.0</v>
      </c>
    </row>
    <row r="8597">
      <c r="A8597" s="121">
        <v>64045.0</v>
      </c>
    </row>
    <row r="8598">
      <c r="A8598" s="121">
        <v>64046.0</v>
      </c>
    </row>
    <row r="8599">
      <c r="A8599" s="121">
        <v>64047.0</v>
      </c>
    </row>
    <row r="8600">
      <c r="A8600" s="121">
        <v>64064.0</v>
      </c>
    </row>
    <row r="8601">
      <c r="A8601" s="121">
        <v>64065.0</v>
      </c>
    </row>
    <row r="8602">
      <c r="A8602" s="121">
        <v>64066.0</v>
      </c>
    </row>
    <row r="8603">
      <c r="A8603" s="121">
        <v>64067.0</v>
      </c>
    </row>
    <row r="8604">
      <c r="A8604" s="121">
        <v>64068.0</v>
      </c>
    </row>
    <row r="8605">
      <c r="A8605" s="121">
        <v>64069.0</v>
      </c>
    </row>
    <row r="8606">
      <c r="A8606" s="121">
        <v>64070.0</v>
      </c>
    </row>
    <row r="8607">
      <c r="A8607" s="121">
        <v>64071.0</v>
      </c>
    </row>
    <row r="8608">
      <c r="A8608" s="121">
        <v>64072.0</v>
      </c>
    </row>
    <row r="8609">
      <c r="A8609" s="121">
        <v>64073.0</v>
      </c>
    </row>
    <row r="8610">
      <c r="A8610" s="121">
        <v>64074.0</v>
      </c>
    </row>
    <row r="8611">
      <c r="A8611" s="121">
        <v>64075.0</v>
      </c>
    </row>
    <row r="8612">
      <c r="A8612" s="121">
        <v>64076.0</v>
      </c>
    </row>
    <row r="8613">
      <c r="A8613" s="121">
        <v>64077.0</v>
      </c>
    </row>
    <row r="8614">
      <c r="A8614" s="121">
        <v>64078.0</v>
      </c>
    </row>
    <row r="8615">
      <c r="A8615" s="121">
        <v>64079.0</v>
      </c>
    </row>
    <row r="8616">
      <c r="A8616" s="121">
        <v>64080.0</v>
      </c>
    </row>
    <row r="8617">
      <c r="A8617" s="121">
        <v>64081.0</v>
      </c>
    </row>
    <row r="8618">
      <c r="A8618" s="121">
        <v>64082.0</v>
      </c>
    </row>
    <row r="8619">
      <c r="A8619" s="121">
        <v>64083.0</v>
      </c>
    </row>
    <row r="8620">
      <c r="A8620" s="121">
        <v>64084.0</v>
      </c>
    </row>
    <row r="8621">
      <c r="A8621" s="121">
        <v>64085.0</v>
      </c>
    </row>
    <row r="8622">
      <c r="A8622" s="121">
        <v>64086.0</v>
      </c>
    </row>
    <row r="8623">
      <c r="A8623" s="121">
        <v>64096.0</v>
      </c>
    </row>
    <row r="8624">
      <c r="A8624" s="121">
        <v>64097.0</v>
      </c>
    </row>
    <row r="8625">
      <c r="A8625" s="121">
        <v>64098.0</v>
      </c>
    </row>
    <row r="8626">
      <c r="A8626" s="121">
        <v>64099.0</v>
      </c>
    </row>
    <row r="8627">
      <c r="A8627" s="121">
        <v>64100.0</v>
      </c>
    </row>
    <row r="8628">
      <c r="A8628" s="121">
        <v>64101.0</v>
      </c>
    </row>
    <row r="8629">
      <c r="A8629" s="121">
        <v>64102.0</v>
      </c>
    </row>
    <row r="8630">
      <c r="A8630" s="121">
        <v>64103.0</v>
      </c>
    </row>
    <row r="8631">
      <c r="A8631" s="121">
        <v>64104.0</v>
      </c>
    </row>
    <row r="8632">
      <c r="A8632" s="121">
        <v>64105.0</v>
      </c>
    </row>
    <row r="8633">
      <c r="A8633" s="121">
        <v>64106.0</v>
      </c>
    </row>
    <row r="8634">
      <c r="A8634" s="121">
        <v>64107.0</v>
      </c>
    </row>
    <row r="8635">
      <c r="A8635" s="121">
        <v>64108.0</v>
      </c>
    </row>
    <row r="8636">
      <c r="A8636" s="121">
        <v>64109.0</v>
      </c>
    </row>
    <row r="8637">
      <c r="A8637" s="121">
        <v>64110.0</v>
      </c>
    </row>
    <row r="8638">
      <c r="A8638" s="121">
        <v>64111.0</v>
      </c>
    </row>
    <row r="8639">
      <c r="A8639" s="121">
        <v>64112.0</v>
      </c>
    </row>
    <row r="8640">
      <c r="A8640" s="121">
        <v>64113.0</v>
      </c>
    </row>
    <row r="8641">
      <c r="A8641" s="121">
        <v>64114.0</v>
      </c>
    </row>
    <row r="8642">
      <c r="A8642" s="121">
        <v>64115.0</v>
      </c>
    </row>
    <row r="8643">
      <c r="A8643" s="121">
        <v>64116.0</v>
      </c>
    </row>
    <row r="8644">
      <c r="A8644" s="121">
        <v>64117.0</v>
      </c>
    </row>
    <row r="8645">
      <c r="A8645" s="121">
        <v>64118.0</v>
      </c>
    </row>
    <row r="8646">
      <c r="A8646" s="121">
        <v>64119.0</v>
      </c>
    </row>
    <row r="8647">
      <c r="A8647" s="121">
        <v>64120.0</v>
      </c>
    </row>
    <row r="8648">
      <c r="A8648" s="121">
        <v>64121.0</v>
      </c>
    </row>
    <row r="8649">
      <c r="A8649" s="121">
        <v>64122.0</v>
      </c>
    </row>
    <row r="8650">
      <c r="A8650" s="121">
        <v>64123.0</v>
      </c>
    </row>
    <row r="8651">
      <c r="A8651" s="121">
        <v>64124.0</v>
      </c>
    </row>
    <row r="8652">
      <c r="A8652" s="121">
        <v>64125.0</v>
      </c>
    </row>
    <row r="8653">
      <c r="A8653" s="121">
        <v>64126.0</v>
      </c>
    </row>
    <row r="8654">
      <c r="A8654" s="121">
        <v>64127.0</v>
      </c>
    </row>
    <row r="8655">
      <c r="A8655" s="121">
        <v>64128.0</v>
      </c>
    </row>
    <row r="8656">
      <c r="A8656" s="121">
        <v>64129.0</v>
      </c>
    </row>
    <row r="8657">
      <c r="A8657" s="121">
        <v>64130.0</v>
      </c>
    </row>
    <row r="8658">
      <c r="A8658" s="121">
        <v>64131.0</v>
      </c>
    </row>
    <row r="8659">
      <c r="A8659" s="121">
        <v>64132.0</v>
      </c>
    </row>
    <row r="8660">
      <c r="A8660" s="121">
        <v>64133.0</v>
      </c>
    </row>
    <row r="8661">
      <c r="A8661" s="121">
        <v>64134.0</v>
      </c>
    </row>
    <row r="8662">
      <c r="A8662" s="121">
        <v>64135.0</v>
      </c>
    </row>
    <row r="8663">
      <c r="A8663" s="121">
        <v>64136.0</v>
      </c>
    </row>
    <row r="8664">
      <c r="A8664" s="121">
        <v>64137.0</v>
      </c>
    </row>
    <row r="8665">
      <c r="A8665" s="121">
        <v>64138.0</v>
      </c>
    </row>
    <row r="8666">
      <c r="A8666" s="121">
        <v>64139.0</v>
      </c>
    </row>
    <row r="8667">
      <c r="A8667" s="121">
        <v>64140.0</v>
      </c>
    </row>
    <row r="8668">
      <c r="A8668" s="121">
        <v>64141.0</v>
      </c>
    </row>
    <row r="8669">
      <c r="A8669" s="121">
        <v>64142.0</v>
      </c>
    </row>
    <row r="8670">
      <c r="A8670" s="121">
        <v>64143.0</v>
      </c>
    </row>
    <row r="8671">
      <c r="A8671" s="121">
        <v>64144.0</v>
      </c>
    </row>
    <row r="8672">
      <c r="A8672" s="121">
        <v>64145.0</v>
      </c>
    </row>
    <row r="8673">
      <c r="A8673" s="121">
        <v>64146.0</v>
      </c>
    </row>
    <row r="8674">
      <c r="A8674" s="121">
        <v>64147.0</v>
      </c>
    </row>
    <row r="8675">
      <c r="A8675" s="121">
        <v>64148.0</v>
      </c>
    </row>
    <row r="8676">
      <c r="A8676" s="121">
        <v>64149.0</v>
      </c>
    </row>
    <row r="8677">
      <c r="A8677" s="121">
        <v>64150.0</v>
      </c>
    </row>
    <row r="8678">
      <c r="A8678" s="121">
        <v>64151.0</v>
      </c>
    </row>
    <row r="8679">
      <c r="A8679" s="121">
        <v>64152.0</v>
      </c>
    </row>
    <row r="8680">
      <c r="A8680" s="121">
        <v>64153.0</v>
      </c>
    </row>
    <row r="8681">
      <c r="A8681" s="121">
        <v>64154.0</v>
      </c>
    </row>
    <row r="8682">
      <c r="A8682" s="121">
        <v>64155.0</v>
      </c>
    </row>
    <row r="8683">
      <c r="A8683" s="121">
        <v>64156.0</v>
      </c>
    </row>
    <row r="8684">
      <c r="A8684" s="121">
        <v>64157.0</v>
      </c>
    </row>
    <row r="8685">
      <c r="A8685" s="121">
        <v>64158.0</v>
      </c>
    </row>
    <row r="8686">
      <c r="A8686" s="121">
        <v>64159.0</v>
      </c>
    </row>
    <row r="8687">
      <c r="A8687" s="121">
        <v>64160.0</v>
      </c>
    </row>
    <row r="8688">
      <c r="A8688" s="121">
        <v>64161.0</v>
      </c>
    </row>
    <row r="8689">
      <c r="A8689" s="121">
        <v>64162.0</v>
      </c>
    </row>
    <row r="8690">
      <c r="A8690" s="121">
        <v>64163.0</v>
      </c>
    </row>
    <row r="8691">
      <c r="A8691" s="121">
        <v>64164.0</v>
      </c>
    </row>
    <row r="8692">
      <c r="A8692" s="121">
        <v>64165.0</v>
      </c>
    </row>
    <row r="8693">
      <c r="A8693" s="121">
        <v>64166.0</v>
      </c>
    </row>
    <row r="8694">
      <c r="A8694" s="121">
        <v>64167.0</v>
      </c>
    </row>
    <row r="8695">
      <c r="A8695" s="121">
        <v>64168.0</v>
      </c>
    </row>
    <row r="8696">
      <c r="A8696" s="121">
        <v>64169.0</v>
      </c>
    </row>
    <row r="8697">
      <c r="A8697" s="121">
        <v>64170.0</v>
      </c>
    </row>
    <row r="8698">
      <c r="A8698" s="121">
        <v>64171.0</v>
      </c>
    </row>
    <row r="8699">
      <c r="A8699" s="121">
        <v>64172.0</v>
      </c>
    </row>
    <row r="8700">
      <c r="A8700" s="121">
        <v>64173.0</v>
      </c>
    </row>
    <row r="8701">
      <c r="A8701" s="121">
        <v>64174.0</v>
      </c>
    </row>
    <row r="8702">
      <c r="A8702" s="121">
        <v>64175.0</v>
      </c>
    </row>
    <row r="8703">
      <c r="A8703" s="121">
        <v>64176.0</v>
      </c>
    </row>
    <row r="8704">
      <c r="A8704" s="121">
        <v>64177.0</v>
      </c>
    </row>
    <row r="8705">
      <c r="A8705" s="121">
        <v>64178.0</v>
      </c>
    </row>
    <row r="8706">
      <c r="A8706" s="121">
        <v>64179.0</v>
      </c>
    </row>
    <row r="8707">
      <c r="A8707" s="121">
        <v>64180.0</v>
      </c>
    </row>
    <row r="8708">
      <c r="A8708" s="121">
        <v>64181.0</v>
      </c>
    </row>
    <row r="8709">
      <c r="A8709" s="121">
        <v>64182.0</v>
      </c>
    </row>
    <row r="8710">
      <c r="A8710" s="121">
        <v>64183.0</v>
      </c>
    </row>
    <row r="8711">
      <c r="A8711" s="121">
        <v>64184.0</v>
      </c>
    </row>
    <row r="8712">
      <c r="A8712" s="121">
        <v>64185.0</v>
      </c>
    </row>
    <row r="8713">
      <c r="A8713" s="121">
        <v>64186.0</v>
      </c>
    </row>
    <row r="8714">
      <c r="A8714" s="121">
        <v>64187.0</v>
      </c>
    </row>
    <row r="8715">
      <c r="A8715" s="121">
        <v>64188.0</v>
      </c>
    </row>
    <row r="8716">
      <c r="A8716" s="121">
        <v>64189.0</v>
      </c>
    </row>
    <row r="8717">
      <c r="A8717" s="121">
        <v>64190.0</v>
      </c>
    </row>
    <row r="8718">
      <c r="A8718" s="121">
        <v>64191.0</v>
      </c>
    </row>
    <row r="8719">
      <c r="A8719" s="121">
        <v>64192.0</v>
      </c>
    </row>
    <row r="8720">
      <c r="A8720" s="121">
        <v>64193.0</v>
      </c>
    </row>
    <row r="8721">
      <c r="A8721" s="121">
        <v>64194.0</v>
      </c>
    </row>
    <row r="8722">
      <c r="A8722" s="121">
        <v>64195.0</v>
      </c>
    </row>
    <row r="8723">
      <c r="A8723" s="121">
        <v>64196.0</v>
      </c>
    </row>
    <row r="8724">
      <c r="A8724" s="121">
        <v>64203.0</v>
      </c>
    </row>
    <row r="8725">
      <c r="A8725" s="121">
        <v>64204.0</v>
      </c>
    </row>
    <row r="8726">
      <c r="A8726" s="121">
        <v>64205.0</v>
      </c>
    </row>
    <row r="8727">
      <c r="A8727" s="121">
        <v>64206.0</v>
      </c>
    </row>
    <row r="8728">
      <c r="A8728" s="121">
        <v>64207.0</v>
      </c>
    </row>
    <row r="8729">
      <c r="A8729" s="121">
        <v>64208.0</v>
      </c>
    </row>
    <row r="8730">
      <c r="A8730" s="121">
        <v>64209.0</v>
      </c>
    </row>
    <row r="8731">
      <c r="A8731" s="121">
        <v>64210.0</v>
      </c>
    </row>
    <row r="8732">
      <c r="A8732" s="121">
        <v>64211.0</v>
      </c>
    </row>
    <row r="8733">
      <c r="A8733" s="121">
        <v>64212.0</v>
      </c>
    </row>
    <row r="8734">
      <c r="A8734" s="121">
        <v>64213.0</v>
      </c>
    </row>
    <row r="8735">
      <c r="A8735" s="121">
        <v>64214.0</v>
      </c>
    </row>
    <row r="8736">
      <c r="A8736" s="121">
        <v>64215.0</v>
      </c>
    </row>
    <row r="8737">
      <c r="A8737" s="121">
        <v>64216.0</v>
      </c>
    </row>
    <row r="8738">
      <c r="A8738" s="121">
        <v>64217.0</v>
      </c>
    </row>
    <row r="8739">
      <c r="A8739" s="121">
        <v>64218.0</v>
      </c>
    </row>
    <row r="8740">
      <c r="A8740" s="121">
        <v>64219.0</v>
      </c>
    </row>
    <row r="8741">
      <c r="A8741" s="121">
        <v>64220.0</v>
      </c>
    </row>
    <row r="8742">
      <c r="A8742" s="121">
        <v>64221.0</v>
      </c>
    </row>
    <row r="8743">
      <c r="A8743" s="121">
        <v>64222.0</v>
      </c>
    </row>
    <row r="8744">
      <c r="A8744" s="121">
        <v>64223.0</v>
      </c>
    </row>
    <row r="8745">
      <c r="A8745" s="121">
        <v>64224.0</v>
      </c>
    </row>
    <row r="8746">
      <c r="A8746" s="121">
        <v>64225.0</v>
      </c>
    </row>
    <row r="8747">
      <c r="A8747" s="121">
        <v>64226.0</v>
      </c>
    </row>
    <row r="8748">
      <c r="A8748" s="121">
        <v>64227.0</v>
      </c>
    </row>
    <row r="8749">
      <c r="A8749" s="121">
        <v>64228.0</v>
      </c>
    </row>
    <row r="8750">
      <c r="A8750" s="121">
        <v>64229.0</v>
      </c>
    </row>
    <row r="8751">
      <c r="A8751" s="121">
        <v>64233.0</v>
      </c>
    </row>
    <row r="8752">
      <c r="A8752" s="121">
        <v>64234.0</v>
      </c>
    </row>
    <row r="8753">
      <c r="A8753" s="121">
        <v>64235.0</v>
      </c>
    </row>
    <row r="8754">
      <c r="A8754" s="121">
        <v>64236.0</v>
      </c>
    </row>
    <row r="8755">
      <c r="A8755" s="121">
        <v>64237.0</v>
      </c>
    </row>
    <row r="8756">
      <c r="A8756" s="121">
        <v>64238.0</v>
      </c>
    </row>
    <row r="8757">
      <c r="A8757" s="121">
        <v>64239.0</v>
      </c>
    </row>
    <row r="8758">
      <c r="A8758" s="121">
        <v>64240.0</v>
      </c>
    </row>
    <row r="8759">
      <c r="A8759" s="121">
        <v>64241.0</v>
      </c>
    </row>
    <row r="8760">
      <c r="A8760" s="121">
        <v>64242.0</v>
      </c>
    </row>
    <row r="8761">
      <c r="A8761" s="121">
        <v>64243.0</v>
      </c>
    </row>
    <row r="8762">
      <c r="A8762" s="121">
        <v>64244.0</v>
      </c>
    </row>
    <row r="8763">
      <c r="A8763" s="121">
        <v>64245.0</v>
      </c>
    </row>
    <row r="8764">
      <c r="A8764" s="121">
        <v>64246.0</v>
      </c>
    </row>
    <row r="8765">
      <c r="A8765" s="121">
        <v>64247.0</v>
      </c>
    </row>
    <row r="8766">
      <c r="A8766" s="121">
        <v>64248.0</v>
      </c>
    </row>
    <row r="8767">
      <c r="A8767" s="121">
        <v>64249.0</v>
      </c>
    </row>
    <row r="8768">
      <c r="A8768" s="121">
        <v>64250.0</v>
      </c>
    </row>
    <row r="8769">
      <c r="A8769" s="121">
        <v>64251.0</v>
      </c>
    </row>
    <row r="8770">
      <c r="A8770" s="121">
        <v>64252.0</v>
      </c>
    </row>
    <row r="8771">
      <c r="A8771" s="121">
        <v>64253.0</v>
      </c>
    </row>
    <row r="8772">
      <c r="A8772" s="121">
        <v>64254.0</v>
      </c>
    </row>
    <row r="8773">
      <c r="A8773" s="121">
        <v>64255.0</v>
      </c>
    </row>
    <row r="8774">
      <c r="A8774" s="121">
        <v>64256.0</v>
      </c>
    </row>
    <row r="8775">
      <c r="A8775" s="121">
        <v>64257.0</v>
      </c>
    </row>
    <row r="8776">
      <c r="A8776" s="121">
        <v>64258.0</v>
      </c>
    </row>
    <row r="8777">
      <c r="A8777" s="121">
        <v>64259.0</v>
      </c>
    </row>
    <row r="8778">
      <c r="A8778" s="121">
        <v>64260.0</v>
      </c>
    </row>
    <row r="8779">
      <c r="A8779" s="121">
        <v>64261.0</v>
      </c>
    </row>
    <row r="8780">
      <c r="A8780" s="121">
        <v>64262.0</v>
      </c>
    </row>
    <row r="8781">
      <c r="A8781" s="121">
        <v>64263.0</v>
      </c>
    </row>
    <row r="8782">
      <c r="A8782" s="121">
        <v>64264.0</v>
      </c>
    </row>
    <row r="8783">
      <c r="A8783" s="121">
        <v>64265.0</v>
      </c>
    </row>
    <row r="8784">
      <c r="A8784" s="121">
        <v>64266.0</v>
      </c>
    </row>
    <row r="8785">
      <c r="A8785" s="121">
        <v>64267.0</v>
      </c>
    </row>
    <row r="8786">
      <c r="A8786" s="121">
        <v>64268.0</v>
      </c>
    </row>
    <row r="8787">
      <c r="A8787" s="121">
        <v>64269.0</v>
      </c>
    </row>
    <row r="8788">
      <c r="A8788" s="121">
        <v>64270.0</v>
      </c>
    </row>
    <row r="8789">
      <c r="A8789" s="121">
        <v>64271.0</v>
      </c>
    </row>
    <row r="8790">
      <c r="A8790" s="121">
        <v>64272.0</v>
      </c>
    </row>
    <row r="8791">
      <c r="A8791" s="121">
        <v>64273.0</v>
      </c>
    </row>
    <row r="8792">
      <c r="A8792" s="121">
        <v>64274.0</v>
      </c>
    </row>
    <row r="8793">
      <c r="A8793" s="121">
        <v>64275.0</v>
      </c>
    </row>
    <row r="8794">
      <c r="A8794" s="121">
        <v>64276.0</v>
      </c>
    </row>
    <row r="8795">
      <c r="A8795" s="121">
        <v>64277.0</v>
      </c>
    </row>
    <row r="8796">
      <c r="A8796" s="121">
        <v>64278.0</v>
      </c>
    </row>
    <row r="8797">
      <c r="A8797" s="121">
        <v>64279.0</v>
      </c>
    </row>
    <row r="8798">
      <c r="A8798" s="121">
        <v>64280.0</v>
      </c>
    </row>
    <row r="8799">
      <c r="A8799" s="121">
        <v>64281.0</v>
      </c>
    </row>
    <row r="8800">
      <c r="A8800" s="121">
        <v>64282.0</v>
      </c>
    </row>
    <row r="8801">
      <c r="A8801" s="121">
        <v>64291.0</v>
      </c>
    </row>
    <row r="8802">
      <c r="A8802" s="121">
        <v>64292.0</v>
      </c>
    </row>
    <row r="8803">
      <c r="A8803" s="121">
        <v>64293.0</v>
      </c>
    </row>
    <row r="8804">
      <c r="A8804" s="121">
        <v>64294.0</v>
      </c>
    </row>
    <row r="8805">
      <c r="A8805" s="121">
        <v>64295.0</v>
      </c>
    </row>
    <row r="8806">
      <c r="A8806" s="121">
        <v>64296.0</v>
      </c>
    </row>
    <row r="8807">
      <c r="A8807" s="121">
        <v>64297.0</v>
      </c>
    </row>
    <row r="8808">
      <c r="A8808" s="121">
        <v>64298.0</v>
      </c>
    </row>
    <row r="8809">
      <c r="A8809" s="121">
        <v>64299.0</v>
      </c>
    </row>
    <row r="8810">
      <c r="A8810" s="121">
        <v>64300.0</v>
      </c>
    </row>
    <row r="8811">
      <c r="A8811" s="121">
        <v>64301.0</v>
      </c>
    </row>
    <row r="8812">
      <c r="A8812" s="121">
        <v>64302.0</v>
      </c>
    </row>
    <row r="8813">
      <c r="A8813" s="121">
        <v>64303.0</v>
      </c>
    </row>
    <row r="8814">
      <c r="A8814" s="121">
        <v>64304.0</v>
      </c>
    </row>
    <row r="8815">
      <c r="A8815" s="121">
        <v>64305.0</v>
      </c>
    </row>
    <row r="8816">
      <c r="A8816" s="121">
        <v>64306.0</v>
      </c>
    </row>
    <row r="8817">
      <c r="A8817" s="121">
        <v>64307.0</v>
      </c>
    </row>
    <row r="8818">
      <c r="A8818" s="121">
        <v>64308.0</v>
      </c>
    </row>
    <row r="8819">
      <c r="A8819" s="121">
        <v>64309.0</v>
      </c>
    </row>
    <row r="8820">
      <c r="A8820" s="121">
        <v>64310.0</v>
      </c>
    </row>
    <row r="8821">
      <c r="A8821" s="121">
        <v>64311.0</v>
      </c>
    </row>
    <row r="8822">
      <c r="A8822" s="121">
        <v>64312.0</v>
      </c>
    </row>
    <row r="8823">
      <c r="A8823" s="121">
        <v>64313.0</v>
      </c>
    </row>
    <row r="8824">
      <c r="A8824" s="121">
        <v>64314.0</v>
      </c>
    </row>
    <row r="8825">
      <c r="A8825" s="121">
        <v>64315.0</v>
      </c>
    </row>
    <row r="8826">
      <c r="A8826" s="121">
        <v>64316.0</v>
      </c>
    </row>
    <row r="8827">
      <c r="A8827" s="121">
        <v>64317.0</v>
      </c>
    </row>
    <row r="8828">
      <c r="A8828" s="121">
        <v>64318.0</v>
      </c>
    </row>
    <row r="8829">
      <c r="A8829" s="121">
        <v>64319.0</v>
      </c>
    </row>
    <row r="8830">
      <c r="A8830" s="121">
        <v>64320.0</v>
      </c>
    </row>
    <row r="8831">
      <c r="A8831" s="121">
        <v>64321.0</v>
      </c>
    </row>
    <row r="8832">
      <c r="A8832" s="121">
        <v>64322.0</v>
      </c>
    </row>
    <row r="8833">
      <c r="A8833" s="121">
        <v>64323.0</v>
      </c>
    </row>
    <row r="8834">
      <c r="A8834" s="121">
        <v>64324.0</v>
      </c>
    </row>
    <row r="8835">
      <c r="A8835" s="121">
        <v>64325.0</v>
      </c>
    </row>
    <row r="8836">
      <c r="A8836" s="121">
        <v>64326.0</v>
      </c>
    </row>
    <row r="8837">
      <c r="A8837" s="121">
        <v>64327.0</v>
      </c>
    </row>
    <row r="8838">
      <c r="A8838" s="121">
        <v>64328.0</v>
      </c>
    </row>
    <row r="8839">
      <c r="A8839" s="121">
        <v>64329.0</v>
      </c>
    </row>
    <row r="8840">
      <c r="A8840" s="121">
        <v>64330.0</v>
      </c>
    </row>
    <row r="8841">
      <c r="A8841" s="121">
        <v>64331.0</v>
      </c>
    </row>
    <row r="8842">
      <c r="A8842" s="121">
        <v>64332.0</v>
      </c>
    </row>
    <row r="8843">
      <c r="A8843" s="121">
        <v>64333.0</v>
      </c>
    </row>
    <row r="8844">
      <c r="A8844" s="121">
        <v>64334.0</v>
      </c>
    </row>
    <row r="8845">
      <c r="A8845" s="121">
        <v>64335.0</v>
      </c>
    </row>
    <row r="8846">
      <c r="A8846" s="121">
        <v>64336.0</v>
      </c>
    </row>
    <row r="8847">
      <c r="A8847" s="121">
        <v>64337.0</v>
      </c>
    </row>
    <row r="8848">
      <c r="A8848" s="121">
        <v>64338.0</v>
      </c>
    </row>
    <row r="8849">
      <c r="A8849" s="121">
        <v>64339.0</v>
      </c>
    </row>
    <row r="8850">
      <c r="A8850" s="121">
        <v>64344.0</v>
      </c>
    </row>
    <row r="8851">
      <c r="A8851" s="121">
        <v>64345.0</v>
      </c>
    </row>
    <row r="8852">
      <c r="A8852" s="121">
        <v>64346.0</v>
      </c>
    </row>
    <row r="8853">
      <c r="A8853" s="121">
        <v>64347.0</v>
      </c>
    </row>
    <row r="8854">
      <c r="A8854" s="121">
        <v>64348.0</v>
      </c>
    </row>
    <row r="8855">
      <c r="A8855" s="121">
        <v>64349.0</v>
      </c>
    </row>
    <row r="8856">
      <c r="A8856" s="121">
        <v>64350.0</v>
      </c>
    </row>
    <row r="8857">
      <c r="A8857" s="121">
        <v>64351.0</v>
      </c>
    </row>
    <row r="8858">
      <c r="A8858" s="121">
        <v>64352.0</v>
      </c>
    </row>
    <row r="8859">
      <c r="A8859" s="121">
        <v>64353.0</v>
      </c>
    </row>
    <row r="8860">
      <c r="A8860" s="121">
        <v>64354.0</v>
      </c>
    </row>
    <row r="8861">
      <c r="A8861" s="121">
        <v>64355.0</v>
      </c>
    </row>
    <row r="8862">
      <c r="A8862" s="121">
        <v>64356.0</v>
      </c>
    </row>
    <row r="8863">
      <c r="A8863" s="121">
        <v>64357.0</v>
      </c>
    </row>
    <row r="8864">
      <c r="A8864" s="121">
        <v>64358.0</v>
      </c>
    </row>
    <row r="8865">
      <c r="A8865" s="121">
        <v>64359.0</v>
      </c>
    </row>
    <row r="8866">
      <c r="A8866" s="121">
        <v>64360.0</v>
      </c>
    </row>
    <row r="8867">
      <c r="A8867" s="121">
        <v>64361.0</v>
      </c>
    </row>
    <row r="8868">
      <c r="A8868" s="121">
        <v>64362.0</v>
      </c>
    </row>
    <row r="8869">
      <c r="A8869" s="121">
        <v>64363.0</v>
      </c>
    </row>
    <row r="8870">
      <c r="A8870" s="121">
        <v>64364.0</v>
      </c>
    </row>
    <row r="8871">
      <c r="A8871" s="121">
        <v>64365.0</v>
      </c>
    </row>
    <row r="8872">
      <c r="A8872" s="121">
        <v>64366.0</v>
      </c>
    </row>
    <row r="8873">
      <c r="A8873" s="121">
        <v>64367.0</v>
      </c>
    </row>
    <row r="8874">
      <c r="A8874" s="121">
        <v>64368.0</v>
      </c>
    </row>
    <row r="8875">
      <c r="A8875" s="121">
        <v>64369.0</v>
      </c>
    </row>
    <row r="8876">
      <c r="A8876" s="121">
        <v>64370.0</v>
      </c>
    </row>
    <row r="8877">
      <c r="A8877" s="121">
        <v>64371.0</v>
      </c>
    </row>
    <row r="8878">
      <c r="A8878" s="121">
        <v>64372.0</v>
      </c>
    </row>
    <row r="8879">
      <c r="A8879" s="121">
        <v>64373.0</v>
      </c>
    </row>
    <row r="8880">
      <c r="A8880" s="121">
        <v>64374.0</v>
      </c>
    </row>
    <row r="8881">
      <c r="A8881" s="121">
        <v>64375.0</v>
      </c>
    </row>
    <row r="8882">
      <c r="A8882" s="121">
        <v>64376.0</v>
      </c>
    </row>
    <row r="8883">
      <c r="A8883" s="121">
        <v>64377.0</v>
      </c>
    </row>
    <row r="8884">
      <c r="A8884" s="121">
        <v>64378.0</v>
      </c>
    </row>
    <row r="8885">
      <c r="A8885" s="121">
        <v>64379.0</v>
      </c>
    </row>
    <row r="8886">
      <c r="A8886" s="121">
        <v>64380.0</v>
      </c>
    </row>
    <row r="8887">
      <c r="A8887" s="121">
        <v>64381.0</v>
      </c>
    </row>
    <row r="8888">
      <c r="A8888" s="121">
        <v>64382.0</v>
      </c>
    </row>
    <row r="8889">
      <c r="A8889" s="121">
        <v>64383.0</v>
      </c>
    </row>
    <row r="8890">
      <c r="A8890" s="121">
        <v>64384.0</v>
      </c>
    </row>
    <row r="8891">
      <c r="A8891" s="121">
        <v>64385.0</v>
      </c>
    </row>
    <row r="8892">
      <c r="A8892" s="121">
        <v>64386.0</v>
      </c>
    </row>
    <row r="8893">
      <c r="A8893" s="121">
        <v>64387.0</v>
      </c>
    </row>
    <row r="8894">
      <c r="A8894" s="121">
        <v>64388.0</v>
      </c>
    </row>
    <row r="8895">
      <c r="A8895" s="121">
        <v>64389.0</v>
      </c>
    </row>
    <row r="8896">
      <c r="A8896" s="121">
        <v>64390.0</v>
      </c>
    </row>
    <row r="8897">
      <c r="A8897" s="121">
        <v>64391.0</v>
      </c>
    </row>
    <row r="8898">
      <c r="A8898" s="121">
        <v>64392.0</v>
      </c>
    </row>
    <row r="8899">
      <c r="A8899" s="121">
        <v>64412.0</v>
      </c>
    </row>
    <row r="8900">
      <c r="A8900" s="121">
        <v>64413.0</v>
      </c>
    </row>
    <row r="8901">
      <c r="A8901" s="121">
        <v>64414.0</v>
      </c>
    </row>
    <row r="8902">
      <c r="A8902" s="121">
        <v>64415.0</v>
      </c>
    </row>
    <row r="8903">
      <c r="A8903" s="121">
        <v>64416.0</v>
      </c>
    </row>
    <row r="8904">
      <c r="A8904" s="121">
        <v>64417.0</v>
      </c>
    </row>
    <row r="8905">
      <c r="A8905" s="121">
        <v>64418.0</v>
      </c>
    </row>
    <row r="8906">
      <c r="A8906" s="121">
        <v>64419.0</v>
      </c>
    </row>
    <row r="8907">
      <c r="A8907" s="121">
        <v>64420.0</v>
      </c>
    </row>
    <row r="8908">
      <c r="A8908" s="121">
        <v>64421.0</v>
      </c>
    </row>
    <row r="8909">
      <c r="A8909" s="121">
        <v>64422.0</v>
      </c>
    </row>
    <row r="8910">
      <c r="A8910" s="121">
        <v>64423.0</v>
      </c>
    </row>
    <row r="8911">
      <c r="A8911" s="121">
        <v>64424.0</v>
      </c>
    </row>
    <row r="8912">
      <c r="A8912" s="121">
        <v>64425.0</v>
      </c>
    </row>
    <row r="8913">
      <c r="A8913" s="121">
        <v>64426.0</v>
      </c>
    </row>
    <row r="8914">
      <c r="A8914" s="121">
        <v>64427.0</v>
      </c>
    </row>
    <row r="8915">
      <c r="A8915" s="121">
        <v>64428.0</v>
      </c>
    </row>
    <row r="8916">
      <c r="A8916" s="121">
        <v>64429.0</v>
      </c>
    </row>
    <row r="8917">
      <c r="A8917" s="121">
        <v>64430.0</v>
      </c>
    </row>
    <row r="8918">
      <c r="A8918" s="121">
        <v>64431.0</v>
      </c>
    </row>
    <row r="8919">
      <c r="A8919" s="121">
        <v>64432.0</v>
      </c>
    </row>
    <row r="8920">
      <c r="A8920" s="121">
        <v>64433.0</v>
      </c>
    </row>
    <row r="8921">
      <c r="A8921" s="121">
        <v>64434.0</v>
      </c>
    </row>
    <row r="8922">
      <c r="A8922" s="121">
        <v>64435.0</v>
      </c>
    </row>
    <row r="8923">
      <c r="A8923" s="121">
        <v>64436.0</v>
      </c>
    </row>
    <row r="8924">
      <c r="A8924" s="121">
        <v>64437.0</v>
      </c>
    </row>
    <row r="8925">
      <c r="A8925" s="121">
        <v>64438.0</v>
      </c>
    </row>
    <row r="8926">
      <c r="A8926" s="121">
        <v>64439.0</v>
      </c>
    </row>
    <row r="8927">
      <c r="A8927" s="121">
        <v>64440.0</v>
      </c>
    </row>
    <row r="8928">
      <c r="A8928" s="121">
        <v>64441.0</v>
      </c>
    </row>
    <row r="8929">
      <c r="A8929" s="121">
        <v>64442.0</v>
      </c>
    </row>
    <row r="8930">
      <c r="A8930" s="121">
        <v>64443.0</v>
      </c>
    </row>
    <row r="8931">
      <c r="A8931" s="121">
        <v>64444.0</v>
      </c>
    </row>
    <row r="8932">
      <c r="A8932" s="121">
        <v>64445.0</v>
      </c>
    </row>
    <row r="8933">
      <c r="A8933" s="121">
        <v>64446.0</v>
      </c>
    </row>
    <row r="8934">
      <c r="A8934" s="121">
        <v>64447.0</v>
      </c>
    </row>
    <row r="8935">
      <c r="A8935" s="121">
        <v>64448.0</v>
      </c>
    </row>
    <row r="8936">
      <c r="A8936" s="121">
        <v>64449.0</v>
      </c>
    </row>
    <row r="8937">
      <c r="A8937" s="121">
        <v>64450.0</v>
      </c>
    </row>
    <row r="8938">
      <c r="A8938" s="121">
        <v>64451.0</v>
      </c>
    </row>
    <row r="8939">
      <c r="A8939" s="121">
        <v>64452.0</v>
      </c>
    </row>
    <row r="8940">
      <c r="A8940" s="121">
        <v>64453.0</v>
      </c>
    </row>
    <row r="8941">
      <c r="A8941" s="121">
        <v>64454.0</v>
      </c>
    </row>
    <row r="8942">
      <c r="A8942" s="121">
        <v>64455.0</v>
      </c>
    </row>
    <row r="8943">
      <c r="A8943" s="121">
        <v>64456.0</v>
      </c>
    </row>
    <row r="8944">
      <c r="A8944" s="121">
        <v>64457.0</v>
      </c>
    </row>
    <row r="8945">
      <c r="A8945" s="121">
        <v>64458.0</v>
      </c>
    </row>
    <row r="8946">
      <c r="A8946" s="121">
        <v>64459.0</v>
      </c>
    </row>
    <row r="8947">
      <c r="A8947" s="121">
        <v>64460.0</v>
      </c>
    </row>
    <row r="8948">
      <c r="A8948" s="121">
        <v>64461.0</v>
      </c>
    </row>
    <row r="8949">
      <c r="A8949" s="121">
        <v>64462.0</v>
      </c>
    </row>
    <row r="8950">
      <c r="A8950" s="121">
        <v>64463.0</v>
      </c>
    </row>
    <row r="8951">
      <c r="A8951" s="121">
        <v>64464.0</v>
      </c>
    </row>
    <row r="8952">
      <c r="A8952" s="121">
        <v>64465.0</v>
      </c>
    </row>
    <row r="8953">
      <c r="A8953" s="121">
        <v>64472.0</v>
      </c>
    </row>
    <row r="8954">
      <c r="A8954" s="121">
        <v>64473.0</v>
      </c>
    </row>
    <row r="8955">
      <c r="A8955" s="121">
        <v>64474.0</v>
      </c>
    </row>
    <row r="8956">
      <c r="A8956" s="121">
        <v>64475.0</v>
      </c>
    </row>
    <row r="8957">
      <c r="A8957" s="121">
        <v>64476.0</v>
      </c>
    </row>
    <row r="8958">
      <c r="A8958" s="121">
        <v>64477.0</v>
      </c>
    </row>
    <row r="8959">
      <c r="A8959" s="121">
        <v>64478.0</v>
      </c>
    </row>
    <row r="8960">
      <c r="A8960" s="121">
        <v>64479.0</v>
      </c>
    </row>
    <row r="8961">
      <c r="A8961" s="121">
        <v>64480.0</v>
      </c>
    </row>
    <row r="8962">
      <c r="A8962" s="121">
        <v>64481.0</v>
      </c>
    </row>
    <row r="8963">
      <c r="A8963" s="121">
        <v>64482.0</v>
      </c>
    </row>
    <row r="8964">
      <c r="A8964" s="121">
        <v>64483.0</v>
      </c>
    </row>
    <row r="8965">
      <c r="A8965" s="121">
        <v>64484.0</v>
      </c>
    </row>
    <row r="8966">
      <c r="A8966" s="121">
        <v>64485.0</v>
      </c>
    </row>
    <row r="8967">
      <c r="A8967" s="121">
        <v>64486.0</v>
      </c>
    </row>
    <row r="8968">
      <c r="A8968" s="121">
        <v>64487.0</v>
      </c>
    </row>
    <row r="8969">
      <c r="A8969" s="121">
        <v>64488.0</v>
      </c>
    </row>
    <row r="8970">
      <c r="A8970" s="121">
        <v>64489.0</v>
      </c>
    </row>
    <row r="8971">
      <c r="A8971" s="121">
        <v>64490.0</v>
      </c>
    </row>
    <row r="8972">
      <c r="A8972" s="121">
        <v>64491.0</v>
      </c>
    </row>
    <row r="8973">
      <c r="A8973" s="121">
        <v>64492.0</v>
      </c>
    </row>
    <row r="8974">
      <c r="A8974" s="121">
        <v>64493.0</v>
      </c>
    </row>
    <row r="8975">
      <c r="A8975" s="121">
        <v>64494.0</v>
      </c>
    </row>
    <row r="8976">
      <c r="A8976" s="121">
        <v>64495.0</v>
      </c>
    </row>
    <row r="8977">
      <c r="A8977" s="121">
        <v>64496.0</v>
      </c>
    </row>
    <row r="8978">
      <c r="A8978" s="121">
        <v>64497.0</v>
      </c>
    </row>
    <row r="8979">
      <c r="A8979" s="121">
        <v>64498.0</v>
      </c>
    </row>
    <row r="8980">
      <c r="A8980" s="121">
        <v>64594.0</v>
      </c>
    </row>
    <row r="8981">
      <c r="A8981" s="121">
        <v>64595.0</v>
      </c>
    </row>
    <row r="8982">
      <c r="A8982" s="121">
        <v>64596.0</v>
      </c>
    </row>
    <row r="8983">
      <c r="A8983" s="121">
        <v>64597.0</v>
      </c>
    </row>
    <row r="8984">
      <c r="A8984" s="121">
        <v>64598.0</v>
      </c>
    </row>
    <row r="8985">
      <c r="A8985" s="121">
        <v>64599.0</v>
      </c>
    </row>
    <row r="8986">
      <c r="A8986" s="121">
        <v>64600.0</v>
      </c>
    </row>
    <row r="8987">
      <c r="A8987" s="121">
        <v>64601.0</v>
      </c>
    </row>
    <row r="8988">
      <c r="A8988" s="121">
        <v>64602.0</v>
      </c>
    </row>
    <row r="8989">
      <c r="A8989" s="121">
        <v>64603.0</v>
      </c>
    </row>
    <row r="8990">
      <c r="A8990" s="121">
        <v>64604.0</v>
      </c>
    </row>
    <row r="8991">
      <c r="A8991" s="121">
        <v>64605.0</v>
      </c>
    </row>
    <row r="8992">
      <c r="A8992" s="121">
        <v>64606.0</v>
      </c>
    </row>
    <row r="8993">
      <c r="A8993" s="121">
        <v>64607.0</v>
      </c>
    </row>
    <row r="8994">
      <c r="A8994" s="121">
        <v>64608.0</v>
      </c>
    </row>
    <row r="8995">
      <c r="A8995" s="121">
        <v>64609.0</v>
      </c>
    </row>
    <row r="8996">
      <c r="A8996" s="121">
        <v>64610.0</v>
      </c>
    </row>
    <row r="8997">
      <c r="A8997" s="121">
        <v>64611.0</v>
      </c>
    </row>
    <row r="8998">
      <c r="A8998" s="121">
        <v>64612.0</v>
      </c>
    </row>
    <row r="8999">
      <c r="A8999" s="121">
        <v>64613.0</v>
      </c>
    </row>
    <row r="9000">
      <c r="A9000" s="121">
        <v>64614.0</v>
      </c>
    </row>
    <row r="9001">
      <c r="A9001" s="121">
        <v>64615.0</v>
      </c>
    </row>
    <row r="9002">
      <c r="A9002" s="121">
        <v>64616.0</v>
      </c>
    </row>
    <row r="9003">
      <c r="A9003" s="121">
        <v>64617.0</v>
      </c>
    </row>
    <row r="9004">
      <c r="A9004" s="121">
        <v>64618.0</v>
      </c>
    </row>
    <row r="9005">
      <c r="A9005" s="121">
        <v>64619.0</v>
      </c>
    </row>
    <row r="9006">
      <c r="A9006" s="121">
        <v>64620.0</v>
      </c>
    </row>
    <row r="9007">
      <c r="A9007" s="121">
        <v>64664.0</v>
      </c>
    </row>
    <row r="9008">
      <c r="A9008" s="121">
        <v>64665.0</v>
      </c>
    </row>
    <row r="9009">
      <c r="A9009" s="121">
        <v>64666.0</v>
      </c>
    </row>
    <row r="9010">
      <c r="A9010" s="121">
        <v>64667.0</v>
      </c>
    </row>
    <row r="9011">
      <c r="A9011" s="121">
        <v>64668.0</v>
      </c>
    </row>
    <row r="9012">
      <c r="A9012" s="121">
        <v>64669.0</v>
      </c>
    </row>
    <row r="9013">
      <c r="A9013" s="121">
        <v>64670.0</v>
      </c>
    </row>
    <row r="9014">
      <c r="A9014" s="121">
        <v>64671.0</v>
      </c>
    </row>
    <row r="9015">
      <c r="A9015" s="121">
        <v>64672.0</v>
      </c>
    </row>
    <row r="9016">
      <c r="A9016" s="121">
        <v>64673.0</v>
      </c>
    </row>
    <row r="9017">
      <c r="A9017" s="121">
        <v>64674.0</v>
      </c>
    </row>
    <row r="9018">
      <c r="A9018" s="121">
        <v>64675.0</v>
      </c>
    </row>
    <row r="9019">
      <c r="A9019" s="121">
        <v>64676.0</v>
      </c>
    </row>
    <row r="9020">
      <c r="A9020" s="121">
        <v>64677.0</v>
      </c>
    </row>
    <row r="9021">
      <c r="A9021" s="121">
        <v>64678.0</v>
      </c>
    </row>
    <row r="9022">
      <c r="A9022" s="121">
        <v>64679.0</v>
      </c>
    </row>
    <row r="9023">
      <c r="A9023" s="121">
        <v>64680.0</v>
      </c>
    </row>
    <row r="9024">
      <c r="A9024" s="121">
        <v>64681.0</v>
      </c>
    </row>
    <row r="9025">
      <c r="A9025" s="121">
        <v>64682.0</v>
      </c>
    </row>
    <row r="9026">
      <c r="A9026" s="121">
        <v>64683.0</v>
      </c>
    </row>
    <row r="9027">
      <c r="A9027" s="121">
        <v>64684.0</v>
      </c>
    </row>
    <row r="9028">
      <c r="A9028" s="121">
        <v>64685.0</v>
      </c>
    </row>
    <row r="9029">
      <c r="A9029" s="121">
        <v>64686.0</v>
      </c>
    </row>
    <row r="9030">
      <c r="A9030" s="121">
        <v>64687.0</v>
      </c>
    </row>
    <row r="9031">
      <c r="A9031" s="121">
        <v>64688.0</v>
      </c>
    </row>
    <row r="9032">
      <c r="A9032" s="121">
        <v>64689.0</v>
      </c>
    </row>
    <row r="9033">
      <c r="A9033" s="121">
        <v>64690.0</v>
      </c>
    </row>
    <row r="9034">
      <c r="A9034" s="121">
        <v>64696.0</v>
      </c>
    </row>
    <row r="9035">
      <c r="A9035" s="121">
        <v>64697.0</v>
      </c>
    </row>
    <row r="9036">
      <c r="A9036" s="121">
        <v>64698.0</v>
      </c>
    </row>
    <row r="9037">
      <c r="A9037" s="121">
        <v>64699.0</v>
      </c>
    </row>
    <row r="9038">
      <c r="A9038" s="121">
        <v>64700.0</v>
      </c>
    </row>
    <row r="9039">
      <c r="A9039" s="121">
        <v>64701.0</v>
      </c>
    </row>
    <row r="9040">
      <c r="A9040" s="121">
        <v>64702.0</v>
      </c>
    </row>
    <row r="9041">
      <c r="A9041" s="121">
        <v>64703.0</v>
      </c>
    </row>
    <row r="9042">
      <c r="A9042" s="121">
        <v>64704.0</v>
      </c>
    </row>
    <row r="9043">
      <c r="A9043" s="121">
        <v>64705.0</v>
      </c>
    </row>
    <row r="9044">
      <c r="A9044" s="121">
        <v>64706.0</v>
      </c>
    </row>
    <row r="9045">
      <c r="A9045" s="121">
        <v>64707.0</v>
      </c>
    </row>
    <row r="9046">
      <c r="A9046" s="121">
        <v>64708.0</v>
      </c>
    </row>
    <row r="9047">
      <c r="A9047" s="121">
        <v>64709.0</v>
      </c>
    </row>
    <row r="9048">
      <c r="A9048" s="121">
        <v>64710.0</v>
      </c>
    </row>
    <row r="9049">
      <c r="A9049" s="121">
        <v>64711.0</v>
      </c>
    </row>
    <row r="9050">
      <c r="A9050" s="121">
        <v>64712.0</v>
      </c>
    </row>
    <row r="9051">
      <c r="A9051" s="121">
        <v>64713.0</v>
      </c>
    </row>
    <row r="9052">
      <c r="A9052" s="121">
        <v>64714.0</v>
      </c>
    </row>
    <row r="9053">
      <c r="A9053" s="121">
        <v>64715.0</v>
      </c>
    </row>
    <row r="9054">
      <c r="A9054" s="121">
        <v>64716.0</v>
      </c>
    </row>
    <row r="9055">
      <c r="A9055" s="121">
        <v>64717.0</v>
      </c>
    </row>
    <row r="9056">
      <c r="A9056" s="121">
        <v>64718.0</v>
      </c>
    </row>
    <row r="9057">
      <c r="A9057" s="121">
        <v>64719.0</v>
      </c>
    </row>
    <row r="9058">
      <c r="A9058" s="121">
        <v>64720.0</v>
      </c>
    </row>
    <row r="9059">
      <c r="A9059" s="121">
        <v>64721.0</v>
      </c>
    </row>
    <row r="9060">
      <c r="A9060" s="121">
        <v>64724.0</v>
      </c>
    </row>
    <row r="9061">
      <c r="A9061" s="121">
        <v>64725.0</v>
      </c>
    </row>
    <row r="9062">
      <c r="A9062" s="121">
        <v>64726.0</v>
      </c>
    </row>
    <row r="9063">
      <c r="A9063" s="121">
        <v>64727.0</v>
      </c>
    </row>
    <row r="9064">
      <c r="A9064" s="121">
        <v>64728.0</v>
      </c>
    </row>
    <row r="9065">
      <c r="A9065" s="121">
        <v>64729.0</v>
      </c>
    </row>
    <row r="9066">
      <c r="A9066" s="121">
        <v>64730.0</v>
      </c>
    </row>
    <row r="9067">
      <c r="A9067" s="121">
        <v>64731.0</v>
      </c>
    </row>
    <row r="9068">
      <c r="A9068" s="121">
        <v>64732.0</v>
      </c>
    </row>
    <row r="9069">
      <c r="A9069" s="121">
        <v>64733.0</v>
      </c>
    </row>
    <row r="9070">
      <c r="A9070" s="121">
        <v>64734.0</v>
      </c>
    </row>
    <row r="9071">
      <c r="A9071" s="121">
        <v>64735.0</v>
      </c>
    </row>
    <row r="9072">
      <c r="A9072" s="121">
        <v>64736.0</v>
      </c>
    </row>
    <row r="9073">
      <c r="A9073" s="121">
        <v>64737.0</v>
      </c>
    </row>
    <row r="9074">
      <c r="A9074" s="121">
        <v>64738.0</v>
      </c>
    </row>
    <row r="9075">
      <c r="A9075" s="121">
        <v>64739.0</v>
      </c>
    </row>
    <row r="9076">
      <c r="A9076" s="121">
        <v>64740.0</v>
      </c>
    </row>
    <row r="9077">
      <c r="A9077" s="121">
        <v>64741.0</v>
      </c>
    </row>
    <row r="9078">
      <c r="A9078" s="121">
        <v>64742.0</v>
      </c>
    </row>
    <row r="9079">
      <c r="A9079" s="121">
        <v>64743.0</v>
      </c>
    </row>
    <row r="9080">
      <c r="A9080" s="121">
        <v>64744.0</v>
      </c>
    </row>
    <row r="9081">
      <c r="A9081" s="121">
        <v>64745.0</v>
      </c>
    </row>
    <row r="9082">
      <c r="A9082" s="121">
        <v>64746.0</v>
      </c>
    </row>
    <row r="9083">
      <c r="A9083" s="121">
        <v>64747.0</v>
      </c>
    </row>
    <row r="9084">
      <c r="A9084" s="121">
        <v>64748.0</v>
      </c>
    </row>
    <row r="9085">
      <c r="A9085" s="121">
        <v>64749.0</v>
      </c>
    </row>
    <row r="9086">
      <c r="A9086" s="121">
        <v>64750.0</v>
      </c>
    </row>
    <row r="9087">
      <c r="A9087" s="121">
        <v>64755.0</v>
      </c>
    </row>
    <row r="9088">
      <c r="A9088" s="121">
        <v>64756.0</v>
      </c>
    </row>
    <row r="9089">
      <c r="A9089" s="121">
        <v>64757.0</v>
      </c>
    </row>
    <row r="9090">
      <c r="A9090" s="121">
        <v>64758.0</v>
      </c>
    </row>
    <row r="9091">
      <c r="A9091" s="121">
        <v>64759.0</v>
      </c>
    </row>
    <row r="9092">
      <c r="A9092" s="121">
        <v>64760.0</v>
      </c>
    </row>
    <row r="9093">
      <c r="A9093" s="121">
        <v>64761.0</v>
      </c>
    </row>
    <row r="9094">
      <c r="A9094" s="121">
        <v>64762.0</v>
      </c>
    </row>
    <row r="9095">
      <c r="A9095" s="121">
        <v>64763.0</v>
      </c>
    </row>
    <row r="9096">
      <c r="A9096" s="121">
        <v>64764.0</v>
      </c>
    </row>
    <row r="9097">
      <c r="A9097" s="121">
        <v>64765.0</v>
      </c>
    </row>
    <row r="9098">
      <c r="A9098" s="121">
        <v>64766.0</v>
      </c>
    </row>
    <row r="9099">
      <c r="A9099" s="121">
        <v>64767.0</v>
      </c>
    </row>
    <row r="9100">
      <c r="A9100" s="121">
        <v>64768.0</v>
      </c>
    </row>
    <row r="9101">
      <c r="A9101" s="121">
        <v>64769.0</v>
      </c>
    </row>
    <row r="9102">
      <c r="A9102" s="121">
        <v>64770.0</v>
      </c>
    </row>
    <row r="9103">
      <c r="A9103" s="121">
        <v>64771.0</v>
      </c>
    </row>
    <row r="9104">
      <c r="A9104" s="121">
        <v>64772.0</v>
      </c>
    </row>
    <row r="9105">
      <c r="A9105" s="121">
        <v>64773.0</v>
      </c>
    </row>
    <row r="9106">
      <c r="A9106" s="121">
        <v>64774.0</v>
      </c>
    </row>
    <row r="9107">
      <c r="A9107" s="121">
        <v>64775.0</v>
      </c>
    </row>
    <row r="9108">
      <c r="A9108" s="121">
        <v>64776.0</v>
      </c>
    </row>
    <row r="9109">
      <c r="A9109" s="121">
        <v>64777.0</v>
      </c>
    </row>
    <row r="9110">
      <c r="A9110" s="121">
        <v>64778.0</v>
      </c>
    </row>
    <row r="9111">
      <c r="A9111" s="121">
        <v>64779.0</v>
      </c>
    </row>
    <row r="9112">
      <c r="A9112" s="121">
        <v>64780.0</v>
      </c>
    </row>
    <row r="9113">
      <c r="A9113" s="121">
        <v>64781.0</v>
      </c>
    </row>
    <row r="9114">
      <c r="A9114" s="121">
        <v>64782.0</v>
      </c>
    </row>
    <row r="9115">
      <c r="A9115" s="121">
        <v>64790.0</v>
      </c>
    </row>
    <row r="9116">
      <c r="A9116" s="121">
        <v>64791.0</v>
      </c>
    </row>
    <row r="9117">
      <c r="A9117" s="121">
        <v>64792.0</v>
      </c>
    </row>
    <row r="9118">
      <c r="A9118" s="121">
        <v>64793.0</v>
      </c>
    </row>
    <row r="9119">
      <c r="A9119" s="121">
        <v>64794.0</v>
      </c>
    </row>
    <row r="9120">
      <c r="A9120" s="121">
        <v>64795.0</v>
      </c>
    </row>
    <row r="9121">
      <c r="A9121" s="121">
        <v>64796.0</v>
      </c>
    </row>
    <row r="9122">
      <c r="A9122" s="121">
        <v>64797.0</v>
      </c>
    </row>
    <row r="9123">
      <c r="A9123" s="121">
        <v>64798.0</v>
      </c>
    </row>
    <row r="9124">
      <c r="A9124" s="121">
        <v>64799.0</v>
      </c>
    </row>
    <row r="9125">
      <c r="A9125" s="121">
        <v>64800.0</v>
      </c>
    </row>
    <row r="9126">
      <c r="A9126" s="121">
        <v>64801.0</v>
      </c>
    </row>
    <row r="9127">
      <c r="A9127" s="121">
        <v>64802.0</v>
      </c>
    </row>
    <row r="9128">
      <c r="A9128" s="121">
        <v>64803.0</v>
      </c>
    </row>
    <row r="9129">
      <c r="A9129" s="121">
        <v>64804.0</v>
      </c>
    </row>
    <row r="9130">
      <c r="A9130" s="121">
        <v>64805.0</v>
      </c>
    </row>
    <row r="9131">
      <c r="A9131" s="121">
        <v>64806.0</v>
      </c>
    </row>
    <row r="9132">
      <c r="A9132" s="121">
        <v>64807.0</v>
      </c>
    </row>
    <row r="9133">
      <c r="A9133" s="121">
        <v>64808.0</v>
      </c>
    </row>
    <row r="9134">
      <c r="A9134" s="121">
        <v>64809.0</v>
      </c>
    </row>
    <row r="9135">
      <c r="A9135" s="121">
        <v>64810.0</v>
      </c>
    </row>
    <row r="9136">
      <c r="A9136" s="121">
        <v>64811.0</v>
      </c>
    </row>
    <row r="9137">
      <c r="A9137" s="121">
        <v>64812.0</v>
      </c>
    </row>
    <row r="9138">
      <c r="A9138" s="121">
        <v>64813.0</v>
      </c>
    </row>
    <row r="9139">
      <c r="A9139" s="121">
        <v>64814.0</v>
      </c>
    </row>
    <row r="9140">
      <c r="A9140" s="121">
        <v>64815.0</v>
      </c>
    </row>
    <row r="9141">
      <c r="A9141" s="121">
        <v>64842.0</v>
      </c>
    </row>
    <row r="9142">
      <c r="A9142" s="121">
        <v>64843.0</v>
      </c>
    </row>
    <row r="9143">
      <c r="A9143" s="121">
        <v>64844.0</v>
      </c>
    </row>
    <row r="9144">
      <c r="A9144" s="121">
        <v>64845.0</v>
      </c>
    </row>
    <row r="9145">
      <c r="A9145" s="121">
        <v>64846.0</v>
      </c>
    </row>
    <row r="9146">
      <c r="A9146" s="121">
        <v>64847.0</v>
      </c>
    </row>
    <row r="9147">
      <c r="A9147" s="121">
        <v>64848.0</v>
      </c>
    </row>
    <row r="9148">
      <c r="A9148" s="121">
        <v>64849.0</v>
      </c>
    </row>
    <row r="9149">
      <c r="A9149" s="121">
        <v>64850.0</v>
      </c>
    </row>
    <row r="9150">
      <c r="A9150" s="121">
        <v>64851.0</v>
      </c>
    </row>
    <row r="9151">
      <c r="A9151" s="121">
        <v>64852.0</v>
      </c>
    </row>
    <row r="9152">
      <c r="A9152" s="121">
        <v>64853.0</v>
      </c>
    </row>
    <row r="9153">
      <c r="A9153" s="121">
        <v>64854.0</v>
      </c>
    </row>
    <row r="9154">
      <c r="A9154" s="121">
        <v>64855.0</v>
      </c>
    </row>
    <row r="9155">
      <c r="A9155" s="121">
        <v>64856.0</v>
      </c>
    </row>
    <row r="9156">
      <c r="A9156" s="121">
        <v>64857.0</v>
      </c>
    </row>
    <row r="9157">
      <c r="A9157" s="121">
        <v>64858.0</v>
      </c>
    </row>
    <row r="9158">
      <c r="A9158" s="121">
        <v>64859.0</v>
      </c>
    </row>
    <row r="9159">
      <c r="A9159" s="121">
        <v>64860.0</v>
      </c>
    </row>
    <row r="9160">
      <c r="A9160" s="121">
        <v>64861.0</v>
      </c>
    </row>
    <row r="9161">
      <c r="A9161" s="121">
        <v>64862.0</v>
      </c>
    </row>
    <row r="9162">
      <c r="A9162" s="121">
        <v>64863.0</v>
      </c>
    </row>
    <row r="9163">
      <c r="A9163" s="121">
        <v>64864.0</v>
      </c>
    </row>
    <row r="9164">
      <c r="A9164" s="121">
        <v>64865.0</v>
      </c>
    </row>
    <row r="9165">
      <c r="A9165" s="121">
        <v>64904.0</v>
      </c>
    </row>
    <row r="9166">
      <c r="A9166" s="121">
        <v>64905.0</v>
      </c>
    </row>
    <row r="9167">
      <c r="A9167" s="121">
        <v>64906.0</v>
      </c>
    </row>
    <row r="9168">
      <c r="A9168" s="121">
        <v>64907.0</v>
      </c>
    </row>
    <row r="9169">
      <c r="A9169" s="121">
        <v>64908.0</v>
      </c>
    </row>
    <row r="9170">
      <c r="A9170" s="121">
        <v>64909.0</v>
      </c>
    </row>
    <row r="9171">
      <c r="A9171" s="121">
        <v>64910.0</v>
      </c>
    </row>
    <row r="9172">
      <c r="A9172" s="121">
        <v>64911.0</v>
      </c>
    </row>
    <row r="9173">
      <c r="A9173" s="121">
        <v>64912.0</v>
      </c>
    </row>
    <row r="9174">
      <c r="A9174" s="121">
        <v>64913.0</v>
      </c>
    </row>
    <row r="9175">
      <c r="A9175" s="121">
        <v>64914.0</v>
      </c>
    </row>
    <row r="9176">
      <c r="A9176" s="121">
        <v>64915.0</v>
      </c>
    </row>
    <row r="9177">
      <c r="A9177" s="121">
        <v>64916.0</v>
      </c>
    </row>
    <row r="9178">
      <c r="A9178" s="121">
        <v>64917.0</v>
      </c>
    </row>
    <row r="9179">
      <c r="A9179" s="121">
        <v>64918.0</v>
      </c>
    </row>
    <row r="9180">
      <c r="A9180" s="121">
        <v>64919.0</v>
      </c>
    </row>
    <row r="9181">
      <c r="A9181" s="121">
        <v>64920.0</v>
      </c>
    </row>
    <row r="9182">
      <c r="A9182" s="121">
        <v>64921.0</v>
      </c>
    </row>
    <row r="9183">
      <c r="A9183" s="121">
        <v>64922.0</v>
      </c>
    </row>
    <row r="9184">
      <c r="A9184" s="121">
        <v>64923.0</v>
      </c>
    </row>
    <row r="9185">
      <c r="A9185" s="121">
        <v>64924.0</v>
      </c>
    </row>
    <row r="9186">
      <c r="A9186" s="121">
        <v>64925.0</v>
      </c>
    </row>
    <row r="9187">
      <c r="A9187" s="121">
        <v>64926.0</v>
      </c>
    </row>
    <row r="9188">
      <c r="A9188" s="121">
        <v>64927.0</v>
      </c>
    </row>
    <row r="9189">
      <c r="A9189" s="121">
        <v>64928.0</v>
      </c>
    </row>
    <row r="9190">
      <c r="A9190" s="121">
        <v>64929.0</v>
      </c>
    </row>
    <row r="9191">
      <c r="A9191" s="121">
        <v>64930.0</v>
      </c>
    </row>
    <row r="9192">
      <c r="A9192" s="121">
        <v>64931.0</v>
      </c>
    </row>
    <row r="9193">
      <c r="A9193" s="121">
        <v>64932.0</v>
      </c>
    </row>
    <row r="9194">
      <c r="A9194" s="121">
        <v>64933.0</v>
      </c>
    </row>
    <row r="9195">
      <c r="A9195" s="121">
        <v>64934.0</v>
      </c>
    </row>
    <row r="9196">
      <c r="A9196" s="121">
        <v>64935.0</v>
      </c>
    </row>
    <row r="9197">
      <c r="A9197" s="121">
        <v>64936.0</v>
      </c>
    </row>
    <row r="9198">
      <c r="A9198" s="121">
        <v>64937.0</v>
      </c>
    </row>
    <row r="9199">
      <c r="A9199" s="121">
        <v>64938.0</v>
      </c>
    </row>
    <row r="9200">
      <c r="A9200" s="121">
        <v>64939.0</v>
      </c>
    </row>
    <row r="9201">
      <c r="A9201" s="121">
        <v>64940.0</v>
      </c>
    </row>
    <row r="9202">
      <c r="A9202" s="121">
        <v>64941.0</v>
      </c>
    </row>
    <row r="9203">
      <c r="A9203" s="121">
        <v>64942.0</v>
      </c>
    </row>
    <row r="9204">
      <c r="A9204" s="121">
        <v>64943.0</v>
      </c>
    </row>
    <row r="9205">
      <c r="A9205" s="121">
        <v>64944.0</v>
      </c>
    </row>
    <row r="9206">
      <c r="A9206" s="121">
        <v>64945.0</v>
      </c>
    </row>
    <row r="9207">
      <c r="A9207" s="121">
        <v>64946.0</v>
      </c>
    </row>
    <row r="9208">
      <c r="A9208" s="121">
        <v>64947.0</v>
      </c>
    </row>
    <row r="9209">
      <c r="A9209" s="121">
        <v>64948.0</v>
      </c>
    </row>
    <row r="9210">
      <c r="A9210" s="121">
        <v>64949.0</v>
      </c>
    </row>
    <row r="9211">
      <c r="A9211" s="121">
        <v>64950.0</v>
      </c>
    </row>
    <row r="9212">
      <c r="A9212" s="121">
        <v>64951.0</v>
      </c>
    </row>
    <row r="9213">
      <c r="A9213" s="121">
        <v>64952.0</v>
      </c>
    </row>
    <row r="9214">
      <c r="A9214" s="121">
        <v>64953.0</v>
      </c>
    </row>
    <row r="9215">
      <c r="A9215" s="121">
        <v>64954.0</v>
      </c>
    </row>
    <row r="9216">
      <c r="A9216" s="121">
        <v>64955.0</v>
      </c>
    </row>
    <row r="9217">
      <c r="A9217" s="121">
        <v>65015.0</v>
      </c>
    </row>
    <row r="9218">
      <c r="A9218" s="121">
        <v>65016.0</v>
      </c>
    </row>
    <row r="9219">
      <c r="A9219" s="121">
        <v>65017.0</v>
      </c>
    </row>
    <row r="9220">
      <c r="A9220" s="121">
        <v>65018.0</v>
      </c>
    </row>
    <row r="9221">
      <c r="A9221" s="121">
        <v>65019.0</v>
      </c>
    </row>
    <row r="9222">
      <c r="A9222" s="121">
        <v>65020.0</v>
      </c>
    </row>
    <row r="9223">
      <c r="A9223" s="121">
        <v>65021.0</v>
      </c>
    </row>
    <row r="9224">
      <c r="A9224" s="121">
        <v>65022.0</v>
      </c>
    </row>
    <row r="9225">
      <c r="A9225" s="121">
        <v>65023.0</v>
      </c>
    </row>
    <row r="9226">
      <c r="A9226" s="121">
        <v>65024.0</v>
      </c>
    </row>
    <row r="9227">
      <c r="A9227" s="121">
        <v>65025.0</v>
      </c>
    </row>
    <row r="9228">
      <c r="A9228" s="121">
        <v>65026.0</v>
      </c>
    </row>
    <row r="9229">
      <c r="A9229" s="121">
        <v>65027.0</v>
      </c>
    </row>
    <row r="9230">
      <c r="A9230" s="121">
        <v>65028.0</v>
      </c>
    </row>
    <row r="9231">
      <c r="A9231" s="121">
        <v>65029.0</v>
      </c>
    </row>
    <row r="9232">
      <c r="A9232" s="121">
        <v>65030.0</v>
      </c>
    </row>
    <row r="9233">
      <c r="A9233" s="121">
        <v>65031.0</v>
      </c>
    </row>
    <row r="9234">
      <c r="A9234" s="121">
        <v>65032.0</v>
      </c>
    </row>
    <row r="9235">
      <c r="A9235" s="121">
        <v>65033.0</v>
      </c>
    </row>
    <row r="9236">
      <c r="A9236" s="121">
        <v>65034.0</v>
      </c>
    </row>
    <row r="9237">
      <c r="A9237" s="121">
        <v>65035.0</v>
      </c>
    </row>
    <row r="9238">
      <c r="A9238" s="121">
        <v>65036.0</v>
      </c>
    </row>
    <row r="9239">
      <c r="A9239" s="121">
        <v>65037.0</v>
      </c>
    </row>
    <row r="9240">
      <c r="A9240" s="121">
        <v>65038.0</v>
      </c>
    </row>
    <row r="9241">
      <c r="A9241" s="121">
        <v>65039.0</v>
      </c>
    </row>
    <row r="9242">
      <c r="A9242" s="121">
        <v>65040.0</v>
      </c>
    </row>
    <row r="9243">
      <c r="A9243" s="121">
        <v>65041.0</v>
      </c>
    </row>
    <row r="9244">
      <c r="A9244" s="121">
        <v>65042.0</v>
      </c>
    </row>
    <row r="9245">
      <c r="A9245" s="121">
        <v>65056.0</v>
      </c>
    </row>
    <row r="9246">
      <c r="A9246" s="121">
        <v>65057.0</v>
      </c>
    </row>
    <row r="9247">
      <c r="A9247" s="121">
        <v>65058.0</v>
      </c>
    </row>
    <row r="9248">
      <c r="A9248" s="121">
        <v>65059.0</v>
      </c>
    </row>
    <row r="9249">
      <c r="A9249" s="121">
        <v>65060.0</v>
      </c>
    </row>
    <row r="9250">
      <c r="A9250" s="121">
        <v>65061.0</v>
      </c>
    </row>
    <row r="9251">
      <c r="A9251" s="121">
        <v>65062.0</v>
      </c>
    </row>
    <row r="9252">
      <c r="A9252" s="121">
        <v>65063.0</v>
      </c>
    </row>
    <row r="9253">
      <c r="A9253" s="121">
        <v>65064.0</v>
      </c>
    </row>
    <row r="9254">
      <c r="A9254" s="121">
        <v>65065.0</v>
      </c>
    </row>
    <row r="9255">
      <c r="A9255" s="121">
        <v>65066.0</v>
      </c>
    </row>
    <row r="9256">
      <c r="A9256" s="121">
        <v>65067.0</v>
      </c>
    </row>
    <row r="9257">
      <c r="A9257" s="121">
        <v>65068.0</v>
      </c>
    </row>
    <row r="9258">
      <c r="A9258" s="121">
        <v>65069.0</v>
      </c>
    </row>
    <row r="9259">
      <c r="A9259" s="121">
        <v>65070.0</v>
      </c>
    </row>
    <row r="9260">
      <c r="A9260" s="121">
        <v>65071.0</v>
      </c>
    </row>
    <row r="9261">
      <c r="A9261" s="121">
        <v>65072.0</v>
      </c>
    </row>
    <row r="9262">
      <c r="A9262" s="121">
        <v>65073.0</v>
      </c>
    </row>
    <row r="9263">
      <c r="A9263" s="121">
        <v>65074.0</v>
      </c>
    </row>
    <row r="9264">
      <c r="A9264" s="121">
        <v>65078.0</v>
      </c>
    </row>
    <row r="9265">
      <c r="A9265" s="121">
        <v>65079.0</v>
      </c>
    </row>
    <row r="9266">
      <c r="A9266" s="121">
        <v>65080.0</v>
      </c>
    </row>
    <row r="9267">
      <c r="A9267" s="121">
        <v>65081.0</v>
      </c>
    </row>
    <row r="9268">
      <c r="A9268" s="121">
        <v>65082.0</v>
      </c>
    </row>
    <row r="9269">
      <c r="A9269" s="121">
        <v>65083.0</v>
      </c>
    </row>
    <row r="9270">
      <c r="A9270" s="121">
        <v>65084.0</v>
      </c>
    </row>
    <row r="9271">
      <c r="A9271" s="121">
        <v>65085.0</v>
      </c>
    </row>
    <row r="9272">
      <c r="A9272" s="121">
        <v>65086.0</v>
      </c>
    </row>
    <row r="9273">
      <c r="A9273" s="121">
        <v>65087.0</v>
      </c>
    </row>
    <row r="9274">
      <c r="A9274" s="121">
        <v>65088.0</v>
      </c>
    </row>
    <row r="9275">
      <c r="A9275" s="121">
        <v>65089.0</v>
      </c>
    </row>
    <row r="9276">
      <c r="A9276" s="121">
        <v>65090.0</v>
      </c>
    </row>
    <row r="9277">
      <c r="A9277" s="121">
        <v>65091.0</v>
      </c>
    </row>
    <row r="9278">
      <c r="A9278" s="121">
        <v>65092.0</v>
      </c>
    </row>
    <row r="9279">
      <c r="A9279" s="121">
        <v>65093.0</v>
      </c>
    </row>
    <row r="9280">
      <c r="A9280" s="121">
        <v>65094.0</v>
      </c>
    </row>
    <row r="9281">
      <c r="A9281" s="121">
        <v>65095.0</v>
      </c>
    </row>
    <row r="9282">
      <c r="A9282" s="121">
        <v>65096.0</v>
      </c>
    </row>
    <row r="9283">
      <c r="A9283" s="121">
        <v>65097.0</v>
      </c>
    </row>
    <row r="9284">
      <c r="A9284" s="121">
        <v>65098.0</v>
      </c>
    </row>
    <row r="9285">
      <c r="A9285" s="121">
        <v>65099.0</v>
      </c>
    </row>
    <row r="9286">
      <c r="A9286" s="121">
        <v>65100.0</v>
      </c>
    </row>
    <row r="9287">
      <c r="A9287" s="121">
        <v>65101.0</v>
      </c>
    </row>
    <row r="9288">
      <c r="A9288" s="121">
        <v>65102.0</v>
      </c>
    </row>
    <row r="9289">
      <c r="A9289" s="121">
        <v>65103.0</v>
      </c>
    </row>
    <row r="9290">
      <c r="A9290" s="121">
        <v>65104.0</v>
      </c>
    </row>
    <row r="9291">
      <c r="A9291" s="121">
        <v>65105.0</v>
      </c>
    </row>
    <row r="9292">
      <c r="A9292" s="121">
        <v>65174.0</v>
      </c>
    </row>
    <row r="9293">
      <c r="A9293" s="121">
        <v>65175.0</v>
      </c>
    </row>
    <row r="9294">
      <c r="A9294" s="121">
        <v>65176.0</v>
      </c>
    </row>
    <row r="9295">
      <c r="A9295" s="121">
        <v>65177.0</v>
      </c>
    </row>
    <row r="9296">
      <c r="A9296" s="121">
        <v>65178.0</v>
      </c>
    </row>
    <row r="9297">
      <c r="A9297" s="121">
        <v>65179.0</v>
      </c>
    </row>
    <row r="9298">
      <c r="A9298" s="121">
        <v>65180.0</v>
      </c>
    </row>
    <row r="9299">
      <c r="A9299" s="121">
        <v>65181.0</v>
      </c>
    </row>
    <row r="9300">
      <c r="A9300" s="121">
        <v>65182.0</v>
      </c>
    </row>
    <row r="9301">
      <c r="A9301" s="121">
        <v>65183.0</v>
      </c>
    </row>
    <row r="9302">
      <c r="A9302" s="121">
        <v>65184.0</v>
      </c>
    </row>
    <row r="9303">
      <c r="A9303" s="121">
        <v>65185.0</v>
      </c>
    </row>
    <row r="9304">
      <c r="A9304" s="121">
        <v>65186.0</v>
      </c>
    </row>
    <row r="9305">
      <c r="A9305" s="121">
        <v>65187.0</v>
      </c>
    </row>
    <row r="9306">
      <c r="A9306" s="121">
        <v>65188.0</v>
      </c>
    </row>
    <row r="9307">
      <c r="A9307" s="121">
        <v>65189.0</v>
      </c>
    </row>
    <row r="9308">
      <c r="A9308" s="121">
        <v>65190.0</v>
      </c>
    </row>
    <row r="9309">
      <c r="A9309" s="121">
        <v>65191.0</v>
      </c>
    </row>
    <row r="9310">
      <c r="A9310" s="121">
        <v>65192.0</v>
      </c>
    </row>
    <row r="9311">
      <c r="A9311" s="121">
        <v>65193.0</v>
      </c>
    </row>
    <row r="9312">
      <c r="A9312" s="121">
        <v>65194.0</v>
      </c>
    </row>
    <row r="9313">
      <c r="A9313" s="121">
        <v>65195.0</v>
      </c>
    </row>
    <row r="9314">
      <c r="A9314" s="121">
        <v>65196.0</v>
      </c>
    </row>
    <row r="9315">
      <c r="A9315" s="121">
        <v>65197.0</v>
      </c>
    </row>
    <row r="9316">
      <c r="A9316" s="121">
        <v>65198.0</v>
      </c>
    </row>
    <row r="9317">
      <c r="A9317" s="121">
        <v>65199.0</v>
      </c>
    </row>
    <row r="9318">
      <c r="A9318" s="121">
        <v>65200.0</v>
      </c>
    </row>
    <row r="9319">
      <c r="A9319" s="121">
        <v>65201.0</v>
      </c>
    </row>
    <row r="9320">
      <c r="A9320" s="121">
        <v>65202.0</v>
      </c>
    </row>
    <row r="9321">
      <c r="A9321" s="121">
        <v>65203.0</v>
      </c>
    </row>
    <row r="9322">
      <c r="A9322" s="121">
        <v>65204.0</v>
      </c>
    </row>
    <row r="9323">
      <c r="A9323" s="121">
        <v>65205.0</v>
      </c>
    </row>
    <row r="9324">
      <c r="A9324" s="121">
        <v>65206.0</v>
      </c>
    </row>
    <row r="9325">
      <c r="A9325" s="121">
        <v>65207.0</v>
      </c>
    </row>
    <row r="9326">
      <c r="A9326" s="121">
        <v>65208.0</v>
      </c>
    </row>
    <row r="9327">
      <c r="A9327" s="121">
        <v>65209.0</v>
      </c>
    </row>
    <row r="9328">
      <c r="A9328" s="121">
        <v>65210.0</v>
      </c>
    </row>
    <row r="9329">
      <c r="A9329" s="121">
        <v>65211.0</v>
      </c>
    </row>
    <row r="9330">
      <c r="A9330" s="121">
        <v>65212.0</v>
      </c>
    </row>
    <row r="9331">
      <c r="A9331" s="121">
        <v>65213.0</v>
      </c>
    </row>
    <row r="9332">
      <c r="A9332" s="121">
        <v>65214.0</v>
      </c>
    </row>
    <row r="9333">
      <c r="A9333" s="121">
        <v>65215.0</v>
      </c>
    </row>
    <row r="9334">
      <c r="A9334" s="121">
        <v>65216.0</v>
      </c>
    </row>
    <row r="9335">
      <c r="A9335" s="121">
        <v>65217.0</v>
      </c>
    </row>
    <row r="9336">
      <c r="A9336" s="121">
        <v>65218.0</v>
      </c>
    </row>
    <row r="9337">
      <c r="A9337" s="121">
        <v>65219.0</v>
      </c>
    </row>
    <row r="9338">
      <c r="A9338" s="121">
        <v>65220.0</v>
      </c>
    </row>
    <row r="9339">
      <c r="A9339" s="121">
        <v>65221.0</v>
      </c>
    </row>
    <row r="9340">
      <c r="A9340" s="121">
        <v>65222.0</v>
      </c>
    </row>
    <row r="9341">
      <c r="A9341" s="121">
        <v>65223.0</v>
      </c>
    </row>
    <row r="9342">
      <c r="A9342" s="121">
        <v>65224.0</v>
      </c>
    </row>
    <row r="9343">
      <c r="A9343" s="121">
        <v>65225.0</v>
      </c>
    </row>
    <row r="9344">
      <c r="A9344" s="121">
        <v>65235.0</v>
      </c>
    </row>
    <row r="9345">
      <c r="A9345" s="121">
        <v>65236.0</v>
      </c>
    </row>
    <row r="9346">
      <c r="A9346" s="121">
        <v>65237.0</v>
      </c>
    </row>
    <row r="9347">
      <c r="A9347" s="121">
        <v>65238.0</v>
      </c>
    </row>
    <row r="9348">
      <c r="A9348" s="121">
        <v>65239.0</v>
      </c>
    </row>
    <row r="9349">
      <c r="A9349" s="121">
        <v>65240.0</v>
      </c>
    </row>
    <row r="9350">
      <c r="A9350" s="121">
        <v>65241.0</v>
      </c>
    </row>
    <row r="9351">
      <c r="A9351" s="121">
        <v>65242.0</v>
      </c>
    </row>
    <row r="9352">
      <c r="A9352" s="121">
        <v>65243.0</v>
      </c>
    </row>
    <row r="9353">
      <c r="A9353" s="121">
        <v>65244.0</v>
      </c>
    </row>
    <row r="9354">
      <c r="A9354" s="121">
        <v>65245.0</v>
      </c>
    </row>
    <row r="9355">
      <c r="A9355" s="121">
        <v>65246.0</v>
      </c>
    </row>
    <row r="9356">
      <c r="A9356" s="121">
        <v>65247.0</v>
      </c>
    </row>
    <row r="9357">
      <c r="A9357" s="121">
        <v>65248.0</v>
      </c>
    </row>
    <row r="9358">
      <c r="A9358" s="121">
        <v>65249.0</v>
      </c>
    </row>
    <row r="9359">
      <c r="A9359" s="121">
        <v>65250.0</v>
      </c>
    </row>
    <row r="9360">
      <c r="A9360" s="121">
        <v>65251.0</v>
      </c>
    </row>
    <row r="9361">
      <c r="A9361" s="121">
        <v>65252.0</v>
      </c>
    </row>
    <row r="9362">
      <c r="A9362" s="121">
        <v>65253.0</v>
      </c>
    </row>
    <row r="9363">
      <c r="A9363" s="121">
        <v>65254.0</v>
      </c>
    </row>
    <row r="9364">
      <c r="A9364" s="121">
        <v>65255.0</v>
      </c>
    </row>
    <row r="9365">
      <c r="A9365" s="121">
        <v>65256.0</v>
      </c>
    </row>
    <row r="9366">
      <c r="A9366" s="121">
        <v>65257.0</v>
      </c>
    </row>
    <row r="9367">
      <c r="A9367" s="121">
        <v>65258.0</v>
      </c>
    </row>
    <row r="9368">
      <c r="A9368" s="121">
        <v>65273.0</v>
      </c>
    </row>
    <row r="9369">
      <c r="A9369" s="121">
        <v>65274.0</v>
      </c>
    </row>
    <row r="9370">
      <c r="A9370" s="121">
        <v>65275.0</v>
      </c>
    </row>
    <row r="9371">
      <c r="A9371" s="121">
        <v>65276.0</v>
      </c>
    </row>
    <row r="9372">
      <c r="A9372" s="121">
        <v>65277.0</v>
      </c>
    </row>
    <row r="9373">
      <c r="A9373" s="121">
        <v>65278.0</v>
      </c>
    </row>
    <row r="9374">
      <c r="A9374" s="121">
        <v>65279.0</v>
      </c>
    </row>
    <row r="9375">
      <c r="A9375" s="121">
        <v>65280.0</v>
      </c>
    </row>
    <row r="9376">
      <c r="A9376" s="121">
        <v>65281.0</v>
      </c>
    </row>
    <row r="9377">
      <c r="A9377" s="121">
        <v>65282.0</v>
      </c>
    </row>
    <row r="9378">
      <c r="A9378" s="121">
        <v>65283.0</v>
      </c>
    </row>
    <row r="9379">
      <c r="A9379" s="121">
        <v>65284.0</v>
      </c>
    </row>
    <row r="9380">
      <c r="A9380" s="121">
        <v>65285.0</v>
      </c>
    </row>
    <row r="9381">
      <c r="A9381" s="121">
        <v>65286.0</v>
      </c>
    </row>
    <row r="9382">
      <c r="A9382" s="121">
        <v>65287.0</v>
      </c>
    </row>
    <row r="9383">
      <c r="A9383" s="121">
        <v>65288.0</v>
      </c>
    </row>
    <row r="9384">
      <c r="A9384" s="121">
        <v>65289.0</v>
      </c>
    </row>
    <row r="9385">
      <c r="A9385" s="121">
        <v>65290.0</v>
      </c>
    </row>
    <row r="9386">
      <c r="A9386" s="121">
        <v>65291.0</v>
      </c>
    </row>
    <row r="9387">
      <c r="A9387" s="121">
        <v>65292.0</v>
      </c>
    </row>
    <row r="9388">
      <c r="A9388" s="121">
        <v>65293.0</v>
      </c>
    </row>
    <row r="9389">
      <c r="A9389" s="121">
        <v>65294.0</v>
      </c>
    </row>
    <row r="9390">
      <c r="A9390" s="121">
        <v>65295.0</v>
      </c>
    </row>
    <row r="9391">
      <c r="A9391" s="121">
        <v>65296.0</v>
      </c>
    </row>
    <row r="9392">
      <c r="A9392" s="121">
        <v>65323.0</v>
      </c>
    </row>
    <row r="9393">
      <c r="A9393" s="121">
        <v>65324.0</v>
      </c>
    </row>
    <row r="9394">
      <c r="A9394" s="121">
        <v>65325.0</v>
      </c>
    </row>
    <row r="9395">
      <c r="A9395" s="121">
        <v>65326.0</v>
      </c>
    </row>
    <row r="9396">
      <c r="A9396" s="121">
        <v>65327.0</v>
      </c>
    </row>
    <row r="9397">
      <c r="A9397" s="121">
        <v>65328.0</v>
      </c>
    </row>
    <row r="9398">
      <c r="A9398" s="121">
        <v>65329.0</v>
      </c>
    </row>
    <row r="9399">
      <c r="A9399" s="121">
        <v>65330.0</v>
      </c>
    </row>
    <row r="9400">
      <c r="A9400" s="121">
        <v>65331.0</v>
      </c>
    </row>
    <row r="9401">
      <c r="A9401" s="121">
        <v>65332.0</v>
      </c>
    </row>
    <row r="9402">
      <c r="A9402" s="121">
        <v>65333.0</v>
      </c>
    </row>
    <row r="9403">
      <c r="A9403" s="121">
        <v>65334.0</v>
      </c>
    </row>
    <row r="9404">
      <c r="A9404" s="121">
        <v>65335.0</v>
      </c>
    </row>
    <row r="9405">
      <c r="A9405" s="121">
        <v>65336.0</v>
      </c>
    </row>
    <row r="9406">
      <c r="A9406" s="121">
        <v>65337.0</v>
      </c>
    </row>
    <row r="9407">
      <c r="A9407" s="121">
        <v>65338.0</v>
      </c>
    </row>
    <row r="9408">
      <c r="A9408" s="121">
        <v>65339.0</v>
      </c>
    </row>
    <row r="9409">
      <c r="A9409" s="121">
        <v>65340.0</v>
      </c>
    </row>
    <row r="9410">
      <c r="A9410" s="121">
        <v>65341.0</v>
      </c>
    </row>
    <row r="9411">
      <c r="A9411" s="121">
        <v>65342.0</v>
      </c>
    </row>
    <row r="9412">
      <c r="A9412" s="121">
        <v>65343.0</v>
      </c>
    </row>
    <row r="9413">
      <c r="A9413" s="121">
        <v>65344.0</v>
      </c>
    </row>
    <row r="9414">
      <c r="A9414" s="121">
        <v>65345.0</v>
      </c>
    </row>
    <row r="9415">
      <c r="A9415" s="121">
        <v>65346.0</v>
      </c>
    </row>
    <row r="9416">
      <c r="A9416" s="121">
        <v>65347.0</v>
      </c>
    </row>
    <row r="9417">
      <c r="A9417" s="121">
        <v>65348.0</v>
      </c>
    </row>
    <row r="9418">
      <c r="A9418" s="121">
        <v>65349.0</v>
      </c>
    </row>
    <row r="9419">
      <c r="A9419" s="121">
        <v>65350.0</v>
      </c>
    </row>
    <row r="9420">
      <c r="A9420" s="121">
        <v>65351.0</v>
      </c>
    </row>
    <row r="9421">
      <c r="A9421" s="121">
        <v>65352.0</v>
      </c>
    </row>
    <row r="9422">
      <c r="A9422" s="121">
        <v>65353.0</v>
      </c>
    </row>
    <row r="9423">
      <c r="A9423" s="121">
        <v>65354.0</v>
      </c>
    </row>
    <row r="9424">
      <c r="A9424" s="121">
        <v>65355.0</v>
      </c>
    </row>
    <row r="9425">
      <c r="A9425" s="121">
        <v>65356.0</v>
      </c>
    </row>
    <row r="9426">
      <c r="A9426" s="121">
        <v>65357.0</v>
      </c>
    </row>
    <row r="9427">
      <c r="A9427" s="121">
        <v>65358.0</v>
      </c>
    </row>
    <row r="9428">
      <c r="A9428" s="121">
        <v>65359.0</v>
      </c>
    </row>
    <row r="9429">
      <c r="A9429" s="121">
        <v>65360.0</v>
      </c>
    </row>
    <row r="9430">
      <c r="A9430" s="121">
        <v>65361.0</v>
      </c>
    </row>
    <row r="9431">
      <c r="A9431" s="121">
        <v>65362.0</v>
      </c>
    </row>
    <row r="9432">
      <c r="A9432" s="121">
        <v>65363.0</v>
      </c>
    </row>
    <row r="9433">
      <c r="A9433" s="121">
        <v>65364.0</v>
      </c>
    </row>
    <row r="9434">
      <c r="A9434" s="121">
        <v>65365.0</v>
      </c>
    </row>
    <row r="9435">
      <c r="A9435" s="121">
        <v>65366.0</v>
      </c>
    </row>
    <row r="9436">
      <c r="A9436" s="121">
        <v>65367.0</v>
      </c>
    </row>
    <row r="9437">
      <c r="A9437" s="121">
        <v>65368.0</v>
      </c>
    </row>
    <row r="9438">
      <c r="A9438" s="121">
        <v>65369.0</v>
      </c>
    </row>
    <row r="9439">
      <c r="A9439" s="121">
        <v>65370.0</v>
      </c>
    </row>
    <row r="9440">
      <c r="A9440" s="121">
        <v>65371.0</v>
      </c>
    </row>
    <row r="9441">
      <c r="A9441" s="121">
        <v>65372.0</v>
      </c>
    </row>
    <row r="9442">
      <c r="A9442" s="121">
        <v>65373.0</v>
      </c>
    </row>
    <row r="9443">
      <c r="A9443" s="121">
        <v>65374.0</v>
      </c>
    </row>
    <row r="9444">
      <c r="A9444" s="121">
        <v>65375.0</v>
      </c>
    </row>
    <row r="9445">
      <c r="A9445" s="121">
        <v>65376.0</v>
      </c>
    </row>
    <row r="9446">
      <c r="A9446" s="121">
        <v>65377.0</v>
      </c>
    </row>
    <row r="9447">
      <c r="A9447" s="121">
        <v>65378.0</v>
      </c>
    </row>
    <row r="9448">
      <c r="A9448" s="121">
        <v>65379.0</v>
      </c>
    </row>
    <row r="9449">
      <c r="A9449" s="121">
        <v>65380.0</v>
      </c>
    </row>
    <row r="9450">
      <c r="A9450" s="121">
        <v>65381.0</v>
      </c>
    </row>
    <row r="9451">
      <c r="A9451" s="121">
        <v>65382.0</v>
      </c>
    </row>
    <row r="9452">
      <c r="A9452" s="121">
        <v>65383.0</v>
      </c>
    </row>
    <row r="9453">
      <c r="A9453" s="121">
        <v>65384.0</v>
      </c>
    </row>
    <row r="9454">
      <c r="A9454" s="121">
        <v>65385.0</v>
      </c>
    </row>
    <row r="9455">
      <c r="A9455" s="121">
        <v>65386.0</v>
      </c>
    </row>
    <row r="9456">
      <c r="A9456" s="121">
        <v>65387.0</v>
      </c>
    </row>
    <row r="9457">
      <c r="A9457" s="121">
        <v>65388.0</v>
      </c>
    </row>
    <row r="9458">
      <c r="A9458" s="121">
        <v>65389.0</v>
      </c>
    </row>
    <row r="9459">
      <c r="A9459" s="121">
        <v>65390.0</v>
      </c>
    </row>
    <row r="9460">
      <c r="A9460" s="121">
        <v>65391.0</v>
      </c>
    </row>
    <row r="9461">
      <c r="A9461" s="121">
        <v>65392.0</v>
      </c>
    </row>
    <row r="9462">
      <c r="A9462" s="121">
        <v>65393.0</v>
      </c>
    </row>
    <row r="9463">
      <c r="A9463" s="121">
        <v>65394.0</v>
      </c>
    </row>
    <row r="9464">
      <c r="A9464" s="121">
        <v>65395.0</v>
      </c>
    </row>
    <row r="9465">
      <c r="A9465" s="121">
        <v>65396.0</v>
      </c>
    </row>
    <row r="9466">
      <c r="A9466" s="121">
        <v>65397.0</v>
      </c>
    </row>
    <row r="9467">
      <c r="A9467" s="121">
        <v>65398.0</v>
      </c>
    </row>
    <row r="9468">
      <c r="A9468" s="121">
        <v>65399.0</v>
      </c>
    </row>
    <row r="9469">
      <c r="A9469" s="121">
        <v>65400.0</v>
      </c>
    </row>
    <row r="9470">
      <c r="A9470" s="121">
        <v>65401.0</v>
      </c>
    </row>
    <row r="9471">
      <c r="A9471" s="121">
        <v>65402.0</v>
      </c>
    </row>
    <row r="9472">
      <c r="A9472" s="121">
        <v>65404.0</v>
      </c>
    </row>
    <row r="9473">
      <c r="A9473" s="121">
        <v>65405.0</v>
      </c>
    </row>
    <row r="9474">
      <c r="A9474" s="121">
        <v>65406.0</v>
      </c>
    </row>
    <row r="9475">
      <c r="A9475" s="121">
        <v>65407.0</v>
      </c>
    </row>
    <row r="9476">
      <c r="A9476" s="121">
        <v>65408.0</v>
      </c>
    </row>
    <row r="9477">
      <c r="A9477" s="121">
        <v>65409.0</v>
      </c>
    </row>
    <row r="9478">
      <c r="A9478" s="121">
        <v>65410.0</v>
      </c>
    </row>
    <row r="9479">
      <c r="A9479" s="121">
        <v>65411.0</v>
      </c>
    </row>
    <row r="9480">
      <c r="A9480" s="121">
        <v>65412.0</v>
      </c>
    </row>
    <row r="9481">
      <c r="A9481" s="121">
        <v>65413.0</v>
      </c>
    </row>
    <row r="9482">
      <c r="A9482" s="121">
        <v>65414.0</v>
      </c>
    </row>
    <row r="9483">
      <c r="A9483" s="121">
        <v>65415.0</v>
      </c>
    </row>
    <row r="9484">
      <c r="A9484" s="121">
        <v>65416.0</v>
      </c>
    </row>
    <row r="9485">
      <c r="A9485" s="121">
        <v>65417.0</v>
      </c>
    </row>
    <row r="9486">
      <c r="A9486" s="121">
        <v>65418.0</v>
      </c>
    </row>
    <row r="9487">
      <c r="A9487" s="121">
        <v>65419.0</v>
      </c>
    </row>
    <row r="9488">
      <c r="A9488" s="121">
        <v>65420.0</v>
      </c>
    </row>
    <row r="9489">
      <c r="A9489" s="121">
        <v>65421.0</v>
      </c>
    </row>
    <row r="9490">
      <c r="A9490" s="121">
        <v>65422.0</v>
      </c>
    </row>
    <row r="9491">
      <c r="A9491" s="121">
        <v>65423.0</v>
      </c>
    </row>
    <row r="9492">
      <c r="A9492" s="121">
        <v>65424.0</v>
      </c>
    </row>
    <row r="9493">
      <c r="A9493" s="121">
        <v>65425.0</v>
      </c>
    </row>
    <row r="9494">
      <c r="A9494" s="121">
        <v>65426.0</v>
      </c>
    </row>
    <row r="9495">
      <c r="A9495" s="121">
        <v>65427.0</v>
      </c>
    </row>
    <row r="9496">
      <c r="A9496" s="121">
        <v>65428.0</v>
      </c>
    </row>
    <row r="9497">
      <c r="A9497" s="121">
        <v>65429.0</v>
      </c>
    </row>
    <row r="9498">
      <c r="A9498" s="121">
        <v>65430.0</v>
      </c>
    </row>
    <row r="9499">
      <c r="A9499" s="121">
        <v>65431.0</v>
      </c>
    </row>
    <row r="9500">
      <c r="A9500" s="121">
        <v>65434.0</v>
      </c>
    </row>
    <row r="9501">
      <c r="A9501" s="121">
        <v>65435.0</v>
      </c>
    </row>
    <row r="9502">
      <c r="A9502" s="121">
        <v>65436.0</v>
      </c>
    </row>
    <row r="9503">
      <c r="A9503" s="121">
        <v>65437.0</v>
      </c>
    </row>
    <row r="9504">
      <c r="A9504" s="121">
        <v>65438.0</v>
      </c>
    </row>
    <row r="9505">
      <c r="A9505" s="121">
        <v>65439.0</v>
      </c>
    </row>
    <row r="9506">
      <c r="A9506" s="121">
        <v>65440.0</v>
      </c>
    </row>
    <row r="9507">
      <c r="A9507" s="121">
        <v>65441.0</v>
      </c>
    </row>
    <row r="9508">
      <c r="A9508" s="121">
        <v>65442.0</v>
      </c>
    </row>
    <row r="9509">
      <c r="A9509" s="121">
        <v>65443.0</v>
      </c>
    </row>
    <row r="9510">
      <c r="A9510" s="121">
        <v>65444.0</v>
      </c>
    </row>
    <row r="9511">
      <c r="A9511" s="121">
        <v>65445.0</v>
      </c>
    </row>
    <row r="9512">
      <c r="A9512" s="121">
        <v>65446.0</v>
      </c>
    </row>
    <row r="9513">
      <c r="A9513" s="121">
        <v>65447.0</v>
      </c>
    </row>
    <row r="9514">
      <c r="A9514" s="121">
        <v>65448.0</v>
      </c>
    </row>
    <row r="9515">
      <c r="A9515" s="121">
        <v>65449.0</v>
      </c>
    </row>
    <row r="9516">
      <c r="A9516" s="121">
        <v>65450.0</v>
      </c>
    </row>
    <row r="9517">
      <c r="A9517" s="121">
        <v>65451.0</v>
      </c>
    </row>
    <row r="9518">
      <c r="A9518" s="121">
        <v>65452.0</v>
      </c>
    </row>
    <row r="9519">
      <c r="A9519" s="121">
        <v>65453.0</v>
      </c>
    </row>
    <row r="9520">
      <c r="A9520" s="121">
        <v>65454.0</v>
      </c>
    </row>
    <row r="9521">
      <c r="A9521" s="121">
        <v>65455.0</v>
      </c>
    </row>
    <row r="9522">
      <c r="A9522" s="121">
        <v>65456.0</v>
      </c>
    </row>
    <row r="9523">
      <c r="A9523" s="121">
        <v>65457.0</v>
      </c>
    </row>
    <row r="9524">
      <c r="A9524" s="121">
        <v>65458.0</v>
      </c>
    </row>
    <row r="9525">
      <c r="A9525" s="121">
        <v>65459.0</v>
      </c>
    </row>
    <row r="9526">
      <c r="A9526" s="121">
        <v>65460.0</v>
      </c>
    </row>
    <row r="9527">
      <c r="A9527" s="121">
        <v>65461.0</v>
      </c>
    </row>
    <row r="9528">
      <c r="A9528" s="121">
        <v>65462.0</v>
      </c>
    </row>
    <row r="9529">
      <c r="A9529" s="121">
        <v>65463.0</v>
      </c>
    </row>
    <row r="9530">
      <c r="A9530" s="121">
        <v>65464.0</v>
      </c>
    </row>
    <row r="9531">
      <c r="A9531" s="121">
        <v>65465.0</v>
      </c>
    </row>
    <row r="9532">
      <c r="A9532" s="121">
        <v>65466.0</v>
      </c>
    </row>
    <row r="9533">
      <c r="A9533" s="121">
        <v>65467.0</v>
      </c>
    </row>
    <row r="9534">
      <c r="A9534" s="121">
        <v>65468.0</v>
      </c>
    </row>
    <row r="9535">
      <c r="A9535" s="121">
        <v>65469.0</v>
      </c>
    </row>
    <row r="9536">
      <c r="A9536" s="121">
        <v>65470.0</v>
      </c>
    </row>
    <row r="9537">
      <c r="A9537" s="121">
        <v>65471.0</v>
      </c>
    </row>
    <row r="9538">
      <c r="A9538" s="121">
        <v>65472.0</v>
      </c>
    </row>
    <row r="9539">
      <c r="A9539" s="121">
        <v>65473.0</v>
      </c>
    </row>
    <row r="9540">
      <c r="A9540" s="121">
        <v>65474.0</v>
      </c>
    </row>
    <row r="9541">
      <c r="A9541" s="121">
        <v>65475.0</v>
      </c>
    </row>
    <row r="9542">
      <c r="A9542" s="121">
        <v>65476.0</v>
      </c>
    </row>
    <row r="9543">
      <c r="A9543" s="121">
        <v>65477.0</v>
      </c>
    </row>
    <row r="9544">
      <c r="A9544" s="121">
        <v>65478.0</v>
      </c>
    </row>
    <row r="9545">
      <c r="A9545" s="121">
        <v>65479.0</v>
      </c>
    </row>
    <row r="9546">
      <c r="A9546" s="121">
        <v>65480.0</v>
      </c>
    </row>
    <row r="9547">
      <c r="A9547" s="121">
        <v>65481.0</v>
      </c>
    </row>
    <row r="9548">
      <c r="A9548" s="121">
        <v>65482.0</v>
      </c>
    </row>
    <row r="9549">
      <c r="A9549" s="121">
        <v>65483.0</v>
      </c>
    </row>
    <row r="9550">
      <c r="A9550" s="121">
        <v>65484.0</v>
      </c>
    </row>
    <row r="9551">
      <c r="A9551" s="121">
        <v>65485.0</v>
      </c>
    </row>
    <row r="9552">
      <c r="A9552" s="121">
        <v>65492.0</v>
      </c>
    </row>
    <row r="9553">
      <c r="A9553" s="121">
        <v>65493.0</v>
      </c>
    </row>
    <row r="9554">
      <c r="A9554" s="121">
        <v>65494.0</v>
      </c>
    </row>
    <row r="9555">
      <c r="A9555" s="121">
        <v>65495.0</v>
      </c>
    </row>
    <row r="9556">
      <c r="A9556" s="121">
        <v>65496.0</v>
      </c>
    </row>
    <row r="9557">
      <c r="A9557" s="121">
        <v>65497.0</v>
      </c>
    </row>
    <row r="9558">
      <c r="A9558" s="121">
        <v>65498.0</v>
      </c>
    </row>
    <row r="9559">
      <c r="A9559" s="121">
        <v>65499.0</v>
      </c>
    </row>
    <row r="9560">
      <c r="A9560" s="121">
        <v>65500.0</v>
      </c>
    </row>
    <row r="9561">
      <c r="A9561" s="121">
        <v>65501.0</v>
      </c>
    </row>
    <row r="9562">
      <c r="A9562" s="121">
        <v>65502.0</v>
      </c>
    </row>
    <row r="9563">
      <c r="A9563" s="121">
        <v>65503.0</v>
      </c>
    </row>
    <row r="9564">
      <c r="A9564" s="121">
        <v>65504.0</v>
      </c>
    </row>
    <row r="9565">
      <c r="A9565" s="121">
        <v>65505.0</v>
      </c>
    </row>
    <row r="9566">
      <c r="A9566" s="121">
        <v>65506.0</v>
      </c>
    </row>
    <row r="9567">
      <c r="A9567" s="121">
        <v>65507.0</v>
      </c>
    </row>
    <row r="9568">
      <c r="A9568" s="121">
        <v>65508.0</v>
      </c>
    </row>
    <row r="9569">
      <c r="A9569" s="121">
        <v>65509.0</v>
      </c>
    </row>
    <row r="9570">
      <c r="A9570" s="121">
        <v>65510.0</v>
      </c>
    </row>
    <row r="9571">
      <c r="A9571" s="121">
        <v>65511.0</v>
      </c>
    </row>
    <row r="9572">
      <c r="A9572" s="121">
        <v>65512.0</v>
      </c>
    </row>
    <row r="9573">
      <c r="A9573" s="121">
        <v>65513.0</v>
      </c>
    </row>
    <row r="9574">
      <c r="A9574" s="121">
        <v>65514.0</v>
      </c>
    </row>
    <row r="9575">
      <c r="A9575" s="121">
        <v>65515.0</v>
      </c>
    </row>
    <row r="9576">
      <c r="A9576" s="121">
        <v>65516.0</v>
      </c>
    </row>
    <row r="9577">
      <c r="A9577" s="121">
        <v>65517.0</v>
      </c>
    </row>
    <row r="9578">
      <c r="A9578" s="121">
        <v>65518.0</v>
      </c>
    </row>
    <row r="9579">
      <c r="A9579" s="121">
        <v>65519.0</v>
      </c>
    </row>
    <row r="9580">
      <c r="A9580" s="121">
        <v>65520.0</v>
      </c>
    </row>
    <row r="9581">
      <c r="A9581" s="121">
        <v>65521.0</v>
      </c>
    </row>
    <row r="9582">
      <c r="A9582" s="121">
        <v>65522.0</v>
      </c>
    </row>
    <row r="9583">
      <c r="A9583" s="121">
        <v>65523.0</v>
      </c>
    </row>
    <row r="9584">
      <c r="A9584" s="121">
        <v>65524.0</v>
      </c>
    </row>
    <row r="9585">
      <c r="A9585" s="121">
        <v>65525.0</v>
      </c>
    </row>
    <row r="9586">
      <c r="A9586" s="121">
        <v>65526.0</v>
      </c>
    </row>
    <row r="9587">
      <c r="A9587" s="121">
        <v>65527.0</v>
      </c>
    </row>
    <row r="9588">
      <c r="A9588" s="121">
        <v>65528.0</v>
      </c>
    </row>
    <row r="9589">
      <c r="A9589" s="121">
        <v>65529.0</v>
      </c>
    </row>
    <row r="9590">
      <c r="A9590" s="121">
        <v>65530.0</v>
      </c>
    </row>
    <row r="9591">
      <c r="A9591" s="121">
        <v>65531.0</v>
      </c>
    </row>
    <row r="9592">
      <c r="A9592" s="121">
        <v>65532.0</v>
      </c>
    </row>
    <row r="9593">
      <c r="A9593" s="121">
        <v>65533.0</v>
      </c>
    </row>
    <row r="9594">
      <c r="A9594" s="121">
        <v>65534.0</v>
      </c>
    </row>
    <row r="9595">
      <c r="A9595" s="121">
        <v>65535.0</v>
      </c>
    </row>
    <row r="9596">
      <c r="A9596" s="121">
        <v>65536.0</v>
      </c>
    </row>
    <row r="9597">
      <c r="A9597" s="121">
        <v>65537.0</v>
      </c>
    </row>
    <row r="9598">
      <c r="A9598" s="121">
        <v>65538.0</v>
      </c>
    </row>
    <row r="9599">
      <c r="A9599" s="121">
        <v>65539.0</v>
      </c>
    </row>
    <row r="9600">
      <c r="A9600" s="121">
        <v>65540.0</v>
      </c>
    </row>
    <row r="9601">
      <c r="A9601" s="121">
        <v>65541.0</v>
      </c>
    </row>
    <row r="9602">
      <c r="A9602" s="121">
        <v>65542.0</v>
      </c>
    </row>
    <row r="9603">
      <c r="A9603" s="121">
        <v>65543.0</v>
      </c>
    </row>
    <row r="9604">
      <c r="A9604" s="121">
        <v>65592.0</v>
      </c>
    </row>
    <row r="9605">
      <c r="A9605" s="121">
        <v>65593.0</v>
      </c>
    </row>
    <row r="9606">
      <c r="A9606" s="121">
        <v>65594.0</v>
      </c>
    </row>
    <row r="9607">
      <c r="A9607" s="121">
        <v>65595.0</v>
      </c>
    </row>
    <row r="9608">
      <c r="A9608" s="121">
        <v>65596.0</v>
      </c>
    </row>
    <row r="9609">
      <c r="A9609" s="121">
        <v>65597.0</v>
      </c>
    </row>
    <row r="9610">
      <c r="A9610" s="121">
        <v>65598.0</v>
      </c>
    </row>
    <row r="9611">
      <c r="A9611" s="121">
        <v>65599.0</v>
      </c>
    </row>
    <row r="9612">
      <c r="A9612" s="121">
        <v>65600.0</v>
      </c>
    </row>
    <row r="9613">
      <c r="A9613" s="121">
        <v>65601.0</v>
      </c>
    </row>
    <row r="9614">
      <c r="A9614" s="121">
        <v>65602.0</v>
      </c>
    </row>
    <row r="9615">
      <c r="A9615" s="121">
        <v>65603.0</v>
      </c>
    </row>
    <row r="9616">
      <c r="A9616" s="121">
        <v>65604.0</v>
      </c>
    </row>
    <row r="9617">
      <c r="A9617" s="121">
        <v>65605.0</v>
      </c>
    </row>
    <row r="9618">
      <c r="A9618" s="121">
        <v>65606.0</v>
      </c>
    </row>
    <row r="9619">
      <c r="A9619" s="121">
        <v>65607.0</v>
      </c>
    </row>
    <row r="9620">
      <c r="A9620" s="121">
        <v>65608.0</v>
      </c>
    </row>
    <row r="9621">
      <c r="A9621" s="121">
        <v>65609.0</v>
      </c>
    </row>
    <row r="9622">
      <c r="A9622" s="121">
        <v>65610.0</v>
      </c>
    </row>
    <row r="9623">
      <c r="A9623" s="121">
        <v>65611.0</v>
      </c>
    </row>
    <row r="9624">
      <c r="A9624" s="121">
        <v>65612.0</v>
      </c>
    </row>
    <row r="9625">
      <c r="A9625" s="121">
        <v>65613.0</v>
      </c>
    </row>
    <row r="9626">
      <c r="A9626" s="121">
        <v>65614.0</v>
      </c>
    </row>
    <row r="9627">
      <c r="A9627" s="121">
        <v>65615.0</v>
      </c>
    </row>
    <row r="9628">
      <c r="A9628" s="121">
        <v>65622.0</v>
      </c>
    </row>
    <row r="9629">
      <c r="A9629" s="121">
        <v>65623.0</v>
      </c>
    </row>
    <row r="9630">
      <c r="A9630" s="121">
        <v>65624.0</v>
      </c>
    </row>
    <row r="9631">
      <c r="A9631" s="121">
        <v>65625.0</v>
      </c>
    </row>
    <row r="9632">
      <c r="A9632" s="121">
        <v>65626.0</v>
      </c>
    </row>
    <row r="9633">
      <c r="A9633" s="121">
        <v>65627.0</v>
      </c>
    </row>
    <row r="9634">
      <c r="A9634" s="121">
        <v>65628.0</v>
      </c>
    </row>
    <row r="9635">
      <c r="A9635" s="121">
        <v>65629.0</v>
      </c>
    </row>
    <row r="9636">
      <c r="A9636" s="121">
        <v>65630.0</v>
      </c>
    </row>
    <row r="9637">
      <c r="A9637" s="121">
        <v>65631.0</v>
      </c>
    </row>
    <row r="9638">
      <c r="A9638" s="121">
        <v>65632.0</v>
      </c>
    </row>
    <row r="9639">
      <c r="A9639" s="121">
        <v>65633.0</v>
      </c>
    </row>
    <row r="9640">
      <c r="A9640" s="121">
        <v>65634.0</v>
      </c>
    </row>
    <row r="9641">
      <c r="A9641" s="121">
        <v>65635.0</v>
      </c>
    </row>
    <row r="9642">
      <c r="A9642" s="121">
        <v>65636.0</v>
      </c>
    </row>
    <row r="9643">
      <c r="A9643" s="121">
        <v>65637.0</v>
      </c>
    </row>
    <row r="9644">
      <c r="A9644" s="121">
        <v>65638.0</v>
      </c>
    </row>
    <row r="9645">
      <c r="A9645" s="121">
        <v>65639.0</v>
      </c>
    </row>
    <row r="9646">
      <c r="A9646" s="121">
        <v>65640.0</v>
      </c>
    </row>
    <row r="9647">
      <c r="A9647" s="121">
        <v>65641.0</v>
      </c>
    </row>
    <row r="9648">
      <c r="A9648" s="121">
        <v>65642.0</v>
      </c>
    </row>
    <row r="9649">
      <c r="A9649" s="121">
        <v>65643.0</v>
      </c>
    </row>
    <row r="9650">
      <c r="A9650" s="121">
        <v>65644.0</v>
      </c>
    </row>
    <row r="9651">
      <c r="A9651" s="121">
        <v>65645.0</v>
      </c>
    </row>
    <row r="9652">
      <c r="A9652" s="121">
        <v>65646.0</v>
      </c>
    </row>
    <row r="9653">
      <c r="A9653" s="121">
        <v>65647.0</v>
      </c>
    </row>
    <row r="9654">
      <c r="A9654" s="121">
        <v>65648.0</v>
      </c>
    </row>
    <row r="9655">
      <c r="A9655" s="121">
        <v>65649.0</v>
      </c>
    </row>
    <row r="9656">
      <c r="A9656" s="121">
        <v>65652.0</v>
      </c>
    </row>
    <row r="9657">
      <c r="A9657" s="121">
        <v>65653.0</v>
      </c>
    </row>
    <row r="9658">
      <c r="A9658" s="121">
        <v>65654.0</v>
      </c>
    </row>
    <row r="9659">
      <c r="A9659" s="121">
        <v>65655.0</v>
      </c>
    </row>
    <row r="9660">
      <c r="A9660" s="121">
        <v>65656.0</v>
      </c>
    </row>
    <row r="9661">
      <c r="A9661" s="121">
        <v>65657.0</v>
      </c>
    </row>
    <row r="9662">
      <c r="A9662" s="121">
        <v>65658.0</v>
      </c>
    </row>
    <row r="9663">
      <c r="A9663" s="121">
        <v>65659.0</v>
      </c>
    </row>
    <row r="9664">
      <c r="A9664" s="121">
        <v>65660.0</v>
      </c>
    </row>
    <row r="9665">
      <c r="A9665" s="121">
        <v>65661.0</v>
      </c>
    </row>
    <row r="9666">
      <c r="A9666" s="121">
        <v>65662.0</v>
      </c>
    </row>
    <row r="9667">
      <c r="A9667" s="121">
        <v>65663.0</v>
      </c>
    </row>
    <row r="9668">
      <c r="A9668" s="121">
        <v>65664.0</v>
      </c>
    </row>
    <row r="9669">
      <c r="A9669" s="121">
        <v>65665.0</v>
      </c>
    </row>
    <row r="9670">
      <c r="A9670" s="121">
        <v>65666.0</v>
      </c>
    </row>
    <row r="9671">
      <c r="A9671" s="121">
        <v>65667.0</v>
      </c>
    </row>
    <row r="9672">
      <c r="A9672" s="121">
        <v>65668.0</v>
      </c>
    </row>
    <row r="9673">
      <c r="A9673" s="121">
        <v>65669.0</v>
      </c>
    </row>
    <row r="9674">
      <c r="A9674" s="121">
        <v>65670.0</v>
      </c>
    </row>
    <row r="9675">
      <c r="A9675" s="121">
        <v>65671.0</v>
      </c>
    </row>
    <row r="9676">
      <c r="A9676" s="121">
        <v>65672.0</v>
      </c>
    </row>
    <row r="9677">
      <c r="A9677" s="121">
        <v>65673.0</v>
      </c>
    </row>
    <row r="9678">
      <c r="A9678" s="121">
        <v>65674.0</v>
      </c>
    </row>
    <row r="9679">
      <c r="A9679" s="121">
        <v>65675.0</v>
      </c>
    </row>
    <row r="9680">
      <c r="A9680" s="121">
        <v>65676.0</v>
      </c>
    </row>
    <row r="9681">
      <c r="A9681" s="121">
        <v>65677.0</v>
      </c>
    </row>
    <row r="9682">
      <c r="A9682" s="121">
        <v>65678.0</v>
      </c>
    </row>
    <row r="9683">
      <c r="A9683" s="121">
        <v>65679.0</v>
      </c>
    </row>
    <row r="9684">
      <c r="A9684" s="121">
        <v>65680.0</v>
      </c>
    </row>
    <row r="9685">
      <c r="A9685" s="121">
        <v>65681.0</v>
      </c>
    </row>
    <row r="9686">
      <c r="A9686" s="121">
        <v>65682.0</v>
      </c>
    </row>
    <row r="9687">
      <c r="A9687" s="121">
        <v>65683.0</v>
      </c>
    </row>
    <row r="9688">
      <c r="A9688" s="121">
        <v>65684.0</v>
      </c>
    </row>
    <row r="9689">
      <c r="A9689" s="121">
        <v>65685.0</v>
      </c>
    </row>
    <row r="9690">
      <c r="A9690" s="121">
        <v>65686.0</v>
      </c>
    </row>
    <row r="9691">
      <c r="A9691" s="121">
        <v>65687.0</v>
      </c>
    </row>
    <row r="9692">
      <c r="A9692" s="121">
        <v>65688.0</v>
      </c>
    </row>
    <row r="9693">
      <c r="A9693" s="121">
        <v>65689.0</v>
      </c>
    </row>
    <row r="9694">
      <c r="A9694" s="121">
        <v>65690.0</v>
      </c>
    </row>
    <row r="9695">
      <c r="A9695" s="121">
        <v>65691.0</v>
      </c>
    </row>
    <row r="9696">
      <c r="A9696" s="121">
        <v>65692.0</v>
      </c>
    </row>
    <row r="9697">
      <c r="A9697" s="121">
        <v>65693.0</v>
      </c>
    </row>
    <row r="9698">
      <c r="A9698" s="121">
        <v>65694.0</v>
      </c>
    </row>
    <row r="9699">
      <c r="A9699" s="121">
        <v>65695.0</v>
      </c>
    </row>
    <row r="9700">
      <c r="A9700" s="121">
        <v>65696.0</v>
      </c>
    </row>
    <row r="9701">
      <c r="A9701" s="121">
        <v>65697.0</v>
      </c>
    </row>
    <row r="9702">
      <c r="A9702" s="121">
        <v>65698.0</v>
      </c>
    </row>
    <row r="9703">
      <c r="A9703" s="121">
        <v>65699.0</v>
      </c>
    </row>
    <row r="9704">
      <c r="A9704" s="121">
        <v>65700.0</v>
      </c>
    </row>
    <row r="9705">
      <c r="A9705" s="121">
        <v>65701.0</v>
      </c>
    </row>
    <row r="9706">
      <c r="A9706" s="121">
        <v>65702.0</v>
      </c>
    </row>
    <row r="9707">
      <c r="A9707" s="121">
        <v>65703.0</v>
      </c>
    </row>
    <row r="9708">
      <c r="A9708" s="121">
        <v>65734.0</v>
      </c>
    </row>
    <row r="9709">
      <c r="A9709" s="121">
        <v>65735.0</v>
      </c>
    </row>
    <row r="9710">
      <c r="A9710" s="121">
        <v>65736.0</v>
      </c>
    </row>
    <row r="9711">
      <c r="A9711" s="121">
        <v>65737.0</v>
      </c>
    </row>
    <row r="9712">
      <c r="A9712" s="121">
        <v>65738.0</v>
      </c>
    </row>
    <row r="9713">
      <c r="A9713" s="121">
        <v>65739.0</v>
      </c>
    </row>
    <row r="9714">
      <c r="A9714" s="121">
        <v>65740.0</v>
      </c>
    </row>
    <row r="9715">
      <c r="A9715" s="121">
        <v>65741.0</v>
      </c>
    </row>
    <row r="9716">
      <c r="A9716" s="121">
        <v>65742.0</v>
      </c>
    </row>
    <row r="9717">
      <c r="A9717" s="121">
        <v>65743.0</v>
      </c>
    </row>
    <row r="9718">
      <c r="A9718" s="121">
        <v>65744.0</v>
      </c>
    </row>
    <row r="9719">
      <c r="A9719" s="121">
        <v>65745.0</v>
      </c>
    </row>
    <row r="9720">
      <c r="A9720" s="121">
        <v>65746.0</v>
      </c>
    </row>
    <row r="9721">
      <c r="A9721" s="121">
        <v>65747.0</v>
      </c>
    </row>
    <row r="9722">
      <c r="A9722" s="121">
        <v>65748.0</v>
      </c>
    </row>
    <row r="9723">
      <c r="A9723" s="121">
        <v>65749.0</v>
      </c>
    </row>
    <row r="9724">
      <c r="A9724" s="121">
        <v>65750.0</v>
      </c>
    </row>
    <row r="9725">
      <c r="A9725" s="121">
        <v>65751.0</v>
      </c>
    </row>
    <row r="9726">
      <c r="A9726" s="121">
        <v>65752.0</v>
      </c>
    </row>
    <row r="9727">
      <c r="A9727" s="121">
        <v>65753.0</v>
      </c>
    </row>
    <row r="9728">
      <c r="A9728" s="121">
        <v>65754.0</v>
      </c>
    </row>
    <row r="9729">
      <c r="A9729" s="121">
        <v>65755.0</v>
      </c>
    </row>
    <row r="9730">
      <c r="A9730" s="121">
        <v>65756.0</v>
      </c>
    </row>
    <row r="9731">
      <c r="A9731" s="121">
        <v>65757.0</v>
      </c>
    </row>
    <row r="9732">
      <c r="A9732" s="121">
        <v>65758.0</v>
      </c>
    </row>
    <row r="9733">
      <c r="A9733" s="121">
        <v>65759.0</v>
      </c>
    </row>
    <row r="9734">
      <c r="A9734" s="121">
        <v>65760.0</v>
      </c>
    </row>
    <row r="9735">
      <c r="A9735" s="121">
        <v>65761.0</v>
      </c>
    </row>
    <row r="9736">
      <c r="A9736" s="121">
        <v>65791.0</v>
      </c>
    </row>
    <row r="9737">
      <c r="A9737" s="121">
        <v>65792.0</v>
      </c>
    </row>
    <row r="9738">
      <c r="A9738" s="121">
        <v>65793.0</v>
      </c>
    </row>
    <row r="9739">
      <c r="A9739" s="121">
        <v>65794.0</v>
      </c>
    </row>
    <row r="9740">
      <c r="A9740" s="121">
        <v>65795.0</v>
      </c>
    </row>
    <row r="9741">
      <c r="A9741" s="121">
        <v>65796.0</v>
      </c>
    </row>
    <row r="9742">
      <c r="A9742" s="121">
        <v>65797.0</v>
      </c>
    </row>
    <row r="9743">
      <c r="A9743" s="121">
        <v>65798.0</v>
      </c>
    </row>
    <row r="9744">
      <c r="A9744" s="121">
        <v>65799.0</v>
      </c>
    </row>
    <row r="9745">
      <c r="A9745" s="121">
        <v>65800.0</v>
      </c>
    </row>
    <row r="9746">
      <c r="A9746" s="121">
        <v>65801.0</v>
      </c>
    </row>
    <row r="9747">
      <c r="A9747" s="121">
        <v>65802.0</v>
      </c>
    </row>
    <row r="9748">
      <c r="A9748" s="121">
        <v>65803.0</v>
      </c>
    </row>
    <row r="9749">
      <c r="A9749" s="121">
        <v>65804.0</v>
      </c>
    </row>
    <row r="9750">
      <c r="A9750" s="121">
        <v>65805.0</v>
      </c>
    </row>
    <row r="9751">
      <c r="A9751" s="121">
        <v>65806.0</v>
      </c>
    </row>
    <row r="9752">
      <c r="A9752" s="121">
        <v>65807.0</v>
      </c>
    </row>
    <row r="9753">
      <c r="A9753" s="121">
        <v>65808.0</v>
      </c>
    </row>
    <row r="9754">
      <c r="A9754" s="121">
        <v>65809.0</v>
      </c>
    </row>
    <row r="9755">
      <c r="A9755" s="121">
        <v>65810.0</v>
      </c>
    </row>
    <row r="9756">
      <c r="A9756" s="121">
        <v>65811.0</v>
      </c>
    </row>
    <row r="9757">
      <c r="A9757" s="121">
        <v>65812.0</v>
      </c>
    </row>
    <row r="9758">
      <c r="A9758" s="121">
        <v>65813.0</v>
      </c>
    </row>
    <row r="9759">
      <c r="A9759" s="121">
        <v>65814.0</v>
      </c>
    </row>
    <row r="9760">
      <c r="A9760" s="121">
        <v>65823.0</v>
      </c>
    </row>
    <row r="9761">
      <c r="A9761" s="121">
        <v>65824.0</v>
      </c>
    </row>
    <row r="9762">
      <c r="A9762" s="121">
        <v>65825.0</v>
      </c>
    </row>
    <row r="9763">
      <c r="A9763" s="121">
        <v>65826.0</v>
      </c>
    </row>
    <row r="9764">
      <c r="A9764" s="121">
        <v>65827.0</v>
      </c>
    </row>
    <row r="9765">
      <c r="A9765" s="121">
        <v>65828.0</v>
      </c>
    </row>
    <row r="9766">
      <c r="A9766" s="121">
        <v>65829.0</v>
      </c>
    </row>
    <row r="9767">
      <c r="A9767" s="121">
        <v>65830.0</v>
      </c>
    </row>
    <row r="9768">
      <c r="A9768" s="121">
        <v>65831.0</v>
      </c>
    </row>
    <row r="9769">
      <c r="A9769" s="121">
        <v>65832.0</v>
      </c>
    </row>
    <row r="9770">
      <c r="A9770" s="121">
        <v>65833.0</v>
      </c>
    </row>
    <row r="9771">
      <c r="A9771" s="121">
        <v>65834.0</v>
      </c>
    </row>
    <row r="9772">
      <c r="A9772" s="121">
        <v>65835.0</v>
      </c>
    </row>
    <row r="9773">
      <c r="A9773" s="121">
        <v>65836.0</v>
      </c>
    </row>
    <row r="9774">
      <c r="A9774" s="121">
        <v>65837.0</v>
      </c>
    </row>
    <row r="9775">
      <c r="A9775" s="121">
        <v>65838.0</v>
      </c>
    </row>
    <row r="9776">
      <c r="A9776" s="121">
        <v>65839.0</v>
      </c>
    </row>
    <row r="9777">
      <c r="A9777" s="121">
        <v>65840.0</v>
      </c>
    </row>
    <row r="9778">
      <c r="A9778" s="121">
        <v>65841.0</v>
      </c>
      <c r="B9778" s="122">
        <v>46052.0</v>
      </c>
    </row>
    <row r="9779">
      <c r="A9779" s="121">
        <v>65842.0</v>
      </c>
    </row>
    <row r="9780">
      <c r="A9780" s="121">
        <v>65843.0</v>
      </c>
    </row>
    <row r="9781">
      <c r="A9781" s="121">
        <v>65844.0</v>
      </c>
    </row>
    <row r="9782">
      <c r="A9782" s="121">
        <v>65845.0</v>
      </c>
    </row>
    <row r="9783">
      <c r="A9783" s="121">
        <v>65846.0</v>
      </c>
    </row>
    <row r="9784">
      <c r="A9784" s="121">
        <v>65847.0</v>
      </c>
    </row>
    <row r="9785">
      <c r="A9785" s="121">
        <v>65848.0</v>
      </c>
    </row>
    <row r="9786">
      <c r="A9786" s="121">
        <v>65849.0</v>
      </c>
    </row>
    <row r="9787">
      <c r="A9787" s="121">
        <v>65850.0</v>
      </c>
    </row>
    <row r="9788">
      <c r="A9788" s="121">
        <v>65854.0</v>
      </c>
    </row>
    <row r="9789">
      <c r="A9789" s="121">
        <v>65855.0</v>
      </c>
    </row>
    <row r="9790">
      <c r="A9790" s="121">
        <v>65856.0</v>
      </c>
    </row>
    <row r="9791">
      <c r="A9791" s="121">
        <v>65857.0</v>
      </c>
    </row>
    <row r="9792">
      <c r="A9792" s="121">
        <v>65858.0</v>
      </c>
    </row>
    <row r="9793">
      <c r="A9793" s="121">
        <v>65859.0</v>
      </c>
    </row>
    <row r="9794">
      <c r="A9794" s="121">
        <v>65860.0</v>
      </c>
    </row>
    <row r="9795">
      <c r="A9795" s="121">
        <v>65861.0</v>
      </c>
    </row>
    <row r="9796">
      <c r="A9796" s="121">
        <v>65862.0</v>
      </c>
    </row>
    <row r="9797">
      <c r="A9797" s="121">
        <v>65863.0</v>
      </c>
    </row>
    <row r="9798">
      <c r="A9798" s="121">
        <v>65864.0</v>
      </c>
    </row>
    <row r="9799">
      <c r="A9799" s="121">
        <v>65865.0</v>
      </c>
    </row>
    <row r="9800">
      <c r="A9800" s="121">
        <v>65866.0</v>
      </c>
    </row>
    <row r="9801">
      <c r="A9801" s="121">
        <v>65867.0</v>
      </c>
    </row>
    <row r="9802">
      <c r="A9802" s="121">
        <v>65868.0</v>
      </c>
    </row>
    <row r="9803">
      <c r="A9803" s="121">
        <v>65869.0</v>
      </c>
    </row>
    <row r="9804">
      <c r="A9804" s="121">
        <v>65870.0</v>
      </c>
    </row>
    <row r="9805">
      <c r="A9805" s="121">
        <v>65871.0</v>
      </c>
    </row>
    <row r="9806">
      <c r="A9806" s="121">
        <v>65872.0</v>
      </c>
    </row>
    <row r="9807">
      <c r="A9807" s="121">
        <v>65873.0</v>
      </c>
    </row>
    <row r="9808">
      <c r="A9808" s="121">
        <v>65874.0</v>
      </c>
    </row>
    <row r="9809">
      <c r="A9809" s="121">
        <v>65875.0</v>
      </c>
    </row>
    <row r="9810">
      <c r="A9810" s="121">
        <v>65876.0</v>
      </c>
    </row>
    <row r="9811">
      <c r="A9811" s="121">
        <v>65877.0</v>
      </c>
    </row>
    <row r="9812">
      <c r="A9812" s="121">
        <v>65878.0</v>
      </c>
    </row>
    <row r="9813">
      <c r="A9813" s="121">
        <v>65879.0</v>
      </c>
    </row>
    <row r="9814">
      <c r="A9814" s="121">
        <v>65880.0</v>
      </c>
    </row>
    <row r="9815">
      <c r="A9815" s="121">
        <v>65881.0</v>
      </c>
    </row>
    <row r="9816">
      <c r="A9816" s="121">
        <v>65882.0</v>
      </c>
    </row>
    <row r="9817">
      <c r="A9817" s="121">
        <v>65883.0</v>
      </c>
    </row>
    <row r="9818">
      <c r="A9818" s="121">
        <v>65884.0</v>
      </c>
    </row>
    <row r="9819">
      <c r="A9819" s="121">
        <v>65885.0</v>
      </c>
    </row>
    <row r="9820">
      <c r="A9820" s="121">
        <v>65886.0</v>
      </c>
    </row>
    <row r="9821">
      <c r="A9821" s="121">
        <v>65887.0</v>
      </c>
    </row>
    <row r="9822">
      <c r="A9822" s="121">
        <v>65888.0</v>
      </c>
    </row>
    <row r="9823">
      <c r="A9823" s="121">
        <v>65889.0</v>
      </c>
    </row>
    <row r="9824">
      <c r="A9824" s="121">
        <v>65890.0</v>
      </c>
    </row>
    <row r="9825">
      <c r="A9825" s="121">
        <v>65891.0</v>
      </c>
    </row>
    <row r="9826">
      <c r="A9826" s="121">
        <v>65892.0</v>
      </c>
    </row>
    <row r="9827">
      <c r="A9827" s="121">
        <v>65893.0</v>
      </c>
    </row>
    <row r="9828">
      <c r="A9828" s="121">
        <v>65894.0</v>
      </c>
    </row>
    <row r="9829">
      <c r="A9829" s="121">
        <v>65895.0</v>
      </c>
    </row>
    <row r="9830">
      <c r="A9830" s="121">
        <v>65896.0</v>
      </c>
    </row>
    <row r="9831">
      <c r="A9831" s="121">
        <v>65897.0</v>
      </c>
    </row>
    <row r="9832">
      <c r="A9832" s="121">
        <v>65898.0</v>
      </c>
    </row>
    <row r="9833">
      <c r="A9833" s="121">
        <v>65899.0</v>
      </c>
    </row>
    <row r="9834">
      <c r="A9834" s="121">
        <v>65900.0</v>
      </c>
    </row>
    <row r="9835">
      <c r="A9835" s="121">
        <v>65901.0</v>
      </c>
    </row>
    <row r="9836">
      <c r="A9836" s="121">
        <v>65902.0</v>
      </c>
    </row>
    <row r="9837">
      <c r="A9837" s="121">
        <v>65903.0</v>
      </c>
    </row>
    <row r="9838">
      <c r="A9838" s="121">
        <v>65904.0</v>
      </c>
    </row>
    <row r="9839">
      <c r="A9839" s="121">
        <v>65905.0</v>
      </c>
    </row>
    <row r="9840">
      <c r="A9840" s="121">
        <v>65906.0</v>
      </c>
    </row>
    <row r="9841">
      <c r="A9841" s="121">
        <v>65907.0</v>
      </c>
    </row>
    <row r="9842">
      <c r="A9842" s="121">
        <v>65908.0</v>
      </c>
    </row>
    <row r="9843">
      <c r="A9843" s="121">
        <v>65909.0</v>
      </c>
    </row>
    <row r="9844">
      <c r="A9844" s="121">
        <v>65910.0</v>
      </c>
    </row>
    <row r="9845">
      <c r="A9845" s="121">
        <v>65911.0</v>
      </c>
    </row>
    <row r="9846">
      <c r="A9846" s="121">
        <v>65912.0</v>
      </c>
    </row>
    <row r="9847">
      <c r="A9847" s="121">
        <v>65913.0</v>
      </c>
    </row>
    <row r="9848">
      <c r="A9848" s="121">
        <v>65914.0</v>
      </c>
    </row>
    <row r="9849">
      <c r="A9849" s="121">
        <v>65915.0</v>
      </c>
    </row>
    <row r="9850">
      <c r="A9850" s="121">
        <v>65916.0</v>
      </c>
    </row>
    <row r="9851">
      <c r="A9851" s="121">
        <v>65917.0</v>
      </c>
    </row>
    <row r="9852">
      <c r="A9852" s="121">
        <v>65918.0</v>
      </c>
    </row>
    <row r="9853">
      <c r="A9853" s="121">
        <v>65919.0</v>
      </c>
    </row>
    <row r="9854">
      <c r="A9854" s="121">
        <v>65920.0</v>
      </c>
    </row>
    <row r="9855">
      <c r="A9855" s="121">
        <v>65921.0</v>
      </c>
    </row>
    <row r="9856">
      <c r="A9856" s="121">
        <v>65922.0</v>
      </c>
    </row>
    <row r="9857">
      <c r="A9857" s="121">
        <v>65923.0</v>
      </c>
    </row>
    <row r="9858">
      <c r="A9858" s="121">
        <v>65924.0</v>
      </c>
    </row>
    <row r="9859">
      <c r="A9859" s="121">
        <v>65925.0</v>
      </c>
    </row>
    <row r="9860">
      <c r="A9860" s="121">
        <v>65926.0</v>
      </c>
    </row>
    <row r="9861">
      <c r="A9861" s="121">
        <v>65927.0</v>
      </c>
    </row>
    <row r="9862">
      <c r="A9862" s="121">
        <v>65928.0</v>
      </c>
    </row>
    <row r="9863">
      <c r="A9863" s="121">
        <v>65929.0</v>
      </c>
    </row>
    <row r="9864">
      <c r="A9864" s="121">
        <v>65930.0</v>
      </c>
    </row>
    <row r="9865">
      <c r="A9865" s="121">
        <v>65931.0</v>
      </c>
    </row>
    <row r="9866">
      <c r="A9866" s="121">
        <v>65932.0</v>
      </c>
    </row>
    <row r="9867">
      <c r="A9867" s="121">
        <v>65933.0</v>
      </c>
    </row>
    <row r="9868">
      <c r="A9868" s="121">
        <v>65934.0</v>
      </c>
    </row>
    <row r="9869">
      <c r="A9869" s="121">
        <v>65935.0</v>
      </c>
    </row>
    <row r="9870">
      <c r="A9870" s="121">
        <v>65936.0</v>
      </c>
    </row>
    <row r="9871">
      <c r="A9871" s="121">
        <v>65937.0</v>
      </c>
    </row>
    <row r="9872">
      <c r="A9872" s="121">
        <v>66005.0</v>
      </c>
    </row>
    <row r="9873">
      <c r="A9873" s="121">
        <v>66006.0</v>
      </c>
    </row>
    <row r="9874">
      <c r="A9874" s="121">
        <v>66007.0</v>
      </c>
    </row>
    <row r="9875">
      <c r="A9875" s="121">
        <v>66008.0</v>
      </c>
    </row>
    <row r="9876">
      <c r="A9876" s="121">
        <v>66009.0</v>
      </c>
    </row>
    <row r="9877">
      <c r="A9877" s="121">
        <v>66010.0</v>
      </c>
    </row>
    <row r="9878">
      <c r="A9878" s="121">
        <v>66011.0</v>
      </c>
    </row>
    <row r="9879">
      <c r="A9879" s="121">
        <v>66012.0</v>
      </c>
    </row>
    <row r="9880">
      <c r="A9880" s="121">
        <v>66013.0</v>
      </c>
    </row>
    <row r="9881">
      <c r="A9881" s="121">
        <v>66014.0</v>
      </c>
    </row>
    <row r="9882">
      <c r="A9882" s="121">
        <v>66015.0</v>
      </c>
    </row>
    <row r="9883">
      <c r="A9883" s="121">
        <v>66016.0</v>
      </c>
    </row>
    <row r="9884">
      <c r="A9884" s="121">
        <v>66017.0</v>
      </c>
    </row>
    <row r="9885">
      <c r="A9885" s="121">
        <v>66018.0</v>
      </c>
    </row>
    <row r="9886">
      <c r="A9886" s="121">
        <v>66019.0</v>
      </c>
    </row>
    <row r="9887">
      <c r="A9887" s="121">
        <v>66020.0</v>
      </c>
    </row>
    <row r="9888">
      <c r="A9888" s="121">
        <v>66021.0</v>
      </c>
    </row>
    <row r="9889">
      <c r="A9889" s="121">
        <v>66022.0</v>
      </c>
    </row>
    <row r="9890">
      <c r="A9890" s="121">
        <v>66023.0</v>
      </c>
    </row>
    <row r="9891">
      <c r="A9891" s="121">
        <v>66024.0</v>
      </c>
    </row>
    <row r="9892">
      <c r="A9892" s="121">
        <v>66025.0</v>
      </c>
    </row>
    <row r="9893">
      <c r="A9893" s="121">
        <v>66026.0</v>
      </c>
    </row>
    <row r="9894">
      <c r="A9894" s="121">
        <v>66027.0</v>
      </c>
    </row>
    <row r="9895">
      <c r="A9895" s="121">
        <v>66028.0</v>
      </c>
    </row>
    <row r="9896">
      <c r="A9896" s="121">
        <v>66029.0</v>
      </c>
    </row>
    <row r="9897">
      <c r="A9897" s="121">
        <v>66030.0</v>
      </c>
    </row>
    <row r="9898">
      <c r="A9898" s="121">
        <v>66031.0</v>
      </c>
    </row>
    <row r="9899">
      <c r="A9899" s="121">
        <v>66032.0</v>
      </c>
    </row>
    <row r="9900">
      <c r="A9900" s="121">
        <v>66058.0</v>
      </c>
    </row>
    <row r="9901">
      <c r="A9901" s="121">
        <v>66059.0</v>
      </c>
    </row>
    <row r="9902">
      <c r="A9902" s="121">
        <v>66060.0</v>
      </c>
    </row>
    <row r="9903">
      <c r="A9903" s="121">
        <v>66061.0</v>
      </c>
    </row>
    <row r="9904">
      <c r="A9904" s="121">
        <v>66062.0</v>
      </c>
    </row>
    <row r="9905">
      <c r="A9905" s="121">
        <v>66063.0</v>
      </c>
    </row>
    <row r="9906">
      <c r="A9906" s="121">
        <v>66064.0</v>
      </c>
    </row>
    <row r="9907">
      <c r="A9907" s="121">
        <v>66065.0</v>
      </c>
    </row>
    <row r="9908">
      <c r="A9908" s="121">
        <v>66066.0</v>
      </c>
    </row>
    <row r="9909">
      <c r="A9909" s="121">
        <v>66067.0</v>
      </c>
    </row>
    <row r="9910">
      <c r="A9910" s="121">
        <v>66068.0</v>
      </c>
    </row>
    <row r="9911">
      <c r="A9911" s="121">
        <v>66069.0</v>
      </c>
    </row>
    <row r="9912">
      <c r="A9912" s="121">
        <v>66070.0</v>
      </c>
    </row>
    <row r="9913">
      <c r="A9913" s="121">
        <v>66071.0</v>
      </c>
    </row>
    <row r="9914">
      <c r="A9914" s="121">
        <v>66072.0</v>
      </c>
    </row>
    <row r="9915">
      <c r="A9915" s="121">
        <v>66073.0</v>
      </c>
    </row>
    <row r="9916">
      <c r="A9916" s="121">
        <v>66074.0</v>
      </c>
    </row>
    <row r="9917">
      <c r="A9917" s="121">
        <v>66075.0</v>
      </c>
    </row>
    <row r="9918">
      <c r="A9918" s="121">
        <v>66076.0</v>
      </c>
    </row>
    <row r="9919">
      <c r="A9919" s="121">
        <v>66077.0</v>
      </c>
    </row>
    <row r="9920">
      <c r="A9920" s="121">
        <v>66078.0</v>
      </c>
    </row>
    <row r="9921">
      <c r="A9921" s="121">
        <v>66079.0</v>
      </c>
    </row>
    <row r="9922">
      <c r="A9922" s="121">
        <v>66080.0</v>
      </c>
    </row>
    <row r="9923">
      <c r="A9923" s="121">
        <v>66081.0</v>
      </c>
    </row>
    <row r="9924">
      <c r="A9924" s="121">
        <v>66082.0</v>
      </c>
    </row>
    <row r="9925">
      <c r="A9925" s="121">
        <v>66083.0</v>
      </c>
    </row>
    <row r="9926">
      <c r="A9926" s="121">
        <v>66084.0</v>
      </c>
    </row>
    <row r="9927">
      <c r="A9927" s="121">
        <v>66085.0</v>
      </c>
    </row>
    <row r="9928">
      <c r="A9928" s="121">
        <v>66086.0</v>
      </c>
    </row>
    <row r="9929">
      <c r="A9929" s="121">
        <v>66087.0</v>
      </c>
    </row>
    <row r="9930">
      <c r="A9930" s="121">
        <v>66088.0</v>
      </c>
    </row>
    <row r="9931">
      <c r="A9931" s="121">
        <v>66089.0</v>
      </c>
    </row>
    <row r="9932">
      <c r="A9932" s="121">
        <v>66090.0</v>
      </c>
    </row>
    <row r="9933">
      <c r="A9933" s="121">
        <v>66091.0</v>
      </c>
    </row>
    <row r="9934">
      <c r="A9934" s="121">
        <v>66092.0</v>
      </c>
    </row>
    <row r="9935">
      <c r="A9935" s="121">
        <v>66093.0</v>
      </c>
    </row>
    <row r="9936">
      <c r="A9936" s="121">
        <v>66094.0</v>
      </c>
    </row>
    <row r="9937">
      <c r="A9937" s="121">
        <v>66095.0</v>
      </c>
    </row>
    <row r="9938">
      <c r="A9938" s="121">
        <v>66096.0</v>
      </c>
    </row>
    <row r="9939">
      <c r="A9939" s="121">
        <v>66097.0</v>
      </c>
    </row>
    <row r="9940">
      <c r="A9940" s="121">
        <v>66098.0</v>
      </c>
    </row>
    <row r="9941">
      <c r="A9941" s="121">
        <v>66099.0</v>
      </c>
    </row>
    <row r="9942">
      <c r="A9942" s="121">
        <v>66100.0</v>
      </c>
    </row>
    <row r="9943">
      <c r="A9943" s="121">
        <v>66101.0</v>
      </c>
    </row>
    <row r="9944">
      <c r="A9944" s="121">
        <v>66102.0</v>
      </c>
    </row>
    <row r="9945">
      <c r="A9945" s="121">
        <v>66103.0</v>
      </c>
    </row>
    <row r="9946">
      <c r="A9946" s="121">
        <v>66104.0</v>
      </c>
    </row>
    <row r="9947">
      <c r="A9947" s="121">
        <v>66105.0</v>
      </c>
    </row>
    <row r="9948">
      <c r="A9948" s="121">
        <v>66106.0</v>
      </c>
    </row>
    <row r="9949">
      <c r="A9949" s="121">
        <v>66107.0</v>
      </c>
    </row>
    <row r="9950">
      <c r="A9950" s="121">
        <v>66108.0</v>
      </c>
    </row>
    <row r="9951">
      <c r="A9951" s="121">
        <v>66109.0</v>
      </c>
    </row>
    <row r="9952">
      <c r="A9952" s="121">
        <v>66110.0</v>
      </c>
    </row>
    <row r="9953">
      <c r="A9953" s="121">
        <v>66111.0</v>
      </c>
    </row>
    <row r="9954">
      <c r="A9954" s="121">
        <v>66112.0</v>
      </c>
    </row>
    <row r="9955">
      <c r="A9955" s="121">
        <v>66113.0</v>
      </c>
    </row>
    <row r="9956">
      <c r="A9956" s="121">
        <v>66114.0</v>
      </c>
    </row>
    <row r="9957">
      <c r="A9957" s="121">
        <v>66115.0</v>
      </c>
    </row>
    <row r="9958">
      <c r="A9958" s="121">
        <v>66116.0</v>
      </c>
    </row>
    <row r="9959">
      <c r="A9959" s="121">
        <v>66117.0</v>
      </c>
    </row>
    <row r="9960">
      <c r="A9960" s="121">
        <v>66118.0</v>
      </c>
    </row>
    <row r="9961">
      <c r="A9961" s="121">
        <v>66119.0</v>
      </c>
    </row>
    <row r="9962">
      <c r="A9962" s="121">
        <v>66120.0</v>
      </c>
    </row>
    <row r="9963">
      <c r="A9963" s="121">
        <v>66121.0</v>
      </c>
    </row>
    <row r="9964">
      <c r="A9964" s="121">
        <v>66122.0</v>
      </c>
    </row>
    <row r="9965">
      <c r="A9965" s="121">
        <v>66123.0</v>
      </c>
    </row>
    <row r="9966">
      <c r="A9966" s="121">
        <v>66124.0</v>
      </c>
    </row>
    <row r="9967">
      <c r="A9967" s="121">
        <v>66125.0</v>
      </c>
    </row>
    <row r="9968">
      <c r="A9968" s="121">
        <v>66126.0</v>
      </c>
    </row>
    <row r="9969">
      <c r="A9969" s="121">
        <v>66127.0</v>
      </c>
    </row>
    <row r="9970">
      <c r="A9970" s="121">
        <v>66128.0</v>
      </c>
    </row>
    <row r="9971">
      <c r="A9971" s="121">
        <v>66129.0</v>
      </c>
    </row>
    <row r="9972">
      <c r="A9972" s="121">
        <v>66130.0</v>
      </c>
    </row>
    <row r="9973">
      <c r="A9973" s="121">
        <v>66131.0</v>
      </c>
    </row>
    <row r="9974">
      <c r="A9974" s="121">
        <v>66132.0</v>
      </c>
    </row>
    <row r="9975">
      <c r="A9975" s="121">
        <v>66133.0</v>
      </c>
    </row>
    <row r="9976">
      <c r="A9976" s="121">
        <v>66134.0</v>
      </c>
    </row>
    <row r="9977">
      <c r="A9977" s="121">
        <v>66135.0</v>
      </c>
    </row>
    <row r="9978">
      <c r="A9978" s="121">
        <v>66136.0</v>
      </c>
    </row>
    <row r="9979">
      <c r="A9979" s="121">
        <v>66137.0</v>
      </c>
    </row>
    <row r="9980">
      <c r="A9980" s="121">
        <v>66138.0</v>
      </c>
    </row>
    <row r="9981">
      <c r="A9981" s="121">
        <v>66139.0</v>
      </c>
    </row>
    <row r="9982">
      <c r="A9982" s="121">
        <v>66140.0</v>
      </c>
    </row>
    <row r="9983">
      <c r="A9983" s="121">
        <v>66141.0</v>
      </c>
    </row>
    <row r="9984">
      <c r="A9984" s="121">
        <v>66146.0</v>
      </c>
    </row>
    <row r="9985">
      <c r="A9985" s="121">
        <v>66147.0</v>
      </c>
    </row>
    <row r="9986">
      <c r="A9986" s="121">
        <v>66148.0</v>
      </c>
    </row>
    <row r="9987">
      <c r="A9987" s="121">
        <v>66149.0</v>
      </c>
    </row>
    <row r="9988">
      <c r="A9988" s="121">
        <v>66150.0</v>
      </c>
    </row>
    <row r="9989">
      <c r="A9989" s="121">
        <v>66151.0</v>
      </c>
    </row>
    <row r="9990">
      <c r="A9990" s="121">
        <v>66152.0</v>
      </c>
    </row>
    <row r="9991">
      <c r="A9991" s="121">
        <v>66153.0</v>
      </c>
    </row>
    <row r="9992">
      <c r="A9992" s="121">
        <v>66154.0</v>
      </c>
    </row>
    <row r="9993">
      <c r="A9993" s="121">
        <v>66155.0</v>
      </c>
    </row>
    <row r="9994">
      <c r="A9994" s="121">
        <v>66156.0</v>
      </c>
    </row>
    <row r="9995">
      <c r="A9995" s="121">
        <v>66157.0</v>
      </c>
    </row>
    <row r="9996">
      <c r="A9996" s="121">
        <v>66158.0</v>
      </c>
    </row>
    <row r="9997">
      <c r="A9997" s="121">
        <v>66159.0</v>
      </c>
    </row>
    <row r="9998">
      <c r="A9998" s="121">
        <v>66160.0</v>
      </c>
    </row>
    <row r="9999">
      <c r="A9999" s="121">
        <v>66161.0</v>
      </c>
    </row>
    <row r="10000">
      <c r="A10000" s="121">
        <v>66162.0</v>
      </c>
    </row>
    <row r="10001">
      <c r="A10001" s="121">
        <v>66163.0</v>
      </c>
    </row>
    <row r="10002">
      <c r="A10002" s="121">
        <v>66164.0</v>
      </c>
    </row>
    <row r="10003">
      <c r="A10003" s="121">
        <v>66165.0</v>
      </c>
    </row>
    <row r="10004">
      <c r="A10004" s="121">
        <v>66166.0</v>
      </c>
    </row>
    <row r="10005">
      <c r="A10005" s="121">
        <v>66167.0</v>
      </c>
    </row>
    <row r="10006">
      <c r="A10006" s="121">
        <v>66168.0</v>
      </c>
    </row>
    <row r="10007">
      <c r="A10007" s="121">
        <v>66169.0</v>
      </c>
    </row>
    <row r="10008">
      <c r="A10008" s="121">
        <v>66170.0</v>
      </c>
    </row>
    <row r="10009">
      <c r="A10009" s="121">
        <v>66171.0</v>
      </c>
    </row>
    <row r="10010">
      <c r="A10010" s="121">
        <v>66172.0</v>
      </c>
    </row>
    <row r="10011">
      <c r="A10011" s="121">
        <v>66173.0</v>
      </c>
    </row>
    <row r="10012">
      <c r="A10012" s="121">
        <v>66177.0</v>
      </c>
    </row>
    <row r="10013">
      <c r="A10013" s="121">
        <v>66178.0</v>
      </c>
    </row>
    <row r="10014">
      <c r="A10014" s="121">
        <v>66179.0</v>
      </c>
    </row>
    <row r="10015">
      <c r="A10015" s="121">
        <v>66180.0</v>
      </c>
    </row>
    <row r="10016">
      <c r="A10016" s="121">
        <v>66181.0</v>
      </c>
    </row>
    <row r="10017">
      <c r="A10017" s="121">
        <v>66182.0</v>
      </c>
    </row>
    <row r="10018">
      <c r="A10018" s="121">
        <v>66183.0</v>
      </c>
    </row>
    <row r="10019">
      <c r="A10019" s="121">
        <v>66184.0</v>
      </c>
    </row>
    <row r="10020">
      <c r="A10020" s="121">
        <v>66185.0</v>
      </c>
    </row>
    <row r="10021">
      <c r="A10021" s="121">
        <v>66186.0</v>
      </c>
    </row>
    <row r="10022">
      <c r="A10022" s="121">
        <v>66187.0</v>
      </c>
    </row>
    <row r="10023">
      <c r="A10023" s="121">
        <v>66188.0</v>
      </c>
    </row>
    <row r="10024">
      <c r="A10024" s="121">
        <v>66189.0</v>
      </c>
    </row>
    <row r="10025">
      <c r="A10025" s="121">
        <v>66190.0</v>
      </c>
    </row>
    <row r="10026">
      <c r="A10026" s="121">
        <v>66191.0</v>
      </c>
    </row>
    <row r="10027">
      <c r="A10027" s="121">
        <v>66192.0</v>
      </c>
    </row>
    <row r="10028">
      <c r="A10028" s="121">
        <v>66193.0</v>
      </c>
    </row>
    <row r="10029">
      <c r="A10029" s="121">
        <v>66194.0</v>
      </c>
    </row>
    <row r="10030">
      <c r="A10030" s="121">
        <v>66195.0</v>
      </c>
    </row>
    <row r="10031">
      <c r="A10031" s="121">
        <v>66196.0</v>
      </c>
    </row>
    <row r="10032">
      <c r="A10032" s="121">
        <v>66197.0</v>
      </c>
    </row>
    <row r="10033">
      <c r="A10033" s="121">
        <v>66198.0</v>
      </c>
    </row>
    <row r="10034">
      <c r="A10034" s="121">
        <v>66199.0</v>
      </c>
    </row>
    <row r="10035">
      <c r="A10035" s="121">
        <v>66200.0</v>
      </c>
    </row>
    <row r="10036">
      <c r="A10036" s="121">
        <v>66201.0</v>
      </c>
    </row>
    <row r="10037">
      <c r="A10037" s="121">
        <v>66202.0</v>
      </c>
    </row>
    <row r="10038">
      <c r="A10038" s="121">
        <v>66203.0</v>
      </c>
    </row>
    <row r="10039">
      <c r="A10039" s="121">
        <v>66204.0</v>
      </c>
    </row>
    <row r="10040">
      <c r="A10040" s="121">
        <v>66206.0</v>
      </c>
    </row>
    <row r="10041">
      <c r="A10041" s="121">
        <v>66207.0</v>
      </c>
    </row>
    <row r="10042">
      <c r="A10042" s="121">
        <v>66208.0</v>
      </c>
    </row>
    <row r="10043">
      <c r="A10043" s="121">
        <v>66209.0</v>
      </c>
    </row>
    <row r="10044">
      <c r="A10044" s="121">
        <v>66210.0</v>
      </c>
    </row>
    <row r="10045">
      <c r="A10045" s="121">
        <v>66211.0</v>
      </c>
    </row>
    <row r="10046">
      <c r="A10046" s="121">
        <v>66212.0</v>
      </c>
    </row>
    <row r="10047">
      <c r="A10047" s="121">
        <v>66213.0</v>
      </c>
    </row>
    <row r="10048">
      <c r="A10048" s="121">
        <v>66214.0</v>
      </c>
    </row>
    <row r="10049">
      <c r="A10049" s="121">
        <v>66215.0</v>
      </c>
    </row>
    <row r="10050">
      <c r="A10050" s="121">
        <v>66216.0</v>
      </c>
    </row>
    <row r="10051">
      <c r="A10051" s="121">
        <v>66217.0</v>
      </c>
    </row>
    <row r="10052">
      <c r="A10052" s="121">
        <v>66218.0</v>
      </c>
    </row>
    <row r="10053">
      <c r="A10053" s="121">
        <v>66219.0</v>
      </c>
    </row>
    <row r="10054">
      <c r="A10054" s="121">
        <v>66220.0</v>
      </c>
    </row>
    <row r="10055">
      <c r="A10055" s="121">
        <v>66221.0</v>
      </c>
    </row>
    <row r="10056">
      <c r="A10056" s="121">
        <v>66222.0</v>
      </c>
    </row>
    <row r="10057">
      <c r="A10057" s="121">
        <v>66223.0</v>
      </c>
    </row>
    <row r="10058">
      <c r="A10058" s="121">
        <v>66224.0</v>
      </c>
    </row>
    <row r="10059">
      <c r="A10059" s="121">
        <v>66225.0</v>
      </c>
    </row>
    <row r="10060">
      <c r="A10060" s="121">
        <v>66226.0</v>
      </c>
    </row>
    <row r="10061">
      <c r="A10061" s="121">
        <v>66227.0</v>
      </c>
    </row>
    <row r="10062">
      <c r="A10062" s="121">
        <v>66228.0</v>
      </c>
    </row>
    <row r="10063">
      <c r="A10063" s="121">
        <v>66229.0</v>
      </c>
    </row>
    <row r="10064">
      <c r="A10064" s="121">
        <v>66230.0</v>
      </c>
    </row>
    <row r="10065">
      <c r="A10065" s="121">
        <v>66231.0</v>
      </c>
    </row>
    <row r="10066">
      <c r="A10066" s="121">
        <v>66232.0</v>
      </c>
    </row>
    <row r="10067">
      <c r="A10067" s="121">
        <v>66233.0</v>
      </c>
    </row>
    <row r="10068">
      <c r="A10068" s="121">
        <v>66234.0</v>
      </c>
    </row>
    <row r="10069">
      <c r="A10069" s="121">
        <v>66235.0</v>
      </c>
    </row>
    <row r="10070">
      <c r="A10070" s="121">
        <v>66236.0</v>
      </c>
    </row>
    <row r="10071">
      <c r="A10071" s="121">
        <v>66237.0</v>
      </c>
    </row>
    <row r="10072">
      <c r="A10072" s="121">
        <v>66238.0</v>
      </c>
    </row>
    <row r="10073">
      <c r="A10073" s="121">
        <v>66239.0</v>
      </c>
    </row>
    <row r="10074">
      <c r="A10074" s="121">
        <v>66240.0</v>
      </c>
    </row>
    <row r="10075">
      <c r="A10075" s="121">
        <v>66241.0</v>
      </c>
    </row>
    <row r="10076">
      <c r="A10076" s="121">
        <v>66242.0</v>
      </c>
    </row>
    <row r="10077">
      <c r="A10077" s="121">
        <v>66243.0</v>
      </c>
    </row>
    <row r="10078">
      <c r="A10078" s="121">
        <v>66244.0</v>
      </c>
    </row>
    <row r="10079">
      <c r="A10079" s="121">
        <v>66245.0</v>
      </c>
    </row>
    <row r="10080">
      <c r="A10080" s="121">
        <v>66246.0</v>
      </c>
    </row>
    <row r="10081">
      <c r="A10081" s="121">
        <v>66247.0</v>
      </c>
    </row>
    <row r="10082">
      <c r="A10082" s="121">
        <v>66248.0</v>
      </c>
    </row>
    <row r="10083">
      <c r="A10083" s="121">
        <v>66249.0</v>
      </c>
    </row>
    <row r="10084">
      <c r="A10084" s="121">
        <v>66250.0</v>
      </c>
    </row>
    <row r="10085">
      <c r="A10085" s="121">
        <v>66251.0</v>
      </c>
    </row>
    <row r="10086">
      <c r="A10086" s="121">
        <v>66252.0</v>
      </c>
    </row>
    <row r="10087">
      <c r="A10087" s="121">
        <v>66253.0</v>
      </c>
    </row>
    <row r="10088">
      <c r="A10088" s="121">
        <v>66254.0</v>
      </c>
    </row>
    <row r="10089">
      <c r="A10089" s="121">
        <v>66255.0</v>
      </c>
    </row>
    <row r="10090">
      <c r="A10090" s="121">
        <v>66256.0</v>
      </c>
    </row>
    <row r="10091">
      <c r="A10091" s="121">
        <v>66257.0</v>
      </c>
    </row>
    <row r="10092">
      <c r="A10092" s="121">
        <v>66258.0</v>
      </c>
    </row>
    <row r="10093">
      <c r="A10093" s="121">
        <v>66259.0</v>
      </c>
    </row>
    <row r="10094">
      <c r="A10094" s="121">
        <v>66260.0</v>
      </c>
    </row>
    <row r="10095">
      <c r="A10095" s="121">
        <v>66261.0</v>
      </c>
    </row>
    <row r="10096">
      <c r="A10096" s="121">
        <v>66262.0</v>
      </c>
    </row>
    <row r="10097">
      <c r="A10097" s="121">
        <v>66265.0</v>
      </c>
    </row>
    <row r="10098">
      <c r="A10098" s="121">
        <v>66266.0</v>
      </c>
    </row>
    <row r="10099">
      <c r="A10099" s="121">
        <v>66267.0</v>
      </c>
    </row>
    <row r="10100">
      <c r="A10100" s="121">
        <v>66268.0</v>
      </c>
    </row>
    <row r="10101">
      <c r="A10101" s="121">
        <v>66269.0</v>
      </c>
    </row>
    <row r="10102">
      <c r="A10102" s="121">
        <v>66270.0</v>
      </c>
    </row>
    <row r="10103">
      <c r="A10103" s="121">
        <v>66271.0</v>
      </c>
    </row>
    <row r="10104">
      <c r="A10104" s="121">
        <v>66272.0</v>
      </c>
    </row>
    <row r="10105">
      <c r="A10105" s="121">
        <v>66273.0</v>
      </c>
    </row>
    <row r="10106">
      <c r="A10106" s="121">
        <v>66274.0</v>
      </c>
    </row>
    <row r="10107">
      <c r="A10107" s="121">
        <v>66275.0</v>
      </c>
    </row>
    <row r="10108">
      <c r="A10108" s="121">
        <v>66276.0</v>
      </c>
    </row>
    <row r="10109">
      <c r="A10109" s="121">
        <v>66277.0</v>
      </c>
    </row>
    <row r="10110">
      <c r="A10110" s="121">
        <v>66278.0</v>
      </c>
    </row>
    <row r="10111">
      <c r="A10111" s="121">
        <v>66279.0</v>
      </c>
    </row>
    <row r="10112">
      <c r="A10112" s="121">
        <v>66280.0</v>
      </c>
    </row>
    <row r="10113">
      <c r="A10113" s="121">
        <v>66281.0</v>
      </c>
    </row>
    <row r="10114">
      <c r="A10114" s="121">
        <v>66282.0</v>
      </c>
    </row>
    <row r="10115">
      <c r="A10115" s="121">
        <v>66283.0</v>
      </c>
    </row>
    <row r="10116">
      <c r="A10116" s="121">
        <v>66284.0</v>
      </c>
    </row>
    <row r="10117">
      <c r="A10117" s="121">
        <v>66285.0</v>
      </c>
    </row>
    <row r="10118">
      <c r="A10118" s="121">
        <v>66286.0</v>
      </c>
    </row>
    <row r="10119">
      <c r="A10119" s="121">
        <v>66287.0</v>
      </c>
    </row>
    <row r="10120">
      <c r="A10120" s="121">
        <v>66288.0</v>
      </c>
    </row>
    <row r="10121">
      <c r="A10121" s="121">
        <v>66289.0</v>
      </c>
    </row>
    <row r="10122">
      <c r="A10122" s="121">
        <v>66290.0</v>
      </c>
    </row>
    <row r="10123">
      <c r="A10123" s="121">
        <v>66291.0</v>
      </c>
    </row>
    <row r="10124">
      <c r="A10124" s="121">
        <v>66292.0</v>
      </c>
    </row>
    <row r="10125">
      <c r="A10125" s="121">
        <v>66319.0</v>
      </c>
    </row>
    <row r="10126">
      <c r="A10126" s="121">
        <v>66320.0</v>
      </c>
    </row>
    <row r="10127">
      <c r="A10127" s="121">
        <v>66321.0</v>
      </c>
    </row>
    <row r="10128">
      <c r="A10128" s="121">
        <v>66322.0</v>
      </c>
    </row>
    <row r="10129">
      <c r="A10129" s="121">
        <v>66323.0</v>
      </c>
    </row>
    <row r="10130">
      <c r="A10130" s="121">
        <v>66324.0</v>
      </c>
    </row>
    <row r="10131">
      <c r="A10131" s="121">
        <v>66325.0</v>
      </c>
    </row>
    <row r="10132">
      <c r="A10132" s="121">
        <v>66326.0</v>
      </c>
    </row>
    <row r="10133">
      <c r="A10133" s="121">
        <v>66327.0</v>
      </c>
    </row>
    <row r="10134">
      <c r="A10134" s="121">
        <v>66328.0</v>
      </c>
    </row>
    <row r="10135">
      <c r="A10135" s="121">
        <v>66329.0</v>
      </c>
    </row>
    <row r="10136">
      <c r="A10136" s="121">
        <v>66330.0</v>
      </c>
    </row>
    <row r="10137">
      <c r="A10137" s="121">
        <v>66331.0</v>
      </c>
    </row>
    <row r="10138">
      <c r="A10138" s="121">
        <v>66332.0</v>
      </c>
    </row>
    <row r="10139">
      <c r="A10139" s="121">
        <v>66333.0</v>
      </c>
    </row>
    <row r="10140">
      <c r="A10140" s="121">
        <v>66334.0</v>
      </c>
    </row>
    <row r="10141">
      <c r="A10141" s="121">
        <v>66335.0</v>
      </c>
    </row>
    <row r="10142">
      <c r="A10142" s="121">
        <v>66336.0</v>
      </c>
    </row>
    <row r="10143">
      <c r="A10143" s="121">
        <v>66337.0</v>
      </c>
    </row>
    <row r="10144">
      <c r="A10144" s="121">
        <v>66338.0</v>
      </c>
    </row>
    <row r="10145">
      <c r="A10145" s="121">
        <v>66339.0</v>
      </c>
    </row>
    <row r="10146">
      <c r="A10146" s="121">
        <v>66340.0</v>
      </c>
    </row>
    <row r="10147">
      <c r="A10147" s="121">
        <v>66341.0</v>
      </c>
    </row>
    <row r="10148">
      <c r="A10148" s="121">
        <v>66342.0</v>
      </c>
    </row>
    <row r="10149">
      <c r="A10149" s="121">
        <v>66343.0</v>
      </c>
    </row>
    <row r="10150">
      <c r="A10150" s="121">
        <v>66344.0</v>
      </c>
    </row>
    <row r="10151">
      <c r="A10151" s="121">
        <v>66345.0</v>
      </c>
    </row>
    <row r="10152">
      <c r="A10152" s="121">
        <v>66346.0</v>
      </c>
    </row>
    <row r="10153">
      <c r="A10153" s="121">
        <v>66347.0</v>
      </c>
    </row>
    <row r="10154">
      <c r="A10154" s="121">
        <v>66348.0</v>
      </c>
    </row>
    <row r="10155">
      <c r="A10155" s="121">
        <v>66349.0</v>
      </c>
    </row>
    <row r="10156">
      <c r="A10156" s="121">
        <v>66350.0</v>
      </c>
    </row>
    <row r="10157">
      <c r="A10157" s="121">
        <v>66351.0</v>
      </c>
    </row>
    <row r="10158">
      <c r="A10158" s="121">
        <v>66352.0</v>
      </c>
    </row>
    <row r="10159">
      <c r="A10159" s="121">
        <v>66353.0</v>
      </c>
    </row>
    <row r="10160">
      <c r="A10160" s="121">
        <v>66354.0</v>
      </c>
    </row>
    <row r="10161">
      <c r="A10161" s="121">
        <v>66355.0</v>
      </c>
    </row>
    <row r="10162">
      <c r="A10162" s="121">
        <v>66356.0</v>
      </c>
    </row>
    <row r="10163">
      <c r="A10163" s="121">
        <v>66357.0</v>
      </c>
    </row>
    <row r="10164">
      <c r="A10164" s="121">
        <v>66358.0</v>
      </c>
    </row>
    <row r="10165">
      <c r="A10165" s="121">
        <v>66359.0</v>
      </c>
    </row>
    <row r="10166">
      <c r="A10166" s="121">
        <v>66360.0</v>
      </c>
    </row>
    <row r="10167">
      <c r="A10167" s="121">
        <v>66361.0</v>
      </c>
    </row>
    <row r="10168">
      <c r="A10168" s="121">
        <v>66362.0</v>
      </c>
    </row>
    <row r="10169">
      <c r="A10169" s="121">
        <v>66363.0</v>
      </c>
    </row>
    <row r="10170">
      <c r="A10170" s="121">
        <v>66364.0</v>
      </c>
    </row>
    <row r="10171">
      <c r="A10171" s="121">
        <v>66365.0</v>
      </c>
    </row>
    <row r="10172">
      <c r="A10172" s="121">
        <v>66366.0</v>
      </c>
    </row>
    <row r="10173">
      <c r="A10173" s="121">
        <v>66367.0</v>
      </c>
    </row>
    <row r="10174">
      <c r="A10174" s="121">
        <v>66368.0</v>
      </c>
    </row>
    <row r="10175">
      <c r="A10175" s="121">
        <v>66369.0</v>
      </c>
    </row>
    <row r="10176">
      <c r="A10176" s="121">
        <v>66370.0</v>
      </c>
    </row>
    <row r="10177">
      <c r="A10177" s="121">
        <v>66371.0</v>
      </c>
    </row>
    <row r="10178">
      <c r="A10178" s="121">
        <v>66372.0</v>
      </c>
    </row>
    <row r="10179">
      <c r="A10179" s="121">
        <v>66373.0</v>
      </c>
    </row>
    <row r="10180">
      <c r="A10180" s="121">
        <v>66374.0</v>
      </c>
    </row>
    <row r="10181">
      <c r="A10181" s="121">
        <v>66375.0</v>
      </c>
    </row>
    <row r="10182">
      <c r="A10182" s="121">
        <v>66380.0</v>
      </c>
    </row>
    <row r="10183">
      <c r="A10183" s="121">
        <v>66381.0</v>
      </c>
    </row>
    <row r="10184">
      <c r="A10184" s="121">
        <v>66382.0</v>
      </c>
    </row>
    <row r="10185">
      <c r="A10185" s="121">
        <v>66383.0</v>
      </c>
    </row>
    <row r="10186">
      <c r="A10186" s="121">
        <v>66384.0</v>
      </c>
    </row>
    <row r="10187">
      <c r="A10187" s="121">
        <v>66385.0</v>
      </c>
    </row>
    <row r="10188">
      <c r="A10188" s="121">
        <v>66386.0</v>
      </c>
    </row>
    <row r="10189">
      <c r="A10189" s="121">
        <v>66387.0</v>
      </c>
    </row>
    <row r="10190">
      <c r="A10190" s="121">
        <v>66388.0</v>
      </c>
    </row>
    <row r="10191">
      <c r="A10191" s="121">
        <v>66389.0</v>
      </c>
    </row>
    <row r="10192">
      <c r="A10192" s="121">
        <v>66390.0</v>
      </c>
    </row>
    <row r="10193">
      <c r="A10193" s="121">
        <v>66391.0</v>
      </c>
    </row>
    <row r="10194">
      <c r="A10194" s="121">
        <v>66392.0</v>
      </c>
    </row>
    <row r="10195">
      <c r="A10195" s="121">
        <v>66393.0</v>
      </c>
    </row>
    <row r="10196">
      <c r="A10196" s="121">
        <v>66394.0</v>
      </c>
    </row>
    <row r="10197">
      <c r="A10197" s="121">
        <v>66395.0</v>
      </c>
    </row>
    <row r="10198">
      <c r="A10198" s="121">
        <v>66396.0</v>
      </c>
    </row>
    <row r="10199">
      <c r="A10199" s="121">
        <v>66397.0</v>
      </c>
    </row>
    <row r="10200">
      <c r="A10200" s="121">
        <v>66398.0</v>
      </c>
    </row>
    <row r="10201">
      <c r="A10201" s="121">
        <v>66399.0</v>
      </c>
    </row>
    <row r="10202">
      <c r="A10202" s="121">
        <v>66400.0</v>
      </c>
    </row>
    <row r="10203">
      <c r="A10203" s="121">
        <v>66401.0</v>
      </c>
    </row>
    <row r="10204">
      <c r="A10204" s="121">
        <v>66402.0</v>
      </c>
    </row>
    <row r="10205">
      <c r="A10205" s="121">
        <v>66403.0</v>
      </c>
    </row>
    <row r="10206">
      <c r="A10206" s="121">
        <v>66404.0</v>
      </c>
    </row>
    <row r="10207">
      <c r="A10207" s="121">
        <v>66405.0</v>
      </c>
    </row>
    <row r="10208">
      <c r="A10208" s="121">
        <v>66406.0</v>
      </c>
    </row>
    <row r="10209">
      <c r="A10209" s="121">
        <v>66407.0</v>
      </c>
    </row>
    <row r="10210">
      <c r="A10210" s="121">
        <v>66408.0</v>
      </c>
    </row>
    <row r="10211">
      <c r="A10211" s="121">
        <v>66422.0</v>
      </c>
    </row>
    <row r="10212">
      <c r="A10212" s="121">
        <v>66423.0</v>
      </c>
    </row>
    <row r="10213">
      <c r="A10213" s="121">
        <v>66424.0</v>
      </c>
    </row>
    <row r="10214">
      <c r="A10214" s="121">
        <v>66425.0</v>
      </c>
    </row>
    <row r="10215">
      <c r="A10215" s="121">
        <v>66426.0</v>
      </c>
    </row>
    <row r="10216">
      <c r="A10216" s="121">
        <v>66427.0</v>
      </c>
    </row>
    <row r="10217">
      <c r="A10217" s="121">
        <v>66428.0</v>
      </c>
    </row>
    <row r="10218">
      <c r="A10218" s="121">
        <v>66429.0</v>
      </c>
    </row>
    <row r="10219">
      <c r="A10219" s="121">
        <v>66430.0</v>
      </c>
    </row>
    <row r="10220">
      <c r="A10220" s="121">
        <v>66431.0</v>
      </c>
    </row>
    <row r="10221">
      <c r="A10221" s="121">
        <v>66432.0</v>
      </c>
    </row>
    <row r="10222">
      <c r="A10222" s="121">
        <v>66433.0</v>
      </c>
    </row>
    <row r="10223">
      <c r="A10223" s="121">
        <v>66434.0</v>
      </c>
    </row>
    <row r="10224">
      <c r="A10224" s="121">
        <v>66435.0</v>
      </c>
    </row>
    <row r="10225">
      <c r="A10225" s="121">
        <v>66436.0</v>
      </c>
    </row>
    <row r="10226">
      <c r="A10226" s="121">
        <v>66437.0</v>
      </c>
    </row>
    <row r="10227">
      <c r="A10227" s="121">
        <v>66438.0</v>
      </c>
    </row>
    <row r="10228">
      <c r="A10228" s="121">
        <v>66439.0</v>
      </c>
    </row>
    <row r="10229">
      <c r="A10229" s="121">
        <v>66440.0</v>
      </c>
    </row>
    <row r="10230">
      <c r="A10230" s="121">
        <v>66441.0</v>
      </c>
    </row>
    <row r="10231">
      <c r="A10231" s="121">
        <v>66442.0</v>
      </c>
    </row>
    <row r="10232">
      <c r="A10232" s="121">
        <v>66443.0</v>
      </c>
    </row>
    <row r="10233">
      <c r="A10233" s="121">
        <v>66444.0</v>
      </c>
    </row>
    <row r="10234">
      <c r="A10234" s="121">
        <v>66445.0</v>
      </c>
    </row>
    <row r="10235">
      <c r="A10235" s="121">
        <v>66446.0</v>
      </c>
    </row>
    <row r="10236">
      <c r="A10236" s="121">
        <v>66447.0</v>
      </c>
    </row>
    <row r="10237">
      <c r="A10237" s="121">
        <v>66448.0</v>
      </c>
    </row>
    <row r="10238">
      <c r="A10238" s="121">
        <v>66449.0</v>
      </c>
    </row>
    <row r="10239">
      <c r="A10239" s="121">
        <v>66450.0</v>
      </c>
    </row>
    <row r="10240">
      <c r="A10240" s="121">
        <v>66456.0</v>
      </c>
    </row>
    <row r="10241">
      <c r="A10241" s="121">
        <v>66457.0</v>
      </c>
    </row>
    <row r="10242">
      <c r="A10242" s="121">
        <v>66458.0</v>
      </c>
    </row>
    <row r="10243">
      <c r="A10243" s="121">
        <v>66459.0</v>
      </c>
    </row>
    <row r="10244">
      <c r="A10244" s="121">
        <v>66460.0</v>
      </c>
    </row>
    <row r="10245">
      <c r="A10245" s="121">
        <v>66461.0</v>
      </c>
    </row>
    <row r="10246">
      <c r="A10246" s="121">
        <v>66462.0</v>
      </c>
    </row>
    <row r="10247">
      <c r="A10247" s="121">
        <v>66463.0</v>
      </c>
    </row>
    <row r="10248">
      <c r="A10248" s="121">
        <v>66464.0</v>
      </c>
    </row>
    <row r="10249">
      <c r="A10249" s="121">
        <v>66465.0</v>
      </c>
    </row>
    <row r="10250">
      <c r="A10250" s="121">
        <v>66466.0</v>
      </c>
    </row>
    <row r="10251">
      <c r="A10251" s="121">
        <v>66467.0</v>
      </c>
    </row>
    <row r="10252">
      <c r="A10252" s="121">
        <v>66468.0</v>
      </c>
    </row>
    <row r="10253">
      <c r="A10253" s="121">
        <v>66469.0</v>
      </c>
    </row>
    <row r="10254">
      <c r="A10254" s="121">
        <v>66470.0</v>
      </c>
    </row>
    <row r="10255">
      <c r="A10255" s="121">
        <v>66471.0</v>
      </c>
    </row>
    <row r="10256">
      <c r="A10256" s="121">
        <v>66472.0</v>
      </c>
    </row>
    <row r="10257">
      <c r="A10257" s="121">
        <v>66473.0</v>
      </c>
    </row>
    <row r="10258">
      <c r="A10258" s="121">
        <v>66474.0</v>
      </c>
    </row>
    <row r="10259">
      <c r="A10259" s="121">
        <v>66475.0</v>
      </c>
    </row>
    <row r="10260">
      <c r="A10260" s="121">
        <v>66476.0</v>
      </c>
    </row>
    <row r="10261">
      <c r="A10261" s="121">
        <v>66477.0</v>
      </c>
    </row>
    <row r="10262">
      <c r="A10262" s="121">
        <v>66478.0</v>
      </c>
    </row>
    <row r="10263">
      <c r="A10263" s="121">
        <v>66479.0</v>
      </c>
    </row>
    <row r="10264">
      <c r="A10264" s="121">
        <v>66480.0</v>
      </c>
    </row>
    <row r="10265">
      <c r="A10265" s="121">
        <v>66481.0</v>
      </c>
    </row>
    <row r="10266">
      <c r="A10266" s="121">
        <v>66482.0</v>
      </c>
    </row>
    <row r="10267">
      <c r="A10267" s="121">
        <v>66483.0</v>
      </c>
    </row>
    <row r="10268">
      <c r="A10268" s="121">
        <v>66484.0</v>
      </c>
    </row>
    <row r="10269">
      <c r="A10269" s="121">
        <v>66485.0</v>
      </c>
    </row>
    <row r="10270">
      <c r="A10270" s="121">
        <v>66486.0</v>
      </c>
    </row>
    <row r="10271">
      <c r="A10271" s="121">
        <v>66487.0</v>
      </c>
    </row>
    <row r="10272">
      <c r="A10272" s="121">
        <v>66488.0</v>
      </c>
    </row>
    <row r="10273">
      <c r="A10273" s="121">
        <v>66489.0</v>
      </c>
    </row>
    <row r="10274">
      <c r="A10274" s="121">
        <v>66490.0</v>
      </c>
    </row>
    <row r="10275">
      <c r="A10275" s="121">
        <v>66491.0</v>
      </c>
    </row>
    <row r="10276">
      <c r="A10276" s="121">
        <v>66492.0</v>
      </c>
    </row>
    <row r="10277">
      <c r="A10277" s="121">
        <v>66493.0</v>
      </c>
    </row>
    <row r="10278">
      <c r="A10278" s="121">
        <v>66494.0</v>
      </c>
    </row>
    <row r="10279">
      <c r="A10279" s="121">
        <v>66495.0</v>
      </c>
    </row>
    <row r="10280">
      <c r="A10280" s="121">
        <v>66496.0</v>
      </c>
    </row>
    <row r="10281">
      <c r="A10281" s="121">
        <v>66497.0</v>
      </c>
    </row>
    <row r="10282">
      <c r="A10282" s="121">
        <v>66498.0</v>
      </c>
    </row>
    <row r="10283">
      <c r="A10283" s="121">
        <v>66499.0</v>
      </c>
    </row>
    <row r="10284">
      <c r="A10284" s="121">
        <v>66500.0</v>
      </c>
    </row>
    <row r="10285">
      <c r="A10285" s="121">
        <v>66501.0</v>
      </c>
    </row>
    <row r="10286">
      <c r="A10286" s="121">
        <v>66502.0</v>
      </c>
    </row>
    <row r="10287">
      <c r="A10287" s="121">
        <v>66503.0</v>
      </c>
    </row>
    <row r="10288">
      <c r="A10288" s="121">
        <v>66504.0</v>
      </c>
    </row>
    <row r="10289">
      <c r="A10289" s="121">
        <v>66505.0</v>
      </c>
    </row>
    <row r="10290">
      <c r="A10290" s="121">
        <v>66506.0</v>
      </c>
    </row>
    <row r="10291">
      <c r="A10291" s="121">
        <v>66507.0</v>
      </c>
    </row>
    <row r="10292">
      <c r="A10292" s="121">
        <v>66508.0</v>
      </c>
    </row>
    <row r="10293">
      <c r="A10293" s="121">
        <v>66509.0</v>
      </c>
    </row>
    <row r="10294">
      <c r="A10294" s="121">
        <v>66510.0</v>
      </c>
    </row>
    <row r="10295">
      <c r="A10295" s="121">
        <v>66511.0</v>
      </c>
    </row>
    <row r="10296">
      <c r="A10296" s="121">
        <v>66512.0</v>
      </c>
    </row>
    <row r="10297">
      <c r="A10297" s="121">
        <v>66513.0</v>
      </c>
    </row>
    <row r="10298">
      <c r="A10298" s="121">
        <v>66516.0</v>
      </c>
    </row>
    <row r="10299">
      <c r="A10299" s="121">
        <v>66517.0</v>
      </c>
    </row>
    <row r="10300">
      <c r="A10300" s="121">
        <v>66518.0</v>
      </c>
    </row>
    <row r="10301">
      <c r="A10301" s="121">
        <v>66519.0</v>
      </c>
    </row>
    <row r="10302">
      <c r="A10302" s="121">
        <v>66520.0</v>
      </c>
    </row>
    <row r="10303">
      <c r="A10303" s="121">
        <v>66521.0</v>
      </c>
    </row>
    <row r="10304">
      <c r="A10304" s="121">
        <v>66522.0</v>
      </c>
    </row>
    <row r="10305">
      <c r="A10305" s="121">
        <v>66523.0</v>
      </c>
    </row>
    <row r="10306">
      <c r="A10306" s="121">
        <v>66524.0</v>
      </c>
    </row>
    <row r="10307">
      <c r="A10307" s="121">
        <v>66525.0</v>
      </c>
    </row>
    <row r="10308">
      <c r="A10308" s="121">
        <v>66526.0</v>
      </c>
    </row>
    <row r="10309">
      <c r="A10309" s="121">
        <v>66527.0</v>
      </c>
    </row>
    <row r="10310">
      <c r="A10310" s="121">
        <v>66528.0</v>
      </c>
    </row>
    <row r="10311">
      <c r="A10311" s="121">
        <v>66529.0</v>
      </c>
    </row>
    <row r="10312">
      <c r="A10312" s="121">
        <v>66530.0</v>
      </c>
    </row>
    <row r="10313">
      <c r="A10313" s="121">
        <v>66531.0</v>
      </c>
    </row>
    <row r="10314">
      <c r="A10314" s="121">
        <v>66532.0</v>
      </c>
    </row>
    <row r="10315">
      <c r="A10315" s="121">
        <v>66533.0</v>
      </c>
    </row>
    <row r="10316">
      <c r="A10316" s="121">
        <v>66534.0</v>
      </c>
    </row>
    <row r="10317">
      <c r="A10317" s="121">
        <v>66535.0</v>
      </c>
    </row>
    <row r="10318">
      <c r="A10318" s="121">
        <v>66536.0</v>
      </c>
    </row>
    <row r="10319">
      <c r="A10319" s="121">
        <v>66537.0</v>
      </c>
    </row>
    <row r="10320">
      <c r="A10320" s="121">
        <v>66538.0</v>
      </c>
    </row>
    <row r="10321">
      <c r="A10321" s="121">
        <v>66539.0</v>
      </c>
    </row>
    <row r="10322">
      <c r="A10322" s="121">
        <v>66540.0</v>
      </c>
    </row>
    <row r="10323">
      <c r="A10323" s="121">
        <v>66541.0</v>
      </c>
    </row>
    <row r="10324">
      <c r="A10324" s="121">
        <v>66542.0</v>
      </c>
    </row>
    <row r="10325">
      <c r="A10325" s="121">
        <v>66543.0</v>
      </c>
    </row>
    <row r="10326">
      <c r="A10326" s="121">
        <v>66544.0</v>
      </c>
    </row>
    <row r="10327">
      <c r="A10327" s="121">
        <v>66557.0</v>
      </c>
    </row>
    <row r="10328">
      <c r="A10328" s="121">
        <v>66558.0</v>
      </c>
    </row>
    <row r="10329">
      <c r="A10329" s="121">
        <v>66559.0</v>
      </c>
    </row>
    <row r="10330">
      <c r="A10330" s="121">
        <v>66560.0</v>
      </c>
    </row>
    <row r="10331">
      <c r="A10331" s="121">
        <v>66561.0</v>
      </c>
    </row>
    <row r="10332">
      <c r="A10332" s="121">
        <v>66562.0</v>
      </c>
    </row>
    <row r="10333">
      <c r="A10333" s="121">
        <v>66563.0</v>
      </c>
    </row>
    <row r="10334">
      <c r="A10334" s="121">
        <v>66564.0</v>
      </c>
    </row>
    <row r="10335">
      <c r="A10335" s="121">
        <v>66565.0</v>
      </c>
    </row>
    <row r="10336">
      <c r="A10336" s="121">
        <v>66566.0</v>
      </c>
    </row>
    <row r="10337">
      <c r="A10337" s="121">
        <v>66567.0</v>
      </c>
    </row>
    <row r="10338">
      <c r="A10338" s="121">
        <v>66568.0</v>
      </c>
    </row>
    <row r="10339">
      <c r="A10339" s="121">
        <v>66569.0</v>
      </c>
    </row>
    <row r="10340">
      <c r="A10340" s="121">
        <v>66570.0</v>
      </c>
    </row>
    <row r="10341">
      <c r="A10341" s="121">
        <v>66571.0</v>
      </c>
    </row>
    <row r="10342">
      <c r="A10342" s="121">
        <v>66572.0</v>
      </c>
    </row>
    <row r="10343">
      <c r="A10343" s="121">
        <v>66573.0</v>
      </c>
    </row>
    <row r="10344">
      <c r="A10344" s="121">
        <v>66574.0</v>
      </c>
    </row>
    <row r="10345">
      <c r="A10345" s="121">
        <v>66575.0</v>
      </c>
    </row>
    <row r="10346">
      <c r="A10346" s="121">
        <v>66576.0</v>
      </c>
    </row>
    <row r="10347">
      <c r="A10347" s="121">
        <v>66577.0</v>
      </c>
    </row>
    <row r="10348">
      <c r="A10348" s="121">
        <v>66578.0</v>
      </c>
    </row>
    <row r="10349">
      <c r="A10349" s="121">
        <v>66579.0</v>
      </c>
    </row>
    <row r="10350">
      <c r="A10350" s="121">
        <v>66580.0</v>
      </c>
    </row>
    <row r="10351">
      <c r="A10351" s="121">
        <v>66581.0</v>
      </c>
    </row>
    <row r="10352">
      <c r="A10352" s="121">
        <v>66582.0</v>
      </c>
    </row>
    <row r="10353">
      <c r="A10353" s="121">
        <v>66583.0</v>
      </c>
    </row>
    <row r="10354">
      <c r="A10354" s="121">
        <v>66584.0</v>
      </c>
    </row>
    <row r="10355">
      <c r="A10355" s="121">
        <v>66585.0</v>
      </c>
    </row>
    <row r="10356">
      <c r="A10356" s="121">
        <v>66588.0</v>
      </c>
    </row>
    <row r="10357">
      <c r="A10357" s="121">
        <v>66589.0</v>
      </c>
    </row>
    <row r="10358">
      <c r="A10358" s="121">
        <v>66590.0</v>
      </c>
    </row>
    <row r="10359">
      <c r="A10359" s="121">
        <v>66591.0</v>
      </c>
    </row>
    <row r="10360">
      <c r="A10360" s="121">
        <v>66592.0</v>
      </c>
    </row>
    <row r="10361">
      <c r="A10361" s="121">
        <v>66593.0</v>
      </c>
    </row>
    <row r="10362">
      <c r="A10362" s="121">
        <v>66594.0</v>
      </c>
    </row>
    <row r="10363">
      <c r="A10363" s="121">
        <v>66595.0</v>
      </c>
    </row>
    <row r="10364">
      <c r="A10364" s="121">
        <v>66596.0</v>
      </c>
    </row>
    <row r="10365">
      <c r="A10365" s="121">
        <v>66597.0</v>
      </c>
    </row>
    <row r="10366">
      <c r="A10366" s="121">
        <v>66598.0</v>
      </c>
    </row>
    <row r="10367">
      <c r="A10367" s="121">
        <v>66599.0</v>
      </c>
    </row>
    <row r="10368">
      <c r="A10368" s="121">
        <v>66600.0</v>
      </c>
    </row>
    <row r="10369">
      <c r="A10369" s="121">
        <v>66601.0</v>
      </c>
    </row>
    <row r="10370">
      <c r="A10370" s="121">
        <v>66602.0</v>
      </c>
    </row>
    <row r="10371">
      <c r="A10371" s="121">
        <v>66603.0</v>
      </c>
    </row>
    <row r="10372">
      <c r="A10372" s="121">
        <v>66604.0</v>
      </c>
    </row>
    <row r="10373">
      <c r="A10373" s="121">
        <v>66605.0</v>
      </c>
    </row>
    <row r="10374">
      <c r="A10374" s="121">
        <v>66606.0</v>
      </c>
    </row>
    <row r="10375">
      <c r="A10375" s="121">
        <v>66607.0</v>
      </c>
    </row>
    <row r="10376">
      <c r="A10376" s="121">
        <v>66608.0</v>
      </c>
    </row>
    <row r="10377">
      <c r="A10377" s="121">
        <v>66609.0</v>
      </c>
    </row>
    <row r="10378">
      <c r="A10378" s="121">
        <v>66610.0</v>
      </c>
    </row>
    <row r="10379">
      <c r="A10379" s="121">
        <v>66611.0</v>
      </c>
    </row>
    <row r="10380">
      <c r="A10380" s="121">
        <v>66612.0</v>
      </c>
    </row>
    <row r="10381">
      <c r="A10381" s="121">
        <v>66613.0</v>
      </c>
    </row>
    <row r="10382">
      <c r="A10382" s="121">
        <v>66614.0</v>
      </c>
    </row>
    <row r="10383">
      <c r="A10383" s="121">
        <v>66615.0</v>
      </c>
    </row>
    <row r="10384">
      <c r="A10384" s="121">
        <v>66616.0</v>
      </c>
    </row>
    <row r="10385">
      <c r="A10385" s="121">
        <v>66617.0</v>
      </c>
    </row>
    <row r="10386">
      <c r="A10386" s="121">
        <v>66618.0</v>
      </c>
    </row>
    <row r="10387">
      <c r="A10387" s="121">
        <v>66619.0</v>
      </c>
    </row>
    <row r="10388">
      <c r="A10388" s="121">
        <v>66620.0</v>
      </c>
    </row>
    <row r="10389">
      <c r="A10389" s="121">
        <v>66621.0</v>
      </c>
    </row>
    <row r="10390">
      <c r="A10390" s="121">
        <v>66622.0</v>
      </c>
    </row>
    <row r="10391">
      <c r="A10391" s="121">
        <v>66623.0</v>
      </c>
    </row>
    <row r="10392">
      <c r="A10392" s="121">
        <v>66624.0</v>
      </c>
    </row>
    <row r="10393">
      <c r="A10393" s="121">
        <v>66625.0</v>
      </c>
    </row>
    <row r="10394">
      <c r="A10394" s="121">
        <v>66626.0</v>
      </c>
    </row>
    <row r="10395">
      <c r="A10395" s="121">
        <v>66627.0</v>
      </c>
    </row>
    <row r="10396">
      <c r="A10396" s="121">
        <v>66628.0</v>
      </c>
    </row>
    <row r="10397">
      <c r="A10397" s="121">
        <v>66629.0</v>
      </c>
      <c r="B10397" s="122">
        <v>46039.0</v>
      </c>
    </row>
    <row r="10398">
      <c r="A10398" s="121">
        <v>66630.0</v>
      </c>
    </row>
    <row r="10399">
      <c r="A10399" s="121">
        <v>66631.0</v>
      </c>
    </row>
    <row r="10400">
      <c r="A10400" s="121">
        <v>66632.0</v>
      </c>
    </row>
    <row r="10401">
      <c r="A10401" s="121">
        <v>66633.0</v>
      </c>
    </row>
    <row r="10402">
      <c r="A10402" s="121">
        <v>66634.0</v>
      </c>
    </row>
    <row r="10403">
      <c r="A10403" s="121">
        <v>66635.0</v>
      </c>
    </row>
    <row r="10404">
      <c r="A10404" s="121">
        <v>66636.0</v>
      </c>
    </row>
    <row r="10405">
      <c r="A10405" s="121">
        <v>66637.0</v>
      </c>
    </row>
    <row r="10406">
      <c r="A10406" s="121">
        <v>66638.0</v>
      </c>
    </row>
    <row r="10407">
      <c r="A10407" s="121">
        <v>66639.0</v>
      </c>
    </row>
    <row r="10408">
      <c r="A10408" s="121">
        <v>66640.0</v>
      </c>
    </row>
    <row r="10409">
      <c r="A10409" s="121">
        <v>66641.0</v>
      </c>
    </row>
    <row r="10410">
      <c r="A10410" s="121">
        <v>66642.0</v>
      </c>
    </row>
    <row r="10411">
      <c r="A10411" s="121">
        <v>66643.0</v>
      </c>
    </row>
    <row r="10412">
      <c r="A10412" s="121">
        <v>66644.0</v>
      </c>
    </row>
    <row r="10413">
      <c r="A10413" s="121">
        <v>66791.0</v>
      </c>
    </row>
    <row r="10414">
      <c r="A10414" s="121">
        <v>66792.0</v>
      </c>
    </row>
    <row r="10415">
      <c r="A10415" s="121">
        <v>66793.0</v>
      </c>
    </row>
    <row r="10416">
      <c r="A10416" s="121">
        <v>66794.0</v>
      </c>
    </row>
    <row r="10417">
      <c r="A10417" s="121">
        <v>66795.0</v>
      </c>
    </row>
    <row r="10418">
      <c r="A10418" s="121">
        <v>66796.0</v>
      </c>
    </row>
    <row r="10419">
      <c r="A10419" s="121">
        <v>66797.0</v>
      </c>
    </row>
    <row r="10420">
      <c r="A10420" s="121">
        <v>66798.0</v>
      </c>
    </row>
    <row r="10421">
      <c r="A10421" s="121">
        <v>66799.0</v>
      </c>
    </row>
    <row r="10422">
      <c r="A10422" s="121">
        <v>66800.0</v>
      </c>
    </row>
    <row r="10423">
      <c r="A10423" s="121">
        <v>66801.0</v>
      </c>
    </row>
    <row r="10424">
      <c r="A10424" s="121">
        <v>66802.0</v>
      </c>
    </row>
    <row r="10425">
      <c r="A10425" s="121">
        <v>66803.0</v>
      </c>
    </row>
    <row r="10426">
      <c r="A10426" s="121">
        <v>66804.0</v>
      </c>
    </row>
    <row r="10427">
      <c r="A10427" s="121">
        <v>66805.0</v>
      </c>
    </row>
    <row r="10428">
      <c r="A10428" s="121">
        <v>66806.0</v>
      </c>
    </row>
    <row r="10429">
      <c r="A10429" s="121">
        <v>66807.0</v>
      </c>
    </row>
    <row r="10430">
      <c r="A10430" s="121">
        <v>66808.0</v>
      </c>
    </row>
    <row r="10431">
      <c r="A10431" s="121">
        <v>66809.0</v>
      </c>
    </row>
    <row r="10432">
      <c r="A10432" s="121">
        <v>66810.0</v>
      </c>
    </row>
    <row r="10433">
      <c r="A10433" s="121">
        <v>66811.0</v>
      </c>
    </row>
    <row r="10434">
      <c r="A10434" s="121">
        <v>66812.0</v>
      </c>
    </row>
    <row r="10435">
      <c r="A10435" s="121">
        <v>66813.0</v>
      </c>
    </row>
    <row r="10436">
      <c r="A10436" s="121">
        <v>66814.0</v>
      </c>
    </row>
    <row r="10437">
      <c r="A10437" s="121">
        <v>66815.0</v>
      </c>
    </row>
    <row r="10438">
      <c r="A10438" s="121">
        <v>66816.0</v>
      </c>
    </row>
    <row r="10439">
      <c r="A10439" s="121">
        <v>66817.0</v>
      </c>
    </row>
    <row r="10440">
      <c r="A10440" s="121">
        <v>66818.0</v>
      </c>
    </row>
    <row r="10441">
      <c r="A10441" s="121">
        <v>66819.0</v>
      </c>
    </row>
    <row r="10442">
      <c r="A10442" s="121">
        <v>66821.0</v>
      </c>
    </row>
    <row r="10443">
      <c r="A10443" s="121">
        <v>66822.0</v>
      </c>
    </row>
    <row r="10444">
      <c r="A10444" s="121">
        <v>66823.0</v>
      </c>
    </row>
    <row r="10445">
      <c r="A10445" s="121">
        <v>66824.0</v>
      </c>
    </row>
    <row r="10446">
      <c r="A10446" s="121">
        <v>66825.0</v>
      </c>
    </row>
    <row r="10447">
      <c r="A10447" s="121">
        <v>66826.0</v>
      </c>
    </row>
    <row r="10448">
      <c r="A10448" s="121">
        <v>66827.0</v>
      </c>
    </row>
    <row r="10449">
      <c r="A10449" s="121">
        <v>66828.0</v>
      </c>
    </row>
    <row r="10450">
      <c r="A10450" s="121">
        <v>66829.0</v>
      </c>
    </row>
    <row r="10451">
      <c r="A10451" s="121">
        <v>66830.0</v>
      </c>
    </row>
    <row r="10452">
      <c r="A10452" s="121">
        <v>66831.0</v>
      </c>
    </row>
    <row r="10453">
      <c r="A10453" s="121">
        <v>66832.0</v>
      </c>
    </row>
    <row r="10454">
      <c r="A10454" s="121">
        <v>66833.0</v>
      </c>
    </row>
    <row r="10455">
      <c r="A10455" s="121">
        <v>66834.0</v>
      </c>
    </row>
    <row r="10456">
      <c r="A10456" s="121">
        <v>66835.0</v>
      </c>
    </row>
    <row r="10457">
      <c r="A10457" s="121">
        <v>66836.0</v>
      </c>
    </row>
    <row r="10458">
      <c r="A10458" s="121">
        <v>66837.0</v>
      </c>
    </row>
    <row r="10459">
      <c r="A10459" s="121">
        <v>66838.0</v>
      </c>
    </row>
    <row r="10460">
      <c r="A10460" s="121">
        <v>66839.0</v>
      </c>
    </row>
    <row r="10461">
      <c r="A10461" s="121">
        <v>66840.0</v>
      </c>
    </row>
    <row r="10462">
      <c r="A10462" s="121">
        <v>66841.0</v>
      </c>
    </row>
    <row r="10463">
      <c r="A10463" s="121">
        <v>66842.0</v>
      </c>
    </row>
    <row r="10464">
      <c r="A10464" s="121">
        <v>66843.0</v>
      </c>
    </row>
    <row r="10465">
      <c r="A10465" s="121">
        <v>66844.0</v>
      </c>
    </row>
    <row r="10466">
      <c r="A10466" s="121">
        <v>66845.0</v>
      </c>
    </row>
    <row r="10467">
      <c r="A10467" s="121">
        <v>66846.0</v>
      </c>
    </row>
    <row r="10468">
      <c r="A10468" s="121">
        <v>66847.0</v>
      </c>
    </row>
    <row r="10469">
      <c r="A10469" s="121">
        <v>66848.0</v>
      </c>
    </row>
    <row r="10470">
      <c r="A10470" s="121">
        <v>66849.0</v>
      </c>
    </row>
    <row r="10471">
      <c r="A10471" s="121">
        <v>66850.0</v>
      </c>
    </row>
    <row r="10472">
      <c r="A10472" s="121">
        <v>66851.0</v>
      </c>
    </row>
    <row r="10473">
      <c r="A10473" s="121">
        <v>66852.0</v>
      </c>
    </row>
    <row r="10474">
      <c r="A10474" s="121">
        <v>66853.0</v>
      </c>
    </row>
    <row r="10475">
      <c r="A10475" s="121">
        <v>66854.0</v>
      </c>
    </row>
    <row r="10476">
      <c r="A10476" s="121">
        <v>66855.0</v>
      </c>
    </row>
    <row r="10477">
      <c r="A10477" s="121">
        <v>66856.0</v>
      </c>
    </row>
    <row r="10478">
      <c r="A10478" s="121">
        <v>66857.0</v>
      </c>
    </row>
    <row r="10479">
      <c r="A10479" s="121">
        <v>66858.0</v>
      </c>
    </row>
    <row r="10480">
      <c r="A10480" s="121">
        <v>66859.0</v>
      </c>
    </row>
    <row r="10481">
      <c r="A10481" s="121">
        <v>66860.0</v>
      </c>
    </row>
    <row r="10482">
      <c r="A10482" s="121">
        <v>66861.0</v>
      </c>
    </row>
    <row r="10483">
      <c r="A10483" s="121">
        <v>66862.0</v>
      </c>
    </row>
    <row r="10484">
      <c r="A10484" s="121">
        <v>66863.0</v>
      </c>
    </row>
    <row r="10485">
      <c r="A10485" s="121">
        <v>66864.0</v>
      </c>
    </row>
    <row r="10486">
      <c r="A10486" s="121">
        <v>66865.0</v>
      </c>
    </row>
    <row r="10487">
      <c r="A10487" s="121">
        <v>66866.0</v>
      </c>
    </row>
    <row r="10488">
      <c r="A10488" s="121">
        <v>66867.0</v>
      </c>
    </row>
    <row r="10489">
      <c r="A10489" s="121">
        <v>66868.0</v>
      </c>
    </row>
    <row r="10490">
      <c r="A10490" s="121">
        <v>66869.0</v>
      </c>
    </row>
    <row r="10491">
      <c r="A10491" s="121">
        <v>66870.0</v>
      </c>
    </row>
    <row r="10492">
      <c r="A10492" s="121">
        <v>66871.0</v>
      </c>
    </row>
    <row r="10493">
      <c r="A10493" s="121">
        <v>66872.0</v>
      </c>
    </row>
    <row r="10494">
      <c r="A10494" s="121">
        <v>66873.0</v>
      </c>
    </row>
    <row r="10495">
      <c r="A10495" s="121">
        <v>66874.0</v>
      </c>
    </row>
    <row r="10496">
      <c r="A10496" s="121">
        <v>66875.0</v>
      </c>
    </row>
    <row r="10497">
      <c r="A10497" s="121">
        <v>66876.0</v>
      </c>
    </row>
    <row r="10498">
      <c r="A10498" s="121">
        <v>66878.0</v>
      </c>
    </row>
    <row r="10499">
      <c r="A10499" s="121">
        <v>66879.0</v>
      </c>
    </row>
    <row r="10500">
      <c r="A10500" s="121">
        <v>66880.0</v>
      </c>
    </row>
    <row r="10501">
      <c r="A10501" s="121">
        <v>66881.0</v>
      </c>
    </row>
    <row r="10502">
      <c r="A10502" s="121">
        <v>66882.0</v>
      </c>
    </row>
    <row r="10503">
      <c r="A10503" s="121">
        <v>66883.0</v>
      </c>
    </row>
    <row r="10504">
      <c r="A10504" s="121">
        <v>66884.0</v>
      </c>
    </row>
    <row r="10505">
      <c r="A10505" s="121">
        <v>66885.0</v>
      </c>
    </row>
    <row r="10506">
      <c r="A10506" s="121">
        <v>66886.0</v>
      </c>
    </row>
    <row r="10507">
      <c r="A10507" s="121">
        <v>66887.0</v>
      </c>
    </row>
    <row r="10508">
      <c r="A10508" s="121">
        <v>66888.0</v>
      </c>
    </row>
    <row r="10509">
      <c r="A10509" s="121">
        <v>66889.0</v>
      </c>
    </row>
    <row r="10510">
      <c r="A10510" s="121">
        <v>66890.0</v>
      </c>
    </row>
    <row r="10511">
      <c r="A10511" s="121">
        <v>66891.0</v>
      </c>
    </row>
    <row r="10512">
      <c r="A10512" s="121">
        <v>66892.0</v>
      </c>
    </row>
    <row r="10513">
      <c r="A10513" s="121">
        <v>66893.0</v>
      </c>
    </row>
    <row r="10514">
      <c r="A10514" s="121">
        <v>66894.0</v>
      </c>
    </row>
    <row r="10515">
      <c r="A10515" s="121">
        <v>66895.0</v>
      </c>
    </row>
    <row r="10516">
      <c r="A10516" s="121">
        <v>66896.0</v>
      </c>
    </row>
    <row r="10517">
      <c r="A10517" s="121">
        <v>66897.0</v>
      </c>
    </row>
    <row r="10518">
      <c r="A10518" s="121">
        <v>66898.0</v>
      </c>
    </row>
    <row r="10519">
      <c r="A10519" s="121">
        <v>66899.0</v>
      </c>
    </row>
    <row r="10520">
      <c r="A10520" s="121">
        <v>66900.0</v>
      </c>
    </row>
    <row r="10521">
      <c r="A10521" s="121">
        <v>66901.0</v>
      </c>
    </row>
    <row r="10522">
      <c r="A10522" s="121">
        <v>66902.0</v>
      </c>
    </row>
    <row r="10523">
      <c r="A10523" s="121">
        <v>66903.0</v>
      </c>
    </row>
    <row r="10524">
      <c r="A10524" s="121">
        <v>66904.0</v>
      </c>
    </row>
    <row r="10525">
      <c r="A10525" s="121">
        <v>66905.0</v>
      </c>
    </row>
    <row r="10526">
      <c r="A10526" s="121">
        <v>66925.0</v>
      </c>
    </row>
    <row r="10527">
      <c r="A10527" s="121">
        <v>66926.0</v>
      </c>
    </row>
    <row r="10528">
      <c r="A10528" s="121">
        <v>66927.0</v>
      </c>
    </row>
    <row r="10529">
      <c r="A10529" s="121">
        <v>66928.0</v>
      </c>
    </row>
    <row r="10530">
      <c r="A10530" s="121">
        <v>66929.0</v>
      </c>
    </row>
    <row r="10531">
      <c r="A10531" s="121">
        <v>66930.0</v>
      </c>
    </row>
    <row r="10532">
      <c r="A10532" s="121">
        <v>66931.0</v>
      </c>
    </row>
    <row r="10533">
      <c r="A10533" s="121">
        <v>66932.0</v>
      </c>
    </row>
    <row r="10534">
      <c r="A10534" s="121">
        <v>66933.0</v>
      </c>
    </row>
    <row r="10535">
      <c r="A10535" s="121">
        <v>66934.0</v>
      </c>
    </row>
    <row r="10536">
      <c r="A10536" s="121">
        <v>66935.0</v>
      </c>
    </row>
    <row r="10537">
      <c r="A10537" s="121">
        <v>66936.0</v>
      </c>
    </row>
    <row r="10538">
      <c r="A10538" s="121">
        <v>66937.0</v>
      </c>
    </row>
    <row r="10539">
      <c r="A10539" s="121">
        <v>66938.0</v>
      </c>
    </row>
    <row r="10540">
      <c r="A10540" s="121">
        <v>66939.0</v>
      </c>
    </row>
    <row r="10541">
      <c r="A10541" s="121">
        <v>66940.0</v>
      </c>
    </row>
    <row r="10542">
      <c r="A10542" s="121">
        <v>66941.0</v>
      </c>
    </row>
    <row r="10543">
      <c r="A10543" s="121">
        <v>66942.0</v>
      </c>
    </row>
    <row r="10544">
      <c r="A10544" s="121">
        <v>66943.0</v>
      </c>
    </row>
    <row r="10545">
      <c r="A10545" s="121">
        <v>66944.0</v>
      </c>
    </row>
    <row r="10546">
      <c r="A10546" s="121">
        <v>66945.0</v>
      </c>
    </row>
    <row r="10547">
      <c r="A10547" s="121">
        <v>66946.0</v>
      </c>
    </row>
    <row r="10548">
      <c r="A10548" s="121">
        <v>66947.0</v>
      </c>
    </row>
    <row r="10549">
      <c r="A10549" s="121">
        <v>66948.0</v>
      </c>
    </row>
    <row r="10550">
      <c r="A10550" s="121">
        <v>66949.0</v>
      </c>
    </row>
    <row r="10551">
      <c r="A10551" s="121">
        <v>66950.0</v>
      </c>
    </row>
    <row r="10552">
      <c r="A10552" s="121">
        <v>66951.0</v>
      </c>
    </row>
    <row r="10553">
      <c r="A10553" s="121">
        <v>66952.0</v>
      </c>
    </row>
    <row r="10554">
      <c r="A10554" s="121">
        <v>66959.0</v>
      </c>
    </row>
    <row r="10555">
      <c r="A10555" s="121">
        <v>66960.0</v>
      </c>
    </row>
    <row r="10556">
      <c r="A10556" s="121">
        <v>66961.0</v>
      </c>
    </row>
    <row r="10557">
      <c r="A10557" s="121">
        <v>66962.0</v>
      </c>
    </row>
    <row r="10558">
      <c r="A10558" s="121">
        <v>66963.0</v>
      </c>
    </row>
    <row r="10559">
      <c r="A10559" s="121">
        <v>66964.0</v>
      </c>
    </row>
    <row r="10560">
      <c r="A10560" s="121">
        <v>66965.0</v>
      </c>
    </row>
    <row r="10561">
      <c r="A10561" s="121">
        <v>66966.0</v>
      </c>
    </row>
    <row r="10562">
      <c r="A10562" s="121">
        <v>66967.0</v>
      </c>
    </row>
    <row r="10563">
      <c r="A10563" s="121">
        <v>66968.0</v>
      </c>
    </row>
    <row r="10564">
      <c r="A10564" s="121">
        <v>66969.0</v>
      </c>
    </row>
    <row r="10565">
      <c r="A10565" s="121">
        <v>66970.0</v>
      </c>
    </row>
    <row r="10566">
      <c r="A10566" s="121">
        <v>66971.0</v>
      </c>
    </row>
    <row r="10567">
      <c r="A10567" s="121">
        <v>66972.0</v>
      </c>
    </row>
    <row r="10568">
      <c r="A10568" s="121">
        <v>66973.0</v>
      </c>
    </row>
    <row r="10569">
      <c r="A10569" s="121">
        <v>66974.0</v>
      </c>
    </row>
    <row r="10570">
      <c r="A10570" s="121">
        <v>66975.0</v>
      </c>
    </row>
    <row r="10571">
      <c r="A10571" s="121">
        <v>66976.0</v>
      </c>
    </row>
    <row r="10572">
      <c r="A10572" s="121">
        <v>66977.0</v>
      </c>
    </row>
    <row r="10573">
      <c r="A10573" s="121">
        <v>66978.0</v>
      </c>
    </row>
    <row r="10574">
      <c r="A10574" s="121">
        <v>66979.0</v>
      </c>
    </row>
    <row r="10575">
      <c r="A10575" s="121">
        <v>66980.0</v>
      </c>
    </row>
    <row r="10576">
      <c r="A10576" s="121">
        <v>66981.0</v>
      </c>
    </row>
    <row r="10577">
      <c r="A10577" s="121">
        <v>66982.0</v>
      </c>
    </row>
    <row r="10578">
      <c r="A10578" s="121">
        <v>66983.0</v>
      </c>
    </row>
    <row r="10579">
      <c r="A10579" s="121">
        <v>66984.0</v>
      </c>
    </row>
    <row r="10580">
      <c r="A10580" s="121">
        <v>66985.0</v>
      </c>
    </row>
    <row r="10581">
      <c r="A10581" s="121">
        <v>66986.0</v>
      </c>
    </row>
    <row r="10582">
      <c r="A10582" s="121">
        <v>66987.0</v>
      </c>
    </row>
    <row r="10583">
      <c r="A10583" s="121">
        <v>67003.0</v>
      </c>
    </row>
    <row r="10584">
      <c r="A10584" s="121">
        <v>67004.0</v>
      </c>
    </row>
    <row r="10585">
      <c r="A10585" s="121">
        <v>67005.0</v>
      </c>
    </row>
    <row r="10586">
      <c r="A10586" s="121">
        <v>67006.0</v>
      </c>
    </row>
    <row r="10587">
      <c r="A10587" s="121">
        <v>67007.0</v>
      </c>
    </row>
    <row r="10588">
      <c r="A10588" s="121">
        <v>67008.0</v>
      </c>
    </row>
    <row r="10589">
      <c r="A10589" s="121">
        <v>67009.0</v>
      </c>
    </row>
    <row r="10590">
      <c r="A10590" s="121">
        <v>67010.0</v>
      </c>
    </row>
    <row r="10591">
      <c r="A10591" s="121">
        <v>67011.0</v>
      </c>
    </row>
    <row r="10592">
      <c r="A10592" s="121">
        <v>67012.0</v>
      </c>
    </row>
    <row r="10593">
      <c r="A10593" s="121">
        <v>67013.0</v>
      </c>
    </row>
    <row r="10594">
      <c r="A10594" s="121">
        <v>67014.0</v>
      </c>
    </row>
    <row r="10595">
      <c r="A10595" s="121">
        <v>67015.0</v>
      </c>
    </row>
    <row r="10596">
      <c r="A10596" s="121">
        <v>67016.0</v>
      </c>
    </row>
    <row r="10597">
      <c r="A10597" s="121">
        <v>67017.0</v>
      </c>
    </row>
    <row r="10598">
      <c r="A10598" s="121">
        <v>67018.0</v>
      </c>
    </row>
    <row r="10599">
      <c r="A10599" s="121">
        <v>67019.0</v>
      </c>
    </row>
    <row r="10600">
      <c r="A10600" s="121">
        <v>67020.0</v>
      </c>
    </row>
    <row r="10601">
      <c r="A10601" s="121">
        <v>67021.0</v>
      </c>
    </row>
    <row r="10602">
      <c r="A10602" s="121">
        <v>67022.0</v>
      </c>
    </row>
    <row r="10603">
      <c r="A10603" s="121">
        <v>67023.0</v>
      </c>
    </row>
    <row r="10604">
      <c r="A10604" s="121">
        <v>67024.0</v>
      </c>
    </row>
    <row r="10605">
      <c r="A10605" s="121">
        <v>67025.0</v>
      </c>
    </row>
    <row r="10606">
      <c r="A10606" s="121">
        <v>67026.0</v>
      </c>
    </row>
    <row r="10607">
      <c r="A10607" s="121">
        <v>67027.0</v>
      </c>
    </row>
    <row r="10608">
      <c r="A10608" s="121">
        <v>67028.0</v>
      </c>
    </row>
    <row r="10609">
      <c r="A10609" s="121">
        <v>67029.0</v>
      </c>
    </row>
    <row r="10610">
      <c r="A10610" s="121">
        <v>67030.0</v>
      </c>
    </row>
    <row r="10611">
      <c r="A10611" s="121">
        <v>67031.0</v>
      </c>
    </row>
    <row r="10612">
      <c r="A10612" s="121">
        <v>67032.0</v>
      </c>
    </row>
    <row r="10613">
      <c r="A10613" s="121">
        <v>67033.0</v>
      </c>
    </row>
    <row r="10614">
      <c r="A10614" s="121">
        <v>67034.0</v>
      </c>
    </row>
    <row r="10615">
      <c r="A10615" s="121">
        <v>67035.0</v>
      </c>
    </row>
    <row r="10616">
      <c r="A10616" s="121">
        <v>67036.0</v>
      </c>
    </row>
    <row r="10617">
      <c r="A10617" s="121">
        <v>67037.0</v>
      </c>
    </row>
    <row r="10618">
      <c r="A10618" s="121">
        <v>67038.0</v>
      </c>
    </row>
    <row r="10619">
      <c r="A10619" s="121">
        <v>67039.0</v>
      </c>
    </row>
    <row r="10620">
      <c r="A10620" s="121">
        <v>67040.0</v>
      </c>
    </row>
    <row r="10621">
      <c r="A10621" s="121">
        <v>67041.0</v>
      </c>
    </row>
    <row r="10622">
      <c r="A10622" s="121">
        <v>67042.0</v>
      </c>
    </row>
    <row r="10623">
      <c r="A10623" s="121">
        <v>67043.0</v>
      </c>
    </row>
    <row r="10624">
      <c r="A10624" s="121">
        <v>67044.0</v>
      </c>
    </row>
    <row r="10625">
      <c r="A10625" s="121">
        <v>67045.0</v>
      </c>
    </row>
    <row r="10626">
      <c r="A10626" s="121">
        <v>67046.0</v>
      </c>
    </row>
    <row r="10627">
      <c r="A10627" s="121">
        <v>67047.0</v>
      </c>
    </row>
    <row r="10628">
      <c r="A10628" s="121">
        <v>67048.0</v>
      </c>
    </row>
    <row r="10629">
      <c r="A10629" s="121">
        <v>67049.0</v>
      </c>
    </row>
    <row r="10630">
      <c r="A10630" s="121">
        <v>67050.0</v>
      </c>
    </row>
    <row r="10631">
      <c r="A10631" s="121">
        <v>67051.0</v>
      </c>
    </row>
    <row r="10632">
      <c r="A10632" s="121">
        <v>67052.0</v>
      </c>
    </row>
    <row r="10633">
      <c r="A10633" s="121">
        <v>67053.0</v>
      </c>
    </row>
    <row r="10634">
      <c r="A10634" s="121">
        <v>67054.0</v>
      </c>
    </row>
    <row r="10635">
      <c r="A10635" s="121">
        <v>67055.0</v>
      </c>
    </row>
    <row r="10636">
      <c r="A10636" s="121">
        <v>67056.0</v>
      </c>
    </row>
    <row r="10637">
      <c r="A10637" s="121">
        <v>67057.0</v>
      </c>
    </row>
    <row r="10638">
      <c r="A10638" s="121">
        <v>67058.0</v>
      </c>
    </row>
    <row r="10639">
      <c r="A10639" s="121">
        <v>67075.0</v>
      </c>
    </row>
    <row r="10640">
      <c r="A10640" s="121">
        <v>67076.0</v>
      </c>
    </row>
    <row r="10641">
      <c r="A10641" s="121">
        <v>67077.0</v>
      </c>
    </row>
    <row r="10642">
      <c r="A10642" s="121">
        <v>67078.0</v>
      </c>
    </row>
    <row r="10643">
      <c r="A10643" s="121">
        <v>67079.0</v>
      </c>
    </row>
    <row r="10644">
      <c r="A10644" s="121">
        <v>67080.0</v>
      </c>
    </row>
    <row r="10645">
      <c r="A10645" s="121">
        <v>67081.0</v>
      </c>
    </row>
    <row r="10646">
      <c r="A10646" s="121">
        <v>67082.0</v>
      </c>
    </row>
    <row r="10647">
      <c r="A10647" s="121">
        <v>67083.0</v>
      </c>
    </row>
    <row r="10648">
      <c r="A10648" s="121">
        <v>67084.0</v>
      </c>
    </row>
    <row r="10649">
      <c r="A10649" s="121">
        <v>67085.0</v>
      </c>
    </row>
    <row r="10650">
      <c r="A10650" s="121">
        <v>67086.0</v>
      </c>
    </row>
    <row r="10651">
      <c r="A10651" s="121">
        <v>67087.0</v>
      </c>
    </row>
    <row r="10652">
      <c r="A10652" s="121">
        <v>67088.0</v>
      </c>
    </row>
    <row r="10653">
      <c r="A10653" s="121">
        <v>67089.0</v>
      </c>
    </row>
    <row r="10654">
      <c r="A10654" s="121">
        <v>67090.0</v>
      </c>
    </row>
    <row r="10655">
      <c r="A10655" s="121">
        <v>67091.0</v>
      </c>
    </row>
    <row r="10656">
      <c r="A10656" s="121">
        <v>67092.0</v>
      </c>
    </row>
    <row r="10657">
      <c r="A10657" s="121">
        <v>67093.0</v>
      </c>
    </row>
    <row r="10658">
      <c r="A10658" s="121">
        <v>67094.0</v>
      </c>
    </row>
    <row r="10659">
      <c r="A10659" s="121">
        <v>67095.0</v>
      </c>
    </row>
    <row r="10660">
      <c r="A10660" s="121">
        <v>67096.0</v>
      </c>
    </row>
    <row r="10661">
      <c r="A10661" s="121">
        <v>67097.0</v>
      </c>
    </row>
    <row r="10662">
      <c r="A10662" s="121">
        <v>67098.0</v>
      </c>
    </row>
    <row r="10663">
      <c r="A10663" s="121">
        <v>67099.0</v>
      </c>
    </row>
    <row r="10664">
      <c r="A10664" s="121">
        <v>67100.0</v>
      </c>
    </row>
    <row r="10665">
      <c r="A10665" s="121">
        <v>67101.0</v>
      </c>
    </row>
    <row r="10666">
      <c r="A10666" s="121">
        <v>67102.0</v>
      </c>
    </row>
    <row r="10667">
      <c r="A10667" s="121">
        <v>67103.0</v>
      </c>
    </row>
    <row r="10668">
      <c r="A10668" s="121">
        <v>67104.0</v>
      </c>
    </row>
    <row r="10669">
      <c r="A10669" s="121">
        <v>67105.0</v>
      </c>
    </row>
    <row r="10670">
      <c r="A10670" s="121">
        <v>67106.0</v>
      </c>
    </row>
    <row r="10671">
      <c r="A10671" s="121">
        <v>67107.0</v>
      </c>
    </row>
    <row r="10672">
      <c r="A10672" s="121">
        <v>67108.0</v>
      </c>
    </row>
    <row r="10673">
      <c r="A10673" s="121">
        <v>67109.0</v>
      </c>
    </row>
    <row r="10674">
      <c r="A10674" s="121">
        <v>67110.0</v>
      </c>
    </row>
    <row r="10675">
      <c r="A10675" s="121">
        <v>67111.0</v>
      </c>
    </row>
    <row r="10676">
      <c r="A10676" s="121">
        <v>67112.0</v>
      </c>
    </row>
    <row r="10677">
      <c r="A10677" s="121">
        <v>67113.0</v>
      </c>
    </row>
    <row r="10678">
      <c r="A10678" s="121">
        <v>67114.0</v>
      </c>
    </row>
    <row r="10679">
      <c r="A10679" s="121">
        <v>67115.0</v>
      </c>
    </row>
    <row r="10680">
      <c r="A10680" s="121">
        <v>67116.0</v>
      </c>
    </row>
    <row r="10681">
      <c r="A10681" s="121">
        <v>67117.0</v>
      </c>
    </row>
    <row r="10682">
      <c r="A10682" s="121">
        <v>67118.0</v>
      </c>
    </row>
    <row r="10683">
      <c r="A10683" s="121">
        <v>67119.0</v>
      </c>
    </row>
    <row r="10684">
      <c r="A10684" s="121">
        <v>67120.0</v>
      </c>
    </row>
    <row r="10685">
      <c r="A10685" s="121">
        <v>67121.0</v>
      </c>
    </row>
    <row r="10686">
      <c r="A10686" s="121">
        <v>67122.0</v>
      </c>
    </row>
    <row r="10687">
      <c r="A10687" s="121">
        <v>67123.0</v>
      </c>
    </row>
    <row r="10688">
      <c r="A10688" s="121">
        <v>67124.0</v>
      </c>
    </row>
    <row r="10689">
      <c r="A10689" s="121">
        <v>67125.0</v>
      </c>
    </row>
    <row r="10690">
      <c r="A10690" s="121">
        <v>67126.0</v>
      </c>
    </row>
    <row r="10691">
      <c r="A10691" s="121">
        <v>67127.0</v>
      </c>
    </row>
    <row r="10692">
      <c r="A10692" s="121">
        <v>67128.0</v>
      </c>
    </row>
    <row r="10693">
      <c r="A10693" s="121">
        <v>67129.0</v>
      </c>
    </row>
    <row r="10694">
      <c r="A10694" s="121">
        <v>67130.0</v>
      </c>
    </row>
    <row r="10695">
      <c r="A10695" s="121">
        <v>67163.0</v>
      </c>
    </row>
    <row r="10696">
      <c r="A10696" s="121">
        <v>67164.0</v>
      </c>
    </row>
    <row r="10697">
      <c r="A10697" s="121">
        <v>67165.0</v>
      </c>
    </row>
    <row r="10698">
      <c r="A10698" s="121">
        <v>67166.0</v>
      </c>
    </row>
    <row r="10699">
      <c r="A10699" s="121">
        <v>67167.0</v>
      </c>
    </row>
    <row r="10700">
      <c r="A10700" s="121">
        <v>67168.0</v>
      </c>
    </row>
    <row r="10701">
      <c r="A10701" s="121">
        <v>67169.0</v>
      </c>
    </row>
    <row r="10702">
      <c r="A10702" s="121">
        <v>67170.0</v>
      </c>
    </row>
    <row r="10703">
      <c r="A10703" s="121">
        <v>67171.0</v>
      </c>
    </row>
    <row r="10704">
      <c r="A10704" s="121">
        <v>67172.0</v>
      </c>
    </row>
    <row r="10705">
      <c r="A10705" s="121">
        <v>67173.0</v>
      </c>
    </row>
    <row r="10706">
      <c r="A10706" s="121">
        <v>67174.0</v>
      </c>
    </row>
    <row r="10707">
      <c r="A10707" s="121">
        <v>67175.0</v>
      </c>
    </row>
    <row r="10708">
      <c r="A10708" s="121">
        <v>67176.0</v>
      </c>
    </row>
    <row r="10709">
      <c r="A10709" s="121">
        <v>67177.0</v>
      </c>
    </row>
    <row r="10710">
      <c r="A10710" s="121">
        <v>67178.0</v>
      </c>
    </row>
    <row r="10711">
      <c r="A10711" s="121">
        <v>67179.0</v>
      </c>
    </row>
    <row r="10712">
      <c r="A10712" s="121">
        <v>67180.0</v>
      </c>
    </row>
    <row r="10713">
      <c r="A10713" s="121">
        <v>67181.0</v>
      </c>
    </row>
    <row r="10714">
      <c r="A10714" s="121">
        <v>67182.0</v>
      </c>
    </row>
    <row r="10715">
      <c r="A10715" s="121">
        <v>67183.0</v>
      </c>
    </row>
    <row r="10716">
      <c r="A10716" s="121">
        <v>67184.0</v>
      </c>
    </row>
    <row r="10717">
      <c r="A10717" s="121">
        <v>67185.0</v>
      </c>
    </row>
    <row r="10718">
      <c r="A10718" s="121">
        <v>67186.0</v>
      </c>
    </row>
    <row r="10719">
      <c r="A10719" s="121">
        <v>67187.0</v>
      </c>
    </row>
    <row r="10720">
      <c r="A10720" s="121">
        <v>67188.0</v>
      </c>
    </row>
    <row r="10721">
      <c r="A10721" s="121">
        <v>67189.0</v>
      </c>
    </row>
    <row r="10722">
      <c r="A10722" s="121">
        <v>67190.0</v>
      </c>
    </row>
    <row r="10723">
      <c r="A10723" s="121">
        <v>67191.0</v>
      </c>
    </row>
    <row r="10724">
      <c r="A10724" s="121">
        <v>67192.0</v>
      </c>
    </row>
    <row r="10725">
      <c r="A10725" s="121">
        <v>67193.0</v>
      </c>
    </row>
    <row r="10726">
      <c r="A10726" s="121">
        <v>67194.0</v>
      </c>
    </row>
    <row r="10727">
      <c r="A10727" s="121">
        <v>67195.0</v>
      </c>
    </row>
    <row r="10728">
      <c r="A10728" s="121">
        <v>67196.0</v>
      </c>
    </row>
    <row r="10729">
      <c r="A10729" s="121">
        <v>67197.0</v>
      </c>
    </row>
    <row r="10730">
      <c r="A10730" s="121">
        <v>67198.0</v>
      </c>
    </row>
    <row r="10731">
      <c r="A10731" s="121">
        <v>67199.0</v>
      </c>
    </row>
    <row r="10732">
      <c r="A10732" s="121">
        <v>67200.0</v>
      </c>
    </row>
    <row r="10733">
      <c r="A10733" s="121">
        <v>67201.0</v>
      </c>
    </row>
    <row r="10734">
      <c r="A10734" s="121">
        <v>67202.0</v>
      </c>
    </row>
    <row r="10735">
      <c r="A10735" s="121">
        <v>67203.0</v>
      </c>
    </row>
    <row r="10736">
      <c r="A10736" s="121">
        <v>67204.0</v>
      </c>
    </row>
    <row r="10737">
      <c r="A10737" s="121">
        <v>67205.0</v>
      </c>
    </row>
    <row r="10738">
      <c r="A10738" s="121">
        <v>67206.0</v>
      </c>
    </row>
    <row r="10739">
      <c r="A10739" s="121">
        <v>67207.0</v>
      </c>
    </row>
    <row r="10740">
      <c r="A10740" s="121">
        <v>67208.0</v>
      </c>
    </row>
    <row r="10741">
      <c r="A10741" s="121">
        <v>67209.0</v>
      </c>
    </row>
    <row r="10742">
      <c r="A10742" s="121">
        <v>67210.0</v>
      </c>
    </row>
    <row r="10743">
      <c r="A10743" s="121">
        <v>67211.0</v>
      </c>
    </row>
    <row r="10744">
      <c r="A10744" s="121">
        <v>67212.0</v>
      </c>
    </row>
    <row r="10745">
      <c r="A10745" s="121">
        <v>67213.0</v>
      </c>
    </row>
    <row r="10746">
      <c r="A10746" s="121">
        <v>67214.0</v>
      </c>
    </row>
    <row r="10747">
      <c r="A10747" s="121">
        <v>67215.0</v>
      </c>
    </row>
    <row r="10748">
      <c r="A10748" s="121">
        <v>67216.0</v>
      </c>
    </row>
    <row r="10749">
      <c r="A10749" s="121">
        <v>67217.0</v>
      </c>
    </row>
    <row r="10750">
      <c r="A10750" s="121">
        <v>67218.0</v>
      </c>
    </row>
    <row r="10751">
      <c r="A10751" s="121">
        <v>67305.0</v>
      </c>
    </row>
    <row r="10752">
      <c r="A10752" s="121">
        <v>67306.0</v>
      </c>
    </row>
    <row r="10753">
      <c r="A10753" s="121">
        <v>67307.0</v>
      </c>
    </row>
    <row r="10754">
      <c r="A10754" s="121">
        <v>67308.0</v>
      </c>
    </row>
    <row r="10755">
      <c r="A10755" s="121">
        <v>67309.0</v>
      </c>
    </row>
    <row r="10756">
      <c r="A10756" s="121">
        <v>67310.0</v>
      </c>
    </row>
    <row r="10757">
      <c r="A10757" s="121">
        <v>67311.0</v>
      </c>
    </row>
    <row r="10758">
      <c r="A10758" s="121">
        <v>67312.0</v>
      </c>
    </row>
    <row r="10759">
      <c r="A10759" s="121">
        <v>67313.0</v>
      </c>
    </row>
    <row r="10760">
      <c r="A10760" s="121">
        <v>67314.0</v>
      </c>
    </row>
    <row r="10761">
      <c r="A10761" s="121">
        <v>67315.0</v>
      </c>
    </row>
    <row r="10762">
      <c r="A10762" s="121">
        <v>67316.0</v>
      </c>
    </row>
    <row r="10763">
      <c r="A10763" s="121">
        <v>67317.0</v>
      </c>
    </row>
    <row r="10764">
      <c r="A10764" s="121">
        <v>67318.0</v>
      </c>
    </row>
    <row r="10765">
      <c r="A10765" s="121">
        <v>67319.0</v>
      </c>
    </row>
    <row r="10766">
      <c r="A10766" s="121">
        <v>67320.0</v>
      </c>
    </row>
    <row r="10767">
      <c r="A10767" s="121">
        <v>67321.0</v>
      </c>
    </row>
    <row r="10768">
      <c r="A10768" s="121">
        <v>67322.0</v>
      </c>
    </row>
    <row r="10769">
      <c r="A10769" s="121">
        <v>67323.0</v>
      </c>
    </row>
    <row r="10770">
      <c r="A10770" s="121">
        <v>67324.0</v>
      </c>
    </row>
    <row r="10771">
      <c r="A10771" s="121">
        <v>67325.0</v>
      </c>
    </row>
    <row r="10772">
      <c r="A10772" s="121">
        <v>67326.0</v>
      </c>
    </row>
    <row r="10773">
      <c r="A10773" s="121">
        <v>67327.0</v>
      </c>
    </row>
    <row r="10774">
      <c r="A10774" s="121">
        <v>67328.0</v>
      </c>
    </row>
    <row r="10775">
      <c r="A10775" s="121">
        <v>67329.0</v>
      </c>
    </row>
    <row r="10776">
      <c r="A10776" s="121">
        <v>67330.0</v>
      </c>
    </row>
    <row r="10777">
      <c r="A10777" s="121">
        <v>67331.0</v>
      </c>
    </row>
    <row r="10778">
      <c r="A10778" s="121">
        <v>67332.0</v>
      </c>
    </row>
    <row r="10779">
      <c r="A10779" s="121">
        <v>67333.0</v>
      </c>
    </row>
    <row r="10780">
      <c r="A10780" s="121">
        <v>67334.0</v>
      </c>
    </row>
    <row r="10781">
      <c r="A10781" s="121">
        <v>67335.0</v>
      </c>
    </row>
    <row r="10782">
      <c r="A10782" s="121">
        <v>67336.0</v>
      </c>
    </row>
    <row r="10783">
      <c r="A10783" s="121">
        <v>67337.0</v>
      </c>
    </row>
    <row r="10784">
      <c r="A10784" s="121">
        <v>67338.0</v>
      </c>
    </row>
    <row r="10785">
      <c r="A10785" s="121">
        <v>67339.0</v>
      </c>
    </row>
    <row r="10786">
      <c r="A10786" s="121">
        <v>67340.0</v>
      </c>
    </row>
    <row r="10787">
      <c r="A10787" s="121">
        <v>67341.0</v>
      </c>
    </row>
    <row r="10788">
      <c r="A10788" s="121">
        <v>67342.0</v>
      </c>
    </row>
    <row r="10789">
      <c r="A10789" s="121">
        <v>67343.0</v>
      </c>
    </row>
    <row r="10790">
      <c r="A10790" s="121">
        <v>67344.0</v>
      </c>
    </row>
    <row r="10791">
      <c r="A10791" s="121">
        <v>67345.0</v>
      </c>
    </row>
    <row r="10792">
      <c r="A10792" s="121">
        <v>67346.0</v>
      </c>
    </row>
    <row r="10793">
      <c r="A10793" s="121">
        <v>67347.0</v>
      </c>
    </row>
    <row r="10794">
      <c r="A10794" s="121">
        <v>67348.0</v>
      </c>
    </row>
    <row r="10795">
      <c r="A10795" s="121">
        <v>67349.0</v>
      </c>
    </row>
    <row r="10796">
      <c r="A10796" s="121">
        <v>67350.0</v>
      </c>
    </row>
    <row r="10797">
      <c r="A10797" s="121">
        <v>67351.0</v>
      </c>
    </row>
    <row r="10798">
      <c r="A10798" s="121">
        <v>67352.0</v>
      </c>
    </row>
    <row r="10799">
      <c r="A10799" s="121">
        <v>67353.0</v>
      </c>
    </row>
    <row r="10800">
      <c r="A10800" s="121">
        <v>67354.0</v>
      </c>
    </row>
    <row r="10801">
      <c r="A10801" s="121">
        <v>67355.0</v>
      </c>
    </row>
    <row r="10802">
      <c r="A10802" s="121">
        <v>67356.0</v>
      </c>
    </row>
    <row r="10803">
      <c r="A10803" s="121">
        <v>67357.0</v>
      </c>
    </row>
    <row r="10804">
      <c r="A10804" s="121">
        <v>67358.0</v>
      </c>
    </row>
    <row r="10805">
      <c r="A10805" s="121">
        <v>67359.0</v>
      </c>
    </row>
    <row r="10806">
      <c r="A10806" s="121">
        <v>67360.0</v>
      </c>
    </row>
    <row r="10807">
      <c r="A10807" s="121">
        <v>67361.0</v>
      </c>
    </row>
    <row r="10808">
      <c r="A10808" s="121">
        <v>67362.0</v>
      </c>
    </row>
    <row r="10809">
      <c r="A10809" s="121">
        <v>67404.0</v>
      </c>
    </row>
    <row r="10810">
      <c r="A10810" s="121">
        <v>67405.0</v>
      </c>
    </row>
    <row r="10811">
      <c r="A10811" s="121">
        <v>67406.0</v>
      </c>
    </row>
    <row r="10812">
      <c r="A10812" s="121">
        <v>67407.0</v>
      </c>
    </row>
    <row r="10813">
      <c r="A10813" s="121">
        <v>67408.0</v>
      </c>
    </row>
    <row r="10814">
      <c r="A10814" s="121">
        <v>67409.0</v>
      </c>
    </row>
    <row r="10815">
      <c r="A10815" s="121">
        <v>67410.0</v>
      </c>
    </row>
    <row r="10816">
      <c r="A10816" s="121">
        <v>67411.0</v>
      </c>
    </row>
    <row r="10817">
      <c r="A10817" s="121">
        <v>67412.0</v>
      </c>
    </row>
    <row r="10818">
      <c r="A10818" s="121">
        <v>67413.0</v>
      </c>
    </row>
    <row r="10819">
      <c r="A10819" s="121">
        <v>67414.0</v>
      </c>
    </row>
    <row r="10820">
      <c r="A10820" s="121">
        <v>67415.0</v>
      </c>
    </row>
    <row r="10821">
      <c r="A10821" s="121">
        <v>67416.0</v>
      </c>
    </row>
    <row r="10822">
      <c r="A10822" s="121">
        <v>67417.0</v>
      </c>
    </row>
    <row r="10823">
      <c r="A10823" s="121">
        <v>67418.0</v>
      </c>
    </row>
    <row r="10824">
      <c r="A10824" s="121">
        <v>67419.0</v>
      </c>
    </row>
    <row r="10825">
      <c r="A10825" s="121">
        <v>67420.0</v>
      </c>
    </row>
    <row r="10826">
      <c r="A10826" s="121">
        <v>67421.0</v>
      </c>
    </row>
    <row r="10827">
      <c r="A10827" s="121">
        <v>67422.0</v>
      </c>
    </row>
    <row r="10828">
      <c r="A10828" s="121">
        <v>67423.0</v>
      </c>
    </row>
    <row r="10829">
      <c r="A10829" s="121">
        <v>67424.0</v>
      </c>
    </row>
    <row r="10830">
      <c r="A10830" s="121">
        <v>67425.0</v>
      </c>
    </row>
    <row r="10831">
      <c r="A10831" s="121">
        <v>67426.0</v>
      </c>
    </row>
    <row r="10832">
      <c r="A10832" s="121">
        <v>67427.0</v>
      </c>
    </row>
    <row r="10833">
      <c r="A10833" s="121">
        <v>67428.0</v>
      </c>
    </row>
    <row r="10834">
      <c r="A10834" s="121">
        <v>67429.0</v>
      </c>
    </row>
    <row r="10835">
      <c r="A10835" s="121">
        <v>67430.0</v>
      </c>
    </row>
    <row r="10836">
      <c r="A10836" s="121">
        <v>67431.0</v>
      </c>
    </row>
    <row r="10837">
      <c r="A10837" s="121">
        <v>67432.0</v>
      </c>
    </row>
    <row r="10838">
      <c r="A10838" s="121">
        <v>67445.0</v>
      </c>
    </row>
    <row r="10839">
      <c r="A10839" s="121">
        <v>67446.0</v>
      </c>
    </row>
    <row r="10840">
      <c r="A10840" s="121">
        <v>67447.0</v>
      </c>
    </row>
    <row r="10841">
      <c r="A10841" s="121">
        <v>67448.0</v>
      </c>
    </row>
    <row r="10842">
      <c r="A10842" s="121">
        <v>67449.0</v>
      </c>
    </row>
    <row r="10843">
      <c r="A10843" s="121">
        <v>67450.0</v>
      </c>
    </row>
    <row r="10844">
      <c r="A10844" s="121">
        <v>67451.0</v>
      </c>
    </row>
    <row r="10845">
      <c r="A10845" s="121">
        <v>67452.0</v>
      </c>
    </row>
    <row r="10846">
      <c r="A10846" s="121">
        <v>67453.0</v>
      </c>
    </row>
    <row r="10847">
      <c r="A10847" s="121">
        <v>67454.0</v>
      </c>
    </row>
    <row r="10848">
      <c r="A10848" s="121">
        <v>67455.0</v>
      </c>
    </row>
    <row r="10849">
      <c r="A10849" s="121">
        <v>67456.0</v>
      </c>
    </row>
    <row r="10850">
      <c r="A10850" s="121">
        <v>67457.0</v>
      </c>
    </row>
    <row r="10851">
      <c r="A10851" s="121">
        <v>67458.0</v>
      </c>
    </row>
    <row r="10852">
      <c r="A10852" s="121">
        <v>67459.0</v>
      </c>
    </row>
    <row r="10853">
      <c r="A10853" s="121">
        <v>67460.0</v>
      </c>
    </row>
    <row r="10854">
      <c r="A10854" s="121">
        <v>67461.0</v>
      </c>
    </row>
    <row r="10855">
      <c r="A10855" s="121">
        <v>67462.0</v>
      </c>
    </row>
    <row r="10856">
      <c r="A10856" s="121">
        <v>67463.0</v>
      </c>
    </row>
    <row r="10857">
      <c r="A10857" s="121">
        <v>67464.0</v>
      </c>
    </row>
    <row r="10858">
      <c r="A10858" s="121">
        <v>67465.0</v>
      </c>
    </row>
    <row r="10859">
      <c r="A10859" s="121">
        <v>67466.0</v>
      </c>
    </row>
    <row r="10860">
      <c r="A10860" s="121">
        <v>67467.0</v>
      </c>
    </row>
    <row r="10861">
      <c r="A10861" s="121">
        <v>67468.0</v>
      </c>
    </row>
    <row r="10862">
      <c r="A10862" s="121">
        <v>67469.0</v>
      </c>
    </row>
    <row r="10863">
      <c r="A10863" s="121">
        <v>67470.0</v>
      </c>
    </row>
    <row r="10864">
      <c r="A10864" s="121">
        <v>67471.0</v>
      </c>
    </row>
    <row r="10865">
      <c r="A10865" s="121">
        <v>67472.0</v>
      </c>
    </row>
    <row r="10866">
      <c r="A10866" s="121">
        <v>67473.0</v>
      </c>
    </row>
    <row r="10867">
      <c r="A10867" s="121">
        <v>67493.0</v>
      </c>
    </row>
    <row r="10868">
      <c r="A10868" s="121">
        <v>67494.0</v>
      </c>
    </row>
    <row r="10869">
      <c r="A10869" s="121">
        <v>67495.0</v>
      </c>
    </row>
    <row r="10870">
      <c r="A10870" s="121">
        <v>67496.0</v>
      </c>
    </row>
    <row r="10871">
      <c r="A10871" s="121">
        <v>67497.0</v>
      </c>
    </row>
    <row r="10872">
      <c r="A10872" s="121">
        <v>67498.0</v>
      </c>
    </row>
    <row r="10873">
      <c r="A10873" s="121">
        <v>67499.0</v>
      </c>
    </row>
    <row r="10874">
      <c r="A10874" s="121">
        <v>67500.0</v>
      </c>
    </row>
    <row r="10875">
      <c r="A10875" s="121">
        <v>67501.0</v>
      </c>
    </row>
    <row r="10876">
      <c r="A10876" s="121">
        <v>67502.0</v>
      </c>
    </row>
    <row r="10877">
      <c r="A10877" s="121">
        <v>67503.0</v>
      </c>
    </row>
    <row r="10878">
      <c r="A10878" s="121">
        <v>67504.0</v>
      </c>
    </row>
    <row r="10879">
      <c r="A10879" s="121">
        <v>67505.0</v>
      </c>
    </row>
    <row r="10880">
      <c r="A10880" s="121">
        <v>67506.0</v>
      </c>
    </row>
    <row r="10881">
      <c r="A10881" s="121">
        <v>67507.0</v>
      </c>
    </row>
    <row r="10882">
      <c r="A10882" s="121">
        <v>67508.0</v>
      </c>
    </row>
    <row r="10883">
      <c r="A10883" s="121">
        <v>67509.0</v>
      </c>
    </row>
    <row r="10884">
      <c r="A10884" s="121">
        <v>67510.0</v>
      </c>
    </row>
    <row r="10885">
      <c r="A10885" s="121">
        <v>67511.0</v>
      </c>
    </row>
    <row r="10886">
      <c r="A10886" s="121">
        <v>67512.0</v>
      </c>
    </row>
    <row r="10887">
      <c r="A10887" s="121">
        <v>67513.0</v>
      </c>
    </row>
    <row r="10888">
      <c r="A10888" s="121">
        <v>67514.0</v>
      </c>
    </row>
    <row r="10889">
      <c r="A10889" s="121">
        <v>67515.0</v>
      </c>
    </row>
    <row r="10890">
      <c r="A10890" s="121">
        <v>67516.0</v>
      </c>
    </row>
    <row r="10891">
      <c r="A10891" s="121">
        <v>67517.0</v>
      </c>
    </row>
    <row r="10892">
      <c r="A10892" s="121">
        <v>67518.0</v>
      </c>
    </row>
    <row r="10893">
      <c r="A10893" s="121">
        <v>67519.0</v>
      </c>
    </row>
    <row r="10894">
      <c r="A10894" s="121">
        <v>67520.0</v>
      </c>
    </row>
    <row r="10895">
      <c r="A10895" s="121">
        <v>67521.0</v>
      </c>
    </row>
    <row r="10896">
      <c r="A10896" s="121">
        <v>67532.0</v>
      </c>
    </row>
    <row r="10897">
      <c r="A10897" s="121">
        <v>67533.0</v>
      </c>
    </row>
    <row r="10898">
      <c r="A10898" s="121">
        <v>67534.0</v>
      </c>
    </row>
    <row r="10899">
      <c r="A10899" s="121">
        <v>67535.0</v>
      </c>
    </row>
    <row r="10900">
      <c r="A10900" s="121">
        <v>67536.0</v>
      </c>
    </row>
    <row r="10901">
      <c r="A10901" s="121">
        <v>67537.0</v>
      </c>
    </row>
    <row r="10902">
      <c r="A10902" s="121">
        <v>67538.0</v>
      </c>
    </row>
    <row r="10903">
      <c r="A10903" s="121">
        <v>67539.0</v>
      </c>
    </row>
    <row r="10904">
      <c r="A10904" s="121">
        <v>67540.0</v>
      </c>
    </row>
    <row r="10905">
      <c r="A10905" s="121">
        <v>67541.0</v>
      </c>
    </row>
    <row r="10906">
      <c r="A10906" s="121">
        <v>67542.0</v>
      </c>
    </row>
    <row r="10907">
      <c r="A10907" s="121">
        <v>67543.0</v>
      </c>
    </row>
    <row r="10908">
      <c r="A10908" s="121">
        <v>67544.0</v>
      </c>
    </row>
    <row r="10909">
      <c r="A10909" s="121">
        <v>67545.0</v>
      </c>
    </row>
    <row r="10910">
      <c r="A10910" s="121">
        <v>67546.0</v>
      </c>
    </row>
    <row r="10911">
      <c r="A10911" s="121">
        <v>67547.0</v>
      </c>
    </row>
    <row r="10912">
      <c r="A10912" s="121">
        <v>67548.0</v>
      </c>
    </row>
    <row r="10913">
      <c r="A10913" s="121">
        <v>67549.0</v>
      </c>
    </row>
    <row r="10914">
      <c r="A10914" s="121">
        <v>67550.0</v>
      </c>
    </row>
    <row r="10915">
      <c r="A10915" s="121">
        <v>67551.0</v>
      </c>
    </row>
    <row r="10916">
      <c r="A10916" s="121">
        <v>67552.0</v>
      </c>
    </row>
    <row r="10917">
      <c r="A10917" s="121">
        <v>67553.0</v>
      </c>
    </row>
    <row r="10918">
      <c r="A10918" s="121">
        <v>67554.0</v>
      </c>
    </row>
    <row r="10919">
      <c r="A10919" s="121">
        <v>67555.0</v>
      </c>
    </row>
    <row r="10920">
      <c r="A10920" s="121">
        <v>67560.0</v>
      </c>
    </row>
    <row r="10921">
      <c r="A10921" s="121">
        <v>67561.0</v>
      </c>
    </row>
    <row r="10922">
      <c r="A10922" s="121">
        <v>67562.0</v>
      </c>
    </row>
    <row r="10923">
      <c r="A10923" s="121">
        <v>67563.0</v>
      </c>
    </row>
    <row r="10924">
      <c r="A10924" s="121">
        <v>67564.0</v>
      </c>
    </row>
    <row r="10925">
      <c r="A10925" s="121">
        <v>67565.0</v>
      </c>
    </row>
    <row r="10926">
      <c r="A10926" s="121">
        <v>67566.0</v>
      </c>
    </row>
    <row r="10927">
      <c r="A10927" s="121">
        <v>67567.0</v>
      </c>
    </row>
    <row r="10928">
      <c r="A10928" s="121">
        <v>67568.0</v>
      </c>
    </row>
    <row r="10929">
      <c r="A10929" s="121">
        <v>67569.0</v>
      </c>
    </row>
    <row r="10930">
      <c r="A10930" s="121">
        <v>67570.0</v>
      </c>
    </row>
    <row r="10931">
      <c r="A10931" s="121">
        <v>67571.0</v>
      </c>
    </row>
    <row r="10932">
      <c r="A10932" s="121">
        <v>67572.0</v>
      </c>
    </row>
    <row r="10933">
      <c r="A10933" s="121">
        <v>67573.0</v>
      </c>
    </row>
    <row r="10934">
      <c r="A10934" s="121">
        <v>67574.0</v>
      </c>
    </row>
    <row r="10935">
      <c r="A10935" s="121">
        <v>67575.0</v>
      </c>
    </row>
    <row r="10936">
      <c r="A10936" s="121">
        <v>67576.0</v>
      </c>
    </row>
    <row r="10937">
      <c r="A10937" s="121">
        <v>67577.0</v>
      </c>
    </row>
    <row r="10938">
      <c r="A10938" s="121">
        <v>67578.0</v>
      </c>
    </row>
    <row r="10939">
      <c r="A10939" s="121">
        <v>67579.0</v>
      </c>
    </row>
    <row r="10940">
      <c r="A10940" s="121">
        <v>67580.0</v>
      </c>
    </row>
    <row r="10941">
      <c r="A10941" s="121">
        <v>67581.0</v>
      </c>
    </row>
    <row r="10942">
      <c r="A10942" s="121">
        <v>67582.0</v>
      </c>
    </row>
    <row r="10943">
      <c r="A10943" s="121">
        <v>67583.0</v>
      </c>
    </row>
    <row r="10944">
      <c r="A10944" s="121">
        <v>67584.0</v>
      </c>
    </row>
    <row r="10945">
      <c r="A10945" s="121">
        <v>67585.0</v>
      </c>
    </row>
    <row r="10946">
      <c r="A10946" s="121">
        <v>67589.0</v>
      </c>
    </row>
    <row r="10947">
      <c r="A10947" s="121">
        <v>67590.0</v>
      </c>
    </row>
    <row r="10948">
      <c r="A10948" s="121">
        <v>67591.0</v>
      </c>
    </row>
    <row r="10949">
      <c r="A10949" s="121">
        <v>67592.0</v>
      </c>
    </row>
    <row r="10950">
      <c r="A10950" s="121">
        <v>67593.0</v>
      </c>
    </row>
    <row r="10951">
      <c r="A10951" s="121">
        <v>67594.0</v>
      </c>
    </row>
    <row r="10952">
      <c r="A10952" s="121">
        <v>67595.0</v>
      </c>
    </row>
    <row r="10953">
      <c r="A10953" s="121">
        <v>67596.0</v>
      </c>
    </row>
    <row r="10954">
      <c r="A10954" s="121">
        <v>67597.0</v>
      </c>
    </row>
    <row r="10955">
      <c r="A10955" s="121">
        <v>67598.0</v>
      </c>
    </row>
    <row r="10956">
      <c r="A10956" s="121">
        <v>67599.0</v>
      </c>
    </row>
    <row r="10957">
      <c r="A10957" s="121">
        <v>67600.0</v>
      </c>
    </row>
    <row r="10958">
      <c r="A10958" s="121">
        <v>67601.0</v>
      </c>
    </row>
    <row r="10959">
      <c r="A10959" s="121">
        <v>67602.0</v>
      </c>
    </row>
    <row r="10960">
      <c r="A10960" s="121">
        <v>67603.0</v>
      </c>
    </row>
    <row r="10961">
      <c r="A10961" s="121">
        <v>67604.0</v>
      </c>
    </row>
    <row r="10962">
      <c r="A10962" s="121">
        <v>67605.0</v>
      </c>
    </row>
    <row r="10963">
      <c r="A10963" s="121">
        <v>67606.0</v>
      </c>
    </row>
    <row r="10964">
      <c r="A10964" s="121">
        <v>67607.0</v>
      </c>
    </row>
    <row r="10965">
      <c r="A10965" s="121">
        <v>67608.0</v>
      </c>
    </row>
    <row r="10966">
      <c r="A10966" s="121">
        <v>67609.0</v>
      </c>
    </row>
    <row r="10967">
      <c r="A10967" s="121">
        <v>67610.0</v>
      </c>
    </row>
    <row r="10968">
      <c r="A10968" s="121">
        <v>67611.0</v>
      </c>
    </row>
    <row r="10969">
      <c r="A10969" s="121">
        <v>67612.0</v>
      </c>
    </row>
    <row r="10970">
      <c r="A10970" s="121">
        <v>67613.0</v>
      </c>
    </row>
    <row r="10971">
      <c r="A10971" s="121">
        <v>67617.0</v>
      </c>
    </row>
    <row r="10972">
      <c r="A10972" s="121">
        <v>67618.0</v>
      </c>
    </row>
    <row r="10973">
      <c r="A10973" s="121">
        <v>67619.0</v>
      </c>
    </row>
    <row r="10974">
      <c r="A10974" s="121">
        <v>67620.0</v>
      </c>
    </row>
    <row r="10975">
      <c r="A10975" s="121">
        <v>67621.0</v>
      </c>
    </row>
    <row r="10976">
      <c r="A10976" s="121">
        <v>67622.0</v>
      </c>
    </row>
    <row r="10977">
      <c r="A10977" s="121">
        <v>67623.0</v>
      </c>
    </row>
    <row r="10978">
      <c r="A10978" s="121">
        <v>67624.0</v>
      </c>
    </row>
    <row r="10979">
      <c r="A10979" s="121">
        <v>67625.0</v>
      </c>
    </row>
    <row r="10980">
      <c r="A10980" s="121">
        <v>67626.0</v>
      </c>
    </row>
    <row r="10981">
      <c r="A10981" s="121">
        <v>67627.0</v>
      </c>
    </row>
    <row r="10982">
      <c r="A10982" s="121">
        <v>67628.0</v>
      </c>
    </row>
    <row r="10983">
      <c r="A10983" s="121">
        <v>67629.0</v>
      </c>
    </row>
    <row r="10984">
      <c r="A10984" s="121">
        <v>67630.0</v>
      </c>
    </row>
    <row r="10985">
      <c r="A10985" s="121">
        <v>67631.0</v>
      </c>
    </row>
    <row r="10986">
      <c r="A10986" s="121">
        <v>67632.0</v>
      </c>
    </row>
    <row r="10987">
      <c r="A10987" s="121">
        <v>67633.0</v>
      </c>
    </row>
    <row r="10988">
      <c r="A10988" s="121">
        <v>67634.0</v>
      </c>
    </row>
    <row r="10989">
      <c r="A10989" s="121">
        <v>67635.0</v>
      </c>
    </row>
    <row r="10990">
      <c r="A10990" s="121">
        <v>67636.0</v>
      </c>
    </row>
    <row r="10991">
      <c r="A10991" s="121">
        <v>67637.0</v>
      </c>
    </row>
    <row r="10992">
      <c r="A10992" s="121">
        <v>67638.0</v>
      </c>
    </row>
    <row r="10993">
      <c r="A10993" s="121">
        <v>67639.0</v>
      </c>
    </row>
    <row r="10994">
      <c r="A10994" s="121">
        <v>67640.0</v>
      </c>
    </row>
    <row r="10995">
      <c r="A10995" s="121">
        <v>67641.0</v>
      </c>
    </row>
    <row r="10996">
      <c r="A10996" s="121">
        <v>67642.0</v>
      </c>
    </row>
    <row r="10997">
      <c r="A10997" s="121">
        <v>67643.0</v>
      </c>
    </row>
    <row r="10998">
      <c r="A10998" s="121">
        <v>67644.0</v>
      </c>
    </row>
    <row r="10999">
      <c r="A10999" s="121">
        <v>67645.0</v>
      </c>
    </row>
  </sheetData>
  <drawing r:id="rId1"/>
</worksheet>
</file>